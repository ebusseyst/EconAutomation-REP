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06/relationships/ui/userCustomization" Target="userCustomization/customUI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icBussey\GitHub\EconAutomation-REP\EconAutomation\src\supporting_docs\sorted_econ_files\"/>
    </mc:Choice>
  </mc:AlternateContent>
  <xr:revisionPtr revIDLastSave="0" documentId="13_ncr:1_{2CE489A3-2887-4B64-AD85-DF862A5D9AE6}" xr6:coauthVersionLast="47" xr6:coauthVersionMax="47" xr10:uidLastSave="{00000000-0000-0000-0000-000000000000}"/>
  <bookViews>
    <workbookView xWindow="28680" yWindow="-60" windowWidth="29040" windowHeight="15720" tabRatio="912" firstSheet="17" activeTab="36" xr2:uid="{5BAA09AB-7357-4F3A-ACAE-EF162D077A91}"/>
  </bookViews>
  <sheets>
    <sheet name="Master Data" sheetId="1" r:id="rId1"/>
    <sheet name="1st Procedure" sheetId="8" r:id="rId2"/>
    <sheet name="2nd" sheetId="14" state="hidden" r:id="rId3"/>
    <sheet name="3rd" sheetId="17" state="hidden" r:id="rId4"/>
    <sheet name="4th" sheetId="19" state="hidden" r:id="rId5"/>
    <sheet name="Routine Care" sheetId="5" r:id="rId6"/>
    <sheet name="Evaluations" sheetId="3" r:id="rId7"/>
    <sheet name="Therapeutic" sheetId="9" r:id="rId8"/>
    <sheet name="Diagnostic" sheetId="7" r:id="rId9"/>
    <sheet name="Medications" sheetId="10" r:id="rId10"/>
    <sheet name="Injections" sheetId="11" state="hidden" r:id="rId11"/>
    <sheet name="Prostheses" sheetId="12" state="hidden" r:id="rId12"/>
    <sheet name="Equipment" sheetId="13" r:id="rId13"/>
    <sheet name="Home Services" sheetId="15" r:id="rId14"/>
    <sheet name="Home Maintenance" sheetId="16" state="hidden" r:id="rId15"/>
    <sheet name="Transportation" sheetId="18" state="hidden" r:id="rId16"/>
    <sheet name="PASTE TABLES TO RIGHT --&gt;" sheetId="48" r:id="rId17"/>
    <sheet name="Procedure1" sheetId="32" r:id="rId18"/>
    <sheet name="Procedure2" sheetId="33" state="hidden" r:id="rId19"/>
    <sheet name="Procedure3" sheetId="34" state="hidden" r:id="rId20"/>
    <sheet name="Procedure4" sheetId="35" state="hidden" r:id="rId21"/>
    <sheet name="Med Care" sheetId="36" r:id="rId22"/>
    <sheet name="Proj Evals" sheetId="37" r:id="rId23"/>
    <sheet name="Therapies" sheetId="38" r:id="rId24"/>
    <sheet name="Diagnotics" sheetId="39" r:id="rId25"/>
    <sheet name="Meds" sheetId="40" r:id="rId26"/>
    <sheet name="Interventional" sheetId="41" state="hidden" r:id="rId27"/>
    <sheet name="Prosthetics" sheetId="42" state="hidden" r:id="rId28"/>
    <sheet name="Equip &amp; Supply" sheetId="43" r:id="rId29"/>
    <sheet name="Long Term Care" sheetId="44" r:id="rId30"/>
    <sheet name="Maintenance" sheetId="45" state="hidden" r:id="rId31"/>
    <sheet name="Transport" sheetId="46" state="hidden" r:id="rId32"/>
    <sheet name="Stokes Final Tables" sheetId="47" r:id="rId33"/>
    <sheet name="Cost Data Sheet" sheetId="49" r:id="rId34"/>
    <sheet name="Service to CPT Map" sheetId="50" r:id="rId35"/>
    <sheet name="Meds Sheet" sheetId="52" r:id="rId36"/>
    <sheet name="Econ Sheet" sheetId="51" r:id="rId37"/>
    <sheet name="Drop Downs" sheetId="2" r:id="rId38"/>
  </sheets>
  <definedNames>
    <definedName name="_xlnm._FilterDatabase" localSheetId="2" hidden="1">'2nd'!$D:$D</definedName>
    <definedName name="_xlnm._FilterDatabase" localSheetId="6" hidden="1">Evaluations!$D:$D</definedName>
    <definedName name="Age_Initiated" localSheetId="1">'1st Procedure'!$B:$B</definedName>
    <definedName name="Age_Initiated" localSheetId="2">'2nd'!$B:$B</definedName>
    <definedName name="Age_Initiated" localSheetId="3">'3rd'!$B:$B</definedName>
    <definedName name="Age_Initiated" localSheetId="4">'4th'!$B:$B</definedName>
    <definedName name="Age_Initiated" localSheetId="8">Diagnostic!$B:$B</definedName>
    <definedName name="Age_Initiated" localSheetId="12">Equipment!$B:$B</definedName>
    <definedName name="Age_Initiated" localSheetId="6">Evaluations!$B:$B</definedName>
    <definedName name="Age_Initiated" localSheetId="14">'Home Maintenance'!$B:$B</definedName>
    <definedName name="Age_Initiated" localSheetId="13">'Home Services'!$B:$B</definedName>
    <definedName name="Age_Initiated" localSheetId="10">Injections!$B:$B</definedName>
    <definedName name="Age_Initiated" localSheetId="9">Medications!$B:$B</definedName>
    <definedName name="Age_Initiated" localSheetId="11">Prostheses!$B:$B</definedName>
    <definedName name="Age_Initiated" localSheetId="5">'Routine Care'!$B:$B</definedName>
    <definedName name="Age_Initiated" localSheetId="7">Therapeutic!$B:$B</definedName>
    <definedName name="Age_Initiated" localSheetId="15">Transportation!$B:$B</definedName>
    <definedName name="AnnMax" localSheetId="1">'1st Procedure'!$O:$O</definedName>
    <definedName name="AnnMax" localSheetId="2">'2nd'!$O:$O</definedName>
    <definedName name="AnnMax" localSheetId="3">'3rd'!$O:$O</definedName>
    <definedName name="AnnMax" localSheetId="4">'4th'!$O:$O</definedName>
    <definedName name="AnnMax" localSheetId="8">Diagnostic!$O:$O</definedName>
    <definedName name="AnnMax" localSheetId="12">Equipment!$O:$O</definedName>
    <definedName name="AnnMax" localSheetId="6">Evaluations!$O:$O</definedName>
    <definedName name="AnnMax" localSheetId="14">'Home Maintenance'!$O:$O</definedName>
    <definedName name="AnnMax" localSheetId="13">'Home Services'!$O:$O</definedName>
    <definedName name="AnnMax" localSheetId="10">Injections!$O:$O</definedName>
    <definedName name="AnnMax" localSheetId="9">Medications!$O:$O</definedName>
    <definedName name="AnnMax" localSheetId="11">Prostheses!$O:$O</definedName>
    <definedName name="AnnMax" localSheetId="5">'Routine Care'!$O:$O</definedName>
    <definedName name="AnnMax" localSheetId="7">Therapeutic!$O:$O</definedName>
    <definedName name="AnnMax" localSheetId="15">Transportation!$O:$O</definedName>
    <definedName name="AnnMin" localSheetId="1">'1st Procedure'!$N:$N</definedName>
    <definedName name="AnnMin" localSheetId="2">'2nd'!$N:$N</definedName>
    <definedName name="AnnMin" localSheetId="3">'3rd'!$N:$N</definedName>
    <definedName name="AnnMin" localSheetId="4">'4th'!$N:$N</definedName>
    <definedName name="AnnMin" localSheetId="8">Diagnostic!$N:$N</definedName>
    <definedName name="AnnMin" localSheetId="12">Equipment!$N:$N</definedName>
    <definedName name="AnnMin" localSheetId="6">Evaluations!$N:$N</definedName>
    <definedName name="AnnMin" localSheetId="14">'Home Maintenance'!$N:$N</definedName>
    <definedName name="AnnMin" localSheetId="13">'Home Services'!$N:$N</definedName>
    <definedName name="AnnMin" localSheetId="10">Injections!$N:$N</definedName>
    <definedName name="AnnMin" localSheetId="9">Medications!$N:$N</definedName>
    <definedName name="AnnMin" localSheetId="11">Prostheses!$N:$N</definedName>
    <definedName name="AnnMin" localSheetId="5">'Routine Care'!$N:$N</definedName>
    <definedName name="AnnMin" localSheetId="7">Therapeutic!$N:$N</definedName>
    <definedName name="AnnMin" localSheetId="15">Transportation!$N:$N</definedName>
    <definedName name="Duration" localSheetId="1">'1st Procedure'!$D:$D</definedName>
    <definedName name="Duration" localSheetId="2">'2nd'!$D:$D</definedName>
    <definedName name="Duration" localSheetId="3">'3rd'!$D:$D</definedName>
    <definedName name="Duration" localSheetId="4">'4th'!$D:$D</definedName>
    <definedName name="Duration" localSheetId="8">Diagnostic!$D:$D</definedName>
    <definedName name="Duration" localSheetId="12">Equipment!$D:$D</definedName>
    <definedName name="Duration" localSheetId="6">Evaluations!$D:$D</definedName>
    <definedName name="Duration" localSheetId="14">'Home Maintenance'!$D:$D</definedName>
    <definedName name="Duration" localSheetId="13">'Home Services'!$D:$D</definedName>
    <definedName name="Duration" localSheetId="10">Injections!$D:$D</definedName>
    <definedName name="Duration" localSheetId="9">Medications!$D:$D</definedName>
    <definedName name="Duration" localSheetId="11">Prostheses!$D:$D</definedName>
    <definedName name="Duration" localSheetId="5">'Routine Care'!$D:$D</definedName>
    <definedName name="Duration" localSheetId="15">Transportation!$D:$D</definedName>
    <definedName name="durations">'Drop Downs'!$W$12:$W$16</definedName>
    <definedName name="Ethnicity">'Drop Downs'!$B$2:$B$8</definedName>
    <definedName name="Female">'Drop Downs'!$J$11:$Q$92</definedName>
    <definedName name="Female_Age">'Drop Downs'!$J$11:$J$92</definedName>
    <definedName name="Female_Ethnicity">'Drop Downs'!$J$11:$Q$11</definedName>
    <definedName name="Gender">'Drop Downs'!$A$2:$A$3</definedName>
    <definedName name="Male">'Drop Downs'!$A$11:$H$92</definedName>
    <definedName name="Male_Age">'Drop Downs'!$A$11:$A$92</definedName>
    <definedName name="Male_Ethnicity">'Drop Downs'!$A$11:$H$11</definedName>
    <definedName name="MaleExpectancy">'Drop Downs'!$A$12:$H$92</definedName>
    <definedName name="MaxCost" localSheetId="1">'1st Procedure'!$F:$F</definedName>
    <definedName name="MaxCost" localSheetId="2">'2nd'!$F:$F</definedName>
    <definedName name="MaxCost" localSheetId="3">'3rd'!$F:$F</definedName>
    <definedName name="MaxCost" localSheetId="4">'4th'!$F:$F</definedName>
    <definedName name="MaxCost" localSheetId="8">Diagnostic!$F:$F</definedName>
    <definedName name="MaxCost" localSheetId="12">Equipment!$F:$F</definedName>
    <definedName name="MaxCost" localSheetId="6">Evaluations!$F:$F</definedName>
    <definedName name="MaxCost" localSheetId="14">'Home Maintenance'!$F:$F</definedName>
    <definedName name="MaxCost" localSheetId="13">'Home Services'!$F:$F</definedName>
    <definedName name="MaxCost" localSheetId="10">Injections!$F:$F</definedName>
    <definedName name="MaxCost" localSheetId="9">Medications!$F:$F</definedName>
    <definedName name="MaxCost" localSheetId="11">Prostheses!$F:$F</definedName>
    <definedName name="MaxCost" localSheetId="5">'Routine Care'!$F:$F</definedName>
    <definedName name="MaxCost" localSheetId="7">Therapeutic!$F:$F</definedName>
    <definedName name="MaxCost" localSheetId="15">Transportation!$F:$F</definedName>
    <definedName name="MaxFreq" localSheetId="1">'1st Procedure'!$I:$I</definedName>
    <definedName name="MaxFreq" localSheetId="2">'2nd'!$I:$I</definedName>
    <definedName name="MaxFreq" localSheetId="3">'3rd'!$I:$I</definedName>
    <definedName name="MaxFreq" localSheetId="4">'4th'!$I:$I</definedName>
    <definedName name="MaxFreq" localSheetId="8">Diagnostic!$I:$I</definedName>
    <definedName name="MaxFreq" localSheetId="12">Equipment!$I:$I</definedName>
    <definedName name="MaxFreq" localSheetId="6">Evaluations!$I:$I</definedName>
    <definedName name="MaxFreq" localSheetId="14">'Home Maintenance'!$I:$I</definedName>
    <definedName name="MaxFreq" localSheetId="13">'Home Services'!$I:$I</definedName>
    <definedName name="MaxFreq" localSheetId="10">Injections!$I:$I</definedName>
    <definedName name="MaxFreq" localSheetId="9">Medications!$I:$I</definedName>
    <definedName name="MaxFreq" localSheetId="11">Prostheses!$I:$I</definedName>
    <definedName name="MaxFreq" localSheetId="5">'Routine Care'!$I:$I</definedName>
    <definedName name="MaxFreq" localSheetId="7">Therapeutic!$I:$I</definedName>
    <definedName name="MaxFreq" localSheetId="15">Transportation!$I:$I</definedName>
    <definedName name="MaxTimePeriod" localSheetId="1">'1st Procedure'!$K:$K</definedName>
    <definedName name="MaxTimePeriod" localSheetId="2">'2nd'!$K:$K</definedName>
    <definedName name="MaxTimePeriod" localSheetId="3">'3rd'!$K:$K</definedName>
    <definedName name="MaxTimePeriod" localSheetId="4">'4th'!$K:$K</definedName>
    <definedName name="MaxTimePeriod" localSheetId="8">Diagnostic!$K:$K</definedName>
    <definedName name="MaxTimePeriod" localSheetId="12">Equipment!$K:$K</definedName>
    <definedName name="MaxTimePeriod" localSheetId="6">Evaluations!$K:$K</definedName>
    <definedName name="MaxTimePeriod" localSheetId="14">'Home Maintenance'!$K:$K</definedName>
    <definedName name="MaxTimePeriod" localSheetId="13">'Home Services'!$K:$K</definedName>
    <definedName name="MaxTimePeriod" localSheetId="10">Injections!$K:$K</definedName>
    <definedName name="MaxTimePeriod" localSheetId="9">Medications!$K:$K</definedName>
    <definedName name="MaxTimePeriod" localSheetId="11">Prostheses!$K:$K</definedName>
    <definedName name="MaxTimePeriod" localSheetId="5">'Routine Care'!$K:$K</definedName>
    <definedName name="MaxTimePeriod" localSheetId="7">Therapeutic!$K:$K</definedName>
    <definedName name="MaxTimePeriod" localSheetId="15">Transportation!$K:$K</definedName>
    <definedName name="MFUSGAF">#REF!</definedName>
    <definedName name="MinCost" localSheetId="1">'1st Procedure'!$E:$E</definedName>
    <definedName name="MinCost" localSheetId="2">'2nd'!$E:$E</definedName>
    <definedName name="MinCost" localSheetId="3">'3rd'!$E:$E</definedName>
    <definedName name="MinCost" localSheetId="4">'4th'!$E:$E</definedName>
    <definedName name="MinCost" localSheetId="8">Diagnostic!$E:$E</definedName>
    <definedName name="MinCost" localSheetId="12">Equipment!$E:$E</definedName>
    <definedName name="MinCost" localSheetId="6">Evaluations!$E:$E</definedName>
    <definedName name="MinCost" localSheetId="14">'Home Maintenance'!$E:$E</definedName>
    <definedName name="MinCost" localSheetId="13">'Home Services'!$E:$E</definedName>
    <definedName name="MinCost" localSheetId="10">Injections!$E:$E</definedName>
    <definedName name="MinCost" localSheetId="9">Medications!$E:$E</definedName>
    <definedName name="MinCost" localSheetId="11">Prostheses!$E:$E</definedName>
    <definedName name="MinCost" localSheetId="5">'Routine Care'!$E:$E</definedName>
    <definedName name="MinCost" localSheetId="7">Therapeutic!$E:$E</definedName>
    <definedName name="MinCost" localSheetId="15">Transportation!$E:$E</definedName>
    <definedName name="MinFreq" localSheetId="1">'1st Procedure'!$H:$H</definedName>
    <definedName name="MinFreq" localSheetId="2">'2nd'!$H:$H</definedName>
    <definedName name="MinFreq" localSheetId="3">'3rd'!$H:$H</definedName>
    <definedName name="MinFreq" localSheetId="4">'4th'!$H:$H</definedName>
    <definedName name="MinFreq" localSheetId="8">Diagnostic!$H:$H</definedName>
    <definedName name="MinFreq" localSheetId="12">Equipment!$H:$H</definedName>
    <definedName name="MinFreq" localSheetId="6">Evaluations!$H:$H</definedName>
    <definedName name="MinFreq" localSheetId="14">'Home Maintenance'!$H:$H</definedName>
    <definedName name="MinFreq" localSheetId="13">'Home Services'!$H:$H</definedName>
    <definedName name="MinFreq" localSheetId="10">Injections!$H:$H</definedName>
    <definedName name="MinFreq" localSheetId="9">Medications!$H:$H</definedName>
    <definedName name="MinFreq" localSheetId="11">Prostheses!$H:$H</definedName>
    <definedName name="MinFreq" localSheetId="5">'Routine Care'!$H:$H</definedName>
    <definedName name="MinFreq" localSheetId="7">Therapeutic!$H:$H</definedName>
    <definedName name="MinFreq" localSheetId="15">Transportation!$H:$H</definedName>
    <definedName name="MinTimePeriod" localSheetId="1">'1st Procedure'!$J:$J</definedName>
    <definedName name="MinTimePeriod" localSheetId="2">'2nd'!$J:$J</definedName>
    <definedName name="MinTimePeriod" localSheetId="3">'3rd'!$J:$J</definedName>
    <definedName name="MinTimePeriod" localSheetId="4">'4th'!$J:$J</definedName>
    <definedName name="MinTimePeriod" localSheetId="8">Diagnostic!$J:$J</definedName>
    <definedName name="MinTimePeriod" localSheetId="12">Equipment!$J:$J</definedName>
    <definedName name="MinTimePeriod" localSheetId="6">Evaluations!$J:$J</definedName>
    <definedName name="MinTimePeriod" localSheetId="14">'Home Maintenance'!$J:$J</definedName>
    <definedName name="MinTimePeriod" localSheetId="13">'Home Services'!$J:$J</definedName>
    <definedName name="MinTimePeriod" localSheetId="10">Injections!$J:$J</definedName>
    <definedName name="MinTimePeriod" localSheetId="9">Medications!$J:$J</definedName>
    <definedName name="MinTimePeriod" localSheetId="11">Prostheses!$J:$J</definedName>
    <definedName name="MinTimePeriod" localSheetId="5">'Routine Care'!$J:$J</definedName>
    <definedName name="MinTimePeriod" localSheetId="7">Therapeutic!$J:$J</definedName>
    <definedName name="MinTimePeriod" localSheetId="15">Transportation!$J:$J</definedName>
    <definedName name="NFAGAF">#REF!</definedName>
    <definedName name="OneTimeMax" localSheetId="1">'1st Procedure'!$R:$R</definedName>
    <definedName name="OneTimeMax" localSheetId="2">'2nd'!$R:$R</definedName>
    <definedName name="OneTimeMax" localSheetId="3">'3rd'!$R:$R</definedName>
    <definedName name="OneTimeMax" localSheetId="4">'4th'!$R:$R</definedName>
    <definedName name="OneTimeMax" localSheetId="8">Diagnostic!$R:$R</definedName>
    <definedName name="OneTimeMax" localSheetId="12">Equipment!$R:$R</definedName>
    <definedName name="OneTimeMax" localSheetId="6">Evaluations!$R:$R</definedName>
    <definedName name="OneTimeMax" localSheetId="14">'Home Maintenance'!$R:$R</definedName>
    <definedName name="OneTimeMax" localSheetId="13">'Home Services'!$R:$R</definedName>
    <definedName name="OneTimeMax" localSheetId="10">Injections!$R:$R</definedName>
    <definedName name="OneTimeMax" localSheetId="9">Medications!$R:$R</definedName>
    <definedName name="OneTimeMax" localSheetId="11">Prostheses!$R:$R</definedName>
    <definedName name="OneTimeMax" localSheetId="5">'Routine Care'!$R:$R</definedName>
    <definedName name="OneTimeMax" localSheetId="7">Therapeutic!$R:$R</definedName>
    <definedName name="OneTimeMax" localSheetId="15">Transportation!$R:$R</definedName>
    <definedName name="OneTimeMin" localSheetId="1">'1st Procedure'!$Q:$Q</definedName>
    <definedName name="OneTimeMin" localSheetId="2">'2nd'!$Q:$Q</definedName>
    <definedName name="OneTimeMin" localSheetId="3">'3rd'!$Q:$Q</definedName>
    <definedName name="OneTimeMin" localSheetId="4">'4th'!$Q:$Q</definedName>
    <definedName name="OneTimeMin" localSheetId="8">Diagnostic!$Q:$Q</definedName>
    <definedName name="OneTimeMin" localSheetId="12">Equipment!$Q:$Q</definedName>
    <definedName name="OneTimeMin" localSheetId="6">Evaluations!$Q:$Q</definedName>
    <definedName name="OneTimeMin" localSheetId="14">'Home Maintenance'!$Q:$Q</definedName>
    <definedName name="OneTimeMin" localSheetId="13">'Home Services'!$Q:$Q</definedName>
    <definedName name="OneTimeMin" localSheetId="10">Injections!$Q:$Q</definedName>
    <definedName name="OneTimeMin" localSheetId="9">Medications!$Q:$Q</definedName>
    <definedName name="OneTimeMin" localSheetId="11">Prostheses!$Q:$Q</definedName>
    <definedName name="OneTimeMin" localSheetId="5">'Routine Care'!$Q:$Q</definedName>
    <definedName name="OneTimeMin" localSheetId="7">Therapeutic!$Q:$Q</definedName>
    <definedName name="OneTimeMin" localSheetId="15">Transportation!$Q:$Q</definedName>
    <definedName name="PFRGAF">#REF!</definedName>
    <definedName name="Race">'Master Data'!$B$5</definedName>
    <definedName name="Service" localSheetId="1">'1st Procedure'!$A:$A</definedName>
    <definedName name="Service" localSheetId="2">'2nd'!$A:$A</definedName>
    <definedName name="Service" localSheetId="3">'3rd'!$A:$A</definedName>
    <definedName name="Service" localSheetId="4">'4th'!$A:$A</definedName>
    <definedName name="Service" localSheetId="8">Diagnostic!$A:$A</definedName>
    <definedName name="Service" localSheetId="12">Equipment!$A:$A</definedName>
    <definedName name="Service" localSheetId="6">Evaluations!$A:$A</definedName>
    <definedName name="Service" localSheetId="14">'Home Maintenance'!$A:$A</definedName>
    <definedName name="Service" localSheetId="13">'Home Services'!$A:$A</definedName>
    <definedName name="Service" localSheetId="10">Injections!$A:$A</definedName>
    <definedName name="Service" localSheetId="9">Medications!$A:$A</definedName>
    <definedName name="Service" localSheetId="11">Prostheses!$A:$A</definedName>
    <definedName name="Service" localSheetId="5">'Routine Care'!$A:$A</definedName>
    <definedName name="Service" localSheetId="7">Therapeutic!$A:$A</definedName>
    <definedName name="Service" localSheetId="15">Transportation!$A:$A</definedName>
    <definedName name="Sex">'Master Data'!$B$4</definedName>
    <definedName name="TextAnn" localSheetId="1">'1st Procedure'!$P:$P</definedName>
    <definedName name="TextAnn" localSheetId="2">'2nd'!$P:$P</definedName>
    <definedName name="TextAnn" localSheetId="3">'3rd'!$P:$P</definedName>
    <definedName name="TextAnn" localSheetId="4">'4th'!$P:$P</definedName>
    <definedName name="TextAnn" localSheetId="8">Diagnostic!$P:$P</definedName>
    <definedName name="TextAnn" localSheetId="12">Equipment!$P:$P</definedName>
    <definedName name="TextAnn" localSheetId="6">Evaluations!$P:$P</definedName>
    <definedName name="TextAnn" localSheetId="14">'Home Maintenance'!$P:$P</definedName>
    <definedName name="TextAnn" localSheetId="13">'Home Services'!$P:$P</definedName>
    <definedName name="TextAnn" localSheetId="10">Injections!$P:$P</definedName>
    <definedName name="TextAnn" localSheetId="9">Medications!$P:$P</definedName>
    <definedName name="TextAnn" localSheetId="11">Prostheses!$P:$P</definedName>
    <definedName name="TextAnn" localSheetId="5">'Routine Care'!$P:$P</definedName>
    <definedName name="TextAnn" localSheetId="7">Therapeutic!$P:$P</definedName>
    <definedName name="TextAnn" localSheetId="15">Transportation!$P:$P</definedName>
    <definedName name="TextCost" localSheetId="1">'1st Procedure'!$G:$G</definedName>
    <definedName name="TextCost" localSheetId="2">'2nd'!$G:$G</definedName>
    <definedName name="TextCost" localSheetId="3">'3rd'!$G:$G</definedName>
    <definedName name="TextCost" localSheetId="4">'4th'!$G:$G</definedName>
    <definedName name="TextCost" localSheetId="8">Diagnostic!$G:$G</definedName>
    <definedName name="TextCost" localSheetId="12">Equipment!$G:$G</definedName>
    <definedName name="TextCost" localSheetId="6">Evaluations!$G:$G</definedName>
    <definedName name="TextCost" localSheetId="14">'Home Maintenance'!$G:$G</definedName>
    <definedName name="TextCost" localSheetId="13">'Home Services'!$G:$G</definedName>
    <definedName name="TextCost" localSheetId="10">Injections!$G:$G</definedName>
    <definedName name="TextCost" localSheetId="9">Medications!$G:$G</definedName>
    <definedName name="TextCost" localSheetId="11">Prostheses!$G:$G</definedName>
    <definedName name="TextCost" localSheetId="5">'Routine Care'!$G:$G</definedName>
    <definedName name="TextCost" localSheetId="7">Therapeutic!$G:$G</definedName>
    <definedName name="TextCost" localSheetId="15">Transportation!$G:$G</definedName>
    <definedName name="TextFreq" localSheetId="1">'1st Procedure'!$M:$M</definedName>
    <definedName name="TextFreq" localSheetId="2">'2nd'!$M:$M</definedName>
    <definedName name="TextFreq" localSheetId="3">'3rd'!$M:$M</definedName>
    <definedName name="TextFreq" localSheetId="4">'4th'!$M:$M</definedName>
    <definedName name="TextFreq" localSheetId="8">Diagnostic!$M:$M</definedName>
    <definedName name="TextFreq" localSheetId="12">Equipment!$M:$M</definedName>
    <definedName name="TextFreq" localSheetId="6">Evaluations!$M:$M</definedName>
    <definedName name="TextFreq" localSheetId="14">'Home Maintenance'!$M:$M</definedName>
    <definedName name="TextFreq" localSheetId="13">'Home Services'!$M:$M</definedName>
    <definedName name="TextFreq" localSheetId="10">Injections!$M:$M</definedName>
    <definedName name="TextFreq" localSheetId="9">Medications!$M:$M</definedName>
    <definedName name="TextFreq" localSheetId="11">Prostheses!$M:$M</definedName>
    <definedName name="TextFreq" localSheetId="5">'Routine Care'!$M:$M</definedName>
    <definedName name="TextFreq" localSheetId="7">Therapeutic!$M:$M</definedName>
    <definedName name="TextFreq" localSheetId="15">Transportation!$M:$M</definedName>
    <definedName name="TextOneTime" localSheetId="1">'1st Procedure'!$S:$S</definedName>
    <definedName name="TextOneTime" localSheetId="2">'2nd'!$S:$S</definedName>
    <definedName name="TextOneTime" localSheetId="3">'3rd'!$S:$S</definedName>
    <definedName name="TextOneTime" localSheetId="4">'4th'!$S:$S</definedName>
    <definedName name="TextOneTime" localSheetId="8">Diagnostic!$S:$S</definedName>
    <definedName name="TextOneTime" localSheetId="12">Equipment!$S:$S</definedName>
    <definedName name="TextOneTime" localSheetId="6">Evaluations!$S:$S</definedName>
    <definedName name="TextOneTime" localSheetId="14">'Home Maintenance'!$S:$S</definedName>
    <definedName name="TextOneTime" localSheetId="13">'Home Services'!$S:$S</definedName>
    <definedName name="TextOneTime" localSheetId="10">Injections!$S:$S</definedName>
    <definedName name="TextOneTime" localSheetId="9">Medications!$S:$S</definedName>
    <definedName name="TextOneTime" localSheetId="11">Prostheses!$S:$S</definedName>
    <definedName name="TextOneTime" localSheetId="5">'Routine Care'!$S:$S</definedName>
    <definedName name="TextOneTime" localSheetId="7">Therapeutic!$S:$S</definedName>
    <definedName name="TextOneTime" localSheetId="15">Transportation!$S:$S</definedName>
    <definedName name="Through_Age" localSheetId="1">'1st Procedure'!$C:$C</definedName>
    <definedName name="Through_Age" localSheetId="2">'2nd'!$C:$C</definedName>
    <definedName name="Through_Age" localSheetId="3">'3rd'!$C:$C</definedName>
    <definedName name="Through_Age" localSheetId="4">'4th'!$C:$C</definedName>
    <definedName name="Through_Age" localSheetId="8">Diagnostic!$C:$C</definedName>
    <definedName name="Through_Age" localSheetId="12">Equipment!$C:$C</definedName>
    <definedName name="Through_Age" localSheetId="6">Evaluations!$C:$C</definedName>
    <definedName name="Through_Age" localSheetId="14">'Home Maintenance'!$C:$C</definedName>
    <definedName name="Through_Age" localSheetId="13">'Home Services'!$C:$C</definedName>
    <definedName name="Through_Age" localSheetId="10">Injections!$C:$C</definedName>
    <definedName name="Through_Age" localSheetId="9">Medications!$C:$C</definedName>
    <definedName name="Through_Age" localSheetId="11">Prostheses!$C:$C</definedName>
    <definedName name="Through_Age" localSheetId="5">'Routine Care'!$C:$C</definedName>
    <definedName name="Through_Age" localSheetId="7">Therapeutic!$C:$C</definedName>
    <definedName name="Through_Age" localSheetId="15">Transportation!$C:$C</definedName>
    <definedName name="TimeValue" localSheetId="1">'1st Procedure'!$L:$L</definedName>
    <definedName name="TimeValue" localSheetId="2">'2nd'!$L:$L</definedName>
    <definedName name="TimeValue" localSheetId="3">'3rd'!$L:$L</definedName>
    <definedName name="TimeValue" localSheetId="4">'4th'!$L:$L</definedName>
    <definedName name="TimeValue" localSheetId="8">Diagnostic!$L:$L</definedName>
    <definedName name="TimeValue" localSheetId="12">Equipment!$L:$L</definedName>
    <definedName name="TimeValue" localSheetId="6">Evaluations!$L:$L</definedName>
    <definedName name="TimeValue" localSheetId="14">'Home Maintenance'!$L:$L</definedName>
    <definedName name="TimeValue" localSheetId="13">'Home Services'!$L:$L</definedName>
    <definedName name="TimeValue" localSheetId="10">Injections!$L:$L</definedName>
    <definedName name="TimeValue" localSheetId="9">Medications!$L:$L</definedName>
    <definedName name="TimeValue" localSheetId="11">Prostheses!$L:$L</definedName>
    <definedName name="TimeValue" localSheetId="5">'Routine Care'!$L:$L</definedName>
    <definedName name="TimeValue" localSheetId="7">Therapeutic!$L:$L</definedName>
    <definedName name="TimeValue" localSheetId="15">Transportation!$L:$L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C3" i="52"/>
  <c r="F3" i="52"/>
  <c r="I3" i="52"/>
  <c r="L3" i="52"/>
  <c r="C4" i="52"/>
  <c r="F4" i="52"/>
  <c r="I4" i="52"/>
  <c r="L4" i="52"/>
  <c r="C5" i="52"/>
  <c r="F5" i="52"/>
  <c r="I5" i="52"/>
  <c r="L5" i="52"/>
  <c r="C6" i="52"/>
  <c r="F6" i="52"/>
  <c r="I6" i="52"/>
  <c r="L6" i="52"/>
  <c r="C7" i="52"/>
  <c r="F7" i="52"/>
  <c r="I7" i="52"/>
  <c r="L7" i="52"/>
  <c r="C8" i="52"/>
  <c r="F8" i="52"/>
  <c r="I8" i="52"/>
  <c r="L8" i="52"/>
  <c r="C9" i="52"/>
  <c r="F9" i="52"/>
  <c r="I9" i="52"/>
  <c r="L9" i="52"/>
  <c r="C10" i="52"/>
  <c r="F10" i="52"/>
  <c r="I10" i="52"/>
  <c r="L10" i="52"/>
  <c r="C11" i="52"/>
  <c r="F11" i="52"/>
  <c r="I11" i="52"/>
  <c r="L11" i="52"/>
  <c r="C12" i="52"/>
  <c r="F12" i="52"/>
  <c r="I12" i="52"/>
  <c r="L12" i="52"/>
  <c r="C13" i="52"/>
  <c r="F13" i="52"/>
  <c r="I13" i="52"/>
  <c r="L13" i="52"/>
  <c r="C14" i="52"/>
  <c r="F14" i="52"/>
  <c r="I14" i="52"/>
  <c r="L14" i="52"/>
  <c r="C15" i="52"/>
  <c r="F15" i="52"/>
  <c r="I15" i="52"/>
  <c r="L15" i="52"/>
  <c r="C16" i="52"/>
  <c r="F16" i="52"/>
  <c r="I16" i="52"/>
  <c r="L16" i="52"/>
  <c r="E4" i="15" a="1"/>
  <c r="E4" i="15" s="1"/>
  <c r="E40" i="49"/>
  <c r="E38" i="49"/>
  <c r="E36" i="49"/>
  <c r="D40" i="49"/>
  <c r="D38" i="49"/>
  <c r="D36" i="49"/>
  <c r="C40" i="49"/>
  <c r="C38" i="49"/>
  <c r="C36" i="49"/>
  <c r="F25" i="15" a="1"/>
  <c r="F25" i="15" s="1"/>
  <c r="E25" i="15" a="1"/>
  <c r="E25" i="15" s="1"/>
  <c r="F24" i="15" a="1"/>
  <c r="F24" i="15" s="1"/>
  <c r="E24" i="15" a="1"/>
  <c r="E24" i="15" s="1"/>
  <c r="F23" i="15" a="1"/>
  <c r="F23" i="15" s="1"/>
  <c r="E23" i="15" a="1"/>
  <c r="E23" i="15" s="1"/>
  <c r="F22" i="15" a="1"/>
  <c r="F22" i="15" s="1"/>
  <c r="E22" i="15" a="1"/>
  <c r="E22" i="15" s="1"/>
  <c r="F21" i="15" a="1"/>
  <c r="F21" i="15" s="1"/>
  <c r="E21" i="15" a="1"/>
  <c r="E21" i="15" s="1"/>
  <c r="F20" i="15" a="1"/>
  <c r="F20" i="15" s="1"/>
  <c r="E20" i="15" a="1"/>
  <c r="E20" i="15" s="1"/>
  <c r="F19" i="15" a="1"/>
  <c r="F19" i="15" s="1"/>
  <c r="E19" i="15" a="1"/>
  <c r="E19" i="15" s="1"/>
  <c r="F18" i="15" a="1"/>
  <c r="F18" i="15" s="1"/>
  <c r="E18" i="15" a="1"/>
  <c r="E18" i="15" s="1"/>
  <c r="F17" i="15" a="1"/>
  <c r="F17" i="15" s="1"/>
  <c r="E17" i="15" a="1"/>
  <c r="E17" i="15" s="1"/>
  <c r="F16" i="15" a="1"/>
  <c r="F16" i="15" s="1"/>
  <c r="E16" i="15" a="1"/>
  <c r="E16" i="15" s="1"/>
  <c r="F15" i="15" a="1"/>
  <c r="F15" i="15" s="1"/>
  <c r="E15" i="15" a="1"/>
  <c r="E15" i="15" s="1"/>
  <c r="F14" i="15" a="1"/>
  <c r="F14" i="15" s="1"/>
  <c r="E14" i="15" a="1"/>
  <c r="E14" i="15" s="1"/>
  <c r="F13" i="15" a="1"/>
  <c r="F13" i="15" s="1"/>
  <c r="E13" i="15" a="1"/>
  <c r="E13" i="15" s="1"/>
  <c r="F12" i="15" a="1"/>
  <c r="F12" i="15" s="1"/>
  <c r="E12" i="15" a="1"/>
  <c r="E12" i="15" s="1"/>
  <c r="F11" i="15" a="1"/>
  <c r="F11" i="15" s="1"/>
  <c r="E11" i="15" a="1"/>
  <c r="E11" i="15" s="1"/>
  <c r="F10" i="15" a="1"/>
  <c r="F10" i="15" s="1"/>
  <c r="E10" i="15" a="1"/>
  <c r="E10" i="15" s="1"/>
  <c r="F9" i="15" a="1"/>
  <c r="F9" i="15" s="1"/>
  <c r="E9" i="15" a="1"/>
  <c r="E9" i="15" s="1"/>
  <c r="F8" i="15" a="1"/>
  <c r="F8" i="15" s="1"/>
  <c r="E8" i="15" a="1"/>
  <c r="E8" i="15" s="1"/>
  <c r="F7" i="15" a="1"/>
  <c r="F7" i="15" s="1"/>
  <c r="E7" i="15" a="1"/>
  <c r="E7" i="15" s="1"/>
  <c r="F6" i="15" a="1"/>
  <c r="F6" i="15" s="1"/>
  <c r="E6" i="15" a="1"/>
  <c r="E6" i="15" s="1"/>
  <c r="F5" i="15" a="1"/>
  <c r="F5" i="15" s="1"/>
  <c r="E5" i="15" a="1"/>
  <c r="E5" i="15" s="1"/>
  <c r="F4" i="15" a="1"/>
  <c r="F4" i="15" s="1"/>
  <c r="F3" i="15" a="1"/>
  <c r="F3" i="15" s="1"/>
  <c r="E3" i="15" a="1"/>
  <c r="E3" i="15" s="1"/>
  <c r="F25" i="10" a="1"/>
  <c r="F25" i="10" s="1"/>
  <c r="E25" i="10" a="1"/>
  <c r="E25" i="10" s="1"/>
  <c r="F24" i="10" a="1"/>
  <c r="F24" i="10" s="1"/>
  <c r="E24" i="10" a="1"/>
  <c r="E24" i="10" s="1"/>
  <c r="F23" i="10" a="1"/>
  <c r="F23" i="10" s="1"/>
  <c r="E23" i="10" a="1"/>
  <c r="E23" i="10" s="1"/>
  <c r="F22" i="10" a="1"/>
  <c r="F22" i="10" s="1"/>
  <c r="E22" i="10" a="1"/>
  <c r="E22" i="10" s="1"/>
  <c r="F21" i="10" a="1"/>
  <c r="F21" i="10" s="1"/>
  <c r="E21" i="10" a="1"/>
  <c r="E21" i="10" s="1"/>
  <c r="F20" i="10" a="1"/>
  <c r="F20" i="10" s="1"/>
  <c r="E20" i="10" a="1"/>
  <c r="E20" i="10" s="1"/>
  <c r="F19" i="10" a="1"/>
  <c r="F19" i="10" s="1"/>
  <c r="E19" i="10" a="1"/>
  <c r="E19" i="10" s="1"/>
  <c r="F15" i="10" a="1"/>
  <c r="F15" i="10" s="1"/>
  <c r="E15" i="10" a="1"/>
  <c r="E15" i="10" s="1"/>
  <c r="AH15" i="10" s="1"/>
  <c r="F14" i="10" a="1"/>
  <c r="F14" i="10" s="1"/>
  <c r="E14" i="10" a="1"/>
  <c r="E14" i="10" s="1"/>
  <c r="AH14" i="10" s="1"/>
  <c r="E16" i="8" a="1"/>
  <c r="E16" i="8" s="1"/>
  <c r="E5" i="8" a="1"/>
  <c r="E5" i="8" s="1"/>
  <c r="E3" i="8" a="1"/>
  <c r="E3" i="8" s="1"/>
  <c r="F3" i="8" s="1" a="1"/>
  <c r="F3" i="8" s="1"/>
  <c r="N2" i="51" a="1"/>
  <c r="N2" i="51" s="1"/>
  <c r="M2" i="51" a="1"/>
  <c r="M2" i="51" s="1"/>
  <c r="L2" i="51" a="1"/>
  <c r="L2" i="51" s="1"/>
  <c r="K2" i="51" a="1"/>
  <c r="K2" i="51" s="1"/>
  <c r="L4" i="7"/>
  <c r="L3" i="10"/>
  <c r="B2" i="51" a="1"/>
  <c r="B2" i="51" s="1"/>
  <c r="A2" i="51" a="1"/>
  <c r="A2" i="51" s="1"/>
  <c r="AB26" i="15"/>
  <c r="AD26" i="15"/>
  <c r="AE26" i="15"/>
  <c r="AB27" i="15"/>
  <c r="AD27" i="15"/>
  <c r="AE27" i="15"/>
  <c r="AB28" i="15"/>
  <c r="AD28" i="15"/>
  <c r="AE28" i="15"/>
  <c r="AB29" i="15"/>
  <c r="AD29" i="15"/>
  <c r="AE29" i="15"/>
  <c r="AB30" i="15"/>
  <c r="AD30" i="15"/>
  <c r="AE30" i="15"/>
  <c r="AB31" i="15"/>
  <c r="AD31" i="15"/>
  <c r="AE31" i="15"/>
  <c r="AB32" i="15"/>
  <c r="AD32" i="15"/>
  <c r="AE32" i="15"/>
  <c r="AB33" i="15"/>
  <c r="AD33" i="15"/>
  <c r="AE33" i="15"/>
  <c r="AB34" i="15"/>
  <c r="AD34" i="15"/>
  <c r="AE34" i="15"/>
  <c r="AB35" i="15"/>
  <c r="AD35" i="15"/>
  <c r="AE35" i="15"/>
  <c r="AB36" i="15"/>
  <c r="AD36" i="15"/>
  <c r="AE36" i="15"/>
  <c r="AB37" i="15"/>
  <c r="AD37" i="15"/>
  <c r="AE37" i="15"/>
  <c r="L25" i="15"/>
  <c r="AA25" i="15" s="1"/>
  <c r="L24" i="15"/>
  <c r="O24" i="15" s="1"/>
  <c r="L23" i="15"/>
  <c r="M23" i="15" s="1"/>
  <c r="L22" i="15"/>
  <c r="M22" i="15" s="1"/>
  <c r="L21" i="15"/>
  <c r="M21" i="15" s="1"/>
  <c r="L20" i="15"/>
  <c r="O20" i="15" s="1"/>
  <c r="L19" i="15"/>
  <c r="M19" i="15" s="1"/>
  <c r="L18" i="15"/>
  <c r="O18" i="15" s="1"/>
  <c r="M18" i="15"/>
  <c r="L17" i="15"/>
  <c r="M17" i="15" s="1"/>
  <c r="AB26" i="13"/>
  <c r="AD26" i="13"/>
  <c r="AE26" i="13"/>
  <c r="AB27" i="13"/>
  <c r="AD27" i="13"/>
  <c r="AE27" i="13"/>
  <c r="AB28" i="13"/>
  <c r="AD28" i="13"/>
  <c r="AE28" i="13"/>
  <c r="AB29" i="13"/>
  <c r="AD29" i="13"/>
  <c r="AE29" i="13"/>
  <c r="AB30" i="13"/>
  <c r="AD30" i="13"/>
  <c r="AE30" i="13"/>
  <c r="AB26" i="10"/>
  <c r="AD26" i="10"/>
  <c r="AE26" i="10"/>
  <c r="AB27" i="10"/>
  <c r="AD27" i="10"/>
  <c r="AE27" i="10"/>
  <c r="AB28" i="10"/>
  <c r="AD28" i="10"/>
  <c r="AE28" i="10"/>
  <c r="AB29" i="10"/>
  <c r="AD29" i="10"/>
  <c r="AE29" i="10"/>
  <c r="AB30" i="10"/>
  <c r="AD30" i="10"/>
  <c r="AE30" i="10"/>
  <c r="AB31" i="10"/>
  <c r="AD31" i="10"/>
  <c r="AE31" i="10"/>
  <c r="AB32" i="10"/>
  <c r="AD32" i="10"/>
  <c r="AE32" i="10"/>
  <c r="AB33" i="10"/>
  <c r="AD33" i="10"/>
  <c r="AE33" i="10"/>
  <c r="AB34" i="10"/>
  <c r="AD34" i="10"/>
  <c r="AE34" i="10"/>
  <c r="AB35" i="10"/>
  <c r="AD35" i="10"/>
  <c r="AE35" i="10"/>
  <c r="AB36" i="10"/>
  <c r="AD36" i="10"/>
  <c r="AE36" i="10"/>
  <c r="AB37" i="10"/>
  <c r="AD37" i="10"/>
  <c r="AE37" i="10"/>
  <c r="AB38" i="10"/>
  <c r="AD38" i="10"/>
  <c r="AE38" i="10"/>
  <c r="AB39" i="10"/>
  <c r="AD39" i="10"/>
  <c r="AE39" i="10"/>
  <c r="AB26" i="7"/>
  <c r="AD26" i="7"/>
  <c r="AE26" i="7"/>
  <c r="AB27" i="7"/>
  <c r="AD27" i="7"/>
  <c r="AE27" i="7"/>
  <c r="AB26" i="9"/>
  <c r="AD26" i="9"/>
  <c r="AE26" i="9"/>
  <c r="AB27" i="9"/>
  <c r="AD27" i="9"/>
  <c r="AE27" i="9"/>
  <c r="AB28" i="9"/>
  <c r="AD28" i="9"/>
  <c r="AE28" i="9"/>
  <c r="AB29" i="9"/>
  <c r="AD29" i="9"/>
  <c r="AE29" i="9"/>
  <c r="AB30" i="9"/>
  <c r="AD30" i="9"/>
  <c r="AE30" i="9"/>
  <c r="AB31" i="9"/>
  <c r="AD31" i="9"/>
  <c r="AE31" i="9"/>
  <c r="AB32" i="9"/>
  <c r="AD32" i="9"/>
  <c r="AE32" i="9"/>
  <c r="AB33" i="9"/>
  <c r="AD33" i="9"/>
  <c r="AE33" i="9"/>
  <c r="AB34" i="9"/>
  <c r="AD34" i="9"/>
  <c r="AE34" i="9"/>
  <c r="AB35" i="9"/>
  <c r="AD35" i="9"/>
  <c r="AE35" i="9"/>
  <c r="AB36" i="9"/>
  <c r="AD36" i="9"/>
  <c r="AE36" i="9"/>
  <c r="AB37" i="9"/>
  <c r="AD37" i="9"/>
  <c r="AE37" i="9"/>
  <c r="AB38" i="9"/>
  <c r="AD38" i="9"/>
  <c r="AE38" i="9"/>
  <c r="AB26" i="3"/>
  <c r="AD26" i="3"/>
  <c r="AE26" i="3"/>
  <c r="AB27" i="3"/>
  <c r="AD27" i="3"/>
  <c r="AE27" i="3"/>
  <c r="AB28" i="3"/>
  <c r="AD28" i="3"/>
  <c r="AE28" i="3"/>
  <c r="AB29" i="3"/>
  <c r="AD29" i="3"/>
  <c r="AE29" i="3"/>
  <c r="AB30" i="3"/>
  <c r="AD30" i="3"/>
  <c r="AE30" i="3"/>
  <c r="AB26" i="5"/>
  <c r="AD26" i="5"/>
  <c r="AE26" i="5"/>
  <c r="AB27" i="5"/>
  <c r="AD27" i="5"/>
  <c r="AE27" i="5"/>
  <c r="AB28" i="5"/>
  <c r="AD28" i="5"/>
  <c r="AE28" i="5"/>
  <c r="AB29" i="5"/>
  <c r="AD29" i="5"/>
  <c r="AE29" i="5"/>
  <c r="AB30" i="5"/>
  <c r="AD30" i="5"/>
  <c r="AE30" i="5"/>
  <c r="AB31" i="5"/>
  <c r="AD31" i="5"/>
  <c r="AE31" i="5"/>
  <c r="AB32" i="5"/>
  <c r="AD32" i="5"/>
  <c r="AE32" i="5"/>
  <c r="AB33" i="5"/>
  <c r="AD33" i="5"/>
  <c r="AE33" i="5"/>
  <c r="AB34" i="5"/>
  <c r="AD34" i="5"/>
  <c r="AE34" i="5"/>
  <c r="AB26" i="8"/>
  <c r="AD26" i="8"/>
  <c r="AE26" i="8"/>
  <c r="AB27" i="8"/>
  <c r="AD27" i="8"/>
  <c r="AE27" i="8"/>
  <c r="AB28" i="8"/>
  <c r="AD28" i="8"/>
  <c r="AE28" i="8"/>
  <c r="AB29" i="8"/>
  <c r="AD29" i="8"/>
  <c r="AE29" i="8"/>
  <c r="AB30" i="8"/>
  <c r="AD30" i="8"/>
  <c r="AE30" i="8"/>
  <c r="AB31" i="8"/>
  <c r="AD31" i="8"/>
  <c r="AE31" i="8"/>
  <c r="AB32" i="8"/>
  <c r="AD32" i="8"/>
  <c r="AE32" i="8"/>
  <c r="AB33" i="8"/>
  <c r="AD33" i="8"/>
  <c r="AE33" i="8"/>
  <c r="AB34" i="8"/>
  <c r="AD34" i="8"/>
  <c r="AE34" i="8"/>
  <c r="AB35" i="8"/>
  <c r="AD35" i="8"/>
  <c r="AE35" i="8"/>
  <c r="AB36" i="8"/>
  <c r="AD36" i="8"/>
  <c r="AE36" i="8"/>
  <c r="AB37" i="8"/>
  <c r="AD37" i="8"/>
  <c r="AE37" i="8"/>
  <c r="AB38" i="8"/>
  <c r="AD38" i="8"/>
  <c r="AE38" i="8"/>
  <c r="AB39" i="8"/>
  <c r="AD39" i="8"/>
  <c r="AE39" i="8"/>
  <c r="L16" i="15"/>
  <c r="AA16" i="15" s="1"/>
  <c r="L15" i="15"/>
  <c r="M15" i="15" s="1"/>
  <c r="L14" i="15"/>
  <c r="M14" i="15" s="1"/>
  <c r="L13" i="15"/>
  <c r="M13" i="15" s="1"/>
  <c r="L12" i="15"/>
  <c r="M12" i="15" s="1"/>
  <c r="E25" i="13"/>
  <c r="F25" i="13"/>
  <c r="L25" i="13"/>
  <c r="M25" i="13" s="1"/>
  <c r="E24" i="13"/>
  <c r="F24" i="13"/>
  <c r="L24" i="13"/>
  <c r="M24" i="13" s="1"/>
  <c r="E23" i="13"/>
  <c r="F23" i="13"/>
  <c r="G23" i="13" s="1"/>
  <c r="L23" i="13"/>
  <c r="AE23" i="13" s="1"/>
  <c r="E22" i="13"/>
  <c r="F22" i="13"/>
  <c r="L22" i="13"/>
  <c r="E21" i="13"/>
  <c r="F21" i="13"/>
  <c r="L21" i="13"/>
  <c r="AE21" i="13" s="1"/>
  <c r="L25" i="10"/>
  <c r="M25" i="10" s="1"/>
  <c r="L24" i="10"/>
  <c r="M24" i="10" s="1"/>
  <c r="L23" i="10"/>
  <c r="O23" i="10" s="1"/>
  <c r="N23" i="10"/>
  <c r="L22" i="10"/>
  <c r="O22" i="10" s="1"/>
  <c r="L25" i="7"/>
  <c r="AE25" i="7" s="1"/>
  <c r="L24" i="7"/>
  <c r="AA24" i="7" s="1"/>
  <c r="N24" i="7"/>
  <c r="L25" i="9"/>
  <c r="AA25" i="9" s="1"/>
  <c r="L24" i="9"/>
  <c r="O24" i="9" s="1"/>
  <c r="L23" i="9"/>
  <c r="AA23" i="9" s="1"/>
  <c r="L22" i="9"/>
  <c r="AA22" i="9" s="1"/>
  <c r="L21" i="9"/>
  <c r="M21" i="9" s="1"/>
  <c r="L20" i="9"/>
  <c r="O20" i="9" s="1"/>
  <c r="L19" i="9"/>
  <c r="N19" i="9" s="1"/>
  <c r="O19" i="9"/>
  <c r="L18" i="9"/>
  <c r="M18" i="9" s="1"/>
  <c r="L17" i="9"/>
  <c r="M17" i="9" s="1"/>
  <c r="L16" i="9"/>
  <c r="O16" i="9" s="1"/>
  <c r="L25" i="3"/>
  <c r="AD25" i="3" s="1"/>
  <c r="L24" i="3"/>
  <c r="AB24" i="3" s="1"/>
  <c r="L23" i="3"/>
  <c r="M23" i="3" s="1"/>
  <c r="L22" i="3"/>
  <c r="M22" i="3" s="1"/>
  <c r="L21" i="3"/>
  <c r="AA21" i="3" s="1"/>
  <c r="L20" i="3"/>
  <c r="AE20" i="3" s="1"/>
  <c r="L19" i="3"/>
  <c r="AA19" i="3" s="1"/>
  <c r="L18" i="3"/>
  <c r="AE18" i="3" s="1"/>
  <c r="L17" i="3"/>
  <c r="AA17" i="3" s="1"/>
  <c r="L16" i="3"/>
  <c r="AA16" i="3" s="1"/>
  <c r="L25" i="5"/>
  <c r="L24" i="5"/>
  <c r="AA24" i="5" s="1"/>
  <c r="L23" i="5"/>
  <c r="M23" i="5" s="1"/>
  <c r="L22" i="5"/>
  <c r="M22" i="5" s="1"/>
  <c r="L21" i="5"/>
  <c r="O21" i="5" s="1"/>
  <c r="L20" i="5"/>
  <c r="O20" i="5" s="1"/>
  <c r="L19" i="5"/>
  <c r="O19" i="5" s="1"/>
  <c r="L18" i="5"/>
  <c r="O18" i="5" s="1"/>
  <c r="L17" i="5"/>
  <c r="N17" i="5" s="1"/>
  <c r="M17" i="5"/>
  <c r="L16" i="5"/>
  <c r="O16" i="5" s="1"/>
  <c r="D25" i="8"/>
  <c r="L25" i="8"/>
  <c r="O25" i="8" s="1"/>
  <c r="D24" i="8"/>
  <c r="L24" i="8"/>
  <c r="M24" i="8" s="1"/>
  <c r="D23" i="8"/>
  <c r="L23" i="8"/>
  <c r="O23" i="8" s="1"/>
  <c r="L3" i="5"/>
  <c r="O3" i="5" s="1"/>
  <c r="L4" i="5"/>
  <c r="N4" i="5" s="1"/>
  <c r="L5" i="5"/>
  <c r="N5" i="5" s="1"/>
  <c r="L6" i="5"/>
  <c r="N6" i="5" s="1"/>
  <c r="L7" i="5"/>
  <c r="M7" i="5" s="1"/>
  <c r="L8" i="5"/>
  <c r="N8" i="5" s="1"/>
  <c r="L9" i="5"/>
  <c r="N9" i="5" s="1"/>
  <c r="L10" i="5"/>
  <c r="N10" i="5" s="1"/>
  <c r="L11" i="5"/>
  <c r="N11" i="5" s="1"/>
  <c r="M11" i="5"/>
  <c r="L12" i="5"/>
  <c r="N12" i="5" s="1"/>
  <c r="M12" i="5"/>
  <c r="L13" i="5"/>
  <c r="M13" i="5" s="1"/>
  <c r="L14" i="5"/>
  <c r="O14" i="5" s="1"/>
  <c r="L15" i="5"/>
  <c r="N15" i="5" s="1"/>
  <c r="M15" i="5"/>
  <c r="F3" i="13"/>
  <c r="F4" i="13"/>
  <c r="F5" i="13"/>
  <c r="F6" i="13"/>
  <c r="F7" i="13"/>
  <c r="F8" i="13"/>
  <c r="F10" i="13"/>
  <c r="F11" i="13"/>
  <c r="F12" i="13"/>
  <c r="F13" i="13"/>
  <c r="F14" i="13"/>
  <c r="F15" i="13"/>
  <c r="F16" i="13"/>
  <c r="F17" i="13"/>
  <c r="F18" i="13"/>
  <c r="F19" i="13"/>
  <c r="F20" i="13"/>
  <c r="E3" i="13"/>
  <c r="Z3" i="13" s="1"/>
  <c r="E4" i="13"/>
  <c r="E5" i="13"/>
  <c r="E6" i="13"/>
  <c r="E7" i="13"/>
  <c r="E8" i="13"/>
  <c r="E10" i="13"/>
  <c r="E11" i="13"/>
  <c r="E12" i="13"/>
  <c r="E13" i="13"/>
  <c r="E14" i="13"/>
  <c r="E15" i="13"/>
  <c r="E16" i="13"/>
  <c r="E17" i="13"/>
  <c r="E18" i="13"/>
  <c r="E19" i="13"/>
  <c r="E20" i="13"/>
  <c r="J29" i="52"/>
  <c r="I29" i="52"/>
  <c r="E29" i="52"/>
  <c r="E17" i="10" a="1"/>
  <c r="E17" i="10" s="1"/>
  <c r="AG17" i="10" s="1"/>
  <c r="F16" i="10" a="1"/>
  <c r="F16" i="10" s="1"/>
  <c r="AH16" i="10" s="1"/>
  <c r="F13" i="10" a="1"/>
  <c r="F13" i="10" s="1"/>
  <c r="AH13" i="10" s="1"/>
  <c r="F12" i="10" a="1"/>
  <c r="F12" i="10" s="1"/>
  <c r="AH12" i="10" s="1"/>
  <c r="F11" i="10" a="1"/>
  <c r="F11" i="10" s="1"/>
  <c r="AH11" i="10" s="1"/>
  <c r="F10" i="10" a="1"/>
  <c r="F10" i="10" s="1"/>
  <c r="AH10" i="10" s="1"/>
  <c r="F9" i="10" a="1"/>
  <c r="F9" i="10" s="1"/>
  <c r="AH9" i="10" s="1"/>
  <c r="F8" i="10" a="1"/>
  <c r="F8" i="10" s="1"/>
  <c r="AH8" i="10" s="1"/>
  <c r="E6" i="10" a="1"/>
  <c r="E6" i="10" s="1"/>
  <c r="AG6" i="10" s="1"/>
  <c r="E4" i="10" a="1"/>
  <c r="E4" i="10" s="1"/>
  <c r="AG4" i="10" s="1"/>
  <c r="L20" i="13"/>
  <c r="AA20" i="13" s="1"/>
  <c r="L19" i="13"/>
  <c r="N19" i="13" s="1"/>
  <c r="L18" i="13"/>
  <c r="M18" i="13" s="1"/>
  <c r="L17" i="13"/>
  <c r="M17" i="13" s="1"/>
  <c r="N17" i="13"/>
  <c r="L16" i="13"/>
  <c r="N16" i="13" s="1"/>
  <c r="L4" i="10"/>
  <c r="L21" i="10"/>
  <c r="M21" i="10" s="1"/>
  <c r="L20" i="10"/>
  <c r="M20" i="10" s="1"/>
  <c r="L19" i="10"/>
  <c r="N19" i="10" s="1"/>
  <c r="L18" i="10"/>
  <c r="M18" i="10" s="1"/>
  <c r="L17" i="10"/>
  <c r="M17" i="10" s="1"/>
  <c r="L16" i="10"/>
  <c r="M16" i="10" s="1"/>
  <c r="L23" i="7"/>
  <c r="M23" i="7" s="1"/>
  <c r="L22" i="7"/>
  <c r="N22" i="7" s="1"/>
  <c r="M22" i="7"/>
  <c r="L21" i="7"/>
  <c r="M21" i="7" s="1"/>
  <c r="L20" i="7"/>
  <c r="AB20" i="7" s="1"/>
  <c r="L19" i="7"/>
  <c r="M19" i="7" s="1"/>
  <c r="L18" i="7"/>
  <c r="O18" i="7" s="1"/>
  <c r="L17" i="7"/>
  <c r="M17" i="7" s="1"/>
  <c r="L16" i="7"/>
  <c r="O16" i="7" s="1"/>
  <c r="D22" i="8"/>
  <c r="L22" i="8"/>
  <c r="AB22" i="8" s="1"/>
  <c r="D21" i="8"/>
  <c r="L21" i="8"/>
  <c r="M21" i="8" s="1"/>
  <c r="D20" i="8"/>
  <c r="L20" i="8"/>
  <c r="N20" i="8" s="1"/>
  <c r="D19" i="8"/>
  <c r="L19" i="8"/>
  <c r="M19" i="8" s="1"/>
  <c r="D18" i="8"/>
  <c r="L18" i="8"/>
  <c r="AA18" i="8" s="1"/>
  <c r="D17" i="8"/>
  <c r="L17" i="8"/>
  <c r="M17" i="8" s="1"/>
  <c r="B40" i="49"/>
  <c r="F8" i="8" s="1" a="1"/>
  <c r="F8" i="8" s="1"/>
  <c r="B38" i="49"/>
  <c r="B36" i="49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AB12" i="18"/>
  <c r="AD12" i="18"/>
  <c r="AE12" i="18"/>
  <c r="AB13" i="18"/>
  <c r="AD13" i="18"/>
  <c r="AE13" i="18"/>
  <c r="AB14" i="18"/>
  <c r="AD14" i="18"/>
  <c r="AE14" i="18"/>
  <c r="AB15" i="18"/>
  <c r="AD15" i="18"/>
  <c r="AE15" i="18"/>
  <c r="AB16" i="18"/>
  <c r="AD16" i="18"/>
  <c r="AE16" i="18"/>
  <c r="AB17" i="18"/>
  <c r="AD17" i="18"/>
  <c r="AE17" i="18"/>
  <c r="AB18" i="18"/>
  <c r="AD18" i="18"/>
  <c r="AE18" i="18"/>
  <c r="AB19" i="18"/>
  <c r="AD19" i="18"/>
  <c r="AE19" i="18"/>
  <c r="AB20" i="18"/>
  <c r="AD20" i="18"/>
  <c r="AE20" i="18"/>
  <c r="AB21" i="18"/>
  <c r="AD21" i="18"/>
  <c r="AE21" i="18"/>
  <c r="AB22" i="18"/>
  <c r="AD22" i="18"/>
  <c r="AE22" i="18"/>
  <c r="AB23" i="18"/>
  <c r="AD23" i="18"/>
  <c r="AE23" i="18"/>
  <c r="AB24" i="18"/>
  <c r="AD24" i="18"/>
  <c r="AE24" i="18"/>
  <c r="AB25" i="18"/>
  <c r="AD25" i="18"/>
  <c r="AE25" i="18"/>
  <c r="AB26" i="18"/>
  <c r="AD26" i="18"/>
  <c r="AE26" i="18"/>
  <c r="AB27" i="18"/>
  <c r="AD27" i="18"/>
  <c r="AE27" i="18"/>
  <c r="AB28" i="18"/>
  <c r="AD28" i="18"/>
  <c r="AE28" i="18"/>
  <c r="AB29" i="18"/>
  <c r="AD29" i="18"/>
  <c r="AE29" i="18"/>
  <c r="AB30" i="18"/>
  <c r="AD30" i="18"/>
  <c r="AE30" i="18"/>
  <c r="AB31" i="18"/>
  <c r="AD31" i="18"/>
  <c r="AE31" i="18"/>
  <c r="AB32" i="18"/>
  <c r="AD32" i="18"/>
  <c r="AE32" i="18"/>
  <c r="AB33" i="18"/>
  <c r="AD33" i="18"/>
  <c r="AE33" i="18"/>
  <c r="AB34" i="18"/>
  <c r="AD34" i="18"/>
  <c r="AE34" i="18"/>
  <c r="AB35" i="18"/>
  <c r="AD35" i="18"/>
  <c r="AE35" i="18"/>
  <c r="AB36" i="18"/>
  <c r="AD36" i="18"/>
  <c r="AE36" i="18"/>
  <c r="G11" i="18"/>
  <c r="L11" i="18"/>
  <c r="AD11" i="18" s="1"/>
  <c r="G10" i="18"/>
  <c r="L10" i="18"/>
  <c r="M10" i="18" s="1"/>
  <c r="G9" i="18"/>
  <c r="L9" i="18"/>
  <c r="M9" i="18" s="1"/>
  <c r="G8" i="18"/>
  <c r="L8" i="18"/>
  <c r="AA8" i="18" s="1"/>
  <c r="G7" i="18"/>
  <c r="L7" i="18"/>
  <c r="N7" i="18" s="1"/>
  <c r="G6" i="18"/>
  <c r="L6" i="18"/>
  <c r="M6" i="18" s="1"/>
  <c r="AB12" i="16"/>
  <c r="AD12" i="16"/>
  <c r="AE12" i="16"/>
  <c r="AB13" i="16"/>
  <c r="AD13" i="16"/>
  <c r="AE13" i="16"/>
  <c r="AB14" i="16"/>
  <c r="AD14" i="16"/>
  <c r="AE14" i="16"/>
  <c r="AB15" i="16"/>
  <c r="AD15" i="16"/>
  <c r="AE15" i="16"/>
  <c r="AB16" i="16"/>
  <c r="AD16" i="16"/>
  <c r="AE16" i="16"/>
  <c r="AB17" i="16"/>
  <c r="AD17" i="16"/>
  <c r="AE17" i="16"/>
  <c r="AB18" i="16"/>
  <c r="AD18" i="16"/>
  <c r="AE18" i="16"/>
  <c r="AB19" i="16"/>
  <c r="AD19" i="16"/>
  <c r="AE19" i="16"/>
  <c r="AB20" i="16"/>
  <c r="AD20" i="16"/>
  <c r="AE20" i="16"/>
  <c r="AB21" i="16"/>
  <c r="AD21" i="16"/>
  <c r="AE21" i="16"/>
  <c r="AB22" i="16"/>
  <c r="AD22" i="16"/>
  <c r="AE22" i="16"/>
  <c r="AB23" i="16"/>
  <c r="AD23" i="16"/>
  <c r="AE23" i="16"/>
  <c r="AB24" i="16"/>
  <c r="AD24" i="16"/>
  <c r="AE24" i="16"/>
  <c r="AB25" i="16"/>
  <c r="AD25" i="16"/>
  <c r="AE25" i="16"/>
  <c r="AB26" i="16"/>
  <c r="AD26" i="16"/>
  <c r="AE26" i="16"/>
  <c r="G11" i="16"/>
  <c r="L11" i="16"/>
  <c r="AE11" i="16" s="1"/>
  <c r="G10" i="16"/>
  <c r="L10" i="16"/>
  <c r="M10" i="16" s="1"/>
  <c r="G9" i="16"/>
  <c r="L9" i="16"/>
  <c r="M9" i="16" s="1"/>
  <c r="G8" i="16"/>
  <c r="L8" i="16"/>
  <c r="AA8" i="16" s="1"/>
  <c r="G7" i="16"/>
  <c r="L7" i="16"/>
  <c r="O7" i="16" s="1"/>
  <c r="AB38" i="15"/>
  <c r="AD38" i="15"/>
  <c r="AE38" i="15"/>
  <c r="AB39" i="15"/>
  <c r="AD39" i="15"/>
  <c r="AE39" i="15"/>
  <c r="AB40" i="15"/>
  <c r="AD40" i="15"/>
  <c r="AE40" i="15"/>
  <c r="AB41" i="15"/>
  <c r="AD41" i="15"/>
  <c r="AE41" i="15"/>
  <c r="AB42" i="15"/>
  <c r="AD42" i="15"/>
  <c r="AE42" i="15"/>
  <c r="AB43" i="15"/>
  <c r="AD43" i="15"/>
  <c r="AE43" i="15"/>
  <c r="AB44" i="15"/>
  <c r="AD44" i="15"/>
  <c r="AE44" i="15"/>
  <c r="AB45" i="15"/>
  <c r="AD45" i="15"/>
  <c r="AE45" i="15"/>
  <c r="AB46" i="15"/>
  <c r="AD46" i="15"/>
  <c r="AE46" i="15"/>
  <c r="AB47" i="15"/>
  <c r="AD47" i="15"/>
  <c r="AE47" i="15"/>
  <c r="L11" i="15"/>
  <c r="AA11" i="15" s="1"/>
  <c r="L10" i="15"/>
  <c r="O10" i="15" s="1"/>
  <c r="L9" i="15"/>
  <c r="AA9" i="15" s="1"/>
  <c r="L8" i="15"/>
  <c r="O8" i="15" s="1"/>
  <c r="AB31" i="13"/>
  <c r="AD31" i="13"/>
  <c r="AE31" i="13"/>
  <c r="AB32" i="13"/>
  <c r="AD32" i="13"/>
  <c r="AE32" i="13"/>
  <c r="AB33" i="13"/>
  <c r="AD33" i="13"/>
  <c r="AE33" i="13"/>
  <c r="AB34" i="13"/>
  <c r="AD34" i="13"/>
  <c r="AE34" i="13"/>
  <c r="AB35" i="13"/>
  <c r="AD35" i="13"/>
  <c r="AE35" i="13"/>
  <c r="AB36" i="13"/>
  <c r="AD36" i="13"/>
  <c r="AE36" i="13"/>
  <c r="AB37" i="13"/>
  <c r="AD37" i="13"/>
  <c r="AE37" i="13"/>
  <c r="AB38" i="13"/>
  <c r="AD38" i="13"/>
  <c r="AE38" i="13"/>
  <c r="AB39" i="13"/>
  <c r="AD39" i="13"/>
  <c r="AE39" i="13"/>
  <c r="AB40" i="13"/>
  <c r="AD40" i="13"/>
  <c r="AE40" i="13"/>
  <c r="AB41" i="13"/>
  <c r="AD41" i="13"/>
  <c r="AE41" i="13"/>
  <c r="AB42" i="13"/>
  <c r="AD42" i="13"/>
  <c r="AE42" i="13"/>
  <c r="AB43" i="13"/>
  <c r="AD43" i="13"/>
  <c r="AE43" i="13"/>
  <c r="AB44" i="13"/>
  <c r="AD44" i="13"/>
  <c r="AE44" i="13"/>
  <c r="L15" i="13"/>
  <c r="AA15" i="13" s="1"/>
  <c r="L14" i="13"/>
  <c r="O14" i="13" s="1"/>
  <c r="AB20" i="12"/>
  <c r="AD20" i="12"/>
  <c r="AE20" i="12"/>
  <c r="AB21" i="12"/>
  <c r="AD21" i="12"/>
  <c r="AE21" i="12"/>
  <c r="AB22" i="12"/>
  <c r="AD22" i="12"/>
  <c r="AE22" i="12"/>
  <c r="AB23" i="12"/>
  <c r="AD23" i="12"/>
  <c r="AE23" i="12"/>
  <c r="AB24" i="12"/>
  <c r="AD24" i="12"/>
  <c r="AE24" i="12"/>
  <c r="AB25" i="12"/>
  <c r="AD25" i="12"/>
  <c r="AE25" i="12"/>
  <c r="AB26" i="12"/>
  <c r="AD26" i="12"/>
  <c r="AE26" i="12"/>
  <c r="AB27" i="12"/>
  <c r="AD27" i="12"/>
  <c r="AE27" i="12"/>
  <c r="AB28" i="12"/>
  <c r="AD28" i="12"/>
  <c r="AE28" i="12"/>
  <c r="AB29" i="12"/>
  <c r="AD29" i="12"/>
  <c r="AE29" i="12"/>
  <c r="AB30" i="12"/>
  <c r="AD30" i="12"/>
  <c r="AE30" i="12"/>
  <c r="AB31" i="12"/>
  <c r="AD31" i="12"/>
  <c r="AE31" i="12"/>
  <c r="AB32" i="12"/>
  <c r="AD32" i="12"/>
  <c r="AE32" i="12"/>
  <c r="AB33" i="12"/>
  <c r="AD33" i="12"/>
  <c r="AE33" i="12"/>
  <c r="AB34" i="12"/>
  <c r="AD34" i="12"/>
  <c r="AE34" i="12"/>
  <c r="AB35" i="12"/>
  <c r="AD35" i="12"/>
  <c r="AE35" i="12"/>
  <c r="AB36" i="12"/>
  <c r="AD36" i="12"/>
  <c r="AE36" i="12"/>
  <c r="AB37" i="12"/>
  <c r="AD37" i="12"/>
  <c r="AE37" i="12"/>
  <c r="AB38" i="12"/>
  <c r="AD38" i="12"/>
  <c r="AE38" i="12"/>
  <c r="AB39" i="12"/>
  <c r="AD39" i="12"/>
  <c r="AE39" i="12"/>
  <c r="AB40" i="12"/>
  <c r="AD40" i="12"/>
  <c r="AE40" i="12"/>
  <c r="AB41" i="12"/>
  <c r="AD41" i="12"/>
  <c r="AE41" i="12"/>
  <c r="AB42" i="12"/>
  <c r="AD42" i="12"/>
  <c r="AE42" i="12"/>
  <c r="AB43" i="12"/>
  <c r="AD43" i="12"/>
  <c r="AE43" i="12"/>
  <c r="AB44" i="12"/>
  <c r="AD44" i="12"/>
  <c r="AE44" i="12"/>
  <c r="AB45" i="12"/>
  <c r="AD45" i="12"/>
  <c r="AE45" i="12"/>
  <c r="AB46" i="12"/>
  <c r="AD46" i="12"/>
  <c r="AE46" i="12"/>
  <c r="AB47" i="12"/>
  <c r="AD47" i="12"/>
  <c r="AE47" i="12"/>
  <c r="AB48" i="12"/>
  <c r="AD48" i="12"/>
  <c r="AE48" i="12"/>
  <c r="AB49" i="12"/>
  <c r="AD49" i="12"/>
  <c r="AE49" i="12"/>
  <c r="AB50" i="12"/>
  <c r="AD50" i="12"/>
  <c r="AE50" i="12"/>
  <c r="AB51" i="12"/>
  <c r="AD51" i="12"/>
  <c r="AE51" i="12"/>
  <c r="AB52" i="12"/>
  <c r="AD52" i="12"/>
  <c r="AE52" i="12"/>
  <c r="AB53" i="12"/>
  <c r="AD53" i="12"/>
  <c r="AE53" i="12"/>
  <c r="G19" i="12"/>
  <c r="L19" i="12"/>
  <c r="N19" i="12" s="1"/>
  <c r="G18" i="12"/>
  <c r="L18" i="12"/>
  <c r="R18" i="12" s="1"/>
  <c r="G17" i="12"/>
  <c r="L17" i="12"/>
  <c r="O17" i="12" s="1"/>
  <c r="G16" i="12"/>
  <c r="L16" i="12"/>
  <c r="N16" i="12" s="1"/>
  <c r="G15" i="12"/>
  <c r="L15" i="12"/>
  <c r="M15" i="12" s="1"/>
  <c r="G14" i="12"/>
  <c r="L14" i="12"/>
  <c r="M14" i="12" s="1"/>
  <c r="G13" i="12"/>
  <c r="L13" i="12"/>
  <c r="M13" i="12" s="1"/>
  <c r="AB16" i="11"/>
  <c r="AD16" i="11"/>
  <c r="AE16" i="11"/>
  <c r="AB17" i="11"/>
  <c r="AD17" i="11"/>
  <c r="AE17" i="11"/>
  <c r="AB18" i="11"/>
  <c r="AD18" i="11"/>
  <c r="AE18" i="11"/>
  <c r="AB19" i="11"/>
  <c r="AD19" i="11"/>
  <c r="AE19" i="11"/>
  <c r="AB20" i="11"/>
  <c r="AD20" i="11"/>
  <c r="AE20" i="11"/>
  <c r="AB21" i="11"/>
  <c r="AD21" i="11"/>
  <c r="AE21" i="11"/>
  <c r="AB22" i="11"/>
  <c r="AD22" i="11"/>
  <c r="AE22" i="11"/>
  <c r="AB23" i="11"/>
  <c r="AD23" i="11"/>
  <c r="AE23" i="11"/>
  <c r="AB24" i="11"/>
  <c r="AD24" i="11"/>
  <c r="AE24" i="11"/>
  <c r="AB25" i="11"/>
  <c r="AD25" i="11"/>
  <c r="AE25" i="11"/>
  <c r="AB26" i="11"/>
  <c r="AD26" i="11"/>
  <c r="AE26" i="11"/>
  <c r="AB27" i="11"/>
  <c r="AD27" i="11"/>
  <c r="AE27" i="11"/>
  <c r="AB28" i="11"/>
  <c r="AD28" i="11"/>
  <c r="AE28" i="11"/>
  <c r="AB29" i="11"/>
  <c r="AD29" i="11"/>
  <c r="AE29" i="11"/>
  <c r="AB30" i="11"/>
  <c r="AD30" i="11"/>
  <c r="AE30" i="11"/>
  <c r="AB31" i="11"/>
  <c r="AD31" i="11"/>
  <c r="AE31" i="11"/>
  <c r="AB32" i="11"/>
  <c r="AD32" i="11"/>
  <c r="AE32" i="11"/>
  <c r="AB33" i="11"/>
  <c r="AD33" i="11"/>
  <c r="AE33" i="11"/>
  <c r="AB34" i="11"/>
  <c r="AD34" i="11"/>
  <c r="AE34" i="11"/>
  <c r="AB35" i="11"/>
  <c r="AD35" i="11"/>
  <c r="AE35" i="11"/>
  <c r="AB36" i="11"/>
  <c r="AD36" i="11"/>
  <c r="AE36" i="11"/>
  <c r="AB37" i="11"/>
  <c r="AD37" i="11"/>
  <c r="AE37" i="11"/>
  <c r="AB38" i="11"/>
  <c r="AD38" i="11"/>
  <c r="AE38" i="11"/>
  <c r="AB39" i="11"/>
  <c r="AD39" i="11"/>
  <c r="AE39" i="11"/>
  <c r="AB40" i="11"/>
  <c r="AD40" i="11"/>
  <c r="AE40" i="11"/>
  <c r="AB41" i="11"/>
  <c r="AD41" i="11"/>
  <c r="AE41" i="11"/>
  <c r="AB42" i="11"/>
  <c r="AD42" i="11"/>
  <c r="AE42" i="11"/>
  <c r="AB43" i="11"/>
  <c r="AD43" i="11"/>
  <c r="AE43" i="11"/>
  <c r="AB44" i="11"/>
  <c r="AD44" i="11"/>
  <c r="AE44" i="11"/>
  <c r="AB45" i="11"/>
  <c r="AD45" i="11"/>
  <c r="AE45" i="11"/>
  <c r="AB46" i="11"/>
  <c r="AD46" i="11"/>
  <c r="AE46" i="11"/>
  <c r="AB47" i="11"/>
  <c r="AD47" i="11"/>
  <c r="AE47" i="11"/>
  <c r="AB48" i="11"/>
  <c r="AD48" i="11"/>
  <c r="AE48" i="11"/>
  <c r="AB49" i="11"/>
  <c r="AD49" i="11"/>
  <c r="AE49" i="11"/>
  <c r="AB50" i="11"/>
  <c r="AD50" i="11"/>
  <c r="AE50" i="11"/>
  <c r="AB51" i="11"/>
  <c r="AD51" i="11"/>
  <c r="AE51" i="11"/>
  <c r="AB52" i="11"/>
  <c r="AD52" i="11"/>
  <c r="AE52" i="11"/>
  <c r="AB53" i="11"/>
  <c r="AD53" i="11"/>
  <c r="AE53" i="11"/>
  <c r="AB54" i="11"/>
  <c r="AD54" i="11"/>
  <c r="AE54" i="11"/>
  <c r="AB55" i="11"/>
  <c r="AD55" i="11"/>
  <c r="AE55" i="11"/>
  <c r="G15" i="11"/>
  <c r="L15" i="11"/>
  <c r="AA15" i="11" s="1"/>
  <c r="G14" i="11"/>
  <c r="L14" i="11"/>
  <c r="R14" i="11" s="1"/>
  <c r="G13" i="11"/>
  <c r="L13" i="11"/>
  <c r="M13" i="11" s="1"/>
  <c r="G12" i="11"/>
  <c r="L12" i="11"/>
  <c r="M12" i="11" s="1"/>
  <c r="AB40" i="10"/>
  <c r="AD40" i="10"/>
  <c r="AE40" i="10"/>
  <c r="AB41" i="10"/>
  <c r="AD41" i="10"/>
  <c r="AE41" i="10"/>
  <c r="AB42" i="10"/>
  <c r="AD42" i="10"/>
  <c r="AE42" i="10"/>
  <c r="AB43" i="10"/>
  <c r="AD43" i="10"/>
  <c r="AE43" i="10"/>
  <c r="AB44" i="10"/>
  <c r="AD44" i="10"/>
  <c r="AE44" i="10"/>
  <c r="AB45" i="10"/>
  <c r="AD45" i="10"/>
  <c r="AE45" i="10"/>
  <c r="AB46" i="10"/>
  <c r="AD46" i="10"/>
  <c r="AE46" i="10"/>
  <c r="AB47" i="10"/>
  <c r="AD47" i="10"/>
  <c r="AE47" i="10"/>
  <c r="AB48" i="10"/>
  <c r="AD48" i="10"/>
  <c r="AE48" i="10"/>
  <c r="AB49" i="10"/>
  <c r="AD49" i="10"/>
  <c r="AE49" i="10"/>
  <c r="AB50" i="10"/>
  <c r="AD50" i="10"/>
  <c r="AE50" i="10"/>
  <c r="AB51" i="10"/>
  <c r="AD51" i="10"/>
  <c r="AE51" i="10"/>
  <c r="L15" i="10"/>
  <c r="AA15" i="10" s="1"/>
  <c r="L14" i="10"/>
  <c r="M14" i="10" s="1"/>
  <c r="AB28" i="7"/>
  <c r="AD28" i="7"/>
  <c r="AE28" i="7"/>
  <c r="AB29" i="7"/>
  <c r="AD29" i="7"/>
  <c r="AE29" i="7"/>
  <c r="AB30" i="7"/>
  <c r="AD30" i="7"/>
  <c r="AE30" i="7"/>
  <c r="AB31" i="7"/>
  <c r="AD31" i="7"/>
  <c r="AE31" i="7"/>
  <c r="AB32" i="7"/>
  <c r="AD32" i="7"/>
  <c r="AE32" i="7"/>
  <c r="AB33" i="7"/>
  <c r="AD33" i="7"/>
  <c r="AE33" i="7"/>
  <c r="AB34" i="7"/>
  <c r="AD34" i="7"/>
  <c r="AE34" i="7"/>
  <c r="AB35" i="7"/>
  <c r="AD35" i="7"/>
  <c r="AE35" i="7"/>
  <c r="L15" i="7"/>
  <c r="AA15" i="7" s="1"/>
  <c r="L14" i="7"/>
  <c r="O14" i="7" s="1"/>
  <c r="L13" i="7"/>
  <c r="N13" i="7" s="1"/>
  <c r="L12" i="7"/>
  <c r="M12" i="7" s="1"/>
  <c r="L11" i="7"/>
  <c r="L10" i="7"/>
  <c r="M10" i="7" s="1"/>
  <c r="L9" i="7"/>
  <c r="M9" i="7" s="1"/>
  <c r="L15" i="9"/>
  <c r="AA15" i="9" s="1"/>
  <c r="L14" i="9"/>
  <c r="L13" i="9"/>
  <c r="L12" i="9"/>
  <c r="M12" i="9" s="1"/>
  <c r="L11" i="9"/>
  <c r="L10" i="9"/>
  <c r="L9" i="9"/>
  <c r="N9" i="9" s="1"/>
  <c r="L8" i="9"/>
  <c r="N8" i="9" s="1"/>
  <c r="L7" i="9"/>
  <c r="M7" i="9" s="1"/>
  <c r="L15" i="3"/>
  <c r="M15" i="3" s="1"/>
  <c r="L14" i="3"/>
  <c r="M14" i="3" s="1"/>
  <c r="L13" i="3"/>
  <c r="M13" i="3" s="1"/>
  <c r="L12" i="3"/>
  <c r="M12" i="3" s="1"/>
  <c r="L11" i="3"/>
  <c r="M11" i="3" s="1"/>
  <c r="L10" i="3"/>
  <c r="O10" i="3" s="1"/>
  <c r="L9" i="3"/>
  <c r="M9" i="3" s="1"/>
  <c r="L8" i="3"/>
  <c r="L15" i="19"/>
  <c r="N15" i="19" s="1"/>
  <c r="L14" i="19"/>
  <c r="AD14" i="19" s="1"/>
  <c r="L13" i="19"/>
  <c r="AD13" i="19" s="1"/>
  <c r="L15" i="17"/>
  <c r="M15" i="17" s="1"/>
  <c r="L14" i="17"/>
  <c r="M14" i="17" s="1"/>
  <c r="L13" i="17"/>
  <c r="N13" i="17" s="1"/>
  <c r="L15" i="14"/>
  <c r="AA15" i="14" s="1"/>
  <c r="L14" i="14"/>
  <c r="N14" i="14" s="1"/>
  <c r="L16" i="8"/>
  <c r="N16" i="8" s="1"/>
  <c r="AB39" i="9"/>
  <c r="AD39" i="9"/>
  <c r="AE39" i="9"/>
  <c r="AB40" i="9"/>
  <c r="AD40" i="9"/>
  <c r="AE40" i="9"/>
  <c r="AB41" i="9"/>
  <c r="AD41" i="9"/>
  <c r="AE41" i="9"/>
  <c r="AB42" i="9"/>
  <c r="AD42" i="9"/>
  <c r="AE42" i="9"/>
  <c r="AB31" i="3"/>
  <c r="AD31" i="3"/>
  <c r="AE31" i="3"/>
  <c r="AB32" i="3"/>
  <c r="AD32" i="3"/>
  <c r="AE32" i="3"/>
  <c r="AB33" i="3"/>
  <c r="AD33" i="3"/>
  <c r="AE33" i="3"/>
  <c r="AB34" i="3"/>
  <c r="AD34" i="3"/>
  <c r="AE34" i="3"/>
  <c r="AB35" i="3"/>
  <c r="AD35" i="3"/>
  <c r="AE35" i="3"/>
  <c r="AB36" i="3"/>
  <c r="AD36" i="3"/>
  <c r="AE36" i="3"/>
  <c r="AB37" i="3"/>
  <c r="AD37" i="3"/>
  <c r="AE37" i="3"/>
  <c r="AB38" i="3"/>
  <c r="AD38" i="3"/>
  <c r="AE38" i="3"/>
  <c r="AB39" i="3"/>
  <c r="AD39" i="3"/>
  <c r="AE39" i="3"/>
  <c r="AB40" i="3"/>
  <c r="AD40" i="3"/>
  <c r="AE40" i="3"/>
  <c r="AB41" i="3"/>
  <c r="AD41" i="3"/>
  <c r="AE41" i="3"/>
  <c r="AB42" i="3"/>
  <c r="AD42" i="3"/>
  <c r="AE42" i="3"/>
  <c r="AB43" i="3"/>
  <c r="AD43" i="3"/>
  <c r="AE43" i="3"/>
  <c r="AB44" i="3"/>
  <c r="AD44" i="3"/>
  <c r="AE44" i="3"/>
  <c r="AB45" i="3"/>
  <c r="AD45" i="3"/>
  <c r="AE45" i="3"/>
  <c r="AB16" i="17"/>
  <c r="AD16" i="17"/>
  <c r="AE16" i="17"/>
  <c r="AB17" i="17"/>
  <c r="AD17" i="17"/>
  <c r="AE17" i="17"/>
  <c r="AB18" i="17"/>
  <c r="AD18" i="17"/>
  <c r="AE18" i="17"/>
  <c r="AB19" i="17"/>
  <c r="AD19" i="17"/>
  <c r="AE19" i="17"/>
  <c r="AB20" i="17"/>
  <c r="AD20" i="17"/>
  <c r="AE20" i="17"/>
  <c r="AB21" i="17"/>
  <c r="AD21" i="17"/>
  <c r="AE21" i="17"/>
  <c r="AB22" i="17"/>
  <c r="AD22" i="17"/>
  <c r="AE22" i="17"/>
  <c r="AB23" i="17"/>
  <c r="AD23" i="17"/>
  <c r="AE23" i="17"/>
  <c r="AB24" i="17"/>
  <c r="AD24" i="17"/>
  <c r="AE24" i="17"/>
  <c r="AB25" i="17"/>
  <c r="AD25" i="17"/>
  <c r="AE25" i="17"/>
  <c r="AB26" i="17"/>
  <c r="AD26" i="17"/>
  <c r="AE26" i="17"/>
  <c r="AB27" i="17"/>
  <c r="AD27" i="17"/>
  <c r="AE27" i="17"/>
  <c r="AB28" i="17"/>
  <c r="AD28" i="17"/>
  <c r="AE28" i="17"/>
  <c r="AB29" i="17"/>
  <c r="AD29" i="17"/>
  <c r="AE29" i="17"/>
  <c r="AB30" i="17"/>
  <c r="AD30" i="17"/>
  <c r="AE30" i="17"/>
  <c r="AB31" i="17"/>
  <c r="AD31" i="17"/>
  <c r="AE31" i="17"/>
  <c r="AB32" i="17"/>
  <c r="AD32" i="17"/>
  <c r="AE32" i="17"/>
  <c r="AB33" i="17"/>
  <c r="AD33" i="17"/>
  <c r="AE33" i="17"/>
  <c r="AB34" i="17"/>
  <c r="AD34" i="17"/>
  <c r="AE34" i="17"/>
  <c r="AB35" i="17"/>
  <c r="AD35" i="17"/>
  <c r="AE35" i="17"/>
  <c r="AB36" i="17"/>
  <c r="AD36" i="17"/>
  <c r="AE36" i="17"/>
  <c r="AB37" i="17"/>
  <c r="AD37" i="17"/>
  <c r="AE37" i="17"/>
  <c r="AB38" i="17"/>
  <c r="AD38" i="17"/>
  <c r="AE38" i="17"/>
  <c r="AB39" i="17"/>
  <c r="AD39" i="17"/>
  <c r="AE39" i="17"/>
  <c r="AB40" i="17"/>
  <c r="AD40" i="17"/>
  <c r="AE40" i="17"/>
  <c r="AB41" i="17"/>
  <c r="AD41" i="17"/>
  <c r="AE41" i="17"/>
  <c r="AB42" i="17"/>
  <c r="AD42" i="17"/>
  <c r="AE42" i="17"/>
  <c r="AB43" i="17"/>
  <c r="AD43" i="17"/>
  <c r="AE43" i="17"/>
  <c r="AB44" i="17"/>
  <c r="AD44" i="17"/>
  <c r="AE44" i="17"/>
  <c r="AB45" i="17"/>
  <c r="AD45" i="17"/>
  <c r="AE45" i="17"/>
  <c r="AB46" i="17"/>
  <c r="AD46" i="17"/>
  <c r="AE46" i="17"/>
  <c r="AB47" i="17"/>
  <c r="AD47" i="17"/>
  <c r="AE47" i="17"/>
  <c r="AB48" i="17"/>
  <c r="AD48" i="17"/>
  <c r="AE48" i="17"/>
  <c r="AB49" i="17"/>
  <c r="AD49" i="17"/>
  <c r="AE49" i="17"/>
  <c r="AB50" i="17"/>
  <c r="AD50" i="17"/>
  <c r="AE50" i="17"/>
  <c r="AB51" i="17"/>
  <c r="AD51" i="17"/>
  <c r="AE51" i="17"/>
  <c r="AB52" i="17"/>
  <c r="AD52" i="17"/>
  <c r="AE52" i="17"/>
  <c r="AB35" i="5"/>
  <c r="AD35" i="5"/>
  <c r="AE35" i="5"/>
  <c r="AB36" i="5"/>
  <c r="AD36" i="5"/>
  <c r="AE36" i="5"/>
  <c r="AB37" i="5"/>
  <c r="AD37" i="5"/>
  <c r="AE37" i="5"/>
  <c r="AB38" i="5"/>
  <c r="AD38" i="5"/>
  <c r="AE38" i="5"/>
  <c r="AB39" i="5"/>
  <c r="AD39" i="5"/>
  <c r="AE39" i="5"/>
  <c r="AB16" i="19"/>
  <c r="AD16" i="19"/>
  <c r="AE16" i="19"/>
  <c r="AB17" i="19"/>
  <c r="AD17" i="19"/>
  <c r="AE17" i="19"/>
  <c r="AB18" i="19"/>
  <c r="AD18" i="19"/>
  <c r="AE18" i="19"/>
  <c r="AB19" i="19"/>
  <c r="AD19" i="19"/>
  <c r="AE19" i="19"/>
  <c r="AB20" i="19"/>
  <c r="AD20" i="19"/>
  <c r="AE20" i="19"/>
  <c r="AB21" i="19"/>
  <c r="AD21" i="19"/>
  <c r="AE21" i="19"/>
  <c r="AB22" i="19"/>
  <c r="AD22" i="19"/>
  <c r="AE22" i="19"/>
  <c r="AB23" i="19"/>
  <c r="AD23" i="19"/>
  <c r="AE23" i="19"/>
  <c r="AB24" i="19"/>
  <c r="AD24" i="19"/>
  <c r="AE24" i="19"/>
  <c r="AB25" i="19"/>
  <c r="AD25" i="19"/>
  <c r="AE25" i="19"/>
  <c r="AB26" i="19"/>
  <c r="AD26" i="19"/>
  <c r="AE26" i="19"/>
  <c r="AB27" i="19"/>
  <c r="AD27" i="19"/>
  <c r="AE27" i="19"/>
  <c r="AB28" i="19"/>
  <c r="AD28" i="19"/>
  <c r="AE28" i="19"/>
  <c r="AB29" i="19"/>
  <c r="AD29" i="19"/>
  <c r="AE29" i="19"/>
  <c r="AB30" i="19"/>
  <c r="AD30" i="19"/>
  <c r="AE30" i="19"/>
  <c r="AB31" i="19"/>
  <c r="AD31" i="19"/>
  <c r="AE31" i="19"/>
  <c r="AB32" i="19"/>
  <c r="AD32" i="19"/>
  <c r="AE32" i="19"/>
  <c r="AB33" i="19"/>
  <c r="AD33" i="19"/>
  <c r="AE33" i="19"/>
  <c r="AB34" i="19"/>
  <c r="AD34" i="19"/>
  <c r="AE34" i="19"/>
  <c r="AB35" i="19"/>
  <c r="AD35" i="19"/>
  <c r="AE35" i="19"/>
  <c r="AB36" i="19"/>
  <c r="AD36" i="19"/>
  <c r="AE36" i="19"/>
  <c r="AB37" i="19"/>
  <c r="AD37" i="19"/>
  <c r="AE37" i="19"/>
  <c r="AB38" i="19"/>
  <c r="AD38" i="19"/>
  <c r="AE38" i="19"/>
  <c r="AB39" i="19"/>
  <c r="AD39" i="19"/>
  <c r="AE39" i="19"/>
  <c r="AB40" i="19"/>
  <c r="AD40" i="19"/>
  <c r="AE40" i="19"/>
  <c r="AB41" i="19"/>
  <c r="AD41" i="19"/>
  <c r="AE41" i="19"/>
  <c r="AB42" i="19"/>
  <c r="AD42" i="19"/>
  <c r="AE42" i="19"/>
  <c r="AB43" i="19"/>
  <c r="AD43" i="19"/>
  <c r="AE43" i="19"/>
  <c r="AB44" i="19"/>
  <c r="AD44" i="19"/>
  <c r="AE44" i="19"/>
  <c r="AB45" i="19"/>
  <c r="AD45" i="19"/>
  <c r="AE45" i="19"/>
  <c r="AB46" i="19"/>
  <c r="AD46" i="19"/>
  <c r="AE46" i="19"/>
  <c r="AB47" i="19"/>
  <c r="AD47" i="19"/>
  <c r="AE47" i="19"/>
  <c r="AB48" i="19"/>
  <c r="AD48" i="19"/>
  <c r="AE48" i="19"/>
  <c r="AB49" i="19"/>
  <c r="AD49" i="19"/>
  <c r="AE49" i="19"/>
  <c r="AB50" i="19"/>
  <c r="AD50" i="19"/>
  <c r="AE50" i="19"/>
  <c r="AB16" i="14"/>
  <c r="AD16" i="14"/>
  <c r="AE16" i="14"/>
  <c r="AB17" i="14"/>
  <c r="AD17" i="14"/>
  <c r="AE17" i="14"/>
  <c r="AB18" i="14"/>
  <c r="AD18" i="14"/>
  <c r="AE18" i="14"/>
  <c r="AB19" i="14"/>
  <c r="AD19" i="14"/>
  <c r="AE19" i="14"/>
  <c r="AB20" i="14"/>
  <c r="AD20" i="14"/>
  <c r="AE20" i="14"/>
  <c r="AB21" i="14"/>
  <c r="AD21" i="14"/>
  <c r="AE21" i="14"/>
  <c r="AB22" i="14"/>
  <c r="AD22" i="14"/>
  <c r="AE22" i="14"/>
  <c r="AB23" i="14"/>
  <c r="AD23" i="14"/>
  <c r="AE23" i="14"/>
  <c r="AB24" i="14"/>
  <c r="AD24" i="14"/>
  <c r="AE24" i="14"/>
  <c r="AB25" i="14"/>
  <c r="AD25" i="14"/>
  <c r="AE25" i="14"/>
  <c r="AB26" i="14"/>
  <c r="AD26" i="14"/>
  <c r="AE26" i="14"/>
  <c r="AB27" i="14"/>
  <c r="AD27" i="14"/>
  <c r="AE27" i="14"/>
  <c r="AB28" i="14"/>
  <c r="AD28" i="14"/>
  <c r="AE28" i="14"/>
  <c r="AB29" i="14"/>
  <c r="AD29" i="14"/>
  <c r="AE29" i="14"/>
  <c r="AB30" i="14"/>
  <c r="AD30" i="14"/>
  <c r="AE30" i="14"/>
  <c r="AB31" i="14"/>
  <c r="AD31" i="14"/>
  <c r="AE31" i="14"/>
  <c r="AB32" i="14"/>
  <c r="AD32" i="14"/>
  <c r="AE32" i="14"/>
  <c r="AB33" i="14"/>
  <c r="AD33" i="14"/>
  <c r="AE33" i="14"/>
  <c r="AB34" i="14"/>
  <c r="AD34" i="14"/>
  <c r="AE34" i="14"/>
  <c r="AB35" i="14"/>
  <c r="AD35" i="14"/>
  <c r="AE35" i="14"/>
  <c r="AB36" i="14"/>
  <c r="AD36" i="14"/>
  <c r="AE36" i="14"/>
  <c r="AB37" i="14"/>
  <c r="AD37" i="14"/>
  <c r="AE37" i="14"/>
  <c r="AB38" i="14"/>
  <c r="AD38" i="14"/>
  <c r="AE38" i="14"/>
  <c r="AB39" i="14"/>
  <c r="AD39" i="14"/>
  <c r="AE39" i="14"/>
  <c r="L4" i="8"/>
  <c r="L3" i="8"/>
  <c r="O3" i="8" s="1"/>
  <c r="L5" i="8"/>
  <c r="O5" i="8" s="1"/>
  <c r="L6" i="8"/>
  <c r="L7" i="8"/>
  <c r="O7" i="8" s="1"/>
  <c r="L8" i="8"/>
  <c r="L9" i="8"/>
  <c r="N9" i="8" s="1"/>
  <c r="L10" i="8"/>
  <c r="N10" i="8" s="1"/>
  <c r="L11" i="8"/>
  <c r="L12" i="8"/>
  <c r="N12" i="8" s="1"/>
  <c r="L13" i="8"/>
  <c r="N13" i="8" s="1"/>
  <c r="L14" i="8"/>
  <c r="M14" i="8" s="1"/>
  <c r="L15" i="8"/>
  <c r="N15" i="8" s="1"/>
  <c r="E4" i="5" l="1" a="1"/>
  <c r="E4" i="5" s="1"/>
  <c r="E15" i="5" a="1"/>
  <c r="E15" i="5" s="1"/>
  <c r="F19" i="5" a="1"/>
  <c r="F19" i="5" s="1"/>
  <c r="E3" i="3" a="1"/>
  <c r="E3" i="3" s="1"/>
  <c r="F7" i="3" a="1"/>
  <c r="F7" i="3" s="1"/>
  <c r="AG14" i="10"/>
  <c r="N22" i="5"/>
  <c r="AG15" i="10"/>
  <c r="E8" i="8" a="1"/>
  <c r="E8" i="8" s="1"/>
  <c r="F4" i="10" a="1"/>
  <c r="F4" i="10" s="1"/>
  <c r="AH4" i="10" s="1"/>
  <c r="F17" i="10" a="1"/>
  <c r="F17" i="10" s="1"/>
  <c r="F6" i="10" a="1"/>
  <c r="F6" i="10" s="1"/>
  <c r="AH6" i="10" s="1"/>
  <c r="F5" i="10" a="1"/>
  <c r="F5" i="10" s="1"/>
  <c r="AH5" i="10" s="1"/>
  <c r="F16" i="3" a="1"/>
  <c r="F16" i="3" s="1"/>
  <c r="E7" i="10" a="1"/>
  <c r="E7" i="10" s="1"/>
  <c r="AG7" i="10" s="1"/>
  <c r="F7" i="10" a="1"/>
  <c r="F7" i="10" s="1"/>
  <c r="AH7" i="10" s="1"/>
  <c r="F3" i="10" a="1"/>
  <c r="F3" i="10" s="1"/>
  <c r="AH3" i="10" s="1"/>
  <c r="E3" i="10" a="1"/>
  <c r="E3" i="10" s="1"/>
  <c r="AG3" i="10" s="1"/>
  <c r="F14" i="7" a="1"/>
  <c r="F14" i="7" s="1"/>
  <c r="E13" i="9" a="1"/>
  <c r="E13" i="9" s="1"/>
  <c r="E25" i="3" a="1"/>
  <c r="E25" i="3" s="1"/>
  <c r="E14" i="3" a="1"/>
  <c r="E14" i="3" s="1"/>
  <c r="F6" i="9" a="1"/>
  <c r="F6" i="9" s="1"/>
  <c r="F18" i="3" a="1"/>
  <c r="F18" i="3" s="1"/>
  <c r="F18" i="10" a="1"/>
  <c r="F18" i="10" s="1"/>
  <c r="AB25" i="5"/>
  <c r="M25" i="5"/>
  <c r="E19" i="8" a="1"/>
  <c r="E19" i="8" s="1"/>
  <c r="Q19" i="8" s="1"/>
  <c r="E7" i="5" a="1"/>
  <c r="E7" i="5" s="1"/>
  <c r="Q7" i="5" s="1"/>
  <c r="E18" i="5" a="1"/>
  <c r="E18" i="5" s="1"/>
  <c r="Q18" i="5" s="1"/>
  <c r="E6" i="3" a="1"/>
  <c r="E6" i="3" s="1"/>
  <c r="E17" i="3" a="1"/>
  <c r="E17" i="3" s="1"/>
  <c r="Q17" i="3" s="1"/>
  <c r="E5" i="9" a="1"/>
  <c r="E5" i="9" s="1"/>
  <c r="E16" i="9" a="1"/>
  <c r="E16" i="9" s="1"/>
  <c r="E4" i="7" a="1"/>
  <c r="E4" i="7" s="1"/>
  <c r="E15" i="7" a="1"/>
  <c r="E15" i="7" s="1"/>
  <c r="Q15" i="7" s="1"/>
  <c r="F7" i="5" a="1"/>
  <c r="F7" i="5" s="1"/>
  <c r="R7" i="5" s="1"/>
  <c r="F6" i="3" a="1"/>
  <c r="F6" i="3" s="1"/>
  <c r="F17" i="3" a="1"/>
  <c r="F17" i="3" s="1"/>
  <c r="R17" i="3" s="1"/>
  <c r="F5" i="9" a="1"/>
  <c r="F5" i="9" s="1"/>
  <c r="F16" i="9" a="1"/>
  <c r="F16" i="9" s="1"/>
  <c r="R16" i="9" s="1"/>
  <c r="F4" i="7" a="1"/>
  <c r="F4" i="7" s="1"/>
  <c r="F15" i="7" a="1"/>
  <c r="F15" i="7" s="1"/>
  <c r="E18" i="10" a="1"/>
  <c r="E18" i="10" s="1"/>
  <c r="AG18" i="10" s="1"/>
  <c r="E9" i="8" a="1"/>
  <c r="E9" i="8" s="1"/>
  <c r="E8" i="5" a="1"/>
  <c r="E8" i="5" s="1"/>
  <c r="Q8" i="5" s="1"/>
  <c r="E7" i="3" a="1"/>
  <c r="E7" i="3" s="1"/>
  <c r="E6" i="9" a="1"/>
  <c r="E6" i="9" s="1"/>
  <c r="E5" i="7" a="1"/>
  <c r="E5" i="7" s="1"/>
  <c r="E16" i="7" a="1"/>
  <c r="E16" i="7" s="1"/>
  <c r="Q16" i="7" s="1"/>
  <c r="F7" i="9" a="1"/>
  <c r="F7" i="9" s="1"/>
  <c r="F18" i="9" a="1"/>
  <c r="F18" i="9" s="1"/>
  <c r="R18" i="9" s="1"/>
  <c r="F6" i="7" a="1"/>
  <c r="F6" i="7" s="1"/>
  <c r="F17" i="7" a="1"/>
  <c r="F17" i="7" s="1"/>
  <c r="R17" i="7" s="1"/>
  <c r="E9" i="10" a="1"/>
  <c r="E9" i="10" s="1"/>
  <c r="AG9" i="10" s="1"/>
  <c r="E11" i="8" a="1"/>
  <c r="E11" i="8" s="1"/>
  <c r="Q11" i="8" s="1"/>
  <c r="E22" i="8" a="1"/>
  <c r="E22" i="8" s="1"/>
  <c r="Q22" i="8" s="1"/>
  <c r="E10" i="5" a="1"/>
  <c r="E10" i="5" s="1"/>
  <c r="E21" i="5" a="1"/>
  <c r="E21" i="5" s="1"/>
  <c r="Q21" i="5" s="1"/>
  <c r="E9" i="3" a="1"/>
  <c r="E9" i="3" s="1"/>
  <c r="Q9" i="3" s="1"/>
  <c r="E20" i="3" a="1"/>
  <c r="E20" i="3" s="1"/>
  <c r="Q20" i="3" s="1"/>
  <c r="E8" i="9" a="1"/>
  <c r="E8" i="9" s="1"/>
  <c r="Q8" i="9" s="1"/>
  <c r="E19" i="9" a="1"/>
  <c r="E19" i="9" s="1"/>
  <c r="Q19" i="9" s="1"/>
  <c r="E7" i="7" a="1"/>
  <c r="E7" i="7" s="1"/>
  <c r="E18" i="7" a="1"/>
  <c r="E18" i="7" s="1"/>
  <c r="F18" i="7" s="1" a="1"/>
  <c r="F18" i="7" s="1"/>
  <c r="R18" i="7" s="1"/>
  <c r="O23" i="5"/>
  <c r="F11" i="8" a="1"/>
  <c r="F11" i="8" s="1"/>
  <c r="R11" i="8" s="1"/>
  <c r="F22" i="8" a="1"/>
  <c r="F22" i="8" s="1"/>
  <c r="R22" i="8" s="1"/>
  <c r="F10" i="5" a="1"/>
  <c r="F10" i="5" s="1"/>
  <c r="R10" i="5" s="1"/>
  <c r="F21" i="5" a="1"/>
  <c r="F21" i="5" s="1"/>
  <c r="R21" i="5" s="1"/>
  <c r="F9" i="3" a="1"/>
  <c r="F9" i="3" s="1"/>
  <c r="R9" i="3" s="1"/>
  <c r="F20" i="3" a="1"/>
  <c r="F20" i="3" s="1"/>
  <c r="R20" i="3" s="1"/>
  <c r="F8" i="9" a="1"/>
  <c r="F8" i="9" s="1"/>
  <c r="R8" i="9" s="1"/>
  <c r="F19" i="9" a="1"/>
  <c r="F19" i="9" s="1"/>
  <c r="R19" i="9" s="1"/>
  <c r="F7" i="7" a="1"/>
  <c r="F7" i="7" s="1"/>
  <c r="E19" i="7" a="1"/>
  <c r="E19" i="7" s="1"/>
  <c r="Q19" i="7" s="1"/>
  <c r="E10" i="10" a="1"/>
  <c r="E10" i="10" s="1"/>
  <c r="AG10" i="10" s="1"/>
  <c r="F20" i="8" a="1"/>
  <c r="F20" i="8" s="1"/>
  <c r="F8" i="5" a="1"/>
  <c r="F8" i="5" s="1"/>
  <c r="R8" i="5" s="1"/>
  <c r="F17" i="9" a="1"/>
  <c r="F17" i="9" s="1"/>
  <c r="R17" i="9" s="1"/>
  <c r="F5" i="7" a="1"/>
  <c r="F5" i="7" s="1"/>
  <c r="F16" i="7" a="1"/>
  <c r="F16" i="7" s="1"/>
  <c r="R16" i="7" s="1"/>
  <c r="E8" i="10" a="1"/>
  <c r="E8" i="10" s="1"/>
  <c r="AG8" i="10" s="1"/>
  <c r="E10" i="8" a="1"/>
  <c r="E10" i="8" s="1"/>
  <c r="E21" i="8" a="1"/>
  <c r="E21" i="8" s="1"/>
  <c r="Q21" i="8" s="1"/>
  <c r="E9" i="5" a="1"/>
  <c r="E9" i="5" s="1"/>
  <c r="E20" i="5" a="1"/>
  <c r="E20" i="5" s="1"/>
  <c r="Q20" i="5" s="1"/>
  <c r="E8" i="3" a="1"/>
  <c r="E8" i="3" s="1"/>
  <c r="Q8" i="3" s="1"/>
  <c r="E19" i="3" a="1"/>
  <c r="E19" i="3" s="1"/>
  <c r="E7" i="9" a="1"/>
  <c r="E7" i="9" s="1"/>
  <c r="Q7" i="9" s="1"/>
  <c r="E18" i="9" a="1"/>
  <c r="E18" i="9" s="1"/>
  <c r="Q18" i="9" s="1"/>
  <c r="E6" i="7" a="1"/>
  <c r="E6" i="7" s="1"/>
  <c r="E17" i="7" a="1"/>
  <c r="E17" i="7" s="1"/>
  <c r="Q17" i="7" s="1"/>
  <c r="F10" i="8" a="1"/>
  <c r="F10" i="8" s="1"/>
  <c r="R10" i="8" s="1"/>
  <c r="F21" i="8" a="1"/>
  <c r="F21" i="8" s="1"/>
  <c r="R21" i="8" s="1"/>
  <c r="F9" i="5" a="1"/>
  <c r="F9" i="5" s="1"/>
  <c r="R9" i="5" s="1"/>
  <c r="F20" i="5" a="1"/>
  <c r="F20" i="5" s="1"/>
  <c r="R20" i="5" s="1"/>
  <c r="F8" i="3" a="1"/>
  <c r="F8" i="3" s="1"/>
  <c r="R8" i="3" s="1"/>
  <c r="F19" i="3" a="1"/>
  <c r="F19" i="3" s="1"/>
  <c r="R19" i="3" s="1"/>
  <c r="E20" i="8" a="1"/>
  <c r="E20" i="8" s="1"/>
  <c r="Q20" i="8" s="1"/>
  <c r="E19" i="5" a="1"/>
  <c r="E19" i="5" s="1"/>
  <c r="Q19" i="5" s="1"/>
  <c r="E18" i="3" a="1"/>
  <c r="E18" i="3" s="1"/>
  <c r="G18" i="3" s="1"/>
  <c r="E17" i="9" a="1"/>
  <c r="E17" i="9" s="1"/>
  <c r="Q17" i="9" s="1"/>
  <c r="F9" i="8" a="1"/>
  <c r="F9" i="8" s="1"/>
  <c r="R9" i="8" s="1"/>
  <c r="F19" i="8" a="1"/>
  <c r="F19" i="8" s="1"/>
  <c r="R19" i="8" s="1"/>
  <c r="F18" i="5" a="1"/>
  <c r="F18" i="5" s="1"/>
  <c r="G18" i="5" s="1"/>
  <c r="E12" i="8" a="1"/>
  <c r="E12" i="8" s="1"/>
  <c r="Q12" i="8" s="1"/>
  <c r="E23" i="8" a="1"/>
  <c r="E23" i="8" s="1"/>
  <c r="E11" i="5" a="1"/>
  <c r="E11" i="5" s="1"/>
  <c r="Q11" i="5" s="1"/>
  <c r="E22" i="5" a="1"/>
  <c r="E22" i="5" s="1"/>
  <c r="Q22" i="5" s="1"/>
  <c r="E21" i="3" a="1"/>
  <c r="E21" i="3" s="1"/>
  <c r="E20" i="9" a="1"/>
  <c r="E20" i="9" s="1"/>
  <c r="F19" i="7" a="1"/>
  <c r="F19" i="7" s="1"/>
  <c r="F23" i="8" a="1"/>
  <c r="F23" i="8" s="1"/>
  <c r="R23" i="8" s="1"/>
  <c r="F22" i="5" a="1"/>
  <c r="F22" i="5" s="1"/>
  <c r="R22" i="5" s="1"/>
  <c r="F21" i="3" a="1"/>
  <c r="F21" i="3" s="1"/>
  <c r="R21" i="3" s="1"/>
  <c r="F20" i="9" a="1"/>
  <c r="F20" i="9" s="1"/>
  <c r="R20" i="9" s="1"/>
  <c r="E20" i="7" a="1"/>
  <c r="E20" i="7" s="1"/>
  <c r="F20" i="7" s="1" a="1"/>
  <c r="F20" i="7" s="1"/>
  <c r="R20" i="7" s="1"/>
  <c r="E11" i="10" a="1"/>
  <c r="E11" i="10" s="1"/>
  <c r="AG11" i="10" s="1"/>
  <c r="E24" i="8" a="1"/>
  <c r="E24" i="8" s="1"/>
  <c r="Q24" i="8" s="1"/>
  <c r="E23" i="5" a="1"/>
  <c r="E23" i="5" s="1"/>
  <c r="Q23" i="5" s="1"/>
  <c r="E22" i="3" a="1"/>
  <c r="E22" i="3" s="1"/>
  <c r="Q22" i="3" s="1"/>
  <c r="E21" i="9" a="1"/>
  <c r="E21" i="9" s="1"/>
  <c r="E21" i="7" a="1"/>
  <c r="E21" i="7" s="1"/>
  <c r="F21" i="7" s="1" a="1"/>
  <c r="F21" i="7" s="1"/>
  <c r="R21" i="7" s="1"/>
  <c r="F24" i="8" a="1"/>
  <c r="F24" i="8" s="1"/>
  <c r="R24" i="8" s="1"/>
  <c r="F23" i="5" a="1"/>
  <c r="F23" i="5" s="1"/>
  <c r="F11" i="3" a="1"/>
  <c r="F11" i="3" s="1"/>
  <c r="R11" i="3" s="1"/>
  <c r="F22" i="3" a="1"/>
  <c r="F22" i="3" s="1"/>
  <c r="R22" i="3" s="1"/>
  <c r="F10" i="9" a="1"/>
  <c r="F10" i="9" s="1"/>
  <c r="R10" i="9" s="1"/>
  <c r="F21" i="9" a="1"/>
  <c r="F21" i="9" s="1"/>
  <c r="R21" i="9" s="1"/>
  <c r="F9" i="7" a="1"/>
  <c r="F9" i="7" s="1"/>
  <c r="R9" i="7" s="1"/>
  <c r="E22" i="7" a="1"/>
  <c r="E22" i="7" s="1"/>
  <c r="F22" i="7" s="1" a="1"/>
  <c r="F22" i="7" s="1"/>
  <c r="E12" i="10" a="1"/>
  <c r="E12" i="10" s="1"/>
  <c r="AG12" i="10" s="1"/>
  <c r="E10" i="3" a="1"/>
  <c r="E10" i="3" s="1"/>
  <c r="Q10" i="3" s="1"/>
  <c r="E9" i="9" a="1"/>
  <c r="E9" i="9" s="1"/>
  <c r="Q9" i="9" s="1"/>
  <c r="E8" i="7" a="1"/>
  <c r="E8" i="7" s="1"/>
  <c r="F12" i="8" a="1"/>
  <c r="F12" i="8" s="1"/>
  <c r="R12" i="8" s="1"/>
  <c r="F11" i="5" a="1"/>
  <c r="F11" i="5" s="1"/>
  <c r="R11" i="5" s="1"/>
  <c r="F10" i="3" a="1"/>
  <c r="F10" i="3" s="1"/>
  <c r="R10" i="3" s="1"/>
  <c r="F9" i="9" a="1"/>
  <c r="F9" i="9" s="1"/>
  <c r="R9" i="9" s="1"/>
  <c r="F8" i="7" a="1"/>
  <c r="F8" i="7" s="1"/>
  <c r="E13" i="8" a="1"/>
  <c r="E13" i="8" s="1"/>
  <c r="E12" i="5" a="1"/>
  <c r="E12" i="5" s="1"/>
  <c r="Q12" i="5" s="1"/>
  <c r="E11" i="3" a="1"/>
  <c r="E11" i="3" s="1"/>
  <c r="Q11" i="3" s="1"/>
  <c r="E10" i="9" a="1"/>
  <c r="E10" i="9" s="1"/>
  <c r="E9" i="7" a="1"/>
  <c r="E9" i="7" s="1"/>
  <c r="Q9" i="7" s="1"/>
  <c r="F13" i="8" a="1"/>
  <c r="F13" i="8" s="1"/>
  <c r="R13" i="8" s="1"/>
  <c r="F12" i="5" a="1"/>
  <c r="F12" i="5" s="1"/>
  <c r="R12" i="5" s="1"/>
  <c r="M3" i="5"/>
  <c r="M16" i="3"/>
  <c r="O24" i="7"/>
  <c r="P24" i="7" s="1"/>
  <c r="E14" i="8" a="1"/>
  <c r="E14" i="8" s="1"/>
  <c r="E25" i="8" a="1"/>
  <c r="E25" i="8" s="1"/>
  <c r="E13" i="5" a="1"/>
  <c r="E13" i="5" s="1"/>
  <c r="Q13" i="5" s="1"/>
  <c r="E24" i="5" a="1"/>
  <c r="E24" i="5" s="1"/>
  <c r="Q24" i="5" s="1"/>
  <c r="E12" i="3" a="1"/>
  <c r="E12" i="3" s="1"/>
  <c r="Q12" i="3" s="1"/>
  <c r="E23" i="3" a="1"/>
  <c r="E23" i="3" s="1"/>
  <c r="E11" i="9" a="1"/>
  <c r="E11" i="9" s="1"/>
  <c r="Q11" i="9" s="1"/>
  <c r="E22" i="9" a="1"/>
  <c r="E22" i="9" s="1"/>
  <c r="Q22" i="9" s="1"/>
  <c r="E10" i="7" a="1"/>
  <c r="E10" i="7" s="1"/>
  <c r="E23" i="7" a="1"/>
  <c r="E23" i="7" s="1"/>
  <c r="F23" i="7" s="1" a="1"/>
  <c r="F23" i="7" s="1"/>
  <c r="R23" i="7" s="1"/>
  <c r="F22" i="9" a="1"/>
  <c r="F22" i="9" s="1"/>
  <c r="F10" i="7" a="1"/>
  <c r="F10" i="7" s="1"/>
  <c r="R10" i="7" s="1"/>
  <c r="E24" i="7" a="1"/>
  <c r="E24" i="7" s="1"/>
  <c r="F24" i="7" s="1" a="1"/>
  <c r="F24" i="7" s="1"/>
  <c r="R24" i="7" s="1"/>
  <c r="E13" i="10" a="1"/>
  <c r="E13" i="10" s="1"/>
  <c r="AG13" i="10" s="1"/>
  <c r="F23" i="3" a="1"/>
  <c r="F23" i="3" s="1"/>
  <c r="R23" i="3" s="1"/>
  <c r="F11" i="9" a="1"/>
  <c r="F11" i="9" s="1"/>
  <c r="R11" i="9" s="1"/>
  <c r="E4" i="8" a="1"/>
  <c r="E4" i="8" s="1"/>
  <c r="E15" i="8" a="1"/>
  <c r="E15" i="8" s="1"/>
  <c r="E3" i="5" a="1"/>
  <c r="E3" i="5" s="1"/>
  <c r="E14" i="5" a="1"/>
  <c r="E14" i="5" s="1"/>
  <c r="Q14" i="5" s="1"/>
  <c r="E25" i="5" a="1"/>
  <c r="E25" i="5" s="1"/>
  <c r="Q25" i="5" s="1"/>
  <c r="E13" i="3" a="1"/>
  <c r="E13" i="3" s="1"/>
  <c r="Q13" i="3" s="1"/>
  <c r="E24" i="3" a="1"/>
  <c r="E24" i="3" s="1"/>
  <c r="E12" i="9" a="1"/>
  <c r="E12" i="9" s="1"/>
  <c r="Q12" i="9" s="1"/>
  <c r="E23" i="9" a="1"/>
  <c r="E23" i="9" s="1"/>
  <c r="Q23" i="9" s="1"/>
  <c r="E11" i="7" a="1"/>
  <c r="E11" i="7" s="1"/>
  <c r="Q11" i="7" s="1"/>
  <c r="E25" i="7" a="1"/>
  <c r="E25" i="7" s="1"/>
  <c r="F25" i="7" s="1" a="1"/>
  <c r="F25" i="7" s="1"/>
  <c r="F14" i="8" a="1"/>
  <c r="F14" i="8" s="1"/>
  <c r="R14" i="8" s="1"/>
  <c r="F25" i="8" a="1"/>
  <c r="F25" i="8" s="1"/>
  <c r="F13" i="5" a="1"/>
  <c r="F13" i="5" s="1"/>
  <c r="F24" i="5" a="1"/>
  <c r="F24" i="5" s="1"/>
  <c r="R24" i="5" s="1"/>
  <c r="F12" i="3" a="1"/>
  <c r="F12" i="3" s="1"/>
  <c r="R12" i="3" s="1"/>
  <c r="N17" i="10"/>
  <c r="F4" i="8" a="1"/>
  <c r="F4" i="8" s="1"/>
  <c r="R4" i="8" s="1"/>
  <c r="F15" i="8" a="1"/>
  <c r="F15" i="8" s="1"/>
  <c r="R15" i="8" s="1"/>
  <c r="F3" i="5" a="1"/>
  <c r="F3" i="5" s="1"/>
  <c r="R3" i="5" s="1"/>
  <c r="F14" i="5" a="1"/>
  <c r="F14" i="5" s="1"/>
  <c r="R14" i="5" s="1"/>
  <c r="F25" i="5" a="1"/>
  <c r="F25" i="5" s="1"/>
  <c r="R25" i="5" s="1"/>
  <c r="F13" i="3" a="1"/>
  <c r="F13" i="3" s="1"/>
  <c r="R13" i="3" s="1"/>
  <c r="F24" i="3" a="1"/>
  <c r="F24" i="3" s="1"/>
  <c r="R24" i="3" s="1"/>
  <c r="F12" i="9" a="1"/>
  <c r="F12" i="9" s="1"/>
  <c r="R12" i="9" s="1"/>
  <c r="F23" i="9" a="1"/>
  <c r="F23" i="9" s="1"/>
  <c r="R23" i="9" s="1"/>
  <c r="F11" i="7" a="1"/>
  <c r="F11" i="7" s="1"/>
  <c r="R11" i="7" s="1"/>
  <c r="E12" i="7" a="1"/>
  <c r="E12" i="7" s="1"/>
  <c r="Q12" i="7" s="1"/>
  <c r="F16" i="8" a="1"/>
  <c r="F16" i="8" s="1"/>
  <c r="R16" i="8" s="1"/>
  <c r="F15" i="5" a="1"/>
  <c r="F15" i="5" s="1"/>
  <c r="R15" i="5" s="1"/>
  <c r="F14" i="3" a="1"/>
  <c r="F14" i="3" s="1"/>
  <c r="R14" i="3" s="1"/>
  <c r="F25" i="3" a="1"/>
  <c r="F25" i="3" s="1"/>
  <c r="R25" i="3" s="1"/>
  <c r="F24" i="9" a="1"/>
  <c r="F24" i="9" s="1"/>
  <c r="R24" i="9" s="1"/>
  <c r="E6" i="8" a="1"/>
  <c r="E6" i="8" s="1"/>
  <c r="E5" i="5" a="1"/>
  <c r="E5" i="5" s="1"/>
  <c r="Q5" i="5" s="1"/>
  <c r="E4" i="3" a="1"/>
  <c r="E4" i="3" s="1"/>
  <c r="E3" i="9" a="1"/>
  <c r="E3" i="9" s="1"/>
  <c r="E25" i="9" a="1"/>
  <c r="E25" i="9" s="1"/>
  <c r="Q25" i="9" s="1"/>
  <c r="F6" i="8" a="1"/>
  <c r="F6" i="8" s="1"/>
  <c r="F17" i="8" a="1"/>
  <c r="F17" i="8" s="1"/>
  <c r="R17" i="8" s="1"/>
  <c r="F5" i="5" a="1"/>
  <c r="F5" i="5" s="1"/>
  <c r="F16" i="5" a="1"/>
  <c r="F16" i="5" s="1"/>
  <c r="R16" i="5" s="1"/>
  <c r="F4" i="3" a="1"/>
  <c r="F4" i="3" s="1"/>
  <c r="F15" i="3" a="1"/>
  <c r="F15" i="3" s="1"/>
  <c r="R15" i="3" s="1"/>
  <c r="F3" i="9" a="1"/>
  <c r="F3" i="9" s="1"/>
  <c r="F14" i="9" a="1"/>
  <c r="F14" i="9" s="1"/>
  <c r="F25" i="9" a="1"/>
  <c r="F25" i="9" s="1"/>
  <c r="R25" i="9" s="1"/>
  <c r="F13" i="7" a="1"/>
  <c r="F13" i="7" s="1"/>
  <c r="E5" i="10" a="1"/>
  <c r="E5" i="10" s="1"/>
  <c r="AG5" i="10" s="1"/>
  <c r="E16" i="10" a="1"/>
  <c r="E16" i="10" s="1"/>
  <c r="E24" i="9" a="1"/>
  <c r="E24" i="9" s="1"/>
  <c r="Q24" i="9" s="1"/>
  <c r="F5" i="8" a="1"/>
  <c r="F5" i="8" s="1"/>
  <c r="F4" i="5" a="1"/>
  <c r="F4" i="5" s="1"/>
  <c r="R4" i="5" s="1"/>
  <c r="F3" i="3" a="1"/>
  <c r="F3" i="3" s="1"/>
  <c r="F13" i="9" a="1"/>
  <c r="F13" i="9" s="1"/>
  <c r="F12" i="7" a="1"/>
  <c r="F12" i="7" s="1"/>
  <c r="E17" i="8" a="1"/>
  <c r="E17" i="8" s="1"/>
  <c r="Q17" i="8" s="1"/>
  <c r="E16" i="5" a="1"/>
  <c r="E16" i="5" s="1"/>
  <c r="E15" i="3" a="1"/>
  <c r="E15" i="3" s="1"/>
  <c r="E14" i="9" a="1"/>
  <c r="E14" i="9" s="1"/>
  <c r="Q14" i="9" s="1"/>
  <c r="E13" i="7" a="1"/>
  <c r="E13" i="7" s="1"/>
  <c r="Q13" i="7" s="1"/>
  <c r="E7" i="8" a="1"/>
  <c r="E7" i="8" s="1"/>
  <c r="E18" i="8" a="1"/>
  <c r="E18" i="8" s="1"/>
  <c r="Q18" i="8" s="1"/>
  <c r="E6" i="5" a="1"/>
  <c r="E6" i="5" s="1"/>
  <c r="Q6" i="5" s="1"/>
  <c r="E17" i="5" a="1"/>
  <c r="E17" i="5" s="1"/>
  <c r="E5" i="3" a="1"/>
  <c r="E5" i="3" s="1"/>
  <c r="E16" i="3" a="1"/>
  <c r="E16" i="3" s="1"/>
  <c r="Q16" i="3" s="1"/>
  <c r="E4" i="9" a="1"/>
  <c r="E4" i="9" s="1"/>
  <c r="E15" i="9" a="1"/>
  <c r="E15" i="9" s="1"/>
  <c r="E3" i="7" a="1"/>
  <c r="E3" i="7" s="1"/>
  <c r="E14" i="7" a="1"/>
  <c r="E14" i="7" s="1"/>
  <c r="Q14" i="7" s="1"/>
  <c r="F7" i="8" a="1"/>
  <c r="F7" i="8" s="1"/>
  <c r="R7" i="8" s="1"/>
  <c r="F18" i="8" a="1"/>
  <c r="F18" i="8" s="1"/>
  <c r="R18" i="8" s="1"/>
  <c r="F6" i="5" a="1"/>
  <c r="F6" i="5" s="1"/>
  <c r="F17" i="5" a="1"/>
  <c r="F17" i="5" s="1"/>
  <c r="R17" i="5" s="1"/>
  <c r="F5" i="3" a="1"/>
  <c r="F5" i="3" s="1"/>
  <c r="F4" i="9" a="1"/>
  <c r="F4" i="9" s="1"/>
  <c r="F15" i="9" a="1"/>
  <c r="F15" i="9" s="1"/>
  <c r="R15" i="9" s="1"/>
  <c r="F3" i="7" a="1"/>
  <c r="F3" i="7" s="1"/>
  <c r="M20" i="13"/>
  <c r="O4" i="5"/>
  <c r="P4" i="5" s="1"/>
  <c r="M4" i="5"/>
  <c r="AB25" i="13"/>
  <c r="AB25" i="3"/>
  <c r="AE18" i="15"/>
  <c r="AD18" i="15"/>
  <c r="AA25" i="3"/>
  <c r="N18" i="7"/>
  <c r="P18" i="7" s="1"/>
  <c r="M10" i="5"/>
  <c r="O24" i="8"/>
  <c r="AE19" i="3"/>
  <c r="AD25" i="10"/>
  <c r="AB18" i="15"/>
  <c r="AE25" i="13"/>
  <c r="AD25" i="13"/>
  <c r="AD24" i="10"/>
  <c r="G22" i="13"/>
  <c r="O15" i="5"/>
  <c r="P15" i="5" s="1"/>
  <c r="G24" i="10"/>
  <c r="AB21" i="9"/>
  <c r="AA21" i="9"/>
  <c r="AD19" i="3"/>
  <c r="G22" i="15"/>
  <c r="AB21" i="13"/>
  <c r="AA21" i="15"/>
  <c r="AE24" i="7"/>
  <c r="AD24" i="7"/>
  <c r="AE22" i="10"/>
  <c r="AD22" i="10"/>
  <c r="M22" i="9"/>
  <c r="R25" i="13"/>
  <c r="N23" i="7"/>
  <c r="M6" i="5"/>
  <c r="M19" i="3"/>
  <c r="N18" i="15"/>
  <c r="P18" i="15" s="1"/>
  <c r="AE23" i="15"/>
  <c r="AD21" i="5"/>
  <c r="AD23" i="15"/>
  <c r="O20" i="3"/>
  <c r="N24" i="9"/>
  <c r="P24" i="9" s="1"/>
  <c r="AB21" i="5"/>
  <c r="AD20" i="3"/>
  <c r="AE22" i="15"/>
  <c r="N20" i="3"/>
  <c r="AE16" i="5"/>
  <c r="AB20" i="3"/>
  <c r="AD22" i="15"/>
  <c r="M20" i="3"/>
  <c r="AD16" i="5"/>
  <c r="AA20" i="3"/>
  <c r="AB22" i="15"/>
  <c r="AB16" i="5"/>
  <c r="AA16" i="5"/>
  <c r="O24" i="3"/>
  <c r="M24" i="7"/>
  <c r="AA18" i="15"/>
  <c r="Q22" i="13"/>
  <c r="AD25" i="7"/>
  <c r="AD17" i="15"/>
  <c r="M25" i="7"/>
  <c r="AB25" i="7"/>
  <c r="AB17" i="15"/>
  <c r="N16" i="7"/>
  <c r="P16" i="7" s="1"/>
  <c r="M16" i="7"/>
  <c r="AA25" i="7"/>
  <c r="AE12" i="15"/>
  <c r="AD12" i="15"/>
  <c r="AA12" i="15"/>
  <c r="AA20" i="7"/>
  <c r="AE25" i="10"/>
  <c r="E9" i="13"/>
  <c r="AE19" i="7"/>
  <c r="M19" i="9"/>
  <c r="M23" i="10"/>
  <c r="AE24" i="10"/>
  <c r="AA25" i="13"/>
  <c r="AE25" i="5"/>
  <c r="O23" i="9"/>
  <c r="AD25" i="5"/>
  <c r="N3" i="5"/>
  <c r="P3" i="5" s="1"/>
  <c r="N18" i="5"/>
  <c r="P18" i="5" s="1"/>
  <c r="O16" i="3"/>
  <c r="O23" i="3"/>
  <c r="N23" i="9"/>
  <c r="AA25" i="5"/>
  <c r="N16" i="3"/>
  <c r="N23" i="3"/>
  <c r="M23" i="9"/>
  <c r="M23" i="13"/>
  <c r="AE21" i="5"/>
  <c r="N24" i="3"/>
  <c r="AA21" i="5"/>
  <c r="AA24" i="9"/>
  <c r="AB25" i="10"/>
  <c r="N17" i="3"/>
  <c r="O25" i="9"/>
  <c r="AE23" i="9"/>
  <c r="AA25" i="10"/>
  <c r="N17" i="7"/>
  <c r="N18" i="13"/>
  <c r="N21" i="5"/>
  <c r="P21" i="5" s="1"/>
  <c r="M25" i="9"/>
  <c r="AD23" i="9"/>
  <c r="AB23" i="9"/>
  <c r="AD23" i="13"/>
  <c r="AE14" i="15"/>
  <c r="AB24" i="10"/>
  <c r="G21" i="15"/>
  <c r="Q25" i="13"/>
  <c r="AA23" i="13"/>
  <c r="AD14" i="15"/>
  <c r="G24" i="13"/>
  <c r="AE24" i="13"/>
  <c r="AD18" i="9"/>
  <c r="AB13" i="15"/>
  <c r="O25" i="13"/>
  <c r="AB18" i="9"/>
  <c r="AA13" i="15"/>
  <c r="N25" i="13"/>
  <c r="AB23" i="8"/>
  <c r="O24" i="5"/>
  <c r="M20" i="9"/>
  <c r="O25" i="7"/>
  <c r="AA23" i="8"/>
  <c r="N24" i="5"/>
  <c r="O22" i="13"/>
  <c r="O25" i="5"/>
  <c r="O21" i="3"/>
  <c r="O22" i="9"/>
  <c r="N22" i="13"/>
  <c r="G25" i="13"/>
  <c r="AB24" i="15"/>
  <c r="N25" i="5"/>
  <c r="M21" i="3"/>
  <c r="N22" i="9"/>
  <c r="M22" i="13"/>
  <c r="AA24" i="15"/>
  <c r="M5" i="5"/>
  <c r="N24" i="8"/>
  <c r="M18" i="5"/>
  <c r="N23" i="5"/>
  <c r="O17" i="3"/>
  <c r="AA22" i="8"/>
  <c r="AD16" i="8"/>
  <c r="AE20" i="5"/>
  <c r="AB15" i="5"/>
  <c r="AA24" i="3"/>
  <c r="AD18" i="3"/>
  <c r="AE22" i="9"/>
  <c r="AB17" i="9"/>
  <c r="AB24" i="7"/>
  <c r="AE18" i="7"/>
  <c r="AB19" i="10"/>
  <c r="AD19" i="13"/>
  <c r="AA23" i="15"/>
  <c r="AE21" i="8"/>
  <c r="AB16" i="8"/>
  <c r="AD20" i="5"/>
  <c r="AA15" i="5"/>
  <c r="AE23" i="3"/>
  <c r="AB18" i="3"/>
  <c r="AD22" i="9"/>
  <c r="AA17" i="9"/>
  <c r="AD18" i="7"/>
  <c r="AA19" i="10"/>
  <c r="AB19" i="13"/>
  <c r="AE11" i="15"/>
  <c r="M17" i="3"/>
  <c r="N21" i="3"/>
  <c r="AD21" i="8"/>
  <c r="AA16" i="8"/>
  <c r="AB20" i="5"/>
  <c r="AE14" i="5"/>
  <c r="AD23" i="3"/>
  <c r="AA18" i="3"/>
  <c r="AB22" i="9"/>
  <c r="AE16" i="9"/>
  <c r="AE23" i="7"/>
  <c r="AB18" i="7"/>
  <c r="AE18" i="10"/>
  <c r="AD24" i="13"/>
  <c r="AA19" i="13"/>
  <c r="AA17" i="15"/>
  <c r="AD11" i="15"/>
  <c r="O16" i="15"/>
  <c r="AB21" i="8"/>
  <c r="AE15" i="8"/>
  <c r="AA20" i="5"/>
  <c r="AD14" i="5"/>
  <c r="AB23" i="3"/>
  <c r="AE17" i="3"/>
  <c r="AD16" i="9"/>
  <c r="AD23" i="7"/>
  <c r="AA18" i="7"/>
  <c r="AA24" i="10"/>
  <c r="AD18" i="10"/>
  <c r="AB24" i="13"/>
  <c r="AE18" i="13"/>
  <c r="G23" i="15"/>
  <c r="AE16" i="15"/>
  <c r="AB11" i="15"/>
  <c r="R14" i="7"/>
  <c r="O23" i="13"/>
  <c r="N16" i="15"/>
  <c r="AA21" i="8"/>
  <c r="AD15" i="8"/>
  <c r="AE19" i="5"/>
  <c r="AB14" i="5"/>
  <c r="AA23" i="3"/>
  <c r="AD17" i="3"/>
  <c r="AE21" i="9"/>
  <c r="AB16" i="9"/>
  <c r="AB23" i="7"/>
  <c r="AE17" i="7"/>
  <c r="AE23" i="10"/>
  <c r="AB18" i="10"/>
  <c r="AA24" i="13"/>
  <c r="AD18" i="13"/>
  <c r="N24" i="15"/>
  <c r="P24" i="15" s="1"/>
  <c r="AA22" i="15"/>
  <c r="AD16" i="15"/>
  <c r="N23" i="13"/>
  <c r="M16" i="15"/>
  <c r="AE20" i="8"/>
  <c r="AB15" i="8"/>
  <c r="AD19" i="5"/>
  <c r="AA14" i="5"/>
  <c r="AE22" i="3"/>
  <c r="AB17" i="3"/>
  <c r="AD21" i="9"/>
  <c r="AA16" i="9"/>
  <c r="AA23" i="7"/>
  <c r="AD17" i="7"/>
  <c r="AD23" i="10"/>
  <c r="AA18" i="10"/>
  <c r="AB18" i="13"/>
  <c r="M24" i="15"/>
  <c r="AE21" i="15"/>
  <c r="AB16" i="15"/>
  <c r="AE10" i="15"/>
  <c r="M24" i="5"/>
  <c r="AD20" i="8"/>
  <c r="AA15" i="8"/>
  <c r="AE24" i="5"/>
  <c r="AB19" i="5"/>
  <c r="AE13" i="5"/>
  <c r="AD22" i="3"/>
  <c r="AE15" i="9"/>
  <c r="AE22" i="7"/>
  <c r="AB17" i="7"/>
  <c r="AB23" i="10"/>
  <c r="AE17" i="10"/>
  <c r="AA18" i="13"/>
  <c r="AD21" i="15"/>
  <c r="AD10" i="15"/>
  <c r="N25" i="8"/>
  <c r="P25" i="8" s="1"/>
  <c r="M19" i="13"/>
  <c r="M25" i="8"/>
  <c r="N20" i="5"/>
  <c r="P20" i="5" s="1"/>
  <c r="M24" i="9"/>
  <c r="N25" i="7"/>
  <c r="Q23" i="13"/>
  <c r="AE25" i="8"/>
  <c r="AB20" i="8"/>
  <c r="AE14" i="8"/>
  <c r="AD24" i="5"/>
  <c r="AA19" i="5"/>
  <c r="AD13" i="5"/>
  <c r="AB22" i="3"/>
  <c r="AE16" i="3"/>
  <c r="AD15" i="9"/>
  <c r="AD22" i="7"/>
  <c r="AA17" i="7"/>
  <c r="AA23" i="10"/>
  <c r="AD17" i="10"/>
  <c r="AB23" i="13"/>
  <c r="AE17" i="13"/>
  <c r="AB21" i="15"/>
  <c r="AE15" i="15"/>
  <c r="AB10" i="15"/>
  <c r="R19" i="5"/>
  <c r="M20" i="5"/>
  <c r="O18" i="3"/>
  <c r="O25" i="3"/>
  <c r="AD25" i="8"/>
  <c r="AA20" i="8"/>
  <c r="AD14" i="8"/>
  <c r="AB24" i="5"/>
  <c r="AE18" i="5"/>
  <c r="AB13" i="5"/>
  <c r="AA22" i="3"/>
  <c r="AD16" i="3"/>
  <c r="AE20" i="9"/>
  <c r="AB15" i="9"/>
  <c r="AB22" i="7"/>
  <c r="AE16" i="7"/>
  <c r="AB17" i="10"/>
  <c r="AD17" i="13"/>
  <c r="AD15" i="15"/>
  <c r="AA10" i="15"/>
  <c r="N18" i="3"/>
  <c r="N25" i="3"/>
  <c r="AB25" i="8"/>
  <c r="AE19" i="8"/>
  <c r="AB14" i="8"/>
  <c r="AD18" i="5"/>
  <c r="AA13" i="5"/>
  <c r="AE21" i="3"/>
  <c r="AB16" i="3"/>
  <c r="AD20" i="9"/>
  <c r="AA22" i="7"/>
  <c r="AD16" i="7"/>
  <c r="AA17" i="10"/>
  <c r="AE22" i="13"/>
  <c r="AB17" i="13"/>
  <c r="AE20" i="15"/>
  <c r="AB15" i="15"/>
  <c r="AE9" i="15"/>
  <c r="O20" i="13"/>
  <c r="N20" i="13"/>
  <c r="M18" i="3"/>
  <c r="M25" i="3"/>
  <c r="AA25" i="8"/>
  <c r="AD19" i="8"/>
  <c r="AA14" i="8"/>
  <c r="AE23" i="5"/>
  <c r="AB18" i="5"/>
  <c r="AE12" i="5"/>
  <c r="AD21" i="3"/>
  <c r="AE25" i="9"/>
  <c r="AB20" i="9"/>
  <c r="AE21" i="7"/>
  <c r="AB16" i="7"/>
  <c r="AB22" i="10"/>
  <c r="AE16" i="10"/>
  <c r="AD22" i="13"/>
  <c r="AA17" i="13"/>
  <c r="R25" i="15"/>
  <c r="AD20" i="15"/>
  <c r="AA15" i="15"/>
  <c r="AD9" i="15"/>
  <c r="AE24" i="8"/>
  <c r="AB19" i="8"/>
  <c r="AE13" i="8"/>
  <c r="AD23" i="5"/>
  <c r="AA18" i="5"/>
  <c r="AD12" i="5"/>
  <c r="AB21" i="3"/>
  <c r="AE15" i="3"/>
  <c r="AD25" i="9"/>
  <c r="AA20" i="9"/>
  <c r="AD21" i="7"/>
  <c r="AA16" i="7"/>
  <c r="AA22" i="10"/>
  <c r="AD16" i="10"/>
  <c r="AB22" i="13"/>
  <c r="AE16" i="13"/>
  <c r="AE25" i="15"/>
  <c r="AB20" i="15"/>
  <c r="AB9" i="15"/>
  <c r="G25" i="10"/>
  <c r="O24" i="13"/>
  <c r="AD24" i="8"/>
  <c r="AA19" i="8"/>
  <c r="AD13" i="8"/>
  <c r="AB23" i="5"/>
  <c r="AE17" i="5"/>
  <c r="AB12" i="5"/>
  <c r="AD15" i="3"/>
  <c r="AB25" i="9"/>
  <c r="AE19" i="9"/>
  <c r="AB21" i="7"/>
  <c r="AE15" i="7"/>
  <c r="AE21" i="10"/>
  <c r="AB16" i="10"/>
  <c r="AA22" i="13"/>
  <c r="AD16" i="13"/>
  <c r="O25" i="15"/>
  <c r="AD25" i="15"/>
  <c r="AA20" i="15"/>
  <c r="O23" i="7"/>
  <c r="F9" i="13"/>
  <c r="O10" i="5"/>
  <c r="P10" i="5" s="1"/>
  <c r="N25" i="9"/>
  <c r="N24" i="13"/>
  <c r="AB24" i="8"/>
  <c r="AE18" i="8"/>
  <c r="AB13" i="8"/>
  <c r="AA23" i="5"/>
  <c r="AD17" i="5"/>
  <c r="AA12" i="5"/>
  <c r="AB15" i="3"/>
  <c r="AD19" i="9"/>
  <c r="AA21" i="7"/>
  <c r="AD15" i="7"/>
  <c r="AD21" i="10"/>
  <c r="AA16" i="10"/>
  <c r="AB16" i="13"/>
  <c r="N25" i="15"/>
  <c r="AB25" i="15"/>
  <c r="AE19" i="15"/>
  <c r="AB14" i="15"/>
  <c r="AE8" i="15"/>
  <c r="O22" i="3"/>
  <c r="R21" i="13"/>
  <c r="AA24" i="8"/>
  <c r="AD18" i="8"/>
  <c r="AA13" i="8"/>
  <c r="AE22" i="5"/>
  <c r="AB17" i="5"/>
  <c r="AE11" i="5"/>
  <c r="AA15" i="3"/>
  <c r="AE24" i="9"/>
  <c r="AB19" i="9"/>
  <c r="AE20" i="7"/>
  <c r="AB15" i="7"/>
  <c r="AB21" i="10"/>
  <c r="AE15" i="10"/>
  <c r="AD21" i="13"/>
  <c r="AA16" i="13"/>
  <c r="M25" i="15"/>
  <c r="AD19" i="15"/>
  <c r="AA14" i="15"/>
  <c r="AD8" i="15"/>
  <c r="N22" i="3"/>
  <c r="Q24" i="13"/>
  <c r="AE23" i="8"/>
  <c r="AB18" i="8"/>
  <c r="AE12" i="8"/>
  <c r="AD22" i="5"/>
  <c r="AA17" i="5"/>
  <c r="AD11" i="5"/>
  <c r="AE25" i="3"/>
  <c r="AD24" i="9"/>
  <c r="AA19" i="9"/>
  <c r="AD20" i="7"/>
  <c r="AA21" i="10"/>
  <c r="AD15" i="10"/>
  <c r="AE24" i="15"/>
  <c r="AB19" i="15"/>
  <c r="AE13" i="15"/>
  <c r="AB8" i="15"/>
  <c r="Q5" i="8"/>
  <c r="O17" i="5"/>
  <c r="P17" i="5" s="1"/>
  <c r="O22" i="5"/>
  <c r="P22" i="5" s="1"/>
  <c r="Q25" i="3"/>
  <c r="AD23" i="8"/>
  <c r="AD12" i="8"/>
  <c r="AB22" i="5"/>
  <c r="AB11" i="5"/>
  <c r="AB24" i="9"/>
  <c r="AE18" i="9"/>
  <c r="AE14" i="7"/>
  <c r="AE20" i="10"/>
  <c r="AB15" i="10"/>
  <c r="AA21" i="13"/>
  <c r="AD24" i="15"/>
  <c r="AA19" i="15"/>
  <c r="AD13" i="15"/>
  <c r="AA8" i="15"/>
  <c r="AE17" i="8"/>
  <c r="AB12" i="8"/>
  <c r="AA22" i="5"/>
  <c r="AA11" i="5"/>
  <c r="AD14" i="7"/>
  <c r="AD20" i="10"/>
  <c r="AE20" i="13"/>
  <c r="AD17" i="8"/>
  <c r="AA12" i="8"/>
  <c r="AE10" i="5"/>
  <c r="AB14" i="7"/>
  <c r="AB20" i="10"/>
  <c r="AE14" i="10"/>
  <c r="AD20" i="13"/>
  <c r="O6" i="5"/>
  <c r="P6" i="5" s="1"/>
  <c r="O19" i="3"/>
  <c r="M24" i="3"/>
  <c r="AE22" i="8"/>
  <c r="AB17" i="8"/>
  <c r="AD10" i="5"/>
  <c r="AE24" i="3"/>
  <c r="AB19" i="3"/>
  <c r="AA18" i="9"/>
  <c r="AD19" i="7"/>
  <c r="AA14" i="7"/>
  <c r="AA20" i="10"/>
  <c r="AD14" i="10"/>
  <c r="AB20" i="13"/>
  <c r="R16" i="3"/>
  <c r="N19" i="3"/>
  <c r="AD22" i="8"/>
  <c r="AA17" i="8"/>
  <c r="AE15" i="5"/>
  <c r="AB10" i="5"/>
  <c r="AD24" i="3"/>
  <c r="AE17" i="9"/>
  <c r="AB19" i="7"/>
  <c r="AE19" i="10"/>
  <c r="AB14" i="10"/>
  <c r="AE16" i="8"/>
  <c r="AD15" i="5"/>
  <c r="AA10" i="5"/>
  <c r="AD17" i="9"/>
  <c r="AA19" i="7"/>
  <c r="AD19" i="10"/>
  <c r="AA14" i="10"/>
  <c r="AE19" i="13"/>
  <c r="AB23" i="15"/>
  <c r="AE17" i="15"/>
  <c r="AB12" i="15"/>
  <c r="P23" i="10"/>
  <c r="G25" i="15"/>
  <c r="Q25" i="15"/>
  <c r="R24" i="15"/>
  <c r="G24" i="15"/>
  <c r="Q24" i="15"/>
  <c r="R23" i="15"/>
  <c r="Q23" i="15"/>
  <c r="N20" i="15"/>
  <c r="P20" i="15" s="1"/>
  <c r="O23" i="15"/>
  <c r="M20" i="15"/>
  <c r="N23" i="15"/>
  <c r="G19" i="15"/>
  <c r="G15" i="15"/>
  <c r="R22" i="15"/>
  <c r="O22" i="15"/>
  <c r="N22" i="15"/>
  <c r="Q22" i="15"/>
  <c r="Q21" i="15"/>
  <c r="N21" i="15"/>
  <c r="G13" i="15"/>
  <c r="R21" i="15"/>
  <c r="O21" i="15"/>
  <c r="R20" i="15"/>
  <c r="G20" i="15"/>
  <c r="Q20" i="15"/>
  <c r="G17" i="15"/>
  <c r="R19" i="15"/>
  <c r="Q16" i="15"/>
  <c r="Q19" i="15"/>
  <c r="O19" i="15"/>
  <c r="N19" i="15"/>
  <c r="R18" i="15"/>
  <c r="G18" i="15"/>
  <c r="Q18" i="15"/>
  <c r="Q17" i="15"/>
  <c r="O17" i="15"/>
  <c r="N17" i="15"/>
  <c r="R17" i="15"/>
  <c r="R16" i="15"/>
  <c r="G16" i="15"/>
  <c r="G14" i="15"/>
  <c r="G12" i="15"/>
  <c r="Q15" i="15"/>
  <c r="O15" i="15"/>
  <c r="N15" i="15"/>
  <c r="R15" i="15"/>
  <c r="R14" i="15"/>
  <c r="Q14" i="15"/>
  <c r="O14" i="15"/>
  <c r="N14" i="15"/>
  <c r="R13" i="15"/>
  <c r="O13" i="15"/>
  <c r="N13" i="15"/>
  <c r="Q13" i="15"/>
  <c r="R12" i="15"/>
  <c r="Q12" i="15"/>
  <c r="O12" i="15"/>
  <c r="N12" i="15"/>
  <c r="Q21" i="13"/>
  <c r="O21" i="13"/>
  <c r="N21" i="13"/>
  <c r="R24" i="13"/>
  <c r="M21" i="13"/>
  <c r="R23" i="13"/>
  <c r="R20" i="13"/>
  <c r="O19" i="13"/>
  <c r="P19" i="13" s="1"/>
  <c r="R22" i="13"/>
  <c r="G14" i="13"/>
  <c r="G21" i="13"/>
  <c r="R19" i="13"/>
  <c r="Q17" i="13"/>
  <c r="Q20" i="13"/>
  <c r="Q19" i="13"/>
  <c r="N22" i="10"/>
  <c r="P22" i="10" s="1"/>
  <c r="M22" i="10"/>
  <c r="O25" i="10"/>
  <c r="Q25" i="10"/>
  <c r="N20" i="10"/>
  <c r="N25" i="10"/>
  <c r="R25" i="10"/>
  <c r="R24" i="10"/>
  <c r="Q24" i="10"/>
  <c r="N24" i="10"/>
  <c r="O24" i="10"/>
  <c r="O17" i="10"/>
  <c r="R23" i="10"/>
  <c r="G23" i="10"/>
  <c r="Q23" i="10"/>
  <c r="R22" i="10"/>
  <c r="O21" i="10"/>
  <c r="N21" i="10"/>
  <c r="G22" i="10"/>
  <c r="Q22" i="10"/>
  <c r="O17" i="7"/>
  <c r="N20" i="9"/>
  <c r="P20" i="9" s="1"/>
  <c r="O21" i="9"/>
  <c r="N21" i="9"/>
  <c r="M16" i="9"/>
  <c r="P19" i="9"/>
  <c r="N16" i="9"/>
  <c r="P16" i="9" s="1"/>
  <c r="O17" i="9"/>
  <c r="N17" i="9"/>
  <c r="O18" i="9"/>
  <c r="N18" i="9"/>
  <c r="N19" i="5"/>
  <c r="P19" i="5" s="1"/>
  <c r="O11" i="5"/>
  <c r="P11" i="5" s="1"/>
  <c r="O13" i="5"/>
  <c r="N13" i="5"/>
  <c r="M8" i="5"/>
  <c r="M21" i="5"/>
  <c r="N16" i="5"/>
  <c r="P16" i="5" s="1"/>
  <c r="O7" i="5"/>
  <c r="M16" i="5"/>
  <c r="M19" i="5"/>
  <c r="O9" i="5"/>
  <c r="P9" i="5" s="1"/>
  <c r="M9" i="5"/>
  <c r="O5" i="5"/>
  <c r="P5" i="5" s="1"/>
  <c r="N14" i="5"/>
  <c r="P14" i="5" s="1"/>
  <c r="N7" i="5"/>
  <c r="M14" i="5"/>
  <c r="O8" i="5"/>
  <c r="P8" i="5" s="1"/>
  <c r="N19" i="8"/>
  <c r="M23" i="8"/>
  <c r="O17" i="8"/>
  <c r="N23" i="8"/>
  <c r="P23" i="8" s="1"/>
  <c r="O18" i="8"/>
  <c r="N18" i="8"/>
  <c r="M18" i="8"/>
  <c r="O22" i="8"/>
  <c r="N22" i="8"/>
  <c r="R8" i="8"/>
  <c r="Q8" i="8"/>
  <c r="Q15" i="5"/>
  <c r="Q9" i="15"/>
  <c r="Q4" i="5"/>
  <c r="Q13" i="9"/>
  <c r="G8" i="15"/>
  <c r="R11" i="15"/>
  <c r="G10" i="15"/>
  <c r="G11" i="15"/>
  <c r="G9" i="15"/>
  <c r="O12" i="5"/>
  <c r="P12" i="5" s="1"/>
  <c r="G15" i="13"/>
  <c r="G20" i="13"/>
  <c r="G18" i="13"/>
  <c r="G17" i="13"/>
  <c r="G19" i="13"/>
  <c r="R17" i="13"/>
  <c r="G16" i="13"/>
  <c r="Q16" i="13"/>
  <c r="M20" i="8"/>
  <c r="Q21" i="10"/>
  <c r="O18" i="13"/>
  <c r="G14" i="10"/>
  <c r="G15" i="10"/>
  <c r="G19" i="10"/>
  <c r="G21" i="10"/>
  <c r="R21" i="10"/>
  <c r="G20" i="10"/>
  <c r="R15" i="10"/>
  <c r="M18" i="7"/>
  <c r="O17" i="13"/>
  <c r="P17" i="13" s="1"/>
  <c r="N15" i="9"/>
  <c r="F11" i="17" a="1"/>
  <c r="F11" i="17" s="1"/>
  <c r="O22" i="7"/>
  <c r="P22" i="7" s="1"/>
  <c r="R18" i="13"/>
  <c r="Q18" i="13"/>
  <c r="R16" i="13"/>
  <c r="M16" i="13"/>
  <c r="O16" i="13"/>
  <c r="P16" i="13" s="1"/>
  <c r="Q20" i="10"/>
  <c r="R20" i="10"/>
  <c r="O20" i="10"/>
  <c r="R19" i="10"/>
  <c r="M19" i="10"/>
  <c r="Q17" i="10"/>
  <c r="Q19" i="10"/>
  <c r="O19" i="10"/>
  <c r="P19" i="10" s="1"/>
  <c r="O18" i="10"/>
  <c r="N18" i="10"/>
  <c r="O16" i="10"/>
  <c r="R16" i="10"/>
  <c r="N16" i="10"/>
  <c r="O20" i="7"/>
  <c r="N20" i="7"/>
  <c r="M20" i="7"/>
  <c r="O19" i="7"/>
  <c r="N19" i="7"/>
  <c r="N21" i="7"/>
  <c r="O21" i="7"/>
  <c r="F5" i="17" a="1"/>
  <c r="F5" i="17" s="1"/>
  <c r="E9" i="14" a="1"/>
  <c r="E9" i="14" s="1"/>
  <c r="E13" i="17" a="1"/>
  <c r="E13" i="17" s="1"/>
  <c r="Q13" i="17" s="1"/>
  <c r="E5" i="14" a="1"/>
  <c r="E5" i="14" s="1"/>
  <c r="E12" i="17" a="1"/>
  <c r="E12" i="17" s="1"/>
  <c r="F10" i="19" a="1"/>
  <c r="F10" i="19" s="1"/>
  <c r="E7" i="19" a="1"/>
  <c r="E7" i="19" s="1"/>
  <c r="E7" i="14" a="1"/>
  <c r="E7" i="14" s="1"/>
  <c r="F12" i="14" a="1"/>
  <c r="F12" i="14" s="1"/>
  <c r="O19" i="8"/>
  <c r="F11" i="14" a="1"/>
  <c r="F11" i="14" s="1"/>
  <c r="E4" i="14" a="1"/>
  <c r="E4" i="14" s="1"/>
  <c r="F9" i="19" a="1"/>
  <c r="F9" i="19" s="1"/>
  <c r="E3" i="14" a="1"/>
  <c r="E3" i="14" s="1"/>
  <c r="E11" i="17" a="1"/>
  <c r="E11" i="17" s="1"/>
  <c r="F8" i="19" a="1"/>
  <c r="F8" i="19" s="1"/>
  <c r="E6" i="19" a="1"/>
  <c r="E6" i="19" s="1"/>
  <c r="F15" i="17" a="1"/>
  <c r="F15" i="17" s="1"/>
  <c r="R15" i="17" s="1"/>
  <c r="F7" i="19" a="1"/>
  <c r="F7" i="19" s="1"/>
  <c r="E5" i="19" a="1"/>
  <c r="E5" i="19" s="1"/>
  <c r="F9" i="14" a="1"/>
  <c r="F9" i="14" s="1"/>
  <c r="F8" i="14" a="1"/>
  <c r="F8" i="14" s="1"/>
  <c r="F14" i="17" a="1"/>
  <c r="F14" i="17" s="1"/>
  <c r="R14" i="17" s="1"/>
  <c r="E10" i="17" a="1"/>
  <c r="E10" i="17" s="1"/>
  <c r="F6" i="19" a="1"/>
  <c r="F6" i="19" s="1"/>
  <c r="F7" i="14" a="1"/>
  <c r="F7" i="14" s="1"/>
  <c r="F13" i="17" a="1"/>
  <c r="F13" i="17" s="1"/>
  <c r="R13" i="17" s="1"/>
  <c r="E9" i="17" a="1"/>
  <c r="E9" i="17" s="1"/>
  <c r="F5" i="19" a="1"/>
  <c r="F5" i="19" s="1"/>
  <c r="E4" i="19" a="1"/>
  <c r="E4" i="19" s="1"/>
  <c r="F10" i="14" a="1"/>
  <c r="F10" i="14" s="1"/>
  <c r="O20" i="8"/>
  <c r="P20" i="8" s="1"/>
  <c r="F6" i="14" a="1"/>
  <c r="F6" i="14" s="1"/>
  <c r="F12" i="17" a="1"/>
  <c r="F12" i="17" s="1"/>
  <c r="F4" i="19" a="1"/>
  <c r="F4" i="19" s="1"/>
  <c r="E3" i="19" a="1"/>
  <c r="E3" i="19" s="1"/>
  <c r="E8" i="17" a="1"/>
  <c r="E8" i="17" s="1"/>
  <c r="F3" i="19" a="1"/>
  <c r="F3" i="19" s="1"/>
  <c r="F5" i="14" a="1"/>
  <c r="F5" i="14" s="1"/>
  <c r="F4" i="14" a="1"/>
  <c r="F4" i="14" s="1"/>
  <c r="F10" i="17" a="1"/>
  <c r="F10" i="17" s="1"/>
  <c r="F9" i="17" a="1"/>
  <c r="F9" i="17" s="1"/>
  <c r="E7" i="17" a="1"/>
  <c r="E7" i="17" s="1"/>
  <c r="E15" i="19" a="1"/>
  <c r="E15" i="19" s="1"/>
  <c r="Q15" i="19" s="1"/>
  <c r="E15" i="14" a="1"/>
  <c r="E15" i="14" s="1"/>
  <c r="Q15" i="14" s="1"/>
  <c r="F8" i="17" a="1"/>
  <c r="F8" i="17" s="1"/>
  <c r="E14" i="19" a="1"/>
  <c r="E14" i="19" s="1"/>
  <c r="Q14" i="19" s="1"/>
  <c r="F3" i="14" a="1"/>
  <c r="F3" i="14" s="1"/>
  <c r="E14" i="14" a="1"/>
  <c r="E14" i="14" s="1"/>
  <c r="Q14" i="14" s="1"/>
  <c r="F7" i="17" a="1"/>
  <c r="F7" i="17" s="1"/>
  <c r="E6" i="17" a="1"/>
  <c r="E6" i="17" s="1"/>
  <c r="E13" i="14" a="1"/>
  <c r="E13" i="14" s="1"/>
  <c r="F6" i="17" a="1"/>
  <c r="F6" i="17" s="1"/>
  <c r="E13" i="19" a="1"/>
  <c r="E13" i="19" s="1"/>
  <c r="Q13" i="19" s="1"/>
  <c r="E5" i="17" a="1"/>
  <c r="E5" i="17" s="1"/>
  <c r="E11" i="14" a="1"/>
  <c r="E11" i="14" s="1"/>
  <c r="F4" i="17" a="1"/>
  <c r="F4" i="17" s="1"/>
  <c r="E12" i="19" a="1"/>
  <c r="E12" i="19" s="1"/>
  <c r="E10" i="14" a="1"/>
  <c r="E10" i="14" s="1"/>
  <c r="F3" i="17" a="1"/>
  <c r="F3" i="17" s="1"/>
  <c r="E4" i="17" a="1"/>
  <c r="E4" i="17" s="1"/>
  <c r="E3" i="17" a="1"/>
  <c r="E3" i="17" s="1"/>
  <c r="E11" i="19" a="1"/>
  <c r="E11" i="19" s="1"/>
  <c r="F15" i="19" a="1"/>
  <c r="F15" i="19" s="1"/>
  <c r="E10" i="19" a="1"/>
  <c r="E10" i="19" s="1"/>
  <c r="E15" i="17" a="1"/>
  <c r="E15" i="17" s="1"/>
  <c r="Q15" i="17" s="1"/>
  <c r="E8" i="14" a="1"/>
  <c r="E8" i="14" s="1"/>
  <c r="E14" i="17" a="1"/>
  <c r="E14" i="17" s="1"/>
  <c r="Q14" i="17" s="1"/>
  <c r="F14" i="19" a="1"/>
  <c r="F14" i="19" s="1"/>
  <c r="R14" i="19" s="1"/>
  <c r="F13" i="19" a="1"/>
  <c r="F13" i="19" s="1"/>
  <c r="R13" i="19" s="1"/>
  <c r="E9" i="19" a="1"/>
  <c r="E9" i="19" s="1"/>
  <c r="F12" i="19" a="1"/>
  <c r="F12" i="19" s="1"/>
  <c r="E8" i="19" a="1"/>
  <c r="E8" i="19" s="1"/>
  <c r="E12" i="14" a="1"/>
  <c r="E12" i="14" s="1"/>
  <c r="F15" i="14" a="1"/>
  <c r="F15" i="14" s="1"/>
  <c r="R15" i="14" s="1"/>
  <c r="F14" i="14" a="1"/>
  <c r="F14" i="14" s="1"/>
  <c r="R14" i="14" s="1"/>
  <c r="F13" i="14" a="1"/>
  <c r="F13" i="14" s="1"/>
  <c r="E6" i="14" a="1"/>
  <c r="E6" i="14" s="1"/>
  <c r="F11" i="19" a="1"/>
  <c r="F11" i="19" s="1"/>
  <c r="Q16" i="8"/>
  <c r="O21" i="8"/>
  <c r="N21" i="8"/>
  <c r="R3" i="8"/>
  <c r="O14" i="17"/>
  <c r="M22" i="8"/>
  <c r="O14" i="19"/>
  <c r="N17" i="8"/>
  <c r="N14" i="10"/>
  <c r="M14" i="14"/>
  <c r="Q14" i="13"/>
  <c r="M14" i="7"/>
  <c r="O15" i="17"/>
  <c r="AA7" i="9"/>
  <c r="M15" i="9"/>
  <c r="AB9" i="7"/>
  <c r="AD10" i="3"/>
  <c r="AD9" i="5"/>
  <c r="M8" i="15"/>
  <c r="AA14" i="19"/>
  <c r="AD13" i="9"/>
  <c r="AB13" i="9"/>
  <c r="M10" i="15"/>
  <c r="N11" i="8"/>
  <c r="Q14" i="12"/>
  <c r="N14" i="19"/>
  <c r="M14" i="19"/>
  <c r="AD12" i="9"/>
  <c r="O15" i="14"/>
  <c r="AD10" i="9"/>
  <c r="AD14" i="12"/>
  <c r="AA9" i="9"/>
  <c r="AB14" i="12"/>
  <c r="AB8" i="9"/>
  <c r="O15" i="19"/>
  <c r="P15" i="19" s="1"/>
  <c r="AA8" i="9"/>
  <c r="AE12" i="3"/>
  <c r="AD12" i="3"/>
  <c r="N14" i="17"/>
  <c r="AE14" i="19"/>
  <c r="AA12" i="3"/>
  <c r="AB14" i="19"/>
  <c r="AE9" i="5"/>
  <c r="AE11" i="3"/>
  <c r="AB10" i="3"/>
  <c r="M13" i="19"/>
  <c r="Q9" i="18"/>
  <c r="AB10" i="18"/>
  <c r="O9" i="18"/>
  <c r="AA10" i="18"/>
  <c r="AE9" i="18"/>
  <c r="AD10" i="7"/>
  <c r="N14" i="11"/>
  <c r="AD13" i="11"/>
  <c r="Q19" i="12"/>
  <c r="AA19" i="12"/>
  <c r="M9" i="15"/>
  <c r="R8" i="16"/>
  <c r="AD11" i="16"/>
  <c r="AD9" i="18"/>
  <c r="AA10" i="7"/>
  <c r="AD14" i="17"/>
  <c r="AA15" i="19"/>
  <c r="AD13" i="12"/>
  <c r="O11" i="15"/>
  <c r="AB14" i="17"/>
  <c r="AB13" i="12"/>
  <c r="N11" i="15"/>
  <c r="AD15" i="14"/>
  <c r="AD9" i="3"/>
  <c r="AA8" i="3"/>
  <c r="AD12" i="7"/>
  <c r="AA14" i="14"/>
  <c r="AD11" i="7"/>
  <c r="AD14" i="11"/>
  <c r="AE19" i="12"/>
  <c r="AB11" i="7"/>
  <c r="AA14" i="11"/>
  <c r="AD19" i="12"/>
  <c r="AE10" i="7"/>
  <c r="O14" i="11"/>
  <c r="AE13" i="11"/>
  <c r="R19" i="12"/>
  <c r="AB19" i="12"/>
  <c r="O14" i="14"/>
  <c r="P14" i="14" s="1"/>
  <c r="N10" i="7"/>
  <c r="AB10" i="7"/>
  <c r="M14" i="11"/>
  <c r="AB13" i="11"/>
  <c r="O19" i="12"/>
  <c r="P19" i="12" s="1"/>
  <c r="AB17" i="12"/>
  <c r="Q8" i="16"/>
  <c r="AB11" i="16"/>
  <c r="AB9" i="18"/>
  <c r="AA13" i="11"/>
  <c r="M19" i="12"/>
  <c r="AA16" i="12"/>
  <c r="O8" i="16"/>
  <c r="AA11" i="16"/>
  <c r="AA9" i="18"/>
  <c r="AE15" i="12"/>
  <c r="R10" i="15"/>
  <c r="N8" i="16"/>
  <c r="AA10" i="16"/>
  <c r="Q11" i="18"/>
  <c r="AE7" i="18"/>
  <c r="R14" i="10"/>
  <c r="N15" i="11"/>
  <c r="AA15" i="12"/>
  <c r="Q10" i="15"/>
  <c r="AD7" i="18"/>
  <c r="AE9" i="16"/>
  <c r="N11" i="18"/>
  <c r="M15" i="19"/>
  <c r="AB9" i="5"/>
  <c r="AB12" i="3"/>
  <c r="AE13" i="9"/>
  <c r="Q14" i="10"/>
  <c r="M15" i="11"/>
  <c r="R14" i="12"/>
  <c r="AE14" i="12"/>
  <c r="N10" i="15"/>
  <c r="P10" i="15" s="1"/>
  <c r="AD9" i="16"/>
  <c r="M11" i="18"/>
  <c r="AA9" i="16"/>
  <c r="N15" i="14"/>
  <c r="AD15" i="19"/>
  <c r="AD11" i="3"/>
  <c r="O12" i="9"/>
  <c r="AA13" i="9"/>
  <c r="O13" i="7"/>
  <c r="P13" i="7" s="1"/>
  <c r="O14" i="12"/>
  <c r="AA14" i="12"/>
  <c r="AE8" i="16"/>
  <c r="AB9" i="16"/>
  <c r="M15" i="14"/>
  <c r="AE14" i="17"/>
  <c r="AB15" i="19"/>
  <c r="AE10" i="3"/>
  <c r="AE12" i="9"/>
  <c r="M13" i="7"/>
  <c r="N14" i="12"/>
  <c r="AE13" i="12"/>
  <c r="Q11" i="15"/>
  <c r="O10" i="16"/>
  <c r="AE15" i="14"/>
  <c r="AA14" i="17"/>
  <c r="AE9" i="3"/>
  <c r="AB9" i="9"/>
  <c r="AD13" i="7"/>
  <c r="R15" i="12"/>
  <c r="AA13" i="12"/>
  <c r="M11" i="15"/>
  <c r="R11" i="16"/>
  <c r="O8" i="18"/>
  <c r="O9" i="16"/>
  <c r="AB13" i="7"/>
  <c r="O13" i="8"/>
  <c r="P13" i="8" s="1"/>
  <c r="AB15" i="14"/>
  <c r="AB8" i="3"/>
  <c r="AE12" i="7"/>
  <c r="M14" i="13"/>
  <c r="Q11" i="16"/>
  <c r="N8" i="18"/>
  <c r="AE7" i="9"/>
  <c r="AB12" i="7"/>
  <c r="R13" i="11"/>
  <c r="O11" i="16"/>
  <c r="N11" i="16"/>
  <c r="AB11" i="18"/>
  <c r="AE14" i="14"/>
  <c r="AD14" i="14"/>
  <c r="AD7" i="9"/>
  <c r="AA12" i="7"/>
  <c r="Q13" i="11"/>
  <c r="AB14" i="14"/>
  <c r="AB7" i="9"/>
  <c r="AE11" i="7"/>
  <c r="N13" i="11"/>
  <c r="AE14" i="11"/>
  <c r="N8" i="15"/>
  <c r="P8" i="15" s="1"/>
  <c r="M11" i="16"/>
  <c r="R9" i="18"/>
  <c r="AA11" i="18"/>
  <c r="AE13" i="3"/>
  <c r="AE14" i="9"/>
  <c r="Q15" i="10"/>
  <c r="R12" i="11"/>
  <c r="Q18" i="12"/>
  <c r="S18" i="12" s="1"/>
  <c r="E18" i="42" s="1"/>
  <c r="AE14" i="13"/>
  <c r="R7" i="16"/>
  <c r="AD13" i="3"/>
  <c r="AD14" i="9"/>
  <c r="Q12" i="11"/>
  <c r="R15" i="11"/>
  <c r="O18" i="12"/>
  <c r="AD14" i="13"/>
  <c r="AE10" i="16"/>
  <c r="R8" i="18"/>
  <c r="Q7" i="16"/>
  <c r="O13" i="19"/>
  <c r="AB13" i="3"/>
  <c r="O11" i="9"/>
  <c r="AB14" i="9"/>
  <c r="AE8" i="9"/>
  <c r="AA13" i="7"/>
  <c r="O15" i="10"/>
  <c r="Q15" i="11"/>
  <c r="AB14" i="11"/>
  <c r="N18" i="12"/>
  <c r="AD15" i="12"/>
  <c r="AB14" i="13"/>
  <c r="N7" i="16"/>
  <c r="P7" i="16" s="1"/>
  <c r="R10" i="16"/>
  <c r="AD10" i="16"/>
  <c r="Q8" i="18"/>
  <c r="AE10" i="18"/>
  <c r="M9" i="8"/>
  <c r="O11" i="8"/>
  <c r="N13" i="19"/>
  <c r="AA13" i="3"/>
  <c r="N11" i="9"/>
  <c r="AA14" i="9"/>
  <c r="AD8" i="9"/>
  <c r="N15" i="10"/>
  <c r="O12" i="11"/>
  <c r="O15" i="11"/>
  <c r="M18" i="12"/>
  <c r="AB15" i="12"/>
  <c r="AA14" i="13"/>
  <c r="M7" i="16"/>
  <c r="Q10" i="16"/>
  <c r="AB10" i="16"/>
  <c r="R11" i="18"/>
  <c r="AD10" i="18"/>
  <c r="M11" i="9"/>
  <c r="M15" i="10"/>
  <c r="N12" i="11"/>
  <c r="R14" i="13"/>
  <c r="N15" i="17"/>
  <c r="O15" i="9"/>
  <c r="N14" i="7"/>
  <c r="P14" i="7" s="1"/>
  <c r="N14" i="13"/>
  <c r="P14" i="13" s="1"/>
  <c r="N10" i="16"/>
  <c r="M8" i="18"/>
  <c r="O11" i="18"/>
  <c r="AE13" i="19"/>
  <c r="AE12" i="11"/>
  <c r="AB13" i="19"/>
  <c r="AE15" i="17"/>
  <c r="AB12" i="11"/>
  <c r="AD8" i="16"/>
  <c r="AE8" i="18"/>
  <c r="AA13" i="19"/>
  <c r="AB11" i="3"/>
  <c r="AB12" i="9"/>
  <c r="AA11" i="7"/>
  <c r="AD15" i="17"/>
  <c r="N15" i="3"/>
  <c r="AA11" i="3"/>
  <c r="N12" i="9"/>
  <c r="AA12" i="9"/>
  <c r="N9" i="7"/>
  <c r="O13" i="11"/>
  <c r="AA12" i="11"/>
  <c r="AE18" i="12"/>
  <c r="R15" i="13"/>
  <c r="M8" i="16"/>
  <c r="AB8" i="16"/>
  <c r="AD8" i="18"/>
  <c r="AE11" i="9"/>
  <c r="AD18" i="12"/>
  <c r="Q15" i="13"/>
  <c r="AB8" i="18"/>
  <c r="AA15" i="17"/>
  <c r="AD11" i="9"/>
  <c r="AB18" i="12"/>
  <c r="AE7" i="16"/>
  <c r="O13" i="9"/>
  <c r="AB11" i="9"/>
  <c r="O15" i="7"/>
  <c r="AA18" i="12"/>
  <c r="O15" i="13"/>
  <c r="AD7" i="16"/>
  <c r="AD12" i="11"/>
  <c r="AB15" i="17"/>
  <c r="AA10" i="3"/>
  <c r="N13" i="9"/>
  <c r="AA11" i="9"/>
  <c r="N15" i="7"/>
  <c r="AE9" i="7"/>
  <c r="Q14" i="11"/>
  <c r="S14" i="11" s="1"/>
  <c r="E14" i="41" s="1"/>
  <c r="M16" i="12"/>
  <c r="AE17" i="12"/>
  <c r="N15" i="13"/>
  <c r="R9" i="16"/>
  <c r="AB7" i="16"/>
  <c r="N14" i="8"/>
  <c r="M13" i="9"/>
  <c r="AE10" i="9"/>
  <c r="M15" i="7"/>
  <c r="AD9" i="7"/>
  <c r="O14" i="10"/>
  <c r="AD17" i="12"/>
  <c r="M15" i="13"/>
  <c r="Q9" i="16"/>
  <c r="AA7" i="16"/>
  <c r="R10" i="18"/>
  <c r="AB7" i="18"/>
  <c r="Q10" i="18"/>
  <c r="AA7" i="18"/>
  <c r="AE13" i="17"/>
  <c r="AE14" i="3"/>
  <c r="AB9" i="3"/>
  <c r="AB10" i="9"/>
  <c r="AA9" i="7"/>
  <c r="AE15" i="11"/>
  <c r="AA17" i="12"/>
  <c r="AE15" i="13"/>
  <c r="AE6" i="18"/>
  <c r="AD13" i="17"/>
  <c r="AD14" i="3"/>
  <c r="AA9" i="3"/>
  <c r="O14" i="9"/>
  <c r="AA10" i="9"/>
  <c r="AD15" i="11"/>
  <c r="AE16" i="12"/>
  <c r="AD15" i="13"/>
  <c r="N9" i="16"/>
  <c r="R7" i="18"/>
  <c r="O10" i="18"/>
  <c r="AD6" i="18"/>
  <c r="AB13" i="17"/>
  <c r="AB14" i="3"/>
  <c r="AE8" i="3"/>
  <c r="N14" i="9"/>
  <c r="AE9" i="9"/>
  <c r="AB15" i="11"/>
  <c r="AD16" i="12"/>
  <c r="AB15" i="13"/>
  <c r="N10" i="18"/>
  <c r="AE11" i="18"/>
  <c r="AB6" i="18"/>
  <c r="AA13" i="17"/>
  <c r="AE15" i="19"/>
  <c r="AA14" i="3"/>
  <c r="AD8" i="3"/>
  <c r="M14" i="9"/>
  <c r="AD9" i="9"/>
  <c r="AE13" i="7"/>
  <c r="AB16" i="12"/>
  <c r="AA6" i="18"/>
  <c r="N9" i="18"/>
  <c r="R6" i="18"/>
  <c r="Q7" i="18"/>
  <c r="M7" i="18"/>
  <c r="O7" i="18"/>
  <c r="P7" i="18" s="1"/>
  <c r="Q6" i="18"/>
  <c r="O6" i="18"/>
  <c r="N6" i="18"/>
  <c r="O9" i="15"/>
  <c r="R9" i="15"/>
  <c r="N9" i="15"/>
  <c r="R8" i="15"/>
  <c r="Q8" i="15"/>
  <c r="Q15" i="12"/>
  <c r="R17" i="12"/>
  <c r="Q17" i="12"/>
  <c r="N17" i="12"/>
  <c r="P17" i="12" s="1"/>
  <c r="M17" i="12"/>
  <c r="O15" i="12"/>
  <c r="N15" i="12"/>
  <c r="O16" i="12"/>
  <c r="P16" i="12" s="1"/>
  <c r="R16" i="12"/>
  <c r="Q16" i="12"/>
  <c r="R13" i="12"/>
  <c r="Q13" i="12"/>
  <c r="O13" i="12"/>
  <c r="N13" i="12"/>
  <c r="O9" i="7"/>
  <c r="O11" i="7"/>
  <c r="N11" i="7"/>
  <c r="M11" i="7"/>
  <c r="O10" i="7"/>
  <c r="O12" i="7"/>
  <c r="N12" i="7"/>
  <c r="O10" i="9"/>
  <c r="N10" i="9"/>
  <c r="M10" i="9"/>
  <c r="O7" i="9"/>
  <c r="N7" i="9"/>
  <c r="O9" i="9"/>
  <c r="P9" i="9" s="1"/>
  <c r="O8" i="9"/>
  <c r="P8" i="9" s="1"/>
  <c r="M8" i="9"/>
  <c r="M9" i="9"/>
  <c r="N11" i="3"/>
  <c r="O15" i="3"/>
  <c r="O14" i="3"/>
  <c r="N14" i="3"/>
  <c r="N10" i="3"/>
  <c r="P10" i="3" s="1"/>
  <c r="M10" i="3"/>
  <c r="O13" i="3"/>
  <c r="N13" i="3"/>
  <c r="O12" i="3"/>
  <c r="O8" i="3"/>
  <c r="N12" i="3"/>
  <c r="N8" i="3"/>
  <c r="O11" i="3"/>
  <c r="M8" i="3"/>
  <c r="O9" i="3"/>
  <c r="N9" i="3"/>
  <c r="O13" i="17"/>
  <c r="P13" i="17" s="1"/>
  <c r="M13" i="17"/>
  <c r="O16" i="8"/>
  <c r="P16" i="8" s="1"/>
  <c r="F16" i="32" s="1"/>
  <c r="O12" i="8"/>
  <c r="P12" i="8" s="1"/>
  <c r="AE11" i="8"/>
  <c r="AD11" i="8"/>
  <c r="M8" i="8"/>
  <c r="AD8" i="8"/>
  <c r="AB8" i="8"/>
  <c r="O14" i="8"/>
  <c r="O8" i="8"/>
  <c r="N8" i="8"/>
  <c r="AE6" i="8"/>
  <c r="AB4" i="8"/>
  <c r="AE7" i="8"/>
  <c r="AD7" i="8"/>
  <c r="AB7" i="8"/>
  <c r="AD6" i="8"/>
  <c r="AB6" i="8"/>
  <c r="AE3" i="8"/>
  <c r="AD3" i="8"/>
  <c r="O6" i="8"/>
  <c r="M15" i="8"/>
  <c r="AE5" i="8"/>
  <c r="AD5" i="8"/>
  <c r="AA11" i="8"/>
  <c r="O9" i="8"/>
  <c r="P9" i="8" s="1"/>
  <c r="M12" i="8"/>
  <c r="AB5" i="8"/>
  <c r="AA10" i="8"/>
  <c r="M11" i="8"/>
  <c r="AE4" i="8"/>
  <c r="AA9" i="8"/>
  <c r="M10" i="8"/>
  <c r="AD4" i="8"/>
  <c r="AA8" i="8"/>
  <c r="AE10" i="8"/>
  <c r="AD10" i="8"/>
  <c r="AB3" i="8"/>
  <c r="AB10" i="8"/>
  <c r="AE9" i="8"/>
  <c r="AD9" i="8"/>
  <c r="O15" i="8"/>
  <c r="P15" i="8" s="1"/>
  <c r="AB9" i="8"/>
  <c r="AE8" i="8"/>
  <c r="AB11" i="8"/>
  <c r="N6" i="8"/>
  <c r="N7" i="8"/>
  <c r="P7" i="8" s="1"/>
  <c r="N5" i="8"/>
  <c r="P5" i="8" s="1"/>
  <c r="O4" i="8"/>
  <c r="N4" i="8"/>
  <c r="N3" i="8"/>
  <c r="P3" i="8" s="1"/>
  <c r="O10" i="8"/>
  <c r="P10" i="8" s="1"/>
  <c r="A21" i="47"/>
  <c r="A20" i="47"/>
  <c r="A19" i="47"/>
  <c r="A18" i="47"/>
  <c r="A17" i="47"/>
  <c r="A16" i="47"/>
  <c r="A15" i="47"/>
  <c r="A14" i="47"/>
  <c r="A13" i="47"/>
  <c r="A12" i="47"/>
  <c r="A11" i="47"/>
  <c r="A10" i="47"/>
  <c r="A9" i="47"/>
  <c r="A8" i="47"/>
  <c r="A7" i="47"/>
  <c r="E12" i="46"/>
  <c r="E13" i="46"/>
  <c r="E14" i="46"/>
  <c r="E15" i="46"/>
  <c r="E16" i="46"/>
  <c r="E17" i="46"/>
  <c r="E18" i="46"/>
  <c r="E19" i="46"/>
  <c r="E20" i="46"/>
  <c r="E21" i="46"/>
  <c r="E22" i="46"/>
  <c r="E23" i="46"/>
  <c r="E24" i="46"/>
  <c r="E25" i="46"/>
  <c r="E26" i="46"/>
  <c r="E27" i="46"/>
  <c r="E28" i="46"/>
  <c r="E29" i="46"/>
  <c r="E30" i="46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E26" i="44"/>
  <c r="E27" i="44"/>
  <c r="E28" i="44"/>
  <c r="E29" i="44"/>
  <c r="E30" i="44"/>
  <c r="E26" i="43"/>
  <c r="E27" i="43"/>
  <c r="E28" i="43"/>
  <c r="E29" i="43"/>
  <c r="E30" i="43"/>
  <c r="E20" i="42"/>
  <c r="E21" i="42"/>
  <c r="E22" i="42"/>
  <c r="E23" i="42"/>
  <c r="E24" i="42"/>
  <c r="E25" i="42"/>
  <c r="E26" i="42"/>
  <c r="E27" i="42"/>
  <c r="E28" i="42"/>
  <c r="E29" i="42"/>
  <c r="E30" i="42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26" i="40"/>
  <c r="E27" i="40"/>
  <c r="E28" i="40"/>
  <c r="E29" i="40"/>
  <c r="E30" i="40"/>
  <c r="E26" i="39"/>
  <c r="E27" i="39"/>
  <c r="E28" i="39"/>
  <c r="E29" i="39"/>
  <c r="E30" i="39"/>
  <c r="E26" i="38"/>
  <c r="E27" i="38"/>
  <c r="E28" i="38"/>
  <c r="E29" i="38"/>
  <c r="E30" i="38"/>
  <c r="E26" i="37"/>
  <c r="E27" i="37"/>
  <c r="E28" i="37"/>
  <c r="E29" i="37"/>
  <c r="E30" i="37"/>
  <c r="E26" i="36"/>
  <c r="E27" i="36"/>
  <c r="E28" i="36"/>
  <c r="E29" i="36"/>
  <c r="E30" i="36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10" i="32"/>
  <c r="E11" i="32"/>
  <c r="E12" i="32"/>
  <c r="E14" i="32"/>
  <c r="E15" i="32"/>
  <c r="A14" i="32"/>
  <c r="C14" i="32"/>
  <c r="D14" i="32"/>
  <c r="F14" i="32"/>
  <c r="A15" i="32"/>
  <c r="C15" i="32"/>
  <c r="D15" i="32"/>
  <c r="F15" i="32"/>
  <c r="A16" i="32"/>
  <c r="A17" i="32"/>
  <c r="C17" i="32"/>
  <c r="D17" i="32"/>
  <c r="F17" i="32"/>
  <c r="A18" i="32"/>
  <c r="C18" i="32"/>
  <c r="D18" i="32"/>
  <c r="F18" i="32"/>
  <c r="A19" i="32"/>
  <c r="C19" i="32"/>
  <c r="D19" i="32"/>
  <c r="F19" i="32"/>
  <c r="A20" i="32"/>
  <c r="C20" i="32"/>
  <c r="D20" i="32"/>
  <c r="F20" i="32"/>
  <c r="A21" i="32"/>
  <c r="C21" i="32"/>
  <c r="D21" i="32"/>
  <c r="F21" i="32"/>
  <c r="A22" i="32"/>
  <c r="C22" i="32"/>
  <c r="D22" i="32"/>
  <c r="F22" i="32"/>
  <c r="A23" i="32"/>
  <c r="C23" i="32"/>
  <c r="D23" i="32"/>
  <c r="F23" i="32"/>
  <c r="A24" i="32"/>
  <c r="C24" i="32"/>
  <c r="D24" i="32"/>
  <c r="F24" i="32"/>
  <c r="A25" i="32"/>
  <c r="C25" i="32"/>
  <c r="D25" i="32"/>
  <c r="F25" i="32"/>
  <c r="A26" i="32"/>
  <c r="C26" i="32"/>
  <c r="D26" i="32"/>
  <c r="F26" i="32"/>
  <c r="A27" i="32"/>
  <c r="C27" i="32"/>
  <c r="D27" i="32"/>
  <c r="F27" i="32"/>
  <c r="A28" i="32"/>
  <c r="C28" i="32"/>
  <c r="D28" i="32"/>
  <c r="F28" i="32"/>
  <c r="A29" i="32"/>
  <c r="C29" i="32"/>
  <c r="D29" i="32"/>
  <c r="F29" i="32"/>
  <c r="A30" i="32"/>
  <c r="C30" i="32"/>
  <c r="D30" i="32"/>
  <c r="F30" i="32"/>
  <c r="L6" i="9"/>
  <c r="L5" i="10"/>
  <c r="L6" i="10"/>
  <c r="L7" i="10"/>
  <c r="L8" i="10"/>
  <c r="L9" i="10"/>
  <c r="L10" i="10"/>
  <c r="L11" i="10"/>
  <c r="L12" i="10"/>
  <c r="L13" i="10"/>
  <c r="L5" i="7"/>
  <c r="L6" i="7"/>
  <c r="L8" i="7"/>
  <c r="L7" i="7"/>
  <c r="L9" i="14"/>
  <c r="L13" i="14"/>
  <c r="R18" i="10" l="1"/>
  <c r="AH18" i="10"/>
  <c r="R17" i="10"/>
  <c r="AH17" i="10"/>
  <c r="S23" i="13"/>
  <c r="E23" i="43" s="1"/>
  <c r="P21" i="13"/>
  <c r="Q16" i="10"/>
  <c r="AG16" i="10"/>
  <c r="AG20" i="10" s="1" a="1"/>
  <c r="AG20" i="10" s="1"/>
  <c r="S25" i="13"/>
  <c r="AH20" i="10" a="1"/>
  <c r="AH20" i="10" s="1"/>
  <c r="G18" i="10"/>
  <c r="G23" i="5"/>
  <c r="P23" i="5"/>
  <c r="Q18" i="10"/>
  <c r="S18" i="10" s="1"/>
  <c r="Q18" i="3"/>
  <c r="G25" i="8"/>
  <c r="Q25" i="8"/>
  <c r="G9" i="5"/>
  <c r="Q24" i="7"/>
  <c r="S24" i="7" s="1"/>
  <c r="G25" i="9"/>
  <c r="P17" i="10"/>
  <c r="P18" i="13"/>
  <c r="Q25" i="7"/>
  <c r="P23" i="13"/>
  <c r="P23" i="9"/>
  <c r="P16" i="15"/>
  <c r="P24" i="5"/>
  <c r="P25" i="9"/>
  <c r="P23" i="3"/>
  <c r="P16" i="3"/>
  <c r="G19" i="9"/>
  <c r="R23" i="5"/>
  <c r="S23" i="5" s="1"/>
  <c r="E23" i="36" s="1"/>
  <c r="P17" i="7"/>
  <c r="P22" i="9"/>
  <c r="P25" i="15"/>
  <c r="G17" i="10"/>
  <c r="G6" i="5"/>
  <c r="P22" i="8"/>
  <c r="P25" i="10"/>
  <c r="P24" i="8"/>
  <c r="G25" i="5"/>
  <c r="S19" i="13"/>
  <c r="E19" i="43" s="1"/>
  <c r="S23" i="9"/>
  <c r="G16" i="5"/>
  <c r="S25" i="5"/>
  <c r="G3" i="5"/>
  <c r="G21" i="5"/>
  <c r="P20" i="10"/>
  <c r="S22" i="13"/>
  <c r="E22" i="43" s="1"/>
  <c r="G16" i="9"/>
  <c r="G23" i="8"/>
  <c r="P20" i="3"/>
  <c r="P25" i="7"/>
  <c r="P23" i="7"/>
  <c r="R18" i="3"/>
  <c r="P17" i="3"/>
  <c r="Q23" i="8"/>
  <c r="S23" i="8" s="1"/>
  <c r="G17" i="9"/>
  <c r="S21" i="5"/>
  <c r="P20" i="13"/>
  <c r="S17" i="13"/>
  <c r="E17" i="43" s="1"/>
  <c r="S24" i="5"/>
  <c r="P25" i="13"/>
  <c r="P24" i="13"/>
  <c r="G18" i="9"/>
  <c r="P13" i="5"/>
  <c r="G17" i="3"/>
  <c r="R18" i="5"/>
  <c r="S18" i="5" s="1"/>
  <c r="E18" i="36" s="1"/>
  <c r="S22" i="5"/>
  <c r="G20" i="9"/>
  <c r="P24" i="3"/>
  <c r="G17" i="5"/>
  <c r="S16" i="3"/>
  <c r="E25" i="43"/>
  <c r="S24" i="10"/>
  <c r="E24" i="40" s="1"/>
  <c r="P22" i="13"/>
  <c r="S12" i="15"/>
  <c r="E12" i="44" s="1"/>
  <c r="G19" i="5"/>
  <c r="G24" i="5"/>
  <c r="G24" i="9"/>
  <c r="Q20" i="9"/>
  <c r="S20" i="9" s="1"/>
  <c r="S22" i="10"/>
  <c r="E22" i="40" s="1"/>
  <c r="R25" i="8"/>
  <c r="S25" i="8" s="1"/>
  <c r="G16" i="3"/>
  <c r="G21" i="9"/>
  <c r="G24" i="8"/>
  <c r="S17" i="3"/>
  <c r="Q16" i="5"/>
  <c r="S16" i="5" s="1"/>
  <c r="Q16" i="9"/>
  <c r="S16" i="9" s="1"/>
  <c r="G23" i="9"/>
  <c r="G22" i="9"/>
  <c r="P21" i="3"/>
  <c r="R22" i="9"/>
  <c r="S22" i="9" s="1"/>
  <c r="S24" i="13"/>
  <c r="E24" i="43" s="1"/>
  <c r="P25" i="5"/>
  <c r="S25" i="3"/>
  <c r="R25" i="7"/>
  <c r="G23" i="3"/>
  <c r="Q23" i="3"/>
  <c r="S23" i="3" s="1"/>
  <c r="S25" i="9"/>
  <c r="P23" i="15"/>
  <c r="S22" i="3"/>
  <c r="AA13" i="10"/>
  <c r="AB13" i="10"/>
  <c r="AD13" i="10"/>
  <c r="AE13" i="10"/>
  <c r="P13" i="15"/>
  <c r="P19" i="15"/>
  <c r="Q19" i="3"/>
  <c r="S19" i="3" s="1"/>
  <c r="G19" i="3"/>
  <c r="Q21" i="9"/>
  <c r="S21" i="9" s="1"/>
  <c r="G24" i="3"/>
  <c r="Q17" i="5"/>
  <c r="S17" i="5" s="1"/>
  <c r="G22" i="5"/>
  <c r="S20" i="13"/>
  <c r="E20" i="43" s="1"/>
  <c r="P14" i="15"/>
  <c r="S23" i="15"/>
  <c r="E23" i="44" s="1"/>
  <c r="G25" i="3"/>
  <c r="Q24" i="3"/>
  <c r="S24" i="3" s="1"/>
  <c r="P25" i="3"/>
  <c r="P21" i="9"/>
  <c r="P22" i="3"/>
  <c r="Q21" i="3"/>
  <c r="S21" i="3" s="1"/>
  <c r="G21" i="3"/>
  <c r="P18" i="9"/>
  <c r="S25" i="15"/>
  <c r="E25" i="44" s="1"/>
  <c r="P18" i="3"/>
  <c r="S23" i="10"/>
  <c r="E23" i="40" s="1"/>
  <c r="S20" i="3"/>
  <c r="G22" i="3"/>
  <c r="S18" i="9"/>
  <c r="S24" i="9"/>
  <c r="P19" i="3"/>
  <c r="S20" i="5"/>
  <c r="S22" i="15"/>
  <c r="E22" i="44" s="1"/>
  <c r="S24" i="8"/>
  <c r="G20" i="5"/>
  <c r="S21" i="13"/>
  <c r="E21" i="43" s="1"/>
  <c r="P12" i="15"/>
  <c r="G20" i="3"/>
  <c r="P19" i="8"/>
  <c r="P18" i="8"/>
  <c r="Q6" i="8"/>
  <c r="I2" i="51" a="1"/>
  <c r="I2" i="51" s="1"/>
  <c r="R6" i="8"/>
  <c r="J2" i="51" a="1"/>
  <c r="J2" i="51" s="1"/>
  <c r="S14" i="15"/>
  <c r="E14" i="44" s="1"/>
  <c r="S24" i="15"/>
  <c r="E24" i="44" s="1"/>
  <c r="S20" i="15"/>
  <c r="E20" i="44" s="1"/>
  <c r="S19" i="15"/>
  <c r="E19" i="44" s="1"/>
  <c r="P22" i="15"/>
  <c r="S18" i="15"/>
  <c r="E18" i="44" s="1"/>
  <c r="P21" i="15"/>
  <c r="S16" i="15"/>
  <c r="E16" i="44" s="1"/>
  <c r="S21" i="15"/>
  <c r="E21" i="44" s="1"/>
  <c r="P15" i="15"/>
  <c r="S13" i="15"/>
  <c r="E13" i="44" s="1"/>
  <c r="P17" i="15"/>
  <c r="S17" i="15"/>
  <c r="E17" i="44" s="1"/>
  <c r="S15" i="15"/>
  <c r="E15" i="44" s="1"/>
  <c r="S9" i="15"/>
  <c r="E9" i="44" s="1"/>
  <c r="S25" i="10"/>
  <c r="E25" i="40" s="1"/>
  <c r="P24" i="10"/>
  <c r="P21" i="10"/>
  <c r="Q18" i="7"/>
  <c r="S18" i="7" s="1"/>
  <c r="Q21" i="7"/>
  <c r="S21" i="7" s="1"/>
  <c r="Q20" i="7"/>
  <c r="S20" i="7" s="1"/>
  <c r="Q23" i="7"/>
  <c r="S23" i="7" s="1"/>
  <c r="G22" i="7"/>
  <c r="G24" i="7"/>
  <c r="S19" i="9"/>
  <c r="S17" i="9"/>
  <c r="P17" i="9"/>
  <c r="S19" i="5"/>
  <c r="P7" i="5"/>
  <c r="G13" i="5"/>
  <c r="P17" i="8"/>
  <c r="R6" i="5"/>
  <c r="S6" i="5" s="1"/>
  <c r="S4" i="5"/>
  <c r="R22" i="7"/>
  <c r="R13" i="5"/>
  <c r="S13" i="5" s="1"/>
  <c r="S7" i="5"/>
  <c r="G16" i="10"/>
  <c r="G7" i="5"/>
  <c r="Q9" i="5"/>
  <c r="S9" i="5" s="1"/>
  <c r="G14" i="5"/>
  <c r="G5" i="5"/>
  <c r="G4" i="5"/>
  <c r="S15" i="5"/>
  <c r="G10" i="5"/>
  <c r="G12" i="5"/>
  <c r="R5" i="5"/>
  <c r="S5" i="5" s="1"/>
  <c r="G15" i="5"/>
  <c r="Q3" i="5"/>
  <c r="S3" i="5" s="1"/>
  <c r="Q10" i="5"/>
  <c r="S10" i="5" s="1"/>
  <c r="S8" i="5"/>
  <c r="G11" i="5"/>
  <c r="S14" i="5"/>
  <c r="G8" i="5"/>
  <c r="S11" i="5"/>
  <c r="S11" i="15"/>
  <c r="E11" i="44" s="1"/>
  <c r="S19" i="10"/>
  <c r="E19" i="40" s="1"/>
  <c r="S12" i="5"/>
  <c r="S15" i="10"/>
  <c r="E15" i="40" s="1"/>
  <c r="S21" i="10"/>
  <c r="E21" i="40" s="1"/>
  <c r="S18" i="13"/>
  <c r="E18" i="43" s="1"/>
  <c r="S16" i="13"/>
  <c r="E16" i="43" s="1"/>
  <c r="S19" i="12"/>
  <c r="E19" i="42" s="1"/>
  <c r="Q22" i="7"/>
  <c r="G13" i="7"/>
  <c r="G19" i="7"/>
  <c r="G23" i="7"/>
  <c r="P15" i="9"/>
  <c r="G21" i="7"/>
  <c r="G18" i="7"/>
  <c r="R19" i="7"/>
  <c r="S19" i="7" s="1"/>
  <c r="P13" i="12"/>
  <c r="G20" i="7"/>
  <c r="S17" i="7"/>
  <c r="S14" i="7"/>
  <c r="G6" i="9"/>
  <c r="S11" i="7"/>
  <c r="S16" i="7"/>
  <c r="S9" i="7"/>
  <c r="G15" i="3"/>
  <c r="G9" i="14"/>
  <c r="G22" i="8"/>
  <c r="G15" i="7"/>
  <c r="S22" i="8"/>
  <c r="G15" i="8"/>
  <c r="G3" i="14"/>
  <c r="G15" i="19"/>
  <c r="G13" i="14"/>
  <c r="G13" i="8"/>
  <c r="S15" i="14"/>
  <c r="Q13" i="8"/>
  <c r="S13" i="8" s="1"/>
  <c r="E13" i="32" s="1"/>
  <c r="G10" i="8"/>
  <c r="G14" i="8"/>
  <c r="G10" i="9"/>
  <c r="Q14" i="8"/>
  <c r="S14" i="8" s="1"/>
  <c r="P13" i="19"/>
  <c r="G14" i="3"/>
  <c r="P21" i="7"/>
  <c r="S17" i="8"/>
  <c r="G13" i="9"/>
  <c r="R15" i="19"/>
  <c r="S15" i="19" s="1"/>
  <c r="G8" i="8"/>
  <c r="G9" i="8"/>
  <c r="G7" i="9"/>
  <c r="G20" i="8"/>
  <c r="G15" i="14"/>
  <c r="S17" i="10"/>
  <c r="P16" i="10"/>
  <c r="S20" i="10"/>
  <c r="E20" i="40" s="1"/>
  <c r="P18" i="10"/>
  <c r="S16" i="10"/>
  <c r="P20" i="7"/>
  <c r="P19" i="7"/>
  <c r="G7" i="7"/>
  <c r="G17" i="7"/>
  <c r="G16" i="7"/>
  <c r="G12" i="7"/>
  <c r="Q10" i="8"/>
  <c r="S10" i="8" s="1"/>
  <c r="R20" i="8"/>
  <c r="S20" i="8" s="1"/>
  <c r="G14" i="9"/>
  <c r="G5" i="7"/>
  <c r="G5" i="8"/>
  <c r="P9" i="18"/>
  <c r="G15" i="17"/>
  <c r="P15" i="17"/>
  <c r="G11" i="8"/>
  <c r="S18" i="8"/>
  <c r="R7" i="9"/>
  <c r="S7" i="9" s="1"/>
  <c r="Q15" i="3"/>
  <c r="S15" i="3" s="1"/>
  <c r="R13" i="9"/>
  <c r="S13" i="9" s="1"/>
  <c r="G13" i="19"/>
  <c r="G12" i="8"/>
  <c r="G18" i="8"/>
  <c r="Q10" i="9"/>
  <c r="S10" i="9" s="1"/>
  <c r="G7" i="8"/>
  <c r="Q9" i="8"/>
  <c r="S9" i="8" s="1"/>
  <c r="E9" i="32" s="1"/>
  <c r="S11" i="18"/>
  <c r="E11" i="46" s="1"/>
  <c r="G14" i="17"/>
  <c r="G14" i="14"/>
  <c r="G14" i="19"/>
  <c r="G13" i="17"/>
  <c r="P13" i="11"/>
  <c r="G8" i="7"/>
  <c r="G6" i="7"/>
  <c r="G11" i="7"/>
  <c r="R15" i="7"/>
  <c r="S15" i="7" s="1"/>
  <c r="P10" i="9"/>
  <c r="P21" i="8"/>
  <c r="R5" i="8"/>
  <c r="S5" i="8" s="1"/>
  <c r="G4" i="8"/>
  <c r="Q4" i="8"/>
  <c r="S4" i="8" s="1"/>
  <c r="Q15" i="8"/>
  <c r="S15" i="8" s="1"/>
  <c r="P14" i="19"/>
  <c r="G17" i="8"/>
  <c r="G11" i="3"/>
  <c r="G15" i="9"/>
  <c r="Q3" i="8"/>
  <c r="S3" i="8" s="1"/>
  <c r="R12" i="7"/>
  <c r="S12" i="7" s="1"/>
  <c r="G21" i="8"/>
  <c r="P14" i="17"/>
  <c r="G8" i="9"/>
  <c r="Q7" i="8"/>
  <c r="S7" i="8" s="1"/>
  <c r="E7" i="32" s="1"/>
  <c r="G12" i="9"/>
  <c r="G10" i="7"/>
  <c r="G8" i="3"/>
  <c r="G16" i="8"/>
  <c r="R14" i="9"/>
  <c r="S14" i="9" s="1"/>
  <c r="G3" i="8"/>
  <c r="S19" i="8"/>
  <c r="R13" i="7"/>
  <c r="G19" i="8"/>
  <c r="Q14" i="3"/>
  <c r="S14" i="3" s="1"/>
  <c r="P12" i="7"/>
  <c r="G14" i="7"/>
  <c r="S8" i="3"/>
  <c r="G6" i="8"/>
  <c r="G11" i="9"/>
  <c r="G9" i="9"/>
  <c r="Q10" i="7"/>
  <c r="S10" i="7" s="1"/>
  <c r="G13" i="3"/>
  <c r="G9" i="3"/>
  <c r="G9" i="7"/>
  <c r="G12" i="3"/>
  <c r="Q15" i="9"/>
  <c r="S15" i="9" s="1"/>
  <c r="S11" i="9"/>
  <c r="G10" i="3"/>
  <c r="S8" i="8"/>
  <c r="E8" i="32" s="1"/>
  <c r="S21" i="8"/>
  <c r="S11" i="8"/>
  <c r="P14" i="10"/>
  <c r="S14" i="13"/>
  <c r="E14" i="43" s="1"/>
  <c r="S9" i="9"/>
  <c r="S12" i="8"/>
  <c r="P14" i="3"/>
  <c r="S14" i="19"/>
  <c r="P9" i="15"/>
  <c r="S16" i="8"/>
  <c r="E16" i="32" s="1"/>
  <c r="P8" i="18"/>
  <c r="S14" i="10"/>
  <c r="E14" i="40" s="1"/>
  <c r="S11" i="16"/>
  <c r="E11" i="45" s="1"/>
  <c r="P15" i="14"/>
  <c r="P13" i="9"/>
  <c r="P11" i="18"/>
  <c r="S12" i="11"/>
  <c r="E12" i="41" s="1"/>
  <c r="P15" i="11"/>
  <c r="P18" i="12"/>
  <c r="P10" i="16"/>
  <c r="S14" i="12"/>
  <c r="E14" i="42" s="1"/>
  <c r="P14" i="8"/>
  <c r="P11" i="8"/>
  <c r="S14" i="17"/>
  <c r="P9" i="16"/>
  <c r="P11" i="9"/>
  <c r="P8" i="16"/>
  <c r="S12" i="9"/>
  <c r="P11" i="16"/>
  <c r="S8" i="18"/>
  <c r="E8" i="46" s="1"/>
  <c r="S16" i="12"/>
  <c r="E16" i="42" s="1"/>
  <c r="S6" i="18"/>
  <c r="E6" i="46" s="1"/>
  <c r="P15" i="13"/>
  <c r="S8" i="16"/>
  <c r="E8" i="45" s="1"/>
  <c r="P11" i="3"/>
  <c r="P14" i="9"/>
  <c r="P10" i="7"/>
  <c r="P15" i="7"/>
  <c r="S10" i="15"/>
  <c r="E10" i="44" s="1"/>
  <c r="S17" i="12"/>
  <c r="E17" i="42" s="1"/>
  <c r="P12" i="9"/>
  <c r="S15" i="12"/>
  <c r="E15" i="42" s="1"/>
  <c r="P11" i="7"/>
  <c r="S13" i="11"/>
  <c r="E13" i="41" s="1"/>
  <c r="P14" i="11"/>
  <c r="P14" i="12"/>
  <c r="S15" i="13"/>
  <c r="E15" i="43" s="1"/>
  <c r="P13" i="3"/>
  <c r="S14" i="14"/>
  <c r="P11" i="15"/>
  <c r="S9" i="18"/>
  <c r="E9" i="46" s="1"/>
  <c r="AA12" i="10"/>
  <c r="AB12" i="10"/>
  <c r="AD12" i="10"/>
  <c r="AE12" i="10"/>
  <c r="P7" i="9"/>
  <c r="S9" i="16"/>
  <c r="E9" i="45" s="1"/>
  <c r="P9" i="7"/>
  <c r="S8" i="15"/>
  <c r="E8" i="44" s="1"/>
  <c r="P15" i="10"/>
  <c r="S15" i="11"/>
  <c r="E15" i="41" s="1"/>
  <c r="S13" i="19"/>
  <c r="P12" i="11"/>
  <c r="P15" i="3"/>
  <c r="P10" i="18"/>
  <c r="AE13" i="14"/>
  <c r="AA13" i="14"/>
  <c r="AB13" i="14"/>
  <c r="AD13" i="14"/>
  <c r="AB7" i="7"/>
  <c r="AD7" i="7"/>
  <c r="AE7" i="7"/>
  <c r="S15" i="17"/>
  <c r="S11" i="3"/>
  <c r="AB8" i="7"/>
  <c r="AD8" i="7"/>
  <c r="AE8" i="7"/>
  <c r="AA8" i="7"/>
  <c r="S7" i="18"/>
  <c r="E7" i="46" s="1"/>
  <c r="AE6" i="7"/>
  <c r="AB6" i="7"/>
  <c r="AD6" i="7"/>
  <c r="S10" i="18"/>
  <c r="E10" i="46" s="1"/>
  <c r="S7" i="16"/>
  <c r="E7" i="45" s="1"/>
  <c r="AB5" i="7"/>
  <c r="AD5" i="7"/>
  <c r="AE5" i="7"/>
  <c r="P8" i="3"/>
  <c r="P15" i="12"/>
  <c r="S10" i="16"/>
  <c r="E10" i="45" s="1"/>
  <c r="P8" i="8"/>
  <c r="P6" i="18"/>
  <c r="S13" i="12"/>
  <c r="E13" i="42" s="1"/>
  <c r="S8" i="9"/>
  <c r="P12" i="3"/>
  <c r="S12" i="3"/>
  <c r="P9" i="3"/>
  <c r="S13" i="3"/>
  <c r="S9" i="3"/>
  <c r="S10" i="3"/>
  <c r="S13" i="17"/>
  <c r="AE10" i="10"/>
  <c r="M10" i="10"/>
  <c r="AD10" i="10"/>
  <c r="AA10" i="10"/>
  <c r="AB10" i="10"/>
  <c r="M7" i="10"/>
  <c r="AA7" i="10"/>
  <c r="AB7" i="10"/>
  <c r="AD7" i="10"/>
  <c r="AE7" i="10"/>
  <c r="M6" i="10"/>
  <c r="AA6" i="10"/>
  <c r="AD6" i="10"/>
  <c r="AB6" i="10"/>
  <c r="AE6" i="10"/>
  <c r="AB5" i="10"/>
  <c r="AD5" i="10"/>
  <c r="M5" i="10"/>
  <c r="AE5" i="10"/>
  <c r="AA5" i="10"/>
  <c r="N6" i="9"/>
  <c r="AE6" i="9"/>
  <c r="M6" i="9"/>
  <c r="AA6" i="9"/>
  <c r="AB6" i="9"/>
  <c r="AD6" i="9"/>
  <c r="AA8" i="10"/>
  <c r="M8" i="10"/>
  <c r="AB8" i="10"/>
  <c r="AD8" i="10"/>
  <c r="AE8" i="10"/>
  <c r="AA9" i="14"/>
  <c r="AE9" i="14"/>
  <c r="AB9" i="14"/>
  <c r="AD9" i="14"/>
  <c r="AA11" i="10"/>
  <c r="AB11" i="10"/>
  <c r="AD11" i="10"/>
  <c r="AE11" i="10"/>
  <c r="M11" i="10"/>
  <c r="M9" i="10"/>
  <c r="AA9" i="10"/>
  <c r="AD9" i="10"/>
  <c r="AB9" i="10"/>
  <c r="AE9" i="10"/>
  <c r="O8" i="7"/>
  <c r="M8" i="7"/>
  <c r="R6" i="7"/>
  <c r="N7" i="7"/>
  <c r="AE3" i="10"/>
  <c r="AD3" i="10"/>
  <c r="AB3" i="10"/>
  <c r="N5" i="7"/>
  <c r="AB4" i="10"/>
  <c r="AD4" i="10"/>
  <c r="AE4" i="10"/>
  <c r="M12" i="10"/>
  <c r="M13" i="10"/>
  <c r="P6" i="8"/>
  <c r="N13" i="14"/>
  <c r="M13" i="14"/>
  <c r="O9" i="14"/>
  <c r="M9" i="14"/>
  <c r="P4" i="8"/>
  <c r="Q6" i="9"/>
  <c r="R6" i="9"/>
  <c r="O6" i="9"/>
  <c r="N9" i="14"/>
  <c r="O6" i="7"/>
  <c r="N6" i="7"/>
  <c r="R13" i="14"/>
  <c r="Q13" i="14"/>
  <c r="O13" i="14"/>
  <c r="Q6" i="7"/>
  <c r="R8" i="7"/>
  <c r="N8" i="7"/>
  <c r="Q5" i="7"/>
  <c r="Q8" i="7"/>
  <c r="R7" i="7"/>
  <c r="Q7" i="7"/>
  <c r="O7" i="7"/>
  <c r="R5" i="7"/>
  <c r="O5" i="7"/>
  <c r="R9" i="14"/>
  <c r="Q9" i="14"/>
  <c r="E18" i="40" l="1"/>
  <c r="S18" i="3"/>
  <c r="E18" i="37" s="1"/>
  <c r="E25" i="38"/>
  <c r="S25" i="7"/>
  <c r="E19" i="38"/>
  <c r="E18" i="38"/>
  <c r="S6" i="8"/>
  <c r="E6" i="32" s="1"/>
  <c r="E22" i="38"/>
  <c r="E22" i="36"/>
  <c r="E21" i="38"/>
  <c r="E16" i="36"/>
  <c r="E25" i="36"/>
  <c r="E17" i="40"/>
  <c r="E23" i="38"/>
  <c r="E16" i="38"/>
  <c r="E21" i="36"/>
  <c r="E20" i="38"/>
  <c r="E24" i="38"/>
  <c r="E17" i="38"/>
  <c r="E19" i="36"/>
  <c r="E20" i="36"/>
  <c r="E17" i="36"/>
  <c r="E17" i="37"/>
  <c r="E20" i="37"/>
  <c r="E16" i="37"/>
  <c r="E24" i="36"/>
  <c r="E22" i="37"/>
  <c r="E21" i="37"/>
  <c r="E19" i="37"/>
  <c r="E25" i="37"/>
  <c r="G25" i="7"/>
  <c r="E24" i="37"/>
  <c r="E23" i="37"/>
  <c r="S22" i="7"/>
  <c r="E22" i="39" s="1"/>
  <c r="E24" i="39"/>
  <c r="E16" i="40"/>
  <c r="E23" i="39"/>
  <c r="E19" i="39"/>
  <c r="E21" i="39"/>
  <c r="E18" i="39"/>
  <c r="E20" i="39"/>
  <c r="S7" i="7"/>
  <c r="E7" i="39" s="1"/>
  <c r="S8" i="7"/>
  <c r="E8" i="39" s="1"/>
  <c r="S6" i="7"/>
  <c r="E6" i="39" s="1"/>
  <c r="E15" i="37"/>
  <c r="E10" i="36"/>
  <c r="S5" i="7"/>
  <c r="E5" i="39" s="1"/>
  <c r="E10" i="38"/>
  <c r="E14" i="35"/>
  <c r="E14" i="37"/>
  <c r="S13" i="7"/>
  <c r="E13" i="39" s="1"/>
  <c r="E15" i="39"/>
  <c r="E15" i="35"/>
  <c r="E15" i="33"/>
  <c r="E12" i="39"/>
  <c r="E7" i="38"/>
  <c r="E14" i="33"/>
  <c r="E13" i="34"/>
  <c r="E11" i="38"/>
  <c r="E13" i="38"/>
  <c r="E15" i="38"/>
  <c r="E11" i="37"/>
  <c r="E15" i="34"/>
  <c r="E14" i="38"/>
  <c r="E17" i="39"/>
  <c r="E16" i="39"/>
  <c r="E11" i="39"/>
  <c r="E5" i="32"/>
  <c r="E14" i="34"/>
  <c r="E13" i="35"/>
  <c r="E14" i="39"/>
  <c r="E10" i="39"/>
  <c r="E13" i="36"/>
  <c r="E11" i="36"/>
  <c r="E9" i="36"/>
  <c r="E14" i="36"/>
  <c r="E15" i="36"/>
  <c r="E12" i="36"/>
  <c r="E9" i="38"/>
  <c r="E13" i="37"/>
  <c r="E12" i="37"/>
  <c r="E8" i="38"/>
  <c r="E8" i="37"/>
  <c r="E9" i="39"/>
  <c r="E12" i="38"/>
  <c r="E10" i="37"/>
  <c r="E9" i="37"/>
  <c r="P13" i="14"/>
  <c r="P9" i="14"/>
  <c r="P5" i="7"/>
  <c r="P8" i="7"/>
  <c r="P7" i="7"/>
  <c r="P6" i="7"/>
  <c r="P6" i="9"/>
  <c r="S6" i="9"/>
  <c r="E6" i="38" s="1"/>
  <c r="S13" i="14"/>
  <c r="E13" i="33" s="1"/>
  <c r="S9" i="14"/>
  <c r="E9" i="33" s="1"/>
  <c r="G4" i="7"/>
  <c r="E25" i="39" l="1"/>
  <c r="N4" i="7"/>
  <c r="AB4" i="7"/>
  <c r="AD4" i="7"/>
  <c r="AE4" i="7"/>
  <c r="R4" i="7"/>
  <c r="Q4" i="7"/>
  <c r="O4" i="7"/>
  <c r="L3" i="14"/>
  <c r="L4" i="14"/>
  <c r="L3" i="3"/>
  <c r="L3" i="9"/>
  <c r="L4" i="9"/>
  <c r="L3" i="17"/>
  <c r="L5" i="14"/>
  <c r="N3" i="10"/>
  <c r="N4" i="10"/>
  <c r="N5" i="10"/>
  <c r="N6" i="10"/>
  <c r="N7" i="10"/>
  <c r="N8" i="10"/>
  <c r="N9" i="10"/>
  <c r="N10" i="10"/>
  <c r="N11" i="10"/>
  <c r="N12" i="10"/>
  <c r="N13" i="10"/>
  <c r="C4" i="46"/>
  <c r="D4" i="46"/>
  <c r="F4" i="46"/>
  <c r="C5" i="46"/>
  <c r="D5" i="46"/>
  <c r="F5" i="46"/>
  <c r="C6" i="46"/>
  <c r="D6" i="46"/>
  <c r="F6" i="46"/>
  <c r="C7" i="46"/>
  <c r="D7" i="46"/>
  <c r="F7" i="46"/>
  <c r="C8" i="46"/>
  <c r="D8" i="46"/>
  <c r="F8" i="46"/>
  <c r="C9" i="46"/>
  <c r="D9" i="46"/>
  <c r="F9" i="46"/>
  <c r="C10" i="46"/>
  <c r="D10" i="46"/>
  <c r="F10" i="46"/>
  <c r="C11" i="46"/>
  <c r="D11" i="46"/>
  <c r="F11" i="46"/>
  <c r="C12" i="46"/>
  <c r="D12" i="46"/>
  <c r="F12" i="46"/>
  <c r="C13" i="46"/>
  <c r="D13" i="46"/>
  <c r="F13" i="46"/>
  <c r="C14" i="46"/>
  <c r="D14" i="46"/>
  <c r="F14" i="46"/>
  <c r="C15" i="46"/>
  <c r="D15" i="46"/>
  <c r="F15" i="46"/>
  <c r="C16" i="46"/>
  <c r="D16" i="46"/>
  <c r="F16" i="46"/>
  <c r="C17" i="46"/>
  <c r="D17" i="46"/>
  <c r="F17" i="46"/>
  <c r="C18" i="46"/>
  <c r="D18" i="46"/>
  <c r="F18" i="46"/>
  <c r="C19" i="46"/>
  <c r="D19" i="46"/>
  <c r="F19" i="46"/>
  <c r="C20" i="46"/>
  <c r="D20" i="46"/>
  <c r="F20" i="46"/>
  <c r="C21" i="46"/>
  <c r="D21" i="46"/>
  <c r="F21" i="46"/>
  <c r="C22" i="46"/>
  <c r="D22" i="46"/>
  <c r="F22" i="46"/>
  <c r="C23" i="46"/>
  <c r="D23" i="46"/>
  <c r="F23" i="46"/>
  <c r="C24" i="46"/>
  <c r="D24" i="46"/>
  <c r="F24" i="46"/>
  <c r="C25" i="46"/>
  <c r="D25" i="46"/>
  <c r="F25" i="46"/>
  <c r="C26" i="46"/>
  <c r="D26" i="46"/>
  <c r="F26" i="46"/>
  <c r="C27" i="46"/>
  <c r="D27" i="46"/>
  <c r="F27" i="46"/>
  <c r="C28" i="46"/>
  <c r="D28" i="46"/>
  <c r="F28" i="46"/>
  <c r="C29" i="46"/>
  <c r="D29" i="46"/>
  <c r="F29" i="46"/>
  <c r="C30" i="46"/>
  <c r="D30" i="46"/>
  <c r="F30" i="46"/>
  <c r="A4" i="46"/>
  <c r="A5" i="46"/>
  <c r="A6" i="46"/>
  <c r="A7" i="46"/>
  <c r="A8" i="46"/>
  <c r="A9" i="46"/>
  <c r="A10" i="46"/>
  <c r="A11" i="46"/>
  <c r="A12" i="46"/>
  <c r="A13" i="46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A27" i="46"/>
  <c r="A28" i="46"/>
  <c r="A29" i="46"/>
  <c r="A30" i="46"/>
  <c r="F3" i="46"/>
  <c r="D3" i="46"/>
  <c r="C3" i="46"/>
  <c r="A3" i="46"/>
  <c r="A1" i="46"/>
  <c r="G3" i="18"/>
  <c r="G4" i="18"/>
  <c r="G5" i="18"/>
  <c r="C4" i="45"/>
  <c r="D4" i="45"/>
  <c r="F4" i="45"/>
  <c r="C5" i="45"/>
  <c r="D5" i="45"/>
  <c r="F5" i="45"/>
  <c r="C6" i="45"/>
  <c r="D6" i="45"/>
  <c r="F6" i="45"/>
  <c r="C7" i="45"/>
  <c r="D7" i="45"/>
  <c r="F7" i="45"/>
  <c r="C8" i="45"/>
  <c r="D8" i="45"/>
  <c r="F8" i="45"/>
  <c r="C9" i="45"/>
  <c r="D9" i="45"/>
  <c r="F9" i="45"/>
  <c r="C10" i="45"/>
  <c r="D10" i="45"/>
  <c r="F10" i="45"/>
  <c r="C11" i="45"/>
  <c r="D11" i="45"/>
  <c r="F11" i="45"/>
  <c r="C12" i="45"/>
  <c r="D12" i="45"/>
  <c r="F12" i="45"/>
  <c r="C13" i="45"/>
  <c r="D13" i="45"/>
  <c r="F13" i="45"/>
  <c r="C14" i="45"/>
  <c r="D14" i="45"/>
  <c r="F14" i="45"/>
  <c r="C15" i="45"/>
  <c r="D15" i="45"/>
  <c r="F15" i="45"/>
  <c r="C16" i="45"/>
  <c r="D16" i="45"/>
  <c r="F16" i="45"/>
  <c r="C17" i="45"/>
  <c r="D17" i="45"/>
  <c r="F17" i="45"/>
  <c r="C18" i="45"/>
  <c r="D18" i="45"/>
  <c r="F18" i="45"/>
  <c r="C19" i="45"/>
  <c r="D19" i="45"/>
  <c r="F19" i="45"/>
  <c r="C20" i="45"/>
  <c r="D20" i="45"/>
  <c r="F20" i="45"/>
  <c r="C21" i="45"/>
  <c r="D21" i="45"/>
  <c r="F21" i="45"/>
  <c r="C22" i="45"/>
  <c r="D22" i="45"/>
  <c r="F22" i="45"/>
  <c r="C23" i="45"/>
  <c r="D23" i="45"/>
  <c r="F23" i="45"/>
  <c r="C24" i="45"/>
  <c r="D24" i="45"/>
  <c r="F24" i="45"/>
  <c r="C25" i="45"/>
  <c r="D25" i="45"/>
  <c r="F25" i="45"/>
  <c r="C26" i="45"/>
  <c r="D26" i="45"/>
  <c r="F26" i="45"/>
  <c r="C27" i="45"/>
  <c r="D27" i="45"/>
  <c r="F27" i="45"/>
  <c r="C28" i="45"/>
  <c r="D28" i="45"/>
  <c r="F28" i="45"/>
  <c r="C29" i="45"/>
  <c r="D29" i="45"/>
  <c r="F29" i="45"/>
  <c r="C30" i="45"/>
  <c r="D30" i="45"/>
  <c r="F30" i="45"/>
  <c r="A4" i="45"/>
  <c r="A5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7" i="45"/>
  <c r="A28" i="45"/>
  <c r="A29" i="45"/>
  <c r="A30" i="45"/>
  <c r="A3" i="45"/>
  <c r="A1" i="45"/>
  <c r="G3" i="16"/>
  <c r="G4" i="16"/>
  <c r="G5" i="16"/>
  <c r="G6" i="16"/>
  <c r="C7" i="44"/>
  <c r="D7" i="44"/>
  <c r="F7" i="44"/>
  <c r="C8" i="44"/>
  <c r="D8" i="44"/>
  <c r="F8" i="44"/>
  <c r="C9" i="44"/>
  <c r="D9" i="44"/>
  <c r="F9" i="44"/>
  <c r="C10" i="44"/>
  <c r="D10" i="44"/>
  <c r="F10" i="44"/>
  <c r="C11" i="44"/>
  <c r="D11" i="44"/>
  <c r="F11" i="44"/>
  <c r="C12" i="44"/>
  <c r="D12" i="44"/>
  <c r="F12" i="44"/>
  <c r="C13" i="44"/>
  <c r="D13" i="44"/>
  <c r="F13" i="44"/>
  <c r="C14" i="44"/>
  <c r="D14" i="44"/>
  <c r="F14" i="44"/>
  <c r="C15" i="44"/>
  <c r="D15" i="44"/>
  <c r="F15" i="44"/>
  <c r="C16" i="44"/>
  <c r="D16" i="44"/>
  <c r="F16" i="44"/>
  <c r="C17" i="44"/>
  <c r="D17" i="44"/>
  <c r="F17" i="44"/>
  <c r="C18" i="44"/>
  <c r="D18" i="44"/>
  <c r="F18" i="44"/>
  <c r="C19" i="44"/>
  <c r="D19" i="44"/>
  <c r="F19" i="44"/>
  <c r="C20" i="44"/>
  <c r="D20" i="44"/>
  <c r="F20" i="44"/>
  <c r="C21" i="44"/>
  <c r="D21" i="44"/>
  <c r="F21" i="44"/>
  <c r="C22" i="44"/>
  <c r="D22" i="44"/>
  <c r="F22" i="44"/>
  <c r="C23" i="44"/>
  <c r="D23" i="44"/>
  <c r="F23" i="44"/>
  <c r="C24" i="44"/>
  <c r="D24" i="44"/>
  <c r="F24" i="44"/>
  <c r="C25" i="44"/>
  <c r="D25" i="44"/>
  <c r="F25" i="44"/>
  <c r="C26" i="44"/>
  <c r="D26" i="44"/>
  <c r="F26" i="44"/>
  <c r="C27" i="44"/>
  <c r="D27" i="44"/>
  <c r="F27" i="44"/>
  <c r="C28" i="44"/>
  <c r="D28" i="44"/>
  <c r="F28" i="44"/>
  <c r="C29" i="44"/>
  <c r="D29" i="44"/>
  <c r="F29" i="44"/>
  <c r="C30" i="44"/>
  <c r="D30" i="44"/>
  <c r="F30" i="44"/>
  <c r="A4" i="44"/>
  <c r="A5" i="44"/>
  <c r="A6" i="44"/>
  <c r="A7" i="44"/>
  <c r="A8" i="44"/>
  <c r="A9" i="44"/>
  <c r="A10" i="44"/>
  <c r="A11" i="44"/>
  <c r="A12" i="44"/>
  <c r="A13" i="44"/>
  <c r="A14" i="44"/>
  <c r="A15" i="44"/>
  <c r="A16" i="44"/>
  <c r="A17" i="44"/>
  <c r="A18" i="44"/>
  <c r="A19" i="44"/>
  <c r="A20" i="44"/>
  <c r="A21" i="44"/>
  <c r="A22" i="44"/>
  <c r="A23" i="44"/>
  <c r="A24" i="44"/>
  <c r="A25" i="44"/>
  <c r="A26" i="44"/>
  <c r="A27" i="44"/>
  <c r="A28" i="44"/>
  <c r="A29" i="44"/>
  <c r="A30" i="44"/>
  <c r="A3" i="44"/>
  <c r="A1" i="44"/>
  <c r="G3" i="15"/>
  <c r="G4" i="15"/>
  <c r="G5" i="15"/>
  <c r="G6" i="15"/>
  <c r="G7" i="15"/>
  <c r="C11" i="43"/>
  <c r="D11" i="43"/>
  <c r="F11" i="43"/>
  <c r="C12" i="43"/>
  <c r="D12" i="43"/>
  <c r="F12" i="43"/>
  <c r="C13" i="43"/>
  <c r="D13" i="43"/>
  <c r="F13" i="43"/>
  <c r="C14" i="43"/>
  <c r="D14" i="43"/>
  <c r="F14" i="43"/>
  <c r="C15" i="43"/>
  <c r="D15" i="43"/>
  <c r="F15" i="43"/>
  <c r="C16" i="43"/>
  <c r="D16" i="43"/>
  <c r="F16" i="43"/>
  <c r="C17" i="43"/>
  <c r="D17" i="43"/>
  <c r="F17" i="43"/>
  <c r="C18" i="43"/>
  <c r="D18" i="43"/>
  <c r="F18" i="43"/>
  <c r="C19" i="43"/>
  <c r="D19" i="43"/>
  <c r="F19" i="43"/>
  <c r="C20" i="43"/>
  <c r="D20" i="43"/>
  <c r="F20" i="43"/>
  <c r="C21" i="43"/>
  <c r="D21" i="43"/>
  <c r="F21" i="43"/>
  <c r="C22" i="43"/>
  <c r="D22" i="43"/>
  <c r="F22" i="43"/>
  <c r="C23" i="43"/>
  <c r="D23" i="43"/>
  <c r="F23" i="43"/>
  <c r="C24" i="43"/>
  <c r="D24" i="43"/>
  <c r="F24" i="43"/>
  <c r="C25" i="43"/>
  <c r="D25" i="43"/>
  <c r="F25" i="43"/>
  <c r="C26" i="43"/>
  <c r="D26" i="43"/>
  <c r="F26" i="43"/>
  <c r="C27" i="43"/>
  <c r="D27" i="43"/>
  <c r="F27" i="43"/>
  <c r="C28" i="43"/>
  <c r="D28" i="43"/>
  <c r="F28" i="43"/>
  <c r="C29" i="43"/>
  <c r="D29" i="43"/>
  <c r="F29" i="43"/>
  <c r="C30" i="43"/>
  <c r="D30" i="43"/>
  <c r="F30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" i="43"/>
  <c r="A1" i="43"/>
  <c r="G3" i="13"/>
  <c r="G4" i="13"/>
  <c r="G5" i="13"/>
  <c r="G6" i="13"/>
  <c r="G7" i="13"/>
  <c r="G8" i="13"/>
  <c r="G9" i="13"/>
  <c r="G10" i="13"/>
  <c r="G11" i="13"/>
  <c r="G12" i="13"/>
  <c r="G13" i="13"/>
  <c r="C4" i="42"/>
  <c r="D4" i="42"/>
  <c r="F4" i="42"/>
  <c r="C5" i="42"/>
  <c r="D5" i="42"/>
  <c r="F5" i="42"/>
  <c r="C6" i="42"/>
  <c r="D6" i="42"/>
  <c r="F6" i="42"/>
  <c r="C7" i="42"/>
  <c r="D7" i="42"/>
  <c r="F7" i="42"/>
  <c r="C8" i="42"/>
  <c r="D8" i="42"/>
  <c r="F8" i="42"/>
  <c r="C9" i="42"/>
  <c r="D9" i="42"/>
  <c r="F9" i="42"/>
  <c r="C10" i="42"/>
  <c r="D10" i="42"/>
  <c r="F10" i="42"/>
  <c r="C11" i="42"/>
  <c r="D11" i="42"/>
  <c r="F11" i="42"/>
  <c r="C12" i="42"/>
  <c r="D12" i="42"/>
  <c r="F12" i="42"/>
  <c r="C13" i="42"/>
  <c r="D13" i="42"/>
  <c r="F13" i="42"/>
  <c r="C14" i="42"/>
  <c r="D14" i="42"/>
  <c r="F14" i="42"/>
  <c r="C15" i="42"/>
  <c r="D15" i="42"/>
  <c r="F15" i="42"/>
  <c r="C16" i="42"/>
  <c r="D16" i="42"/>
  <c r="F16" i="42"/>
  <c r="C17" i="42"/>
  <c r="D17" i="42"/>
  <c r="F17" i="42"/>
  <c r="C18" i="42"/>
  <c r="D18" i="42"/>
  <c r="F18" i="42"/>
  <c r="C19" i="42"/>
  <c r="D19" i="42"/>
  <c r="F19" i="42"/>
  <c r="C20" i="42"/>
  <c r="D20" i="42"/>
  <c r="F20" i="42"/>
  <c r="C21" i="42"/>
  <c r="D21" i="42"/>
  <c r="F21" i="42"/>
  <c r="C22" i="42"/>
  <c r="D22" i="42"/>
  <c r="F22" i="42"/>
  <c r="C23" i="42"/>
  <c r="D23" i="42"/>
  <c r="F23" i="42"/>
  <c r="C24" i="42"/>
  <c r="D24" i="42"/>
  <c r="F24" i="42"/>
  <c r="C25" i="42"/>
  <c r="D25" i="42"/>
  <c r="F25" i="42"/>
  <c r="C26" i="42"/>
  <c r="D26" i="42"/>
  <c r="F26" i="42"/>
  <c r="C27" i="42"/>
  <c r="D27" i="42"/>
  <c r="F27" i="42"/>
  <c r="C28" i="42"/>
  <c r="D28" i="42"/>
  <c r="F28" i="42"/>
  <c r="C29" i="42"/>
  <c r="D29" i="42"/>
  <c r="F29" i="42"/>
  <c r="C30" i="42"/>
  <c r="D30" i="42"/>
  <c r="F30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" i="42"/>
  <c r="A1" i="42"/>
  <c r="G3" i="12"/>
  <c r="G4" i="12"/>
  <c r="G5" i="12"/>
  <c r="G6" i="12"/>
  <c r="G7" i="12"/>
  <c r="G8" i="12"/>
  <c r="G9" i="12"/>
  <c r="G10" i="12"/>
  <c r="G11" i="12"/>
  <c r="G12" i="12"/>
  <c r="C6" i="41"/>
  <c r="D6" i="41"/>
  <c r="F6" i="41"/>
  <c r="C7" i="41"/>
  <c r="D7" i="41"/>
  <c r="F7" i="41"/>
  <c r="C8" i="41"/>
  <c r="D8" i="41"/>
  <c r="F8" i="41"/>
  <c r="C9" i="41"/>
  <c r="D9" i="41"/>
  <c r="F9" i="41"/>
  <c r="C10" i="41"/>
  <c r="D10" i="41"/>
  <c r="F10" i="41"/>
  <c r="C11" i="41"/>
  <c r="D11" i="41"/>
  <c r="F11" i="41"/>
  <c r="C12" i="41"/>
  <c r="D12" i="41"/>
  <c r="F12" i="41"/>
  <c r="C13" i="41"/>
  <c r="D13" i="41"/>
  <c r="F13" i="41"/>
  <c r="C14" i="41"/>
  <c r="D14" i="41"/>
  <c r="F14" i="41"/>
  <c r="C15" i="41"/>
  <c r="D15" i="41"/>
  <c r="F15" i="41"/>
  <c r="C16" i="41"/>
  <c r="D16" i="41"/>
  <c r="F16" i="41"/>
  <c r="C17" i="41"/>
  <c r="D17" i="41"/>
  <c r="F17" i="41"/>
  <c r="C18" i="41"/>
  <c r="D18" i="41"/>
  <c r="F18" i="41"/>
  <c r="C19" i="41"/>
  <c r="D19" i="41"/>
  <c r="F19" i="41"/>
  <c r="C20" i="41"/>
  <c r="D20" i="41"/>
  <c r="F20" i="41"/>
  <c r="C21" i="41"/>
  <c r="D21" i="41"/>
  <c r="F21" i="41"/>
  <c r="C22" i="41"/>
  <c r="D22" i="41"/>
  <c r="F22" i="41"/>
  <c r="C23" i="41"/>
  <c r="D23" i="41"/>
  <c r="F23" i="41"/>
  <c r="C24" i="41"/>
  <c r="D24" i="41"/>
  <c r="F24" i="41"/>
  <c r="C25" i="41"/>
  <c r="D25" i="41"/>
  <c r="F25" i="41"/>
  <c r="C26" i="41"/>
  <c r="D26" i="41"/>
  <c r="F26" i="41"/>
  <c r="C27" i="41"/>
  <c r="D27" i="41"/>
  <c r="F27" i="41"/>
  <c r="C28" i="41"/>
  <c r="D28" i="41"/>
  <c r="F28" i="41"/>
  <c r="C29" i="41"/>
  <c r="D29" i="41"/>
  <c r="F29" i="41"/>
  <c r="C30" i="41"/>
  <c r="D30" i="41"/>
  <c r="F30" i="41"/>
  <c r="A4" i="41"/>
  <c r="A5" i="41"/>
  <c r="A6" i="41"/>
  <c r="A7" i="41"/>
  <c r="A8" i="41"/>
  <c r="A9" i="41"/>
  <c r="A10" i="41"/>
  <c r="A11" i="41"/>
  <c r="A12" i="41"/>
  <c r="A13" i="41"/>
  <c r="A14" i="41"/>
  <c r="A15" i="41"/>
  <c r="A16" i="41"/>
  <c r="A17" i="41"/>
  <c r="A18" i="41"/>
  <c r="A19" i="41"/>
  <c r="A20" i="41"/>
  <c r="A21" i="41"/>
  <c r="A22" i="41"/>
  <c r="A23" i="41"/>
  <c r="A24" i="41"/>
  <c r="A25" i="41"/>
  <c r="A26" i="41"/>
  <c r="A27" i="41"/>
  <c r="A28" i="41"/>
  <c r="A29" i="41"/>
  <c r="A30" i="41"/>
  <c r="A3" i="41"/>
  <c r="A1" i="41"/>
  <c r="G3" i="11"/>
  <c r="G4" i="11"/>
  <c r="G5" i="11"/>
  <c r="G6" i="11"/>
  <c r="G7" i="11"/>
  <c r="G8" i="11"/>
  <c r="G9" i="11"/>
  <c r="G10" i="11"/>
  <c r="G11" i="11"/>
  <c r="D5" i="40"/>
  <c r="D6" i="40"/>
  <c r="D7" i="40"/>
  <c r="D8" i="40"/>
  <c r="D9" i="40"/>
  <c r="D10" i="40"/>
  <c r="D11" i="40"/>
  <c r="D12" i="40"/>
  <c r="D13" i="40"/>
  <c r="D14" i="40"/>
  <c r="F14" i="40"/>
  <c r="D15" i="40"/>
  <c r="F15" i="40"/>
  <c r="D16" i="40"/>
  <c r="F16" i="40"/>
  <c r="D17" i="40"/>
  <c r="F17" i="40"/>
  <c r="D18" i="40"/>
  <c r="F18" i="40"/>
  <c r="C19" i="40"/>
  <c r="D19" i="40"/>
  <c r="F19" i="40"/>
  <c r="C20" i="40"/>
  <c r="D20" i="40"/>
  <c r="F20" i="40"/>
  <c r="C21" i="40"/>
  <c r="D21" i="40"/>
  <c r="F21" i="40"/>
  <c r="C22" i="40"/>
  <c r="D22" i="40"/>
  <c r="F22" i="40"/>
  <c r="C23" i="40"/>
  <c r="D23" i="40"/>
  <c r="F23" i="40"/>
  <c r="C24" i="40"/>
  <c r="D24" i="40"/>
  <c r="F24" i="40"/>
  <c r="C25" i="40"/>
  <c r="D25" i="40"/>
  <c r="F25" i="40"/>
  <c r="C26" i="40"/>
  <c r="D26" i="40"/>
  <c r="F26" i="40"/>
  <c r="C27" i="40"/>
  <c r="D27" i="40"/>
  <c r="F27" i="40"/>
  <c r="C28" i="40"/>
  <c r="D28" i="40"/>
  <c r="F28" i="40"/>
  <c r="C29" i="40"/>
  <c r="D29" i="40"/>
  <c r="F29" i="40"/>
  <c r="C30" i="40"/>
  <c r="D30" i="40"/>
  <c r="F30" i="40"/>
  <c r="A4" i="40"/>
  <c r="A5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" i="40"/>
  <c r="A1" i="40"/>
  <c r="F5" i="39"/>
  <c r="F6" i="39"/>
  <c r="F7" i="39"/>
  <c r="D8" i="39"/>
  <c r="F8" i="39"/>
  <c r="D9" i="39"/>
  <c r="F9" i="39"/>
  <c r="D10" i="39"/>
  <c r="F10" i="39"/>
  <c r="D11" i="39"/>
  <c r="F11" i="39"/>
  <c r="D12" i="39"/>
  <c r="F12" i="39"/>
  <c r="D13" i="39"/>
  <c r="F13" i="39"/>
  <c r="D14" i="39"/>
  <c r="F14" i="39"/>
  <c r="D15" i="39"/>
  <c r="F15" i="39"/>
  <c r="D16" i="39"/>
  <c r="F16" i="39"/>
  <c r="D17" i="39"/>
  <c r="F17" i="39"/>
  <c r="D18" i="39"/>
  <c r="F18" i="39"/>
  <c r="D19" i="39"/>
  <c r="F19" i="39"/>
  <c r="C20" i="39"/>
  <c r="D20" i="39"/>
  <c r="F20" i="39"/>
  <c r="C21" i="39"/>
  <c r="D21" i="39"/>
  <c r="F21" i="39"/>
  <c r="C22" i="39"/>
  <c r="D22" i="39"/>
  <c r="F22" i="39"/>
  <c r="C23" i="39"/>
  <c r="D23" i="39"/>
  <c r="F23" i="39"/>
  <c r="C24" i="39"/>
  <c r="D24" i="39"/>
  <c r="F24" i="39"/>
  <c r="C25" i="39"/>
  <c r="D25" i="39"/>
  <c r="F25" i="39"/>
  <c r="C26" i="39"/>
  <c r="D26" i="39"/>
  <c r="F26" i="39"/>
  <c r="C27" i="39"/>
  <c r="D27" i="39"/>
  <c r="F27" i="39"/>
  <c r="C28" i="39"/>
  <c r="D28" i="39"/>
  <c r="F28" i="39"/>
  <c r="C29" i="39"/>
  <c r="D29" i="39"/>
  <c r="F29" i="39"/>
  <c r="C30" i="39"/>
  <c r="D30" i="39"/>
  <c r="F30" i="39"/>
  <c r="A4" i="39"/>
  <c r="A5" i="39"/>
  <c r="A6" i="39"/>
  <c r="A7" i="39"/>
  <c r="A8" i="39"/>
  <c r="A9" i="39"/>
  <c r="A10" i="39"/>
  <c r="A11" i="39"/>
  <c r="A12" i="39"/>
  <c r="A13" i="39"/>
  <c r="A14" i="39"/>
  <c r="A15" i="39"/>
  <c r="A16" i="39"/>
  <c r="A17" i="39"/>
  <c r="A18" i="39"/>
  <c r="A19" i="39"/>
  <c r="A20" i="39"/>
  <c r="A21" i="39"/>
  <c r="A22" i="39"/>
  <c r="A23" i="39"/>
  <c r="A24" i="39"/>
  <c r="A25" i="39"/>
  <c r="A26" i="39"/>
  <c r="A27" i="39"/>
  <c r="A28" i="39"/>
  <c r="A29" i="39"/>
  <c r="A30" i="39"/>
  <c r="A3" i="39"/>
  <c r="A1" i="39"/>
  <c r="G3" i="7"/>
  <c r="F6" i="38"/>
  <c r="F7" i="38"/>
  <c r="F8" i="38"/>
  <c r="F9" i="38"/>
  <c r="F10" i="38"/>
  <c r="F11" i="38"/>
  <c r="F12" i="38"/>
  <c r="F13" i="38"/>
  <c r="F14" i="38"/>
  <c r="F15" i="38"/>
  <c r="F16" i="38"/>
  <c r="F17" i="38"/>
  <c r="F18" i="38"/>
  <c r="F19" i="38"/>
  <c r="F20" i="38"/>
  <c r="F21" i="38"/>
  <c r="F22" i="38"/>
  <c r="F23" i="38"/>
  <c r="F24" i="38"/>
  <c r="F25" i="38"/>
  <c r="F26" i="38"/>
  <c r="F27" i="38"/>
  <c r="F28" i="38"/>
  <c r="F29" i="38"/>
  <c r="F30" i="38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C6" i="38"/>
  <c r="C7" i="38"/>
  <c r="C8" i="38"/>
  <c r="C9" i="38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28" i="38"/>
  <c r="C29" i="38"/>
  <c r="C30" i="38"/>
  <c r="A4" i="38"/>
  <c r="A5" i="38"/>
  <c r="A6" i="38"/>
  <c r="A7" i="38"/>
  <c r="A8" i="38"/>
  <c r="A9" i="38"/>
  <c r="A10" i="38"/>
  <c r="A11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4" i="38"/>
  <c r="A25" i="38"/>
  <c r="A26" i="38"/>
  <c r="A27" i="38"/>
  <c r="A28" i="38"/>
  <c r="A29" i="38"/>
  <c r="A30" i="38"/>
  <c r="A3" i="38"/>
  <c r="A1" i="38"/>
  <c r="G3" i="9"/>
  <c r="G4" i="9"/>
  <c r="G5" i="9"/>
  <c r="C8" i="37"/>
  <c r="D8" i="37"/>
  <c r="F8" i="37"/>
  <c r="C9" i="37"/>
  <c r="D9" i="37"/>
  <c r="F9" i="37"/>
  <c r="C10" i="37"/>
  <c r="D10" i="37"/>
  <c r="F10" i="37"/>
  <c r="C11" i="37"/>
  <c r="D11" i="37"/>
  <c r="F11" i="37"/>
  <c r="C12" i="37"/>
  <c r="D12" i="37"/>
  <c r="F12" i="37"/>
  <c r="C13" i="37"/>
  <c r="D13" i="37"/>
  <c r="F13" i="37"/>
  <c r="C14" i="37"/>
  <c r="D14" i="37"/>
  <c r="F14" i="37"/>
  <c r="C15" i="37"/>
  <c r="D15" i="37"/>
  <c r="F15" i="37"/>
  <c r="C16" i="37"/>
  <c r="D16" i="37"/>
  <c r="F16" i="37"/>
  <c r="C17" i="37"/>
  <c r="D17" i="37"/>
  <c r="F17" i="37"/>
  <c r="C18" i="37"/>
  <c r="D18" i="37"/>
  <c r="F18" i="37"/>
  <c r="C19" i="37"/>
  <c r="D19" i="37"/>
  <c r="F19" i="37"/>
  <c r="C20" i="37"/>
  <c r="D20" i="37"/>
  <c r="F20" i="37"/>
  <c r="C21" i="37"/>
  <c r="D21" i="37"/>
  <c r="F21" i="37"/>
  <c r="C22" i="37"/>
  <c r="D22" i="37"/>
  <c r="F22" i="37"/>
  <c r="C23" i="37"/>
  <c r="D23" i="37"/>
  <c r="F23" i="37"/>
  <c r="C24" i="37"/>
  <c r="D24" i="37"/>
  <c r="F24" i="37"/>
  <c r="C25" i="37"/>
  <c r="D25" i="37"/>
  <c r="F25" i="37"/>
  <c r="C26" i="37"/>
  <c r="D26" i="37"/>
  <c r="F26" i="37"/>
  <c r="C27" i="37"/>
  <c r="D27" i="37"/>
  <c r="F27" i="37"/>
  <c r="C28" i="37"/>
  <c r="D28" i="37"/>
  <c r="F28" i="37"/>
  <c r="C29" i="37"/>
  <c r="D29" i="37"/>
  <c r="F29" i="37"/>
  <c r="C30" i="37"/>
  <c r="D30" i="37"/>
  <c r="F30" i="37"/>
  <c r="A4" i="37"/>
  <c r="A5" i="37"/>
  <c r="A6" i="37"/>
  <c r="A7" i="37"/>
  <c r="A8" i="37"/>
  <c r="A9" i="37"/>
  <c r="A10" i="37"/>
  <c r="A11" i="37"/>
  <c r="A12" i="37"/>
  <c r="A13" i="37"/>
  <c r="A14" i="37"/>
  <c r="A15" i="37"/>
  <c r="A16" i="37"/>
  <c r="A17" i="37"/>
  <c r="A18" i="37"/>
  <c r="A19" i="37"/>
  <c r="A20" i="37"/>
  <c r="A21" i="37"/>
  <c r="A22" i="37"/>
  <c r="A23" i="37"/>
  <c r="A24" i="37"/>
  <c r="A25" i="37"/>
  <c r="A26" i="37"/>
  <c r="A27" i="37"/>
  <c r="A28" i="37"/>
  <c r="A29" i="37"/>
  <c r="A30" i="37"/>
  <c r="D9" i="36"/>
  <c r="F9" i="36"/>
  <c r="D10" i="36"/>
  <c r="F10" i="36"/>
  <c r="D11" i="36"/>
  <c r="F11" i="36"/>
  <c r="D12" i="36"/>
  <c r="F12" i="36"/>
  <c r="D13" i="36"/>
  <c r="F13" i="36"/>
  <c r="D14" i="36"/>
  <c r="F14" i="36"/>
  <c r="D15" i="36"/>
  <c r="F15" i="36"/>
  <c r="D16" i="36"/>
  <c r="F16" i="36"/>
  <c r="D17" i="36"/>
  <c r="F17" i="36"/>
  <c r="D18" i="36"/>
  <c r="F18" i="36"/>
  <c r="D19" i="36"/>
  <c r="F19" i="36"/>
  <c r="D20" i="36"/>
  <c r="F20" i="36"/>
  <c r="D21" i="36"/>
  <c r="F21" i="36"/>
  <c r="D22" i="36"/>
  <c r="F22" i="36"/>
  <c r="D23" i="36"/>
  <c r="F23" i="36"/>
  <c r="D24" i="36"/>
  <c r="F24" i="36"/>
  <c r="D25" i="36"/>
  <c r="F25" i="36"/>
  <c r="D26" i="36"/>
  <c r="F26" i="36"/>
  <c r="D27" i="36"/>
  <c r="F27" i="36"/>
  <c r="D28" i="36"/>
  <c r="F28" i="36"/>
  <c r="D29" i="36"/>
  <c r="F29" i="36"/>
  <c r="D30" i="36"/>
  <c r="F30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A4" i="36"/>
  <c r="A5" i="36"/>
  <c r="A6" i="36"/>
  <c r="A7" i="36"/>
  <c r="A8" i="36"/>
  <c r="A9" i="36"/>
  <c r="A10" i="36"/>
  <c r="A11" i="36"/>
  <c r="A12" i="36"/>
  <c r="A13" i="36"/>
  <c r="A14" i="36"/>
  <c r="A15" i="36"/>
  <c r="A16" i="36"/>
  <c r="A17" i="36"/>
  <c r="A18" i="36"/>
  <c r="A19" i="36"/>
  <c r="A20" i="36"/>
  <c r="A21" i="36"/>
  <c r="A22" i="36"/>
  <c r="A23" i="36"/>
  <c r="A24" i="36"/>
  <c r="A25" i="36"/>
  <c r="A26" i="36"/>
  <c r="A27" i="36"/>
  <c r="A28" i="36"/>
  <c r="A29" i="36"/>
  <c r="A30" i="36"/>
  <c r="F6" i="35"/>
  <c r="F7" i="35"/>
  <c r="F8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A4" i="35"/>
  <c r="A5" i="35"/>
  <c r="A6" i="35"/>
  <c r="A7" i="35"/>
  <c r="A8" i="35"/>
  <c r="A9" i="35"/>
  <c r="A10" i="35"/>
  <c r="A11" i="35"/>
  <c r="A12" i="35"/>
  <c r="A13" i="35"/>
  <c r="A14" i="35"/>
  <c r="A15" i="35"/>
  <c r="A16" i="35"/>
  <c r="A17" i="35"/>
  <c r="A18" i="35"/>
  <c r="A19" i="35"/>
  <c r="A20" i="35"/>
  <c r="A21" i="35"/>
  <c r="A22" i="35"/>
  <c r="A23" i="35"/>
  <c r="A24" i="35"/>
  <c r="A25" i="35"/>
  <c r="A26" i="35"/>
  <c r="A27" i="35"/>
  <c r="A28" i="35"/>
  <c r="A29" i="35"/>
  <c r="A30" i="35"/>
  <c r="A3" i="37"/>
  <c r="A1" i="37"/>
  <c r="A3" i="36"/>
  <c r="G3" i="3"/>
  <c r="G4" i="3"/>
  <c r="G5" i="3"/>
  <c r="G6" i="3"/>
  <c r="G7" i="3"/>
  <c r="A1" i="36"/>
  <c r="L3" i="19"/>
  <c r="A3" i="35"/>
  <c r="A1" i="35"/>
  <c r="A1" i="34"/>
  <c r="A1" i="33"/>
  <c r="A1" i="32"/>
  <c r="L4" i="19"/>
  <c r="L5" i="19"/>
  <c r="L6" i="19"/>
  <c r="L7" i="19"/>
  <c r="L8" i="19"/>
  <c r="L9" i="19"/>
  <c r="L10" i="19"/>
  <c r="L11" i="19"/>
  <c r="L12" i="19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C6" i="34"/>
  <c r="D6" i="34"/>
  <c r="C7" i="34"/>
  <c r="D7" i="34"/>
  <c r="C8" i="34"/>
  <c r="D8" i="34"/>
  <c r="C9" i="34"/>
  <c r="D9" i="34"/>
  <c r="C10" i="34"/>
  <c r="D10" i="34"/>
  <c r="C11" i="34"/>
  <c r="D11" i="34"/>
  <c r="C12" i="34"/>
  <c r="D12" i="34"/>
  <c r="C13" i="34"/>
  <c r="D13" i="34"/>
  <c r="C14" i="34"/>
  <c r="D14" i="34"/>
  <c r="C15" i="34"/>
  <c r="D15" i="34"/>
  <c r="C16" i="34"/>
  <c r="D16" i="34"/>
  <c r="C17" i="34"/>
  <c r="D17" i="34"/>
  <c r="C18" i="34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C25" i="34"/>
  <c r="D25" i="34"/>
  <c r="C26" i="34"/>
  <c r="D26" i="34"/>
  <c r="C27" i="34"/>
  <c r="D27" i="34"/>
  <c r="C28" i="34"/>
  <c r="D28" i="34"/>
  <c r="C29" i="34"/>
  <c r="D29" i="34"/>
  <c r="C30" i="34"/>
  <c r="D30" i="34"/>
  <c r="A4" i="34"/>
  <c r="A5" i="34"/>
  <c r="A6" i="34"/>
  <c r="A7" i="34"/>
  <c r="A8" i="34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" i="34"/>
  <c r="G3" i="19"/>
  <c r="G4" i="19"/>
  <c r="G5" i="19"/>
  <c r="G6" i="19"/>
  <c r="G7" i="19"/>
  <c r="G8" i="19"/>
  <c r="G9" i="19"/>
  <c r="G10" i="19"/>
  <c r="G11" i="19"/>
  <c r="G12" i="19"/>
  <c r="G3" i="17"/>
  <c r="G4" i="17"/>
  <c r="G5" i="17"/>
  <c r="G6" i="17"/>
  <c r="G7" i="17"/>
  <c r="G8" i="17"/>
  <c r="G9" i="17"/>
  <c r="G10" i="17"/>
  <c r="G11" i="17"/>
  <c r="G12" i="17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D17" i="33"/>
  <c r="D18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C17" i="33"/>
  <c r="C18" i="33"/>
  <c r="C19" i="33"/>
  <c r="C20" i="33"/>
  <c r="C21" i="33"/>
  <c r="C22" i="33"/>
  <c r="C23" i="33"/>
  <c r="C24" i="33"/>
  <c r="C25" i="33"/>
  <c r="C26" i="33"/>
  <c r="C27" i="33"/>
  <c r="C28" i="33"/>
  <c r="C29" i="33"/>
  <c r="C30" i="33"/>
  <c r="A4" i="33"/>
  <c r="A5" i="33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" i="33"/>
  <c r="A4" i="32"/>
  <c r="A5" i="32"/>
  <c r="A6" i="32"/>
  <c r="A7" i="32"/>
  <c r="A8" i="32"/>
  <c r="A9" i="32"/>
  <c r="A10" i="32"/>
  <c r="A11" i="32"/>
  <c r="A12" i="32"/>
  <c r="A13" i="32"/>
  <c r="A3" i="32"/>
  <c r="L12" i="17"/>
  <c r="L11" i="17"/>
  <c r="L10" i="17"/>
  <c r="L9" i="17"/>
  <c r="G12" i="14"/>
  <c r="L12" i="14"/>
  <c r="G11" i="14"/>
  <c r="L11" i="14"/>
  <c r="G10" i="14"/>
  <c r="L10" i="14"/>
  <c r="G8" i="14"/>
  <c r="L8" i="14"/>
  <c r="L6" i="16"/>
  <c r="L5" i="16"/>
  <c r="L7" i="15"/>
  <c r="L6" i="15"/>
  <c r="L5" i="15"/>
  <c r="L12" i="12"/>
  <c r="L11" i="12"/>
  <c r="L10" i="12"/>
  <c r="L9" i="12"/>
  <c r="L8" i="12"/>
  <c r="L7" i="12"/>
  <c r="L6" i="12"/>
  <c r="L11" i="11"/>
  <c r="L10" i="11"/>
  <c r="L9" i="11"/>
  <c r="L8" i="11"/>
  <c r="L7" i="11"/>
  <c r="L6" i="11"/>
  <c r="L5" i="11"/>
  <c r="L5" i="9"/>
  <c r="L7" i="3"/>
  <c r="L6" i="3"/>
  <c r="L5" i="3"/>
  <c r="L8" i="17"/>
  <c r="L7" i="17"/>
  <c r="L6" i="17"/>
  <c r="G7" i="14"/>
  <c r="L7" i="14"/>
  <c r="G6" i="14"/>
  <c r="L6" i="14"/>
  <c r="G5" i="14"/>
  <c r="S4" i="7" l="1"/>
  <c r="E4" i="39" s="1"/>
  <c r="P4" i="7"/>
  <c r="F4" i="39" s="1"/>
  <c r="AA11" i="11"/>
  <c r="AB11" i="11"/>
  <c r="AD11" i="11"/>
  <c r="AE11" i="11"/>
  <c r="AD9" i="11"/>
  <c r="AE9" i="11"/>
  <c r="AA9" i="11"/>
  <c r="AB9" i="11"/>
  <c r="AD10" i="11"/>
  <c r="AA10" i="11"/>
  <c r="AB10" i="11"/>
  <c r="AE10" i="11"/>
  <c r="AE11" i="12"/>
  <c r="AA11" i="12"/>
  <c r="AB11" i="12"/>
  <c r="AD11" i="12"/>
  <c r="AA12" i="12"/>
  <c r="AB12" i="12"/>
  <c r="AD12" i="12"/>
  <c r="AE12" i="12"/>
  <c r="AE7" i="5"/>
  <c r="AB7" i="5"/>
  <c r="AD7" i="5"/>
  <c r="AA7" i="15"/>
  <c r="AB7" i="15"/>
  <c r="AD7" i="15"/>
  <c r="AE7" i="15"/>
  <c r="AE8" i="5"/>
  <c r="AD8" i="5"/>
  <c r="AB8" i="5"/>
  <c r="AA6" i="3"/>
  <c r="AD6" i="3"/>
  <c r="AB6" i="3"/>
  <c r="AE6" i="3"/>
  <c r="AA7" i="3"/>
  <c r="AB7" i="3"/>
  <c r="AD7" i="3"/>
  <c r="AE7" i="3"/>
  <c r="AE10" i="12"/>
  <c r="AA10" i="12"/>
  <c r="AB10" i="12"/>
  <c r="AD10" i="12"/>
  <c r="AA6" i="14"/>
  <c r="AE6" i="14"/>
  <c r="AD6" i="14"/>
  <c r="AB6" i="14"/>
  <c r="O6" i="12"/>
  <c r="AA6" i="12"/>
  <c r="AB6" i="12"/>
  <c r="AD6" i="12"/>
  <c r="AE6" i="12"/>
  <c r="M6" i="12"/>
  <c r="O7" i="12"/>
  <c r="AD7" i="12"/>
  <c r="AA7" i="12"/>
  <c r="AB7" i="12"/>
  <c r="M7" i="12"/>
  <c r="AE7" i="12"/>
  <c r="N12" i="17"/>
  <c r="AA12" i="17"/>
  <c r="AB12" i="17"/>
  <c r="M12" i="17"/>
  <c r="AD12" i="17"/>
  <c r="AE12" i="17"/>
  <c r="AA7" i="14"/>
  <c r="AB7" i="14"/>
  <c r="AD7" i="14"/>
  <c r="AE7" i="14"/>
  <c r="Q8" i="12"/>
  <c r="M8" i="12"/>
  <c r="AA8" i="12"/>
  <c r="AB8" i="12"/>
  <c r="AD8" i="12"/>
  <c r="AE8" i="12"/>
  <c r="R7" i="11"/>
  <c r="AA7" i="11"/>
  <c r="AB7" i="11"/>
  <c r="AD7" i="11"/>
  <c r="M7" i="11"/>
  <c r="AE7" i="11"/>
  <c r="O5" i="19"/>
  <c r="AA5" i="19"/>
  <c r="M5" i="19"/>
  <c r="AB5" i="19"/>
  <c r="AD5" i="19"/>
  <c r="AE5" i="19"/>
  <c r="N6" i="17"/>
  <c r="AA6" i="17"/>
  <c r="AB6" i="17"/>
  <c r="AD6" i="17"/>
  <c r="AE6" i="17"/>
  <c r="M6" i="17"/>
  <c r="AA5" i="14"/>
  <c r="AB5" i="14"/>
  <c r="AD5" i="14"/>
  <c r="AE5" i="14"/>
  <c r="R9" i="11"/>
  <c r="M9" i="11"/>
  <c r="AD5" i="5"/>
  <c r="AE5" i="5"/>
  <c r="D5" i="36"/>
  <c r="AB5" i="5"/>
  <c r="O5" i="15"/>
  <c r="AB5" i="15"/>
  <c r="AA5" i="15"/>
  <c r="AD5" i="15"/>
  <c r="M5" i="15"/>
  <c r="D5" i="44" s="1"/>
  <c r="AE5" i="15"/>
  <c r="O9" i="12"/>
  <c r="M9" i="12"/>
  <c r="AA9" i="12"/>
  <c r="AB9" i="12"/>
  <c r="AD9" i="12"/>
  <c r="AE9" i="12"/>
  <c r="AE3" i="5"/>
  <c r="AD3" i="5"/>
  <c r="AB3" i="5"/>
  <c r="N4" i="9"/>
  <c r="AA4" i="9"/>
  <c r="M4" i="9"/>
  <c r="AB4" i="9"/>
  <c r="AD4" i="9"/>
  <c r="AE4" i="9"/>
  <c r="N3" i="19"/>
  <c r="M3" i="19"/>
  <c r="AE3" i="19"/>
  <c r="AD3" i="19"/>
  <c r="AB3" i="19"/>
  <c r="AA3" i="19"/>
  <c r="N3" i="9"/>
  <c r="AD3" i="9"/>
  <c r="AB3" i="9"/>
  <c r="AE3" i="9"/>
  <c r="AB3" i="3"/>
  <c r="AD3" i="3"/>
  <c r="M3" i="3"/>
  <c r="AE3" i="3"/>
  <c r="AA3" i="3"/>
  <c r="AD4" i="14"/>
  <c r="AA4" i="14"/>
  <c r="AB4" i="14"/>
  <c r="AE4" i="14"/>
  <c r="Q11" i="12"/>
  <c r="M11" i="12"/>
  <c r="N12" i="19"/>
  <c r="AB12" i="19"/>
  <c r="AA12" i="19"/>
  <c r="M12" i="19"/>
  <c r="AD12" i="19"/>
  <c r="AE12" i="19"/>
  <c r="R7" i="3"/>
  <c r="M7" i="3"/>
  <c r="R11" i="19"/>
  <c r="AA11" i="19"/>
  <c r="AB11" i="19"/>
  <c r="M11" i="19"/>
  <c r="AD11" i="19"/>
  <c r="AE11" i="19"/>
  <c r="D7" i="36"/>
  <c r="D8" i="36"/>
  <c r="Q6" i="16"/>
  <c r="AB6" i="16"/>
  <c r="AA6" i="16"/>
  <c r="AD6" i="16"/>
  <c r="AE6" i="16"/>
  <c r="M6" i="16"/>
  <c r="O6" i="3"/>
  <c r="M6" i="3"/>
  <c r="N5" i="9"/>
  <c r="M5" i="9"/>
  <c r="AA5" i="9"/>
  <c r="AD5" i="9"/>
  <c r="AB5" i="9"/>
  <c r="AE5" i="9"/>
  <c r="O10" i="19"/>
  <c r="AD10" i="19"/>
  <c r="AA10" i="19"/>
  <c r="AB10" i="19"/>
  <c r="AE10" i="19"/>
  <c r="M10" i="19"/>
  <c r="R10" i="12"/>
  <c r="M10" i="12"/>
  <c r="N8" i="17"/>
  <c r="AE8" i="17"/>
  <c r="AA8" i="17"/>
  <c r="AB8" i="17"/>
  <c r="AD8" i="17"/>
  <c r="M8" i="17"/>
  <c r="D6" i="36"/>
  <c r="AB6" i="5"/>
  <c r="AD6" i="5"/>
  <c r="AE6" i="5"/>
  <c r="Q5" i="16"/>
  <c r="AA5" i="16"/>
  <c r="AB5" i="16"/>
  <c r="AD5" i="16"/>
  <c r="AE5" i="16"/>
  <c r="M5" i="16"/>
  <c r="N5" i="3"/>
  <c r="M5" i="3"/>
  <c r="AB5" i="3"/>
  <c r="AA5" i="3"/>
  <c r="AD5" i="3"/>
  <c r="AE5" i="3"/>
  <c r="AA8" i="14"/>
  <c r="AB8" i="14"/>
  <c r="AD8" i="14"/>
  <c r="AE8" i="14"/>
  <c r="AB10" i="14"/>
  <c r="AD10" i="14"/>
  <c r="AE10" i="14"/>
  <c r="AA10" i="14"/>
  <c r="N5" i="11"/>
  <c r="AD5" i="11"/>
  <c r="AE5" i="11"/>
  <c r="M5" i="11"/>
  <c r="AA5" i="11"/>
  <c r="AB5" i="11"/>
  <c r="O9" i="19"/>
  <c r="AB9" i="19"/>
  <c r="AD9" i="19"/>
  <c r="AE9" i="19"/>
  <c r="M9" i="19"/>
  <c r="AA9" i="19"/>
  <c r="N7" i="17"/>
  <c r="AB7" i="17"/>
  <c r="AA7" i="17"/>
  <c r="AD7" i="17"/>
  <c r="AE7" i="17"/>
  <c r="M7" i="17"/>
  <c r="O12" i="12"/>
  <c r="M12" i="12"/>
  <c r="N6" i="15"/>
  <c r="M6" i="15"/>
  <c r="D6" i="44" s="1"/>
  <c r="AA6" i="15"/>
  <c r="AB6" i="15"/>
  <c r="AD6" i="15"/>
  <c r="AE6" i="15"/>
  <c r="N7" i="15"/>
  <c r="M7" i="15"/>
  <c r="N6" i="11"/>
  <c r="AA6" i="11"/>
  <c r="AB6" i="11"/>
  <c r="AD6" i="11"/>
  <c r="AE6" i="11"/>
  <c r="M6" i="11"/>
  <c r="AB11" i="14"/>
  <c r="AE11" i="14"/>
  <c r="AD11" i="14"/>
  <c r="AA11" i="14"/>
  <c r="O8" i="19"/>
  <c r="M8" i="19"/>
  <c r="AA8" i="19"/>
  <c r="AB8" i="19"/>
  <c r="AD8" i="19"/>
  <c r="AE8" i="19"/>
  <c r="O7" i="19"/>
  <c r="M7" i="19"/>
  <c r="AA7" i="19"/>
  <c r="AB7" i="19"/>
  <c r="AD7" i="19"/>
  <c r="AE7" i="19"/>
  <c r="N8" i="11"/>
  <c r="AB8" i="11"/>
  <c r="M8" i="11"/>
  <c r="AA8" i="11"/>
  <c r="AD8" i="11"/>
  <c r="AE8" i="11"/>
  <c r="AB12" i="14"/>
  <c r="AD12" i="14"/>
  <c r="AE12" i="14"/>
  <c r="AA12" i="14"/>
  <c r="O6" i="19"/>
  <c r="AE6" i="19"/>
  <c r="M6" i="19"/>
  <c r="AD6" i="19"/>
  <c r="AA6" i="19"/>
  <c r="AB6" i="19"/>
  <c r="Q9" i="17"/>
  <c r="M9" i="17"/>
  <c r="AB9" i="17"/>
  <c r="AD9" i="17"/>
  <c r="AE9" i="17"/>
  <c r="AA9" i="17"/>
  <c r="N4" i="19"/>
  <c r="AA4" i="19"/>
  <c r="AB4" i="19"/>
  <c r="AD4" i="19"/>
  <c r="AE4" i="19"/>
  <c r="M4" i="19"/>
  <c r="N10" i="11"/>
  <c r="M10" i="11"/>
  <c r="N11" i="11"/>
  <c r="M11" i="11"/>
  <c r="N10" i="17"/>
  <c r="M10" i="17"/>
  <c r="AA10" i="17"/>
  <c r="AB10" i="17"/>
  <c r="AD10" i="17"/>
  <c r="AE10" i="17"/>
  <c r="N11" i="17"/>
  <c r="AD11" i="17"/>
  <c r="AE11" i="17"/>
  <c r="M11" i="17"/>
  <c r="AB11" i="17"/>
  <c r="AA11" i="17"/>
  <c r="N3" i="17"/>
  <c r="AE3" i="17"/>
  <c r="AD3" i="17"/>
  <c r="AB3" i="17"/>
  <c r="Q8" i="14"/>
  <c r="M8" i="14"/>
  <c r="N4" i="14"/>
  <c r="M4" i="14"/>
  <c r="N12" i="14"/>
  <c r="M12" i="14"/>
  <c r="O6" i="14"/>
  <c r="M6" i="14"/>
  <c r="O7" i="14"/>
  <c r="M7" i="14"/>
  <c r="N5" i="14"/>
  <c r="M5" i="14"/>
  <c r="N10" i="14"/>
  <c r="M10" i="14"/>
  <c r="O11" i="14"/>
  <c r="M11" i="14"/>
  <c r="AB3" i="14"/>
  <c r="AE3" i="14"/>
  <c r="AD3" i="14"/>
  <c r="O7" i="15"/>
  <c r="R7" i="15"/>
  <c r="O8" i="12"/>
  <c r="O5" i="16"/>
  <c r="Q7" i="11"/>
  <c r="Q10" i="12"/>
  <c r="R12" i="19"/>
  <c r="Q12" i="19"/>
  <c r="O9" i="11"/>
  <c r="R10" i="11"/>
  <c r="Q10" i="11"/>
  <c r="O10" i="11"/>
  <c r="O11" i="11"/>
  <c r="N7" i="12"/>
  <c r="R5" i="11"/>
  <c r="O12" i="19"/>
  <c r="R6" i="15"/>
  <c r="Q6" i="15"/>
  <c r="O6" i="15"/>
  <c r="Q6" i="11"/>
  <c r="O11" i="12"/>
  <c r="O9" i="17"/>
  <c r="N12" i="12"/>
  <c r="N5" i="15"/>
  <c r="R11" i="11"/>
  <c r="N7" i="3"/>
  <c r="Q9" i="19"/>
  <c r="N8" i="19"/>
  <c r="R6" i="19"/>
  <c r="Q6" i="19"/>
  <c r="N11" i="12"/>
  <c r="N10" i="12"/>
  <c r="R11" i="12"/>
  <c r="N9" i="12"/>
  <c r="N6" i="16"/>
  <c r="N8" i="12"/>
  <c r="N5" i="16"/>
  <c r="N6" i="12"/>
  <c r="Q9" i="11"/>
  <c r="N9" i="17"/>
  <c r="O11" i="19"/>
  <c r="Q11" i="19"/>
  <c r="Q11" i="11"/>
  <c r="Q7" i="15"/>
  <c r="R8" i="19"/>
  <c r="N11" i="19"/>
  <c r="R9" i="19"/>
  <c r="R5" i="16"/>
  <c r="R7" i="19"/>
  <c r="N10" i="19"/>
  <c r="N9" i="11"/>
  <c r="N9" i="19"/>
  <c r="N7" i="11"/>
  <c r="R6" i="16"/>
  <c r="Q8" i="19"/>
  <c r="N7" i="19"/>
  <c r="Q7" i="19"/>
  <c r="N6" i="19"/>
  <c r="R11" i="14"/>
  <c r="Q11" i="14"/>
  <c r="N6" i="3"/>
  <c r="N11" i="14"/>
  <c r="N8" i="14"/>
  <c r="N6" i="14"/>
  <c r="N7" i="14"/>
  <c r="R5" i="19"/>
  <c r="Q5" i="19"/>
  <c r="N5" i="19"/>
  <c r="R4" i="19"/>
  <c r="Q4" i="19"/>
  <c r="O4" i="19"/>
  <c r="F12" i="32"/>
  <c r="F11" i="32"/>
  <c r="F13" i="32"/>
  <c r="Q5" i="11"/>
  <c r="R10" i="19"/>
  <c r="Q10" i="19"/>
  <c r="O7" i="3"/>
  <c r="Q6" i="3"/>
  <c r="Q12" i="17"/>
  <c r="Q11" i="17"/>
  <c r="R12" i="17"/>
  <c r="O12" i="17"/>
  <c r="R11" i="17"/>
  <c r="O11" i="17"/>
  <c r="R10" i="17"/>
  <c r="O10" i="17"/>
  <c r="R8" i="17"/>
  <c r="Q10" i="17"/>
  <c r="Q8" i="17"/>
  <c r="R9" i="17"/>
  <c r="O8" i="17"/>
  <c r="R7" i="17"/>
  <c r="Q7" i="17"/>
  <c r="O7" i="17"/>
  <c r="R12" i="14"/>
  <c r="O5" i="14"/>
  <c r="Q12" i="14"/>
  <c r="O8" i="14"/>
  <c r="O12" i="14"/>
  <c r="O10" i="14"/>
  <c r="F9" i="33" s="1"/>
  <c r="R10" i="14"/>
  <c r="Q10" i="14"/>
  <c r="R7" i="14"/>
  <c r="R8" i="14"/>
  <c r="Q7" i="14"/>
  <c r="Q6" i="14"/>
  <c r="R6" i="14"/>
  <c r="O6" i="16"/>
  <c r="R5" i="15"/>
  <c r="Q5" i="15"/>
  <c r="R12" i="12"/>
  <c r="Q12" i="12"/>
  <c r="O10" i="12"/>
  <c r="R9" i="12"/>
  <c r="Q9" i="12"/>
  <c r="R8" i="12"/>
  <c r="R7" i="12"/>
  <c r="Q7" i="12"/>
  <c r="R6" i="12"/>
  <c r="Q6" i="12"/>
  <c r="R6" i="11"/>
  <c r="O7" i="11"/>
  <c r="R8" i="11"/>
  <c r="Q8" i="11"/>
  <c r="O8" i="11"/>
  <c r="O6" i="11"/>
  <c r="O5" i="11"/>
  <c r="Q5" i="9"/>
  <c r="O5" i="9"/>
  <c r="F7" i="32"/>
  <c r="R6" i="3"/>
  <c r="Q7" i="3"/>
  <c r="R5" i="3"/>
  <c r="Q5" i="3"/>
  <c r="O5" i="3"/>
  <c r="R6" i="17"/>
  <c r="Q6" i="17"/>
  <c r="O6" i="17"/>
  <c r="R5" i="14"/>
  <c r="Q5" i="14"/>
  <c r="L4" i="16"/>
  <c r="S5" i="16" l="1"/>
  <c r="E5" i="45" s="1"/>
  <c r="P12" i="12"/>
  <c r="P5" i="19"/>
  <c r="F5" i="35" s="1"/>
  <c r="P12" i="14"/>
  <c r="P8" i="14"/>
  <c r="P11" i="14"/>
  <c r="P6" i="17"/>
  <c r="S8" i="12"/>
  <c r="E8" i="42" s="1"/>
  <c r="F6" i="36"/>
  <c r="P6" i="14"/>
  <c r="F7" i="33"/>
  <c r="P7" i="14"/>
  <c r="P10" i="14"/>
  <c r="P5" i="14"/>
  <c r="E7" i="36"/>
  <c r="P8" i="11"/>
  <c r="S9" i="11"/>
  <c r="E9" i="41" s="1"/>
  <c r="P7" i="15"/>
  <c r="P12" i="19"/>
  <c r="P7" i="17"/>
  <c r="P8" i="17"/>
  <c r="P5" i="15"/>
  <c r="F5" i="44" s="1"/>
  <c r="S6" i="16"/>
  <c r="E6" i="45" s="1"/>
  <c r="P6" i="12"/>
  <c r="S10" i="12"/>
  <c r="E10" i="42" s="1"/>
  <c r="P9" i="12"/>
  <c r="S11" i="12"/>
  <c r="E11" i="42" s="1"/>
  <c r="P11" i="11"/>
  <c r="S7" i="3"/>
  <c r="E7" i="37" s="1"/>
  <c r="F5" i="36"/>
  <c r="P12" i="17"/>
  <c r="E8" i="36"/>
  <c r="S7" i="15"/>
  <c r="E7" i="44" s="1"/>
  <c r="S11" i="19"/>
  <c r="E11" i="35" s="1"/>
  <c r="S7" i="11"/>
  <c r="E7" i="41" s="1"/>
  <c r="P11" i="17"/>
  <c r="P5" i="11"/>
  <c r="S8" i="14"/>
  <c r="E8" i="33" s="1"/>
  <c r="P6" i="3"/>
  <c r="F6" i="37" s="1"/>
  <c r="P10" i="11"/>
  <c r="P6" i="15"/>
  <c r="F6" i="44" s="1"/>
  <c r="P7" i="12"/>
  <c r="P4" i="19"/>
  <c r="F4" i="35" s="1"/>
  <c r="P8" i="19"/>
  <c r="P9" i="19"/>
  <c r="P10" i="19"/>
  <c r="F6" i="33"/>
  <c r="P6" i="19"/>
  <c r="P8" i="12"/>
  <c r="F5" i="33"/>
  <c r="P7" i="19"/>
  <c r="N4" i="16"/>
  <c r="M4" i="16"/>
  <c r="AA4" i="16"/>
  <c r="AB4" i="16"/>
  <c r="AD4" i="16"/>
  <c r="AE4" i="16"/>
  <c r="S9" i="17"/>
  <c r="E9" i="34" s="1"/>
  <c r="P10" i="17"/>
  <c r="P5" i="16"/>
  <c r="P9" i="11"/>
  <c r="S12" i="19"/>
  <c r="E12" i="35" s="1"/>
  <c r="S6" i="15"/>
  <c r="E6" i="44" s="1"/>
  <c r="S10" i="11"/>
  <c r="E10" i="41" s="1"/>
  <c r="F7" i="36"/>
  <c r="P6" i="16"/>
  <c r="S5" i="11"/>
  <c r="E5" i="41" s="1"/>
  <c r="P9" i="17"/>
  <c r="S11" i="11"/>
  <c r="E11" i="41" s="1"/>
  <c r="P11" i="12"/>
  <c r="F8" i="36"/>
  <c r="E5" i="36"/>
  <c r="S6" i="11"/>
  <c r="E6" i="41" s="1"/>
  <c r="P10" i="12"/>
  <c r="S8" i="19"/>
  <c r="E8" i="35" s="1"/>
  <c r="S11" i="14"/>
  <c r="E11" i="33" s="1"/>
  <c r="S9" i="19"/>
  <c r="E9" i="35" s="1"/>
  <c r="S6" i="19"/>
  <c r="E6" i="35" s="1"/>
  <c r="S5" i="19"/>
  <c r="E5" i="35" s="1"/>
  <c r="S7" i="19"/>
  <c r="E7" i="35" s="1"/>
  <c r="D10" i="47"/>
  <c r="P11" i="19"/>
  <c r="S5" i="15"/>
  <c r="E5" i="44" s="1"/>
  <c r="F10" i="33"/>
  <c r="F11" i="33"/>
  <c r="F12" i="33"/>
  <c r="S5" i="3"/>
  <c r="E5" i="37" s="1"/>
  <c r="S6" i="3"/>
  <c r="E6" i="37" s="1"/>
  <c r="S4" i="19"/>
  <c r="E4" i="35" s="1"/>
  <c r="F10" i="32"/>
  <c r="F9" i="32"/>
  <c r="S7" i="12"/>
  <c r="E7" i="42" s="1"/>
  <c r="S6" i="12"/>
  <c r="E6" i="42" s="1"/>
  <c r="P7" i="3"/>
  <c r="F7" i="37" s="1"/>
  <c r="S12" i="12"/>
  <c r="E12" i="42" s="1"/>
  <c r="S9" i="12"/>
  <c r="E9" i="42" s="1"/>
  <c r="F5" i="41"/>
  <c r="P7" i="11"/>
  <c r="P6" i="11"/>
  <c r="P5" i="9"/>
  <c r="F5" i="38" s="1"/>
  <c r="S5" i="14"/>
  <c r="E5" i="33" s="1"/>
  <c r="S10" i="19"/>
  <c r="E10" i="35" s="1"/>
  <c r="P5" i="3"/>
  <c r="F5" i="37" s="1"/>
  <c r="E6" i="36"/>
  <c r="S8" i="17"/>
  <c r="E8" i="34" s="1"/>
  <c r="S7" i="17"/>
  <c r="E7" i="34" s="1"/>
  <c r="S10" i="14"/>
  <c r="E10" i="33" s="1"/>
  <c r="S11" i="17"/>
  <c r="E11" i="34" s="1"/>
  <c r="S12" i="17"/>
  <c r="E12" i="34" s="1"/>
  <c r="S10" i="17"/>
  <c r="E10" i="34" s="1"/>
  <c r="S6" i="17"/>
  <c r="E6" i="34" s="1"/>
  <c r="S6" i="14"/>
  <c r="E6" i="33" s="1"/>
  <c r="S7" i="14"/>
  <c r="E7" i="33" s="1"/>
  <c r="F8" i="33"/>
  <c r="S12" i="14"/>
  <c r="E12" i="33" s="1"/>
  <c r="F8" i="32"/>
  <c r="S8" i="11"/>
  <c r="E8" i="41" s="1"/>
  <c r="R5" i="9"/>
  <c r="S5" i="9" s="1"/>
  <c r="E5" i="38" s="1"/>
  <c r="R4" i="16"/>
  <c r="Q4" i="16"/>
  <c r="O4" i="16"/>
  <c r="P4" i="16" l="1"/>
  <c r="S4" i="16"/>
  <c r="E4" i="45" s="1"/>
  <c r="F6" i="32" l="1"/>
  <c r="F5" i="32" l="1"/>
  <c r="L13" i="13"/>
  <c r="L12" i="13"/>
  <c r="L11" i="13"/>
  <c r="L10" i="13"/>
  <c r="L9" i="13"/>
  <c r="L8" i="13"/>
  <c r="N10" i="13" l="1"/>
  <c r="M10" i="13"/>
  <c r="D10" i="43" s="1"/>
  <c r="AB10" i="13"/>
  <c r="AA10" i="13"/>
  <c r="AD10" i="13"/>
  <c r="AE10" i="13"/>
  <c r="AE8" i="13"/>
  <c r="M8" i="13"/>
  <c r="D8" i="43" s="1"/>
  <c r="AA8" i="13"/>
  <c r="AB8" i="13"/>
  <c r="AD8" i="13"/>
  <c r="M9" i="13"/>
  <c r="D9" i="43" s="1"/>
  <c r="AA9" i="13"/>
  <c r="AB9" i="13"/>
  <c r="AD9" i="13"/>
  <c r="AE9" i="13"/>
  <c r="AA13" i="13"/>
  <c r="AB13" i="13"/>
  <c r="AD13" i="13"/>
  <c r="AE13" i="13"/>
  <c r="M13" i="13"/>
  <c r="AD11" i="13"/>
  <c r="AE11" i="13"/>
  <c r="M11" i="13"/>
  <c r="AA11" i="13"/>
  <c r="AB11" i="13"/>
  <c r="AA12" i="13"/>
  <c r="AB12" i="13"/>
  <c r="AD12" i="13"/>
  <c r="AE12" i="13"/>
  <c r="M12" i="13"/>
  <c r="O9" i="13"/>
  <c r="N9" i="13"/>
  <c r="O11" i="13"/>
  <c r="N11" i="13"/>
  <c r="O12" i="13"/>
  <c r="N12" i="13"/>
  <c r="O8" i="13"/>
  <c r="N8" i="13"/>
  <c r="O13" i="13"/>
  <c r="N13" i="13"/>
  <c r="O10" i="13"/>
  <c r="P9" i="13" l="1"/>
  <c r="F9" i="43" s="1"/>
  <c r="P12" i="13"/>
  <c r="P10" i="13"/>
  <c r="F10" i="43" s="1"/>
  <c r="P11" i="13"/>
  <c r="P8" i="13"/>
  <c r="F8" i="43" s="1"/>
  <c r="P13" i="13"/>
  <c r="L4" i="3"/>
  <c r="L7" i="13"/>
  <c r="L6" i="13"/>
  <c r="L4" i="13"/>
  <c r="Q13" i="10"/>
  <c r="R13" i="10"/>
  <c r="Q12" i="10"/>
  <c r="R12" i="10"/>
  <c r="Q11" i="10"/>
  <c r="R11" i="10"/>
  <c r="Q10" i="10"/>
  <c r="R10" i="10"/>
  <c r="Q9" i="10"/>
  <c r="R9" i="10"/>
  <c r="Q8" i="10"/>
  <c r="R8" i="10"/>
  <c r="Q7" i="10"/>
  <c r="R7" i="10"/>
  <c r="N4" i="13" l="1"/>
  <c r="M4" i="13"/>
  <c r="D4" i="43" s="1"/>
  <c r="AA4" i="13"/>
  <c r="AB4" i="13"/>
  <c r="AD4" i="13"/>
  <c r="AE4" i="13"/>
  <c r="N7" i="13"/>
  <c r="M7" i="13"/>
  <c r="D7" i="43" s="1"/>
  <c r="AA7" i="13"/>
  <c r="AB7" i="13"/>
  <c r="AD7" i="13"/>
  <c r="AE7" i="13"/>
  <c r="AA6" i="13"/>
  <c r="AB6" i="13"/>
  <c r="AD6" i="13"/>
  <c r="M6" i="13"/>
  <c r="D6" i="43" s="1"/>
  <c r="AE6" i="13"/>
  <c r="M4" i="3"/>
  <c r="AA4" i="3"/>
  <c r="AB4" i="3"/>
  <c r="AD4" i="3"/>
  <c r="AE4" i="3"/>
  <c r="O6" i="13"/>
  <c r="N6" i="13"/>
  <c r="O4" i="3"/>
  <c r="N4" i="3"/>
  <c r="S10" i="10"/>
  <c r="S7" i="10"/>
  <c r="S11" i="10"/>
  <c r="S8" i="10"/>
  <c r="S12" i="10"/>
  <c r="S9" i="10"/>
  <c r="S13" i="10"/>
  <c r="R6" i="10"/>
  <c r="O6" i="10"/>
  <c r="O7" i="10"/>
  <c r="O11" i="10"/>
  <c r="O13" i="10"/>
  <c r="P13" i="10" s="1"/>
  <c r="F13" i="40" s="1"/>
  <c r="Q4" i="3"/>
  <c r="O7" i="13"/>
  <c r="P7" i="13" s="1"/>
  <c r="F7" i="43" s="1"/>
  <c r="R4" i="3"/>
  <c r="O8" i="10"/>
  <c r="O9" i="10"/>
  <c r="P9" i="10" s="1"/>
  <c r="F9" i="40" s="1"/>
  <c r="O10" i="10"/>
  <c r="P6" i="13" l="1"/>
  <c r="F6" i="43" s="1"/>
  <c r="AB4" i="5"/>
  <c r="AD4" i="5"/>
  <c r="AE4" i="5"/>
  <c r="P4" i="3"/>
  <c r="F4" i="37" s="1"/>
  <c r="S4" i="3"/>
  <c r="E4" i="37" s="1"/>
  <c r="P7" i="10"/>
  <c r="F7" i="40" s="1"/>
  <c r="P10" i="10"/>
  <c r="F10" i="40" s="1"/>
  <c r="P8" i="10"/>
  <c r="F8" i="40" s="1"/>
  <c r="P11" i="10"/>
  <c r="F11" i="40" s="1"/>
  <c r="G12" i="10"/>
  <c r="E12" i="40" s="1"/>
  <c r="G9" i="10"/>
  <c r="E9" i="40" s="1"/>
  <c r="G7" i="10"/>
  <c r="E7" i="40" s="1"/>
  <c r="G13" i="10"/>
  <c r="E13" i="40" s="1"/>
  <c r="O12" i="10"/>
  <c r="P12" i="10" s="1"/>
  <c r="F12" i="40" s="1"/>
  <c r="G10" i="10"/>
  <c r="E10" i="40" s="1"/>
  <c r="G8" i="10"/>
  <c r="E8" i="40" s="1"/>
  <c r="G11" i="10"/>
  <c r="E11" i="40" s="1"/>
  <c r="G6" i="10"/>
  <c r="P6" i="10"/>
  <c r="F6" i="40" s="1"/>
  <c r="Q6" i="10"/>
  <c r="S6" i="10" s="1"/>
  <c r="E6" i="40" l="1"/>
  <c r="F4" i="36"/>
  <c r="AC2" i="2"/>
  <c r="AC1" i="2"/>
  <c r="R13" i="13" l="1"/>
  <c r="Q9" i="13"/>
  <c r="R12" i="13" l="1"/>
  <c r="R7" i="13"/>
  <c r="R11" i="13"/>
  <c r="Q6" i="13"/>
  <c r="R10" i="13"/>
  <c r="R8" i="13"/>
  <c r="Q8" i="13"/>
  <c r="Q12" i="13"/>
  <c r="Q11" i="13"/>
  <c r="R6" i="13"/>
  <c r="B13" i="1"/>
  <c r="L3" i="16"/>
  <c r="L3" i="15"/>
  <c r="L4" i="15"/>
  <c r="N4" i="15" l="1"/>
  <c r="AA4" i="15"/>
  <c r="AB4" i="15"/>
  <c r="AD4" i="15"/>
  <c r="AE4" i="15"/>
  <c r="M4" i="15"/>
  <c r="D4" i="44" s="1"/>
  <c r="N3" i="16"/>
  <c r="D20" i="47" s="1"/>
  <c r="AE3" i="16"/>
  <c r="AD3" i="16"/>
  <c r="AA3" i="16"/>
  <c r="AB3" i="16"/>
  <c r="M3" i="16"/>
  <c r="N3" i="15"/>
  <c r="AD3" i="15"/>
  <c r="AE3" i="15"/>
  <c r="M3" i="15"/>
  <c r="D3" i="44" s="1"/>
  <c r="AB3" i="15"/>
  <c r="AA3" i="15"/>
  <c r="S6" i="13"/>
  <c r="E6" i="43" s="1"/>
  <c r="S8" i="13"/>
  <c r="E8" i="43" s="1"/>
  <c r="S12" i="13"/>
  <c r="E12" i="43" s="1"/>
  <c r="S11" i="13"/>
  <c r="E11" i="43" s="1"/>
  <c r="Q13" i="13"/>
  <c r="S13" i="13" s="1"/>
  <c r="E13" i="43" s="1"/>
  <c r="Q10" i="13"/>
  <c r="S10" i="13" s="1"/>
  <c r="E10" i="43" s="1"/>
  <c r="R9" i="13"/>
  <c r="S9" i="13" s="1"/>
  <c r="E9" i="43" s="1"/>
  <c r="Q7" i="13"/>
  <c r="S7" i="13" s="1"/>
  <c r="E7" i="43" s="1"/>
  <c r="E4" i="36"/>
  <c r="D19" i="47" l="1"/>
  <c r="G4" i="14"/>
  <c r="L5" i="13"/>
  <c r="L5" i="12"/>
  <c r="L4" i="12"/>
  <c r="L4" i="11"/>
  <c r="N4" i="12" l="1"/>
  <c r="AE4" i="12"/>
  <c r="M4" i="12"/>
  <c r="AA4" i="12"/>
  <c r="AB4" i="12"/>
  <c r="AD4" i="12"/>
  <c r="AA5" i="12"/>
  <c r="AB5" i="12"/>
  <c r="AD5" i="12"/>
  <c r="AE5" i="12"/>
  <c r="M5" i="12"/>
  <c r="M5" i="13"/>
  <c r="D5" i="43" s="1"/>
  <c r="AA5" i="13"/>
  <c r="AB5" i="13"/>
  <c r="AD5" i="13"/>
  <c r="AE5" i="13"/>
  <c r="N4" i="11"/>
  <c r="M4" i="11"/>
  <c r="AA4" i="11"/>
  <c r="AB4" i="11"/>
  <c r="AD4" i="11"/>
  <c r="AE4" i="11"/>
  <c r="R5" i="13"/>
  <c r="N5" i="13"/>
  <c r="R5" i="12"/>
  <c r="N5" i="12"/>
  <c r="Q5" i="13"/>
  <c r="O5" i="13"/>
  <c r="R4" i="12"/>
  <c r="Q4" i="12"/>
  <c r="Q5" i="12"/>
  <c r="O5" i="12"/>
  <c r="O4" i="12"/>
  <c r="R4" i="11"/>
  <c r="R4" i="13"/>
  <c r="R4" i="14"/>
  <c r="Q4" i="13"/>
  <c r="Q4" i="14"/>
  <c r="Q4" i="11"/>
  <c r="O4" i="11"/>
  <c r="O4" i="13"/>
  <c r="P4" i="13" s="1"/>
  <c r="F4" i="43" s="1"/>
  <c r="O4" i="14"/>
  <c r="P4" i="12" l="1"/>
  <c r="F4" i="33"/>
  <c r="P4" i="14"/>
  <c r="P4" i="11"/>
  <c r="S5" i="13"/>
  <c r="E5" i="43" s="1"/>
  <c r="S5" i="12"/>
  <c r="E5" i="42" s="1"/>
  <c r="S4" i="12"/>
  <c r="E4" i="42" s="1"/>
  <c r="S4" i="13"/>
  <c r="E4" i="43" s="1"/>
  <c r="P5" i="13"/>
  <c r="F5" i="43" s="1"/>
  <c r="F4" i="41"/>
  <c r="P5" i="12"/>
  <c r="S4" i="14"/>
  <c r="E4" i="33" s="1"/>
  <c r="S4" i="11"/>
  <c r="E4" i="41" s="1"/>
  <c r="O3" i="10" l="1"/>
  <c r="O4" i="10"/>
  <c r="O5" i="10"/>
  <c r="N3" i="3" l="1"/>
  <c r="O4" i="15" l="1"/>
  <c r="R4" i="15" l="1"/>
  <c r="P4" i="15"/>
  <c r="F4" i="44" s="1"/>
  <c r="Q4" i="15"/>
  <c r="S4" i="15" l="1"/>
  <c r="E4" i="44" s="1"/>
  <c r="R3" i="3"/>
  <c r="B9" i="1"/>
  <c r="B10" i="1" s="1"/>
  <c r="G12" i="47" l="1"/>
  <c r="O3" i="3"/>
  <c r="Q3" i="3"/>
  <c r="S3" i="3" l="1"/>
  <c r="E3" i="37" s="1"/>
  <c r="F12" i="47"/>
  <c r="P3" i="3"/>
  <c r="S26" i="3"/>
  <c r="E32" i="37" s="1"/>
  <c r="O3" i="19"/>
  <c r="L4" i="18"/>
  <c r="L5" i="18"/>
  <c r="L3" i="18"/>
  <c r="L4" i="17"/>
  <c r="L5" i="17"/>
  <c r="R3" i="16"/>
  <c r="G20" i="47" s="1"/>
  <c r="AA5" i="18" l="1"/>
  <c r="AB5" i="18"/>
  <c r="AD5" i="18"/>
  <c r="AE5" i="18"/>
  <c r="N4" i="17"/>
  <c r="AA4" i="17"/>
  <c r="AB4" i="17"/>
  <c r="AE4" i="17"/>
  <c r="M4" i="17"/>
  <c r="AD4" i="17"/>
  <c r="AE3" i="18"/>
  <c r="AD3" i="18"/>
  <c r="AB3" i="18"/>
  <c r="AA3" i="18"/>
  <c r="M3" i="18"/>
  <c r="N4" i="18"/>
  <c r="AA4" i="18"/>
  <c r="AB4" i="18"/>
  <c r="AD4" i="18"/>
  <c r="AE4" i="18"/>
  <c r="M4" i="18"/>
  <c r="AA5" i="17"/>
  <c r="M5" i="17"/>
  <c r="AB5" i="17"/>
  <c r="AD5" i="17"/>
  <c r="AE5" i="17"/>
  <c r="N5" i="18"/>
  <c r="M5" i="18"/>
  <c r="P3" i="19"/>
  <c r="E10" i="47"/>
  <c r="O3" i="18"/>
  <c r="N3" i="18"/>
  <c r="R5" i="17"/>
  <c r="N5" i="17"/>
  <c r="F3" i="37"/>
  <c r="F3" i="35"/>
  <c r="R3" i="17"/>
  <c r="Q3" i="16"/>
  <c r="Q3" i="18"/>
  <c r="R3" i="18"/>
  <c r="O3" i="17"/>
  <c r="Q3" i="17"/>
  <c r="O3" i="16"/>
  <c r="E20" i="47" s="1"/>
  <c r="C20" i="47" s="1"/>
  <c r="Q3" i="19"/>
  <c r="F10" i="47" s="1"/>
  <c r="B10" i="47" s="1"/>
  <c r="R3" i="19"/>
  <c r="G10" i="47" s="1"/>
  <c r="Q5" i="18"/>
  <c r="R4" i="18"/>
  <c r="R5" i="18"/>
  <c r="Q4" i="18"/>
  <c r="O5" i="18"/>
  <c r="O4" i="18"/>
  <c r="Q4" i="17"/>
  <c r="Q5" i="17"/>
  <c r="R4" i="17"/>
  <c r="O4" i="17"/>
  <c r="O5" i="17"/>
  <c r="P4" i="17" l="1"/>
  <c r="F4" i="34" s="1"/>
  <c r="P5" i="18"/>
  <c r="D21" i="47"/>
  <c r="P4" i="18"/>
  <c r="G21" i="47"/>
  <c r="E21" i="47"/>
  <c r="F9" i="47"/>
  <c r="P3" i="18"/>
  <c r="G9" i="47"/>
  <c r="S4" i="18"/>
  <c r="E4" i="46" s="1"/>
  <c r="S3" i="16"/>
  <c r="E3" i="45" s="1"/>
  <c r="F20" i="47"/>
  <c r="B20" i="47" s="1"/>
  <c r="F21" i="47"/>
  <c r="C10" i="47"/>
  <c r="S16" i="19"/>
  <c r="E32" i="35" s="1"/>
  <c r="S5" i="17"/>
  <c r="E5" i="34" s="1"/>
  <c r="S5" i="18"/>
  <c r="E5" i="46" s="1"/>
  <c r="S3" i="18"/>
  <c r="E3" i="46" s="1"/>
  <c r="S12" i="18"/>
  <c r="E32" i="46" s="1"/>
  <c r="S12" i="16"/>
  <c r="E32" i="45" s="1"/>
  <c r="P3" i="16"/>
  <c r="S3" i="17"/>
  <c r="E3" i="34" s="1"/>
  <c r="P5" i="17"/>
  <c r="F5" i="34" s="1"/>
  <c r="S3" i="19"/>
  <c r="E3" i="35" s="1"/>
  <c r="P3" i="17"/>
  <c r="F3" i="34" s="1"/>
  <c r="S16" i="17"/>
  <c r="S4" i="17"/>
  <c r="E4" i="34" s="1"/>
  <c r="R3" i="15"/>
  <c r="Q3" i="15"/>
  <c r="F19" i="47" s="1"/>
  <c r="B19" i="47" s="1"/>
  <c r="O3" i="15"/>
  <c r="E19" i="47" s="1"/>
  <c r="N3" i="14"/>
  <c r="B21" i="47" l="1"/>
  <c r="C21" i="47"/>
  <c r="S26" i="15"/>
  <c r="E32" i="44" s="1"/>
  <c r="G19" i="47"/>
  <c r="C19" i="47" s="1"/>
  <c r="F3" i="45"/>
  <c r="P3" i="15"/>
  <c r="F3" i="44" s="1"/>
  <c r="S3" i="15"/>
  <c r="E3" i="44" s="1"/>
  <c r="E32" i="34"/>
  <c r="O3" i="14"/>
  <c r="P3" i="14" s="1"/>
  <c r="Q3" i="14"/>
  <c r="F8" i="47" s="1"/>
  <c r="R3" i="14"/>
  <c r="G8" i="47" s="1"/>
  <c r="L3" i="13"/>
  <c r="L3" i="12"/>
  <c r="L3" i="11"/>
  <c r="G4" i="10"/>
  <c r="P4" i="10"/>
  <c r="F4" i="40" s="1"/>
  <c r="G5" i="10"/>
  <c r="P5" i="10"/>
  <c r="F5" i="40" s="1"/>
  <c r="Q3" i="10"/>
  <c r="G3" i="10"/>
  <c r="M3" i="11" l="1"/>
  <c r="AE3" i="11"/>
  <c r="AD3" i="11"/>
  <c r="AB3" i="11"/>
  <c r="AA3" i="11"/>
  <c r="AE3" i="12"/>
  <c r="AD3" i="12"/>
  <c r="AB3" i="12"/>
  <c r="AA3" i="12"/>
  <c r="M3" i="12"/>
  <c r="M3" i="13"/>
  <c r="D3" i="43" s="1"/>
  <c r="AE3" i="13"/>
  <c r="AD3" i="13"/>
  <c r="AB3" i="13"/>
  <c r="AA3" i="13"/>
  <c r="F3" i="33"/>
  <c r="O3" i="13"/>
  <c r="E18" i="47" s="1"/>
  <c r="N3" i="13"/>
  <c r="D18" i="47" s="1"/>
  <c r="Q3" i="12"/>
  <c r="F17" i="47" s="1"/>
  <c r="N3" i="12"/>
  <c r="D17" i="47" s="1"/>
  <c r="O3" i="11"/>
  <c r="E16" i="47" s="1"/>
  <c r="N3" i="11"/>
  <c r="D16" i="47" s="1"/>
  <c r="S16" i="14"/>
  <c r="E32" i="33" s="1"/>
  <c r="S3" i="14"/>
  <c r="E3" i="33" s="1"/>
  <c r="Q3" i="13"/>
  <c r="F18" i="47" s="1"/>
  <c r="R3" i="13"/>
  <c r="R3" i="12"/>
  <c r="O3" i="12"/>
  <c r="E17" i="47" s="1"/>
  <c r="Q3" i="11"/>
  <c r="F16" i="47" s="1"/>
  <c r="R3" i="11"/>
  <c r="R5" i="10"/>
  <c r="R4" i="10"/>
  <c r="Q4" i="10"/>
  <c r="Q5" i="10"/>
  <c r="R3" i="10"/>
  <c r="P3" i="10"/>
  <c r="F3" i="40" s="1"/>
  <c r="L3" i="7"/>
  <c r="O2" i="51" s="1" a="1"/>
  <c r="O2" i="51" s="1"/>
  <c r="P3" i="13" l="1"/>
  <c r="F3" i="43" s="1"/>
  <c r="AE3" i="7"/>
  <c r="AD3" i="7"/>
  <c r="AB3" i="7"/>
  <c r="P3" i="11"/>
  <c r="B17" i="47"/>
  <c r="G15" i="47"/>
  <c r="F15" i="47"/>
  <c r="S20" i="12"/>
  <c r="E32" i="42" s="1"/>
  <c r="G17" i="47"/>
  <c r="C17" i="47" s="1"/>
  <c r="S26" i="13"/>
  <c r="E32" i="43" s="1"/>
  <c r="G18" i="47"/>
  <c r="C18" i="47" s="1"/>
  <c r="B16" i="47"/>
  <c r="B18" i="47"/>
  <c r="S16" i="11"/>
  <c r="E32" i="41" s="1"/>
  <c r="G16" i="47"/>
  <c r="C16" i="47" s="1"/>
  <c r="G11" i="47"/>
  <c r="O3" i="7"/>
  <c r="N3" i="7"/>
  <c r="S3" i="13"/>
  <c r="E3" i="43" s="1"/>
  <c r="S5" i="10"/>
  <c r="E5" i="40" s="1"/>
  <c r="F3" i="41"/>
  <c r="P3" i="12"/>
  <c r="S3" i="12"/>
  <c r="E3" i="42" s="1"/>
  <c r="S26" i="10"/>
  <c r="E32" i="40" s="1"/>
  <c r="S4" i="10"/>
  <c r="E4" i="40" s="1"/>
  <c r="S3" i="10"/>
  <c r="E3" i="40" s="1"/>
  <c r="S3" i="11"/>
  <c r="E3" i="41" s="1"/>
  <c r="O3" i="9"/>
  <c r="R4" i="9"/>
  <c r="O4" i="9"/>
  <c r="Q4" i="9"/>
  <c r="Q3" i="9"/>
  <c r="R3" i="9"/>
  <c r="E4" i="32"/>
  <c r="Q3" i="7"/>
  <c r="R3" i="7"/>
  <c r="G14" i="47" s="1"/>
  <c r="B1" i="1"/>
  <c r="B6" i="1" s="1"/>
  <c r="B7" i="1" s="1"/>
  <c r="B6" i="8" l="1"/>
  <c r="B25" i="15"/>
  <c r="B23" i="15"/>
  <c r="B24" i="15"/>
  <c r="B21" i="15"/>
  <c r="B22" i="15"/>
  <c r="B19" i="15"/>
  <c r="B20" i="15"/>
  <c r="B17" i="15"/>
  <c r="B18" i="15"/>
  <c r="B15" i="15"/>
  <c r="B16" i="15"/>
  <c r="B13" i="15"/>
  <c r="B14" i="15"/>
  <c r="B25" i="13"/>
  <c r="B12" i="15"/>
  <c r="B23" i="13"/>
  <c r="B24" i="13"/>
  <c r="B21" i="13"/>
  <c r="B22" i="13"/>
  <c r="B24" i="10"/>
  <c r="B25" i="10"/>
  <c r="B22" i="10"/>
  <c r="B23" i="10"/>
  <c r="B24" i="7"/>
  <c r="B25" i="7"/>
  <c r="B24" i="9"/>
  <c r="B25" i="9"/>
  <c r="B22" i="9"/>
  <c r="B23" i="9"/>
  <c r="B20" i="9"/>
  <c r="B21" i="9"/>
  <c r="B18" i="9"/>
  <c r="B19" i="9"/>
  <c r="B16" i="9"/>
  <c r="B17" i="9"/>
  <c r="B22" i="3"/>
  <c r="B19" i="3"/>
  <c r="B23" i="3"/>
  <c r="B20" i="3"/>
  <c r="B24" i="3"/>
  <c r="B21" i="3"/>
  <c r="B25" i="3"/>
  <c r="B17" i="3"/>
  <c r="B18" i="3"/>
  <c r="B25" i="5"/>
  <c r="B16" i="3"/>
  <c r="B23" i="5"/>
  <c r="B24" i="5"/>
  <c r="B21" i="5"/>
  <c r="B22" i="5"/>
  <c r="B19" i="5"/>
  <c r="B20" i="5"/>
  <c r="B17" i="5"/>
  <c r="B18" i="5"/>
  <c r="B25" i="8"/>
  <c r="B16" i="5"/>
  <c r="B23" i="8"/>
  <c r="B24" i="8"/>
  <c r="B3" i="5"/>
  <c r="B14" i="5"/>
  <c r="B10" i="5"/>
  <c r="B5" i="5"/>
  <c r="B4" i="5"/>
  <c r="B15" i="5"/>
  <c r="B11" i="5"/>
  <c r="B6" i="5"/>
  <c r="B8" i="5"/>
  <c r="B13" i="5"/>
  <c r="B9" i="5"/>
  <c r="B7" i="5"/>
  <c r="B12" i="5"/>
  <c r="S3" i="7"/>
  <c r="E3" i="39" s="1"/>
  <c r="B19" i="13"/>
  <c r="B20" i="13"/>
  <c r="B17" i="13"/>
  <c r="B18" i="13"/>
  <c r="B16" i="13"/>
  <c r="B20" i="10"/>
  <c r="B21" i="10"/>
  <c r="B18" i="10"/>
  <c r="B19" i="10"/>
  <c r="B16" i="10"/>
  <c r="B17" i="10"/>
  <c r="B22" i="7"/>
  <c r="B23" i="7"/>
  <c r="B20" i="7"/>
  <c r="B21" i="7"/>
  <c r="B18" i="7"/>
  <c r="B19" i="7"/>
  <c r="B16" i="7"/>
  <c r="B17" i="7"/>
  <c r="B22" i="8"/>
  <c r="F14" i="47"/>
  <c r="B20" i="8"/>
  <c r="B21" i="8"/>
  <c r="B18" i="8"/>
  <c r="B19" i="8"/>
  <c r="B11" i="18"/>
  <c r="B17" i="8"/>
  <c r="B9" i="18"/>
  <c r="B10" i="18"/>
  <c r="B7" i="18"/>
  <c r="B8" i="18"/>
  <c r="B11" i="16"/>
  <c r="B6" i="18"/>
  <c r="B9" i="16"/>
  <c r="B10" i="16"/>
  <c r="B7" i="16"/>
  <c r="B8" i="16"/>
  <c r="B10" i="15"/>
  <c r="B11" i="15"/>
  <c r="B8" i="15"/>
  <c r="B9" i="15"/>
  <c r="B14" i="13"/>
  <c r="B15" i="13"/>
  <c r="B18" i="12"/>
  <c r="B19" i="12"/>
  <c r="B16" i="12"/>
  <c r="B17" i="12"/>
  <c r="B14" i="12"/>
  <c r="B15" i="12"/>
  <c r="B15" i="11"/>
  <c r="B13" i="12"/>
  <c r="B13" i="11"/>
  <c r="B14" i="11"/>
  <c r="B15" i="10"/>
  <c r="B12" i="11"/>
  <c r="B15" i="7"/>
  <c r="B14" i="10"/>
  <c r="B13" i="7"/>
  <c r="B14" i="7"/>
  <c r="B11" i="7"/>
  <c r="B12" i="7"/>
  <c r="B9" i="7"/>
  <c r="B10" i="7"/>
  <c r="B14" i="9"/>
  <c r="B15" i="9"/>
  <c r="B12" i="9"/>
  <c r="B13" i="9"/>
  <c r="B10" i="9"/>
  <c r="B11" i="9"/>
  <c r="B8" i="9"/>
  <c r="B9" i="9"/>
  <c r="B15" i="3"/>
  <c r="B7" i="9"/>
  <c r="B13" i="3"/>
  <c r="B14" i="3"/>
  <c r="B11" i="3"/>
  <c r="B12" i="3"/>
  <c r="B9" i="3"/>
  <c r="B10" i="3"/>
  <c r="B8" i="3"/>
  <c r="B14" i="19"/>
  <c r="B15" i="19"/>
  <c r="B15" i="17"/>
  <c r="B13" i="19"/>
  <c r="B13" i="17"/>
  <c r="B14" i="17"/>
  <c r="B14" i="14"/>
  <c r="B15" i="14"/>
  <c r="B16" i="8"/>
  <c r="B3" i="8"/>
  <c r="B5" i="8"/>
  <c r="B9" i="8"/>
  <c r="B13" i="8"/>
  <c r="B4" i="8"/>
  <c r="B10" i="8"/>
  <c r="B14" i="8"/>
  <c r="B8" i="8"/>
  <c r="B7" i="8"/>
  <c r="B11" i="8"/>
  <c r="B15" i="8"/>
  <c r="B12" i="8"/>
  <c r="B6" i="9"/>
  <c r="F7" i="47"/>
  <c r="E3" i="32"/>
  <c r="F13" i="47"/>
  <c r="G13" i="47"/>
  <c r="E3" i="36"/>
  <c r="F11" i="47"/>
  <c r="B8" i="7"/>
  <c r="G7" i="47"/>
  <c r="B6" i="7"/>
  <c r="B7" i="7"/>
  <c r="B9" i="14"/>
  <c r="B5" i="7"/>
  <c r="B4" i="7"/>
  <c r="B13" i="14"/>
  <c r="S26" i="7"/>
  <c r="E32" i="39" s="1"/>
  <c r="P3" i="7"/>
  <c r="F3" i="39" s="1"/>
  <c r="C2" i="47"/>
  <c r="B2" i="47"/>
  <c r="F3" i="42"/>
  <c r="S3" i="9"/>
  <c r="E3" i="38" s="1"/>
  <c r="P4" i="9"/>
  <c r="S4" i="9"/>
  <c r="E4" i="38" s="1"/>
  <c r="P3" i="9"/>
  <c r="S26" i="9"/>
  <c r="E32" i="38" s="1"/>
  <c r="S26" i="5"/>
  <c r="E32" i="36" s="1"/>
  <c r="B4" i="19"/>
  <c r="B5" i="19"/>
  <c r="B8" i="19"/>
  <c r="B6" i="19"/>
  <c r="B7" i="19"/>
  <c r="B9" i="19"/>
  <c r="B11" i="19"/>
  <c r="B12" i="19"/>
  <c r="B10" i="19"/>
  <c r="S26" i="8"/>
  <c r="B11" i="17"/>
  <c r="B12" i="17"/>
  <c r="B9" i="17"/>
  <c r="B10" i="17"/>
  <c r="B12" i="14"/>
  <c r="B10" i="14"/>
  <c r="B11" i="14"/>
  <c r="B8" i="14"/>
  <c r="B6" i="16"/>
  <c r="B7" i="15"/>
  <c r="B5" i="16"/>
  <c r="B5" i="15"/>
  <c r="B6" i="15"/>
  <c r="B11" i="12"/>
  <c r="B12" i="12"/>
  <c r="B9" i="12"/>
  <c r="B10" i="12"/>
  <c r="B7" i="12"/>
  <c r="B8" i="12"/>
  <c r="B11" i="11"/>
  <c r="B6" i="12"/>
  <c r="B9" i="11"/>
  <c r="B10" i="11"/>
  <c r="B7" i="11"/>
  <c r="B8" i="11"/>
  <c r="B5" i="11"/>
  <c r="B6" i="11"/>
  <c r="B5" i="9"/>
  <c r="B6" i="3"/>
  <c r="B7" i="3"/>
  <c r="B5" i="3"/>
  <c r="B8" i="17"/>
  <c r="B6" i="17"/>
  <c r="B7" i="17"/>
  <c r="B6" i="14"/>
  <c r="B7" i="14"/>
  <c r="B4" i="16"/>
  <c r="B5" i="14"/>
  <c r="B12" i="13"/>
  <c r="B13" i="13"/>
  <c r="B10" i="13"/>
  <c r="B11" i="13"/>
  <c r="B8" i="13"/>
  <c r="B9" i="13"/>
  <c r="B4" i="3"/>
  <c r="B6" i="13"/>
  <c r="B7" i="13"/>
  <c r="B6" i="10"/>
  <c r="B12" i="10"/>
  <c r="B13" i="10"/>
  <c r="B7" i="10"/>
  <c r="B8" i="10"/>
  <c r="B9" i="10"/>
  <c r="B11" i="10"/>
  <c r="B10" i="10"/>
  <c r="B3" i="3"/>
  <c r="B4" i="15"/>
  <c r="B4" i="14"/>
  <c r="B5" i="13"/>
  <c r="B4" i="13"/>
  <c r="B5" i="12"/>
  <c r="B4" i="12"/>
  <c r="B4" i="11"/>
  <c r="B3" i="15"/>
  <c r="B3" i="9"/>
  <c r="B4" i="9"/>
  <c r="B3" i="19"/>
  <c r="B5" i="18"/>
  <c r="B4" i="18"/>
  <c r="B3" i="18"/>
  <c r="B5" i="17"/>
  <c r="B4" i="17"/>
  <c r="B3" i="17"/>
  <c r="B3" i="16"/>
  <c r="B3" i="14"/>
  <c r="B3" i="13"/>
  <c r="B3" i="12"/>
  <c r="B3" i="11"/>
  <c r="B5" i="10"/>
  <c r="B4" i="10"/>
  <c r="B3" i="10"/>
  <c r="B3" i="7"/>
  <c r="AC34" i="15" l="1"/>
  <c r="AA34" i="15" s="1"/>
  <c r="AC28" i="15"/>
  <c r="AA28" i="15" s="1"/>
  <c r="AC33" i="15"/>
  <c r="AA33" i="15" s="1"/>
  <c r="AC30" i="15"/>
  <c r="AA30" i="15" s="1"/>
  <c r="AC35" i="15"/>
  <c r="AA35" i="15" s="1"/>
  <c r="AC32" i="15"/>
  <c r="AA32" i="15" s="1"/>
  <c r="AC37" i="15"/>
  <c r="AA37" i="15" s="1"/>
  <c r="AC26" i="15"/>
  <c r="AA26" i="15" s="1"/>
  <c r="AC31" i="15"/>
  <c r="AA31" i="15" s="1"/>
  <c r="AC29" i="15"/>
  <c r="AA29" i="15" s="1"/>
  <c r="AC27" i="15"/>
  <c r="AA27" i="15" s="1"/>
  <c r="AC36" i="15"/>
  <c r="AA36" i="15" s="1"/>
  <c r="AC29" i="13"/>
  <c r="AA29" i="13" s="1"/>
  <c r="AC30" i="13"/>
  <c r="AA30" i="13" s="1"/>
  <c r="AC26" i="13"/>
  <c r="AA26" i="13" s="1"/>
  <c r="AC28" i="13"/>
  <c r="AA28" i="13" s="1"/>
  <c r="AC27" i="13"/>
  <c r="AA27" i="13" s="1"/>
  <c r="AC39" i="10"/>
  <c r="AA39" i="10" s="1"/>
  <c r="AC26" i="10"/>
  <c r="AA26" i="10" s="1"/>
  <c r="AC27" i="10"/>
  <c r="AA27" i="10" s="1"/>
  <c r="AC35" i="10"/>
  <c r="AA35" i="10" s="1"/>
  <c r="AC36" i="10"/>
  <c r="AA36" i="10" s="1"/>
  <c r="AC28" i="10"/>
  <c r="AA28" i="10" s="1"/>
  <c r="AC37" i="10"/>
  <c r="AA37" i="10" s="1"/>
  <c r="AC32" i="10"/>
  <c r="AA32" i="10" s="1"/>
  <c r="AC33" i="10"/>
  <c r="AA33" i="10" s="1"/>
  <c r="AC29" i="10"/>
  <c r="AA29" i="10" s="1"/>
  <c r="AC38" i="10"/>
  <c r="AA38" i="10" s="1"/>
  <c r="AC34" i="10"/>
  <c r="AA34" i="10" s="1"/>
  <c r="AC30" i="10"/>
  <c r="AA30" i="10" s="1"/>
  <c r="AC31" i="10"/>
  <c r="AA31" i="10" s="1"/>
  <c r="AC27" i="7"/>
  <c r="AA27" i="7" s="1"/>
  <c r="AC26" i="7"/>
  <c r="AA26" i="7" s="1"/>
  <c r="AC28" i="9"/>
  <c r="AA28" i="9" s="1"/>
  <c r="AC29" i="9"/>
  <c r="AA29" i="9" s="1"/>
  <c r="AC26" i="9"/>
  <c r="AA26" i="9" s="1"/>
  <c r="AC32" i="9"/>
  <c r="AA32" i="9" s="1"/>
  <c r="AC37" i="9"/>
  <c r="AA37" i="9" s="1"/>
  <c r="AC33" i="9"/>
  <c r="AA33" i="9" s="1"/>
  <c r="AC30" i="9"/>
  <c r="AA30" i="9" s="1"/>
  <c r="AC38" i="9"/>
  <c r="AA38" i="9" s="1"/>
  <c r="AC34" i="9"/>
  <c r="AA34" i="9" s="1"/>
  <c r="AC35" i="9"/>
  <c r="AA35" i="9" s="1"/>
  <c r="AC31" i="9"/>
  <c r="AA31" i="9" s="1"/>
  <c r="AC27" i="9"/>
  <c r="AA27" i="9" s="1"/>
  <c r="AC36" i="9"/>
  <c r="AA36" i="9" s="1"/>
  <c r="AC28" i="3"/>
  <c r="AA28" i="3" s="1"/>
  <c r="AC30" i="3"/>
  <c r="AA30" i="3" s="1"/>
  <c r="AC27" i="3"/>
  <c r="AA27" i="3" s="1"/>
  <c r="AC29" i="3"/>
  <c r="AA29" i="3" s="1"/>
  <c r="AC26" i="3"/>
  <c r="AA26" i="3" s="1"/>
  <c r="AC32" i="5"/>
  <c r="AA32" i="5" s="1"/>
  <c r="AC28" i="5"/>
  <c r="AA28" i="5" s="1"/>
  <c r="AC33" i="5"/>
  <c r="AA33" i="5" s="1"/>
  <c r="AC29" i="5"/>
  <c r="AA29" i="5" s="1"/>
  <c r="AC34" i="5"/>
  <c r="AA34" i="5" s="1"/>
  <c r="AC30" i="5"/>
  <c r="AA30" i="5" s="1"/>
  <c r="AC31" i="5"/>
  <c r="AA31" i="5" s="1"/>
  <c r="AC27" i="5"/>
  <c r="AA27" i="5" s="1"/>
  <c r="AC26" i="5"/>
  <c r="AA26" i="5" s="1"/>
  <c r="AC38" i="8"/>
  <c r="AA38" i="8" s="1"/>
  <c r="AC25" i="8"/>
  <c r="AC30" i="8"/>
  <c r="AA30" i="8" s="1"/>
  <c r="AC34" i="8"/>
  <c r="AA34" i="8" s="1"/>
  <c r="AC21" i="8"/>
  <c r="AC17" i="8"/>
  <c r="AC39" i="8"/>
  <c r="AA39" i="8" s="1"/>
  <c r="AC26" i="8"/>
  <c r="AA26" i="8" s="1"/>
  <c r="AC35" i="8"/>
  <c r="AA35" i="8" s="1"/>
  <c r="AC22" i="8"/>
  <c r="AC31" i="8"/>
  <c r="AA31" i="8" s="1"/>
  <c r="AC18" i="8"/>
  <c r="AC27" i="8"/>
  <c r="AA27" i="8" s="1"/>
  <c r="AC36" i="8"/>
  <c r="AA36" i="8" s="1"/>
  <c r="AC23" i="8"/>
  <c r="AC32" i="8"/>
  <c r="AA32" i="8" s="1"/>
  <c r="AC19" i="8"/>
  <c r="AC28" i="8"/>
  <c r="AA28" i="8" s="1"/>
  <c r="AC37" i="8"/>
  <c r="AA37" i="8" s="1"/>
  <c r="AC24" i="8"/>
  <c r="AC33" i="8"/>
  <c r="AA33" i="8" s="1"/>
  <c r="AC20" i="8"/>
  <c r="AC29" i="8"/>
  <c r="AA29" i="8" s="1"/>
  <c r="AC31" i="18"/>
  <c r="AA31" i="18" s="1"/>
  <c r="AC14" i="18"/>
  <c r="AA14" i="18" s="1"/>
  <c r="AC36" i="18"/>
  <c r="AA36" i="18" s="1"/>
  <c r="AC33" i="18"/>
  <c r="AA33" i="18" s="1"/>
  <c r="AC20" i="18"/>
  <c r="AA20" i="18" s="1"/>
  <c r="AC29" i="18"/>
  <c r="AA29" i="18" s="1"/>
  <c r="AC16" i="18"/>
  <c r="AA16" i="18" s="1"/>
  <c r="AC12" i="18"/>
  <c r="AA12" i="18" s="1"/>
  <c r="AC21" i="18"/>
  <c r="AA21" i="18" s="1"/>
  <c r="AC26" i="18"/>
  <c r="AA26" i="18" s="1"/>
  <c r="AC35" i="18"/>
  <c r="AA35" i="18" s="1"/>
  <c r="AC22" i="18"/>
  <c r="AA22" i="18" s="1"/>
  <c r="AC18" i="18"/>
  <c r="AA18" i="18" s="1"/>
  <c r="AC15" i="18"/>
  <c r="AA15" i="18" s="1"/>
  <c r="AC30" i="18"/>
  <c r="AA30" i="18" s="1"/>
  <c r="AC27" i="18"/>
  <c r="AA27" i="18" s="1"/>
  <c r="AC23" i="18"/>
  <c r="AA23" i="18" s="1"/>
  <c r="AC24" i="18"/>
  <c r="AA24" i="18" s="1"/>
  <c r="AC32" i="18"/>
  <c r="AA32" i="18" s="1"/>
  <c r="AC19" i="18"/>
  <c r="AA19" i="18" s="1"/>
  <c r="AC25" i="18"/>
  <c r="AA25" i="18" s="1"/>
  <c r="AC13" i="18"/>
  <c r="AA13" i="18" s="1"/>
  <c r="AC28" i="18"/>
  <c r="AA28" i="18" s="1"/>
  <c r="AC34" i="18"/>
  <c r="AA34" i="18" s="1"/>
  <c r="AC17" i="18"/>
  <c r="AA17" i="18" s="1"/>
  <c r="AC20" i="16"/>
  <c r="AA20" i="16" s="1"/>
  <c r="AC16" i="16"/>
  <c r="AA16" i="16" s="1"/>
  <c r="AC12" i="16"/>
  <c r="AA12" i="16" s="1"/>
  <c r="AC13" i="16"/>
  <c r="AA13" i="16" s="1"/>
  <c r="AC22" i="16"/>
  <c r="AA22" i="16" s="1"/>
  <c r="AC23" i="16"/>
  <c r="AA23" i="16" s="1"/>
  <c r="AC24" i="16"/>
  <c r="AA24" i="16" s="1"/>
  <c r="AC15" i="16"/>
  <c r="AA15" i="16" s="1"/>
  <c r="AC25" i="16"/>
  <c r="AA25" i="16" s="1"/>
  <c r="AC21" i="16"/>
  <c r="AA21" i="16" s="1"/>
  <c r="AC17" i="16"/>
  <c r="AA17" i="16" s="1"/>
  <c r="AC26" i="16"/>
  <c r="AA26" i="16" s="1"/>
  <c r="AC18" i="16"/>
  <c r="AA18" i="16" s="1"/>
  <c r="AC14" i="16"/>
  <c r="AA14" i="16" s="1"/>
  <c r="AC19" i="16"/>
  <c r="AA19" i="16" s="1"/>
  <c r="AC42" i="15"/>
  <c r="AA42" i="15" s="1"/>
  <c r="AC38" i="15"/>
  <c r="AA38" i="15" s="1"/>
  <c r="AC47" i="15"/>
  <c r="AA47" i="15" s="1"/>
  <c r="AC43" i="15"/>
  <c r="AA43" i="15" s="1"/>
  <c r="AC39" i="15"/>
  <c r="AA39" i="15" s="1"/>
  <c r="AC40" i="15"/>
  <c r="AA40" i="15" s="1"/>
  <c r="AC45" i="15"/>
  <c r="AA45" i="15" s="1"/>
  <c r="AC44" i="15"/>
  <c r="AA44" i="15" s="1"/>
  <c r="AC41" i="15"/>
  <c r="AA41" i="15" s="1"/>
  <c r="AC46" i="15"/>
  <c r="AA46" i="15" s="1"/>
  <c r="AC40" i="13"/>
  <c r="AA40" i="13" s="1"/>
  <c r="AC38" i="13"/>
  <c r="AA38" i="13" s="1"/>
  <c r="AC34" i="13"/>
  <c r="AA34" i="13" s="1"/>
  <c r="AC43" i="13"/>
  <c r="AA43" i="13" s="1"/>
  <c r="AC39" i="13"/>
  <c r="AA39" i="13" s="1"/>
  <c r="AC44" i="13"/>
  <c r="AA44" i="13" s="1"/>
  <c r="AC36" i="13"/>
  <c r="AA36" i="13" s="1"/>
  <c r="AC31" i="13"/>
  <c r="AA31" i="13" s="1"/>
  <c r="AC32" i="13"/>
  <c r="AA32" i="13" s="1"/>
  <c r="AC41" i="13"/>
  <c r="AA41" i="13" s="1"/>
  <c r="AC35" i="13"/>
  <c r="AA35" i="13" s="1"/>
  <c r="AC37" i="13"/>
  <c r="AA37" i="13" s="1"/>
  <c r="AC33" i="13"/>
  <c r="AA33" i="13" s="1"/>
  <c r="AC42" i="13"/>
  <c r="AA42" i="13" s="1"/>
  <c r="AC36" i="12"/>
  <c r="AA36" i="12" s="1"/>
  <c r="AC41" i="12"/>
  <c r="AA41" i="12" s="1"/>
  <c r="AC28" i="12"/>
  <c r="AA28" i="12" s="1"/>
  <c r="AC50" i="12"/>
  <c r="AA50" i="12" s="1"/>
  <c r="AC37" i="12"/>
  <c r="AA37" i="12" s="1"/>
  <c r="AC24" i="12"/>
  <c r="AA24" i="12" s="1"/>
  <c r="AC46" i="12"/>
  <c r="AA46" i="12" s="1"/>
  <c r="AC23" i="12"/>
  <c r="AA23" i="12" s="1"/>
  <c r="AC45" i="12"/>
  <c r="AA45" i="12" s="1"/>
  <c r="AC32" i="12"/>
  <c r="AA32" i="12" s="1"/>
  <c r="AC33" i="12"/>
  <c r="AA33" i="12" s="1"/>
  <c r="AC20" i="12"/>
  <c r="AA20" i="12" s="1"/>
  <c r="AC42" i="12"/>
  <c r="AA42" i="12" s="1"/>
  <c r="AC29" i="12"/>
  <c r="AA29" i="12" s="1"/>
  <c r="AC51" i="12"/>
  <c r="AA51" i="12" s="1"/>
  <c r="AC38" i="12"/>
  <c r="AA38" i="12" s="1"/>
  <c r="AC25" i="12"/>
  <c r="AA25" i="12" s="1"/>
  <c r="AC47" i="12"/>
  <c r="AA47" i="12" s="1"/>
  <c r="AC34" i="12"/>
  <c r="AA34" i="12" s="1"/>
  <c r="AC21" i="12"/>
  <c r="AA21" i="12" s="1"/>
  <c r="AC43" i="12"/>
  <c r="AA43" i="12" s="1"/>
  <c r="AC30" i="12"/>
  <c r="AA30" i="12" s="1"/>
  <c r="AC52" i="12"/>
  <c r="AA52" i="12" s="1"/>
  <c r="AC39" i="12"/>
  <c r="AA39" i="12" s="1"/>
  <c r="AC26" i="12"/>
  <c r="AA26" i="12" s="1"/>
  <c r="AC48" i="12"/>
  <c r="AA48" i="12" s="1"/>
  <c r="AC35" i="12"/>
  <c r="AA35" i="12" s="1"/>
  <c r="AC44" i="12"/>
  <c r="AA44" i="12" s="1"/>
  <c r="AC31" i="12"/>
  <c r="AA31" i="12" s="1"/>
  <c r="AC53" i="12"/>
  <c r="AA53" i="12" s="1"/>
  <c r="AC27" i="12"/>
  <c r="AA27" i="12" s="1"/>
  <c r="AC49" i="12"/>
  <c r="AA49" i="12" s="1"/>
  <c r="AC22" i="12"/>
  <c r="AA22" i="12" s="1"/>
  <c r="AC40" i="12"/>
  <c r="AA40" i="12" s="1"/>
  <c r="AC35" i="11"/>
  <c r="AA35" i="11" s="1"/>
  <c r="AC40" i="11"/>
  <c r="AA40" i="11" s="1"/>
  <c r="AC16" i="11"/>
  <c r="AA16" i="11" s="1"/>
  <c r="AC21" i="11"/>
  <c r="AA21" i="11" s="1"/>
  <c r="AC22" i="11"/>
  <c r="AA22" i="11" s="1"/>
  <c r="AC44" i="11"/>
  <c r="AA44" i="11" s="1"/>
  <c r="AC31" i="11"/>
  <c r="AA31" i="11" s="1"/>
  <c r="AC53" i="11"/>
  <c r="AA53" i="11" s="1"/>
  <c r="AC18" i="11"/>
  <c r="AA18" i="11" s="1"/>
  <c r="AC55" i="11"/>
  <c r="AA55" i="11" s="1"/>
  <c r="AC42" i="11"/>
  <c r="AA42" i="11" s="1"/>
  <c r="AC38" i="11"/>
  <c r="AA38" i="11" s="1"/>
  <c r="AC27" i="11"/>
  <c r="AA27" i="11" s="1"/>
  <c r="AC49" i="11"/>
  <c r="AA49" i="11" s="1"/>
  <c r="AC33" i="11"/>
  <c r="AA33" i="11" s="1"/>
  <c r="AC36" i="11"/>
  <c r="AA36" i="11" s="1"/>
  <c r="AC23" i="11"/>
  <c r="AA23" i="11" s="1"/>
  <c r="AC45" i="11"/>
  <c r="AA45" i="11" s="1"/>
  <c r="AC32" i="11"/>
  <c r="AA32" i="11" s="1"/>
  <c r="AC54" i="11"/>
  <c r="AA54" i="11" s="1"/>
  <c r="AC19" i="11"/>
  <c r="AA19" i="11" s="1"/>
  <c r="AC41" i="11"/>
  <c r="AA41" i="11" s="1"/>
  <c r="AC28" i="11"/>
  <c r="AA28" i="11" s="1"/>
  <c r="AC50" i="11"/>
  <c r="AA50" i="11" s="1"/>
  <c r="AC37" i="11"/>
  <c r="AA37" i="11" s="1"/>
  <c r="AC46" i="11"/>
  <c r="AA46" i="11" s="1"/>
  <c r="AC51" i="11"/>
  <c r="AA51" i="11" s="1"/>
  <c r="AC47" i="11"/>
  <c r="AA47" i="11" s="1"/>
  <c r="AC43" i="11"/>
  <c r="AA43" i="11" s="1"/>
  <c r="AC24" i="11"/>
  <c r="AA24" i="11" s="1"/>
  <c r="AC20" i="11"/>
  <c r="AA20" i="11" s="1"/>
  <c r="AC25" i="11"/>
  <c r="AA25" i="11" s="1"/>
  <c r="AC29" i="11"/>
  <c r="AA29" i="11" s="1"/>
  <c r="AC30" i="11"/>
  <c r="AA30" i="11" s="1"/>
  <c r="AC52" i="11"/>
  <c r="AA52" i="11" s="1"/>
  <c r="AC17" i="11"/>
  <c r="AA17" i="11" s="1"/>
  <c r="AC39" i="11"/>
  <c r="AA39" i="11" s="1"/>
  <c r="AC26" i="11"/>
  <c r="AA26" i="11" s="1"/>
  <c r="AC48" i="11"/>
  <c r="AA48" i="11" s="1"/>
  <c r="AC34" i="11"/>
  <c r="AA34" i="11" s="1"/>
  <c r="AC47" i="10"/>
  <c r="AA47" i="10" s="1"/>
  <c r="AC41" i="10"/>
  <c r="AA41" i="10" s="1"/>
  <c r="AC46" i="10"/>
  <c r="AA46" i="10" s="1"/>
  <c r="AC43" i="10"/>
  <c r="AA43" i="10" s="1"/>
  <c r="AC48" i="10"/>
  <c r="AA48" i="10" s="1"/>
  <c r="AC40" i="10"/>
  <c r="AA40" i="10" s="1"/>
  <c r="AC49" i="10"/>
  <c r="AA49" i="10" s="1"/>
  <c r="AC44" i="10"/>
  <c r="AA44" i="10" s="1"/>
  <c r="AC50" i="10"/>
  <c r="AA50" i="10" s="1"/>
  <c r="AC45" i="10"/>
  <c r="AA45" i="10" s="1"/>
  <c r="AC42" i="10"/>
  <c r="AA42" i="10" s="1"/>
  <c r="AC51" i="10"/>
  <c r="AA51" i="10" s="1"/>
  <c r="AC31" i="7"/>
  <c r="AA31" i="7" s="1"/>
  <c r="AC34" i="7"/>
  <c r="AA34" i="7" s="1"/>
  <c r="AC29" i="7"/>
  <c r="AA29" i="7" s="1"/>
  <c r="AC35" i="7"/>
  <c r="AA35" i="7" s="1"/>
  <c r="AC30" i="7"/>
  <c r="AA30" i="7" s="1"/>
  <c r="AC32" i="7"/>
  <c r="AA32" i="7" s="1"/>
  <c r="AC28" i="7"/>
  <c r="AA28" i="7" s="1"/>
  <c r="AC33" i="7"/>
  <c r="AA33" i="7" s="1"/>
  <c r="AC39" i="9"/>
  <c r="AA39" i="9" s="1"/>
  <c r="AC40" i="9"/>
  <c r="AA40" i="9" s="1"/>
  <c r="AC41" i="9"/>
  <c r="AA41" i="9" s="1"/>
  <c r="AC42" i="9"/>
  <c r="AA42" i="9" s="1"/>
  <c r="AC40" i="3"/>
  <c r="AA40" i="3" s="1"/>
  <c r="AC33" i="3"/>
  <c r="AA33" i="3" s="1"/>
  <c r="AC39" i="3"/>
  <c r="AA39" i="3" s="1"/>
  <c r="AC35" i="3"/>
  <c r="AA35" i="3" s="1"/>
  <c r="AC44" i="3"/>
  <c r="AA44" i="3" s="1"/>
  <c r="AC31" i="3"/>
  <c r="AA31" i="3" s="1"/>
  <c r="AC36" i="3"/>
  <c r="AA36" i="3" s="1"/>
  <c r="AC45" i="3"/>
  <c r="AA45" i="3" s="1"/>
  <c r="AC32" i="3"/>
  <c r="AA32" i="3" s="1"/>
  <c r="AC37" i="3"/>
  <c r="AA37" i="3" s="1"/>
  <c r="AC42" i="3"/>
  <c r="AA42" i="3" s="1"/>
  <c r="AC41" i="3"/>
  <c r="AA41" i="3" s="1"/>
  <c r="AC38" i="3"/>
  <c r="AA38" i="3" s="1"/>
  <c r="AC34" i="3"/>
  <c r="AA34" i="3" s="1"/>
  <c r="AC43" i="3"/>
  <c r="AA43" i="3" s="1"/>
  <c r="AC30" i="17"/>
  <c r="AA30" i="17" s="1"/>
  <c r="AC52" i="17"/>
  <c r="AA52" i="17" s="1"/>
  <c r="AC26" i="17"/>
  <c r="AA26" i="17" s="1"/>
  <c r="AC33" i="17"/>
  <c r="AA33" i="17" s="1"/>
  <c r="AC17" i="17"/>
  <c r="AA17" i="17" s="1"/>
  <c r="AC39" i="17"/>
  <c r="AA39" i="17" s="1"/>
  <c r="AC48" i="17"/>
  <c r="AA48" i="17" s="1"/>
  <c r="AC35" i="17"/>
  <c r="AA35" i="17" s="1"/>
  <c r="AC22" i="17"/>
  <c r="AA22" i="17" s="1"/>
  <c r="AC44" i="17"/>
  <c r="AA44" i="17" s="1"/>
  <c r="AC31" i="17"/>
  <c r="AA31" i="17" s="1"/>
  <c r="AC45" i="17"/>
  <c r="AA45" i="17" s="1"/>
  <c r="AC18" i="17"/>
  <c r="AA18" i="17" s="1"/>
  <c r="AC40" i="17"/>
  <c r="AA40" i="17" s="1"/>
  <c r="AC27" i="17"/>
  <c r="AA27" i="17" s="1"/>
  <c r="AC49" i="17"/>
  <c r="AA49" i="17" s="1"/>
  <c r="AC36" i="17"/>
  <c r="AA36" i="17" s="1"/>
  <c r="AC23" i="17"/>
  <c r="AA23" i="17" s="1"/>
  <c r="AC32" i="17"/>
  <c r="AA32" i="17" s="1"/>
  <c r="AC19" i="17"/>
  <c r="AA19" i="17" s="1"/>
  <c r="AC41" i="17"/>
  <c r="AA41" i="17" s="1"/>
  <c r="AC28" i="17"/>
  <c r="AA28" i="17" s="1"/>
  <c r="AC50" i="17"/>
  <c r="AA50" i="17" s="1"/>
  <c r="AC37" i="17"/>
  <c r="AA37" i="17" s="1"/>
  <c r="AC24" i="17"/>
  <c r="AA24" i="17" s="1"/>
  <c r="AC46" i="17"/>
  <c r="AA46" i="17" s="1"/>
  <c r="AC20" i="17"/>
  <c r="AA20" i="17" s="1"/>
  <c r="AC42" i="17"/>
  <c r="AA42" i="17" s="1"/>
  <c r="AC29" i="17"/>
  <c r="AA29" i="17" s="1"/>
  <c r="AC51" i="17"/>
  <c r="AA51" i="17" s="1"/>
  <c r="AC16" i="17"/>
  <c r="AA16" i="17" s="1"/>
  <c r="AC38" i="17"/>
  <c r="AA38" i="17" s="1"/>
  <c r="AC25" i="17"/>
  <c r="AA25" i="17" s="1"/>
  <c r="AC47" i="17"/>
  <c r="AA47" i="17" s="1"/>
  <c r="AC34" i="17"/>
  <c r="AA34" i="17" s="1"/>
  <c r="AC21" i="17"/>
  <c r="AA21" i="17" s="1"/>
  <c r="AC43" i="17"/>
  <c r="AA43" i="17" s="1"/>
  <c r="AC35" i="5"/>
  <c r="AA35" i="5" s="1"/>
  <c r="AC38" i="5"/>
  <c r="AA38" i="5" s="1"/>
  <c r="AC39" i="5"/>
  <c r="AA39" i="5" s="1"/>
  <c r="AC36" i="5"/>
  <c r="AA36" i="5" s="1"/>
  <c r="AC37" i="5"/>
  <c r="AA37" i="5" s="1"/>
  <c r="AC30" i="19"/>
  <c r="AA30" i="19" s="1"/>
  <c r="AC26" i="19"/>
  <c r="AA26" i="19" s="1"/>
  <c r="AC22" i="19"/>
  <c r="AA22" i="19" s="1"/>
  <c r="AC18" i="19"/>
  <c r="AA18" i="19" s="1"/>
  <c r="AC40" i="19"/>
  <c r="AA40" i="19" s="1"/>
  <c r="AC27" i="19"/>
  <c r="AA27" i="19" s="1"/>
  <c r="AC33" i="19"/>
  <c r="AA33" i="19" s="1"/>
  <c r="AC17" i="19"/>
  <c r="AA17" i="19" s="1"/>
  <c r="AC39" i="19"/>
  <c r="AA39" i="19" s="1"/>
  <c r="AC48" i="19"/>
  <c r="AA48" i="19" s="1"/>
  <c r="AC35" i="19"/>
  <c r="AA35" i="19" s="1"/>
  <c r="AC44" i="19"/>
  <c r="AA44" i="19" s="1"/>
  <c r="AC31" i="19"/>
  <c r="AA31" i="19" s="1"/>
  <c r="AC36" i="19"/>
  <c r="AA36" i="19" s="1"/>
  <c r="AC23" i="19"/>
  <c r="AA23" i="19" s="1"/>
  <c r="AC32" i="19"/>
  <c r="AA32" i="19" s="1"/>
  <c r="AC42" i="19"/>
  <c r="AA42" i="19" s="1"/>
  <c r="AC49" i="19"/>
  <c r="AA49" i="19" s="1"/>
  <c r="AC45" i="19"/>
  <c r="AA45" i="19" s="1"/>
  <c r="AC24" i="19"/>
  <c r="AA24" i="19" s="1"/>
  <c r="AC46" i="19"/>
  <c r="AA46" i="19" s="1"/>
  <c r="AC19" i="19"/>
  <c r="AA19" i="19" s="1"/>
  <c r="AC41" i="19"/>
  <c r="AA41" i="19" s="1"/>
  <c r="AC28" i="19"/>
  <c r="AA28" i="19" s="1"/>
  <c r="AC50" i="19"/>
  <c r="AA50" i="19" s="1"/>
  <c r="AC37" i="19"/>
  <c r="AA37" i="19" s="1"/>
  <c r="AC16" i="19"/>
  <c r="AA16" i="19" s="1"/>
  <c r="AC38" i="19"/>
  <c r="AA38" i="19" s="1"/>
  <c r="AC43" i="19"/>
  <c r="AA43" i="19" s="1"/>
  <c r="AC25" i="19"/>
  <c r="AA25" i="19" s="1"/>
  <c r="AC47" i="19"/>
  <c r="AA47" i="19" s="1"/>
  <c r="AC34" i="19"/>
  <c r="AA34" i="19" s="1"/>
  <c r="AC21" i="19"/>
  <c r="AA21" i="19" s="1"/>
  <c r="AC20" i="19"/>
  <c r="AA20" i="19" s="1"/>
  <c r="AC29" i="19"/>
  <c r="AA29" i="19" s="1"/>
  <c r="AC26" i="14"/>
  <c r="AA26" i="14" s="1"/>
  <c r="AC32" i="14"/>
  <c r="AA32" i="14" s="1"/>
  <c r="AC33" i="14"/>
  <c r="AA33" i="14" s="1"/>
  <c r="AC30" i="14"/>
  <c r="AA30" i="14" s="1"/>
  <c r="AC37" i="14"/>
  <c r="AA37" i="14" s="1"/>
  <c r="AC23" i="14"/>
  <c r="AA23" i="14" s="1"/>
  <c r="AC29" i="14"/>
  <c r="AA29" i="14" s="1"/>
  <c r="AC24" i="14"/>
  <c r="AA24" i="14" s="1"/>
  <c r="AC19" i="14"/>
  <c r="AA19" i="14" s="1"/>
  <c r="AC36" i="14"/>
  <c r="AA36" i="14" s="1"/>
  <c r="AC31" i="14"/>
  <c r="AA31" i="14" s="1"/>
  <c r="AC21" i="14"/>
  <c r="AA21" i="14" s="1"/>
  <c r="AC17" i="14"/>
  <c r="AA17" i="14" s="1"/>
  <c r="AC18" i="14"/>
  <c r="AA18" i="14" s="1"/>
  <c r="AC39" i="14"/>
  <c r="AA39" i="14" s="1"/>
  <c r="AC35" i="14"/>
  <c r="AA35" i="14" s="1"/>
  <c r="AC16" i="14"/>
  <c r="AA16" i="14" s="1"/>
  <c r="AC27" i="14"/>
  <c r="AA27" i="14" s="1"/>
  <c r="AC38" i="14"/>
  <c r="AA38" i="14" s="1"/>
  <c r="AC22" i="14"/>
  <c r="AA22" i="14" s="1"/>
  <c r="AC28" i="14"/>
  <c r="AA28" i="14" s="1"/>
  <c r="AC34" i="14"/>
  <c r="AA34" i="14" s="1"/>
  <c r="AC25" i="14"/>
  <c r="AA25" i="14" s="1"/>
  <c r="AC20" i="14"/>
  <c r="AA20" i="14" s="1"/>
  <c r="F3" i="38"/>
  <c r="F4" i="38"/>
  <c r="F3" i="36"/>
  <c r="F3" i="32"/>
  <c r="F4" i="32"/>
  <c r="E32" i="32"/>
  <c r="C5" i="8" l="1"/>
  <c r="C25" i="15"/>
  <c r="D25" i="15" s="1"/>
  <c r="AC25" i="15" s="1"/>
  <c r="C6" i="8"/>
  <c r="D6" i="8" s="1"/>
  <c r="C23" i="15"/>
  <c r="D23" i="15" s="1"/>
  <c r="AC23" i="15" s="1"/>
  <c r="C24" i="15"/>
  <c r="D24" i="15" s="1"/>
  <c r="AC24" i="15" s="1"/>
  <c r="C21" i="15"/>
  <c r="D21" i="15" s="1"/>
  <c r="AC21" i="15" s="1"/>
  <c r="C22" i="15"/>
  <c r="D22" i="15" s="1"/>
  <c r="AC22" i="15" s="1"/>
  <c r="C19" i="15"/>
  <c r="D19" i="15" s="1"/>
  <c r="AC19" i="15" s="1"/>
  <c r="C20" i="15"/>
  <c r="D20" i="15" s="1"/>
  <c r="AC20" i="15" s="1"/>
  <c r="C17" i="15"/>
  <c r="D17" i="15" s="1"/>
  <c r="AC17" i="15" s="1"/>
  <c r="C18" i="15"/>
  <c r="D18" i="15" s="1"/>
  <c r="AC18" i="15" s="1"/>
  <c r="C15" i="15"/>
  <c r="D15" i="15" s="1"/>
  <c r="AC15" i="15" s="1"/>
  <c r="C16" i="15"/>
  <c r="D16" i="15" s="1"/>
  <c r="AC16" i="15" s="1"/>
  <c r="C13" i="15"/>
  <c r="D13" i="15" s="1"/>
  <c r="AC13" i="15" s="1"/>
  <c r="C14" i="15"/>
  <c r="D14" i="15" s="1"/>
  <c r="AC14" i="15" s="1"/>
  <c r="C25" i="13"/>
  <c r="D25" i="13" s="1"/>
  <c r="AC25" i="13" s="1"/>
  <c r="C12" i="15"/>
  <c r="D12" i="15" s="1"/>
  <c r="AC12" i="15" s="1"/>
  <c r="C23" i="13"/>
  <c r="D23" i="13" s="1"/>
  <c r="AC23" i="13" s="1"/>
  <c r="C24" i="13"/>
  <c r="D24" i="13" s="1"/>
  <c r="AC24" i="13" s="1"/>
  <c r="C21" i="13"/>
  <c r="D21" i="13" s="1"/>
  <c r="AC21" i="13" s="1"/>
  <c r="C22" i="13"/>
  <c r="D22" i="13" s="1"/>
  <c r="AC22" i="13" s="1"/>
  <c r="C24" i="10"/>
  <c r="D24" i="10" s="1"/>
  <c r="AC24" i="10" s="1"/>
  <c r="C25" i="10"/>
  <c r="D25" i="10" s="1"/>
  <c r="AC25" i="10" s="1"/>
  <c r="C22" i="10"/>
  <c r="D22" i="10" s="1"/>
  <c r="AC22" i="10" s="1"/>
  <c r="C23" i="10"/>
  <c r="D23" i="10" s="1"/>
  <c r="AC23" i="10" s="1"/>
  <c r="C24" i="7"/>
  <c r="D24" i="7" s="1"/>
  <c r="AC24" i="7" s="1"/>
  <c r="C25" i="7"/>
  <c r="D25" i="7" s="1"/>
  <c r="AC25" i="7" s="1"/>
  <c r="C24" i="9"/>
  <c r="D24" i="9" s="1"/>
  <c r="AC24" i="9" s="1"/>
  <c r="C25" i="9"/>
  <c r="D25" i="9" s="1"/>
  <c r="AC25" i="9" s="1"/>
  <c r="C22" i="9"/>
  <c r="D22" i="9" s="1"/>
  <c r="AC22" i="9" s="1"/>
  <c r="C23" i="9"/>
  <c r="D23" i="9" s="1"/>
  <c r="AC23" i="9" s="1"/>
  <c r="C20" i="9"/>
  <c r="D20" i="9" s="1"/>
  <c r="AC20" i="9" s="1"/>
  <c r="C21" i="9"/>
  <c r="D21" i="9" s="1"/>
  <c r="AC21" i="9" s="1"/>
  <c r="C18" i="9"/>
  <c r="D18" i="9" s="1"/>
  <c r="AC18" i="9" s="1"/>
  <c r="C19" i="9"/>
  <c r="D19" i="9" s="1"/>
  <c r="AC19" i="9" s="1"/>
  <c r="C16" i="9"/>
  <c r="D16" i="9" s="1"/>
  <c r="AC16" i="9" s="1"/>
  <c r="C17" i="9"/>
  <c r="D17" i="9" s="1"/>
  <c r="AC17" i="9" s="1"/>
  <c r="C22" i="3"/>
  <c r="D22" i="3" s="1"/>
  <c r="AC22" i="3" s="1"/>
  <c r="C19" i="3"/>
  <c r="D19" i="3" s="1"/>
  <c r="AC19" i="3" s="1"/>
  <c r="C23" i="3"/>
  <c r="D23" i="3" s="1"/>
  <c r="AC23" i="3" s="1"/>
  <c r="C20" i="3"/>
  <c r="D20" i="3" s="1"/>
  <c r="AC20" i="3" s="1"/>
  <c r="C24" i="3"/>
  <c r="D24" i="3" s="1"/>
  <c r="AC24" i="3" s="1"/>
  <c r="C21" i="3"/>
  <c r="D21" i="3" s="1"/>
  <c r="AC21" i="3" s="1"/>
  <c r="C25" i="3"/>
  <c r="D25" i="3" s="1"/>
  <c r="AC25" i="3" s="1"/>
  <c r="C17" i="3"/>
  <c r="D17" i="3" s="1"/>
  <c r="AC17" i="3" s="1"/>
  <c r="C18" i="3"/>
  <c r="D18" i="3" s="1"/>
  <c r="AC18" i="3" s="1"/>
  <c r="C25" i="5"/>
  <c r="D25" i="5" s="1"/>
  <c r="AC25" i="5" s="1"/>
  <c r="C16" i="3"/>
  <c r="D16" i="3" s="1"/>
  <c r="AC16" i="3" s="1"/>
  <c r="C23" i="5"/>
  <c r="D23" i="5" s="1"/>
  <c r="AC23" i="5" s="1"/>
  <c r="C24" i="5"/>
  <c r="D24" i="5" s="1"/>
  <c r="AC24" i="5" s="1"/>
  <c r="C21" i="5"/>
  <c r="D21" i="5" s="1"/>
  <c r="AC21" i="5" s="1"/>
  <c r="C22" i="5"/>
  <c r="D22" i="5" s="1"/>
  <c r="AC22" i="5" s="1"/>
  <c r="C19" i="5"/>
  <c r="D19" i="5" s="1"/>
  <c r="AC19" i="5" s="1"/>
  <c r="C20" i="5"/>
  <c r="D20" i="5" s="1"/>
  <c r="AC20" i="5" s="1"/>
  <c r="C17" i="5"/>
  <c r="D17" i="5" s="1"/>
  <c r="AC17" i="5" s="1"/>
  <c r="C18" i="5"/>
  <c r="D18" i="5" s="1"/>
  <c r="AC18" i="5" s="1"/>
  <c r="C25" i="8"/>
  <c r="C16" i="5"/>
  <c r="D16" i="5" s="1"/>
  <c r="AC16" i="5" s="1"/>
  <c r="C23" i="8"/>
  <c r="C24" i="8"/>
  <c r="C3" i="5"/>
  <c r="C14" i="5"/>
  <c r="D14" i="5" s="1"/>
  <c r="AC14" i="5" s="1"/>
  <c r="C10" i="5"/>
  <c r="D10" i="5" s="1"/>
  <c r="AC10" i="5" s="1"/>
  <c r="C9" i="5"/>
  <c r="D9" i="5" s="1"/>
  <c r="C5" i="5"/>
  <c r="D5" i="5" s="1"/>
  <c r="C8" i="5"/>
  <c r="D8" i="5" s="1"/>
  <c r="C4" i="5"/>
  <c r="D4" i="5" s="1"/>
  <c r="C15" i="5"/>
  <c r="D15" i="5" s="1"/>
  <c r="AC15" i="5" s="1"/>
  <c r="C6" i="5"/>
  <c r="D6" i="5" s="1"/>
  <c r="C12" i="5"/>
  <c r="D12" i="5" s="1"/>
  <c r="AC12" i="5" s="1"/>
  <c r="C13" i="5"/>
  <c r="D13" i="5" s="1"/>
  <c r="AC13" i="5" s="1"/>
  <c r="C11" i="5"/>
  <c r="D11" i="5" s="1"/>
  <c r="AC11" i="5" s="1"/>
  <c r="C7" i="5"/>
  <c r="D7" i="5" s="1"/>
  <c r="C19" i="13"/>
  <c r="D19" i="13" s="1"/>
  <c r="AC19" i="13" s="1"/>
  <c r="C20" i="13"/>
  <c r="D20" i="13" s="1"/>
  <c r="AC20" i="13" s="1"/>
  <c r="C17" i="13"/>
  <c r="D17" i="13" s="1"/>
  <c r="AC17" i="13" s="1"/>
  <c r="C18" i="13"/>
  <c r="D18" i="13" s="1"/>
  <c r="AC18" i="13" s="1"/>
  <c r="C16" i="13"/>
  <c r="D16" i="13" s="1"/>
  <c r="AC16" i="13" s="1"/>
  <c r="C20" i="10"/>
  <c r="D20" i="10" s="1"/>
  <c r="AC20" i="10" s="1"/>
  <c r="C21" i="10"/>
  <c r="D21" i="10" s="1"/>
  <c r="AC21" i="10" s="1"/>
  <c r="C18" i="10"/>
  <c r="D18" i="10" s="1"/>
  <c r="AC18" i="10" s="1"/>
  <c r="C19" i="10"/>
  <c r="D19" i="10" s="1"/>
  <c r="AC19" i="10" s="1"/>
  <c r="C16" i="10"/>
  <c r="D16" i="10" s="1"/>
  <c r="AC16" i="10" s="1"/>
  <c r="C17" i="10"/>
  <c r="D17" i="10" s="1"/>
  <c r="AC17" i="10" s="1"/>
  <c r="C22" i="7"/>
  <c r="D22" i="7" s="1"/>
  <c r="AC22" i="7" s="1"/>
  <c r="C23" i="7"/>
  <c r="D23" i="7" s="1"/>
  <c r="AC23" i="7" s="1"/>
  <c r="C20" i="7"/>
  <c r="D20" i="7" s="1"/>
  <c r="AC20" i="7" s="1"/>
  <c r="C21" i="7"/>
  <c r="D21" i="7" s="1"/>
  <c r="AC21" i="7" s="1"/>
  <c r="C19" i="7"/>
  <c r="D19" i="7" s="1"/>
  <c r="AC19" i="7" s="1"/>
  <c r="C18" i="7"/>
  <c r="D18" i="7" s="1"/>
  <c r="AC18" i="7" s="1"/>
  <c r="C16" i="7"/>
  <c r="D16" i="7" s="1"/>
  <c r="AC16" i="7" s="1"/>
  <c r="C17" i="7"/>
  <c r="D17" i="7" s="1"/>
  <c r="AC17" i="7" s="1"/>
  <c r="C22" i="8"/>
  <c r="C20" i="8"/>
  <c r="C21" i="8"/>
  <c r="C18" i="8"/>
  <c r="C19" i="8"/>
  <c r="C11" i="18"/>
  <c r="D11" i="18" s="1"/>
  <c r="AC11" i="18" s="1"/>
  <c r="C17" i="8"/>
  <c r="C9" i="18"/>
  <c r="D9" i="18" s="1"/>
  <c r="AC9" i="18" s="1"/>
  <c r="C10" i="18"/>
  <c r="D10" i="18" s="1"/>
  <c r="AC10" i="18" s="1"/>
  <c r="C7" i="18"/>
  <c r="D7" i="18" s="1"/>
  <c r="AC7" i="18" s="1"/>
  <c r="C8" i="18"/>
  <c r="D8" i="18" s="1"/>
  <c r="AC8" i="18" s="1"/>
  <c r="C11" i="16"/>
  <c r="D11" i="16" s="1"/>
  <c r="AC11" i="16" s="1"/>
  <c r="C6" i="18"/>
  <c r="D6" i="18" s="1"/>
  <c r="AC6" i="18" s="1"/>
  <c r="C9" i="16"/>
  <c r="D9" i="16" s="1"/>
  <c r="AC9" i="16" s="1"/>
  <c r="C10" i="16"/>
  <c r="D10" i="16" s="1"/>
  <c r="AC10" i="16" s="1"/>
  <c r="C7" i="16"/>
  <c r="D7" i="16" s="1"/>
  <c r="AC7" i="16" s="1"/>
  <c r="C8" i="16"/>
  <c r="D8" i="16" s="1"/>
  <c r="AC8" i="16" s="1"/>
  <c r="C10" i="15"/>
  <c r="D10" i="15" s="1"/>
  <c r="AC10" i="15" s="1"/>
  <c r="C11" i="15"/>
  <c r="D11" i="15" s="1"/>
  <c r="AC11" i="15" s="1"/>
  <c r="C8" i="15"/>
  <c r="D8" i="15" s="1"/>
  <c r="AC8" i="15" s="1"/>
  <c r="C9" i="15"/>
  <c r="D9" i="15" s="1"/>
  <c r="AC9" i="15" s="1"/>
  <c r="C14" i="13"/>
  <c r="D14" i="13" s="1"/>
  <c r="AC14" i="13" s="1"/>
  <c r="C15" i="13"/>
  <c r="D15" i="13" s="1"/>
  <c r="AC15" i="13" s="1"/>
  <c r="C18" i="12"/>
  <c r="D18" i="12" s="1"/>
  <c r="AC18" i="12" s="1"/>
  <c r="C19" i="12"/>
  <c r="D19" i="12" s="1"/>
  <c r="AC19" i="12" s="1"/>
  <c r="C16" i="12"/>
  <c r="D16" i="12" s="1"/>
  <c r="AC16" i="12" s="1"/>
  <c r="C17" i="12"/>
  <c r="D17" i="12" s="1"/>
  <c r="AC17" i="12" s="1"/>
  <c r="C14" i="12"/>
  <c r="D14" i="12" s="1"/>
  <c r="AC14" i="12" s="1"/>
  <c r="C15" i="12"/>
  <c r="D15" i="12" s="1"/>
  <c r="AC15" i="12" s="1"/>
  <c r="C15" i="11"/>
  <c r="D15" i="11" s="1"/>
  <c r="AC15" i="11" s="1"/>
  <c r="C13" i="12"/>
  <c r="D13" i="12" s="1"/>
  <c r="AC13" i="12" s="1"/>
  <c r="C13" i="11"/>
  <c r="D13" i="11" s="1"/>
  <c r="AC13" i="11" s="1"/>
  <c r="C14" i="11"/>
  <c r="D14" i="11" s="1"/>
  <c r="AC14" i="11" s="1"/>
  <c r="C15" i="10"/>
  <c r="D15" i="10" s="1"/>
  <c r="AC15" i="10" s="1"/>
  <c r="C12" i="11"/>
  <c r="D12" i="11" s="1"/>
  <c r="AC12" i="11" s="1"/>
  <c r="C15" i="7"/>
  <c r="D15" i="7" s="1"/>
  <c r="AC15" i="7" s="1"/>
  <c r="C14" i="10"/>
  <c r="D14" i="10" s="1"/>
  <c r="AC14" i="10" s="1"/>
  <c r="C13" i="7"/>
  <c r="D13" i="7" s="1"/>
  <c r="C14" i="7"/>
  <c r="D14" i="7" s="1"/>
  <c r="AC14" i="7" s="1"/>
  <c r="C11" i="7"/>
  <c r="D11" i="7" s="1"/>
  <c r="C12" i="7"/>
  <c r="D12" i="7" s="1"/>
  <c r="C9" i="7"/>
  <c r="D9" i="7" s="1"/>
  <c r="C10" i="7"/>
  <c r="D10" i="7" s="1"/>
  <c r="C14" i="9"/>
  <c r="D14" i="9" s="1"/>
  <c r="AC14" i="9" s="1"/>
  <c r="C15" i="9"/>
  <c r="D15" i="9" s="1"/>
  <c r="AC15" i="9" s="1"/>
  <c r="C12" i="9"/>
  <c r="D12" i="9" s="1"/>
  <c r="AC12" i="9" s="1"/>
  <c r="C13" i="9"/>
  <c r="D13" i="9" s="1"/>
  <c r="AC13" i="9" s="1"/>
  <c r="C10" i="9"/>
  <c r="D10" i="9" s="1"/>
  <c r="AC10" i="9" s="1"/>
  <c r="C11" i="9"/>
  <c r="D11" i="9" s="1"/>
  <c r="AC11" i="9" s="1"/>
  <c r="C8" i="9"/>
  <c r="D8" i="9" s="1"/>
  <c r="AC8" i="9" s="1"/>
  <c r="C9" i="9"/>
  <c r="D9" i="9" s="1"/>
  <c r="AC9" i="9" s="1"/>
  <c r="C15" i="3"/>
  <c r="D15" i="3" s="1"/>
  <c r="AC15" i="3" s="1"/>
  <c r="C7" i="9"/>
  <c r="D7" i="9" s="1"/>
  <c r="AC7" i="9" s="1"/>
  <c r="C13" i="3"/>
  <c r="D13" i="3" s="1"/>
  <c r="AC13" i="3" s="1"/>
  <c r="C14" i="3"/>
  <c r="D14" i="3" s="1"/>
  <c r="AC14" i="3" s="1"/>
  <c r="C11" i="3"/>
  <c r="D11" i="3" s="1"/>
  <c r="AC11" i="3" s="1"/>
  <c r="C12" i="3"/>
  <c r="D12" i="3" s="1"/>
  <c r="AC12" i="3" s="1"/>
  <c r="C9" i="3"/>
  <c r="D9" i="3" s="1"/>
  <c r="AC9" i="3" s="1"/>
  <c r="C10" i="3"/>
  <c r="D10" i="3" s="1"/>
  <c r="AC10" i="3" s="1"/>
  <c r="C8" i="3"/>
  <c r="D8" i="3" s="1"/>
  <c r="AC8" i="3" s="1"/>
  <c r="C14" i="19"/>
  <c r="D14" i="19" s="1"/>
  <c r="AC14" i="19" s="1"/>
  <c r="C15" i="19"/>
  <c r="D15" i="19" s="1"/>
  <c r="AC15" i="19" s="1"/>
  <c r="C15" i="17"/>
  <c r="D15" i="17" s="1"/>
  <c r="AC15" i="17" s="1"/>
  <c r="C13" i="19"/>
  <c r="D13" i="19" s="1"/>
  <c r="AC13" i="19" s="1"/>
  <c r="C13" i="17"/>
  <c r="D13" i="17" s="1"/>
  <c r="AC13" i="17" s="1"/>
  <c r="C14" i="17"/>
  <c r="D14" i="17" s="1"/>
  <c r="AC14" i="17" s="1"/>
  <c r="C14" i="14"/>
  <c r="D14" i="14" s="1"/>
  <c r="AC14" i="14" s="1"/>
  <c r="C15" i="14"/>
  <c r="D15" i="14" s="1"/>
  <c r="AC15" i="14" s="1"/>
  <c r="C16" i="8"/>
  <c r="D16" i="8" s="1"/>
  <c r="AC16" i="8" s="1"/>
  <c r="M7" i="8"/>
  <c r="C9" i="8"/>
  <c r="C13" i="8"/>
  <c r="C4" i="8"/>
  <c r="D4" i="8" s="1"/>
  <c r="C10" i="8"/>
  <c r="C12" i="8"/>
  <c r="C3" i="8"/>
  <c r="C15" i="8"/>
  <c r="D15" i="8" s="1"/>
  <c r="AC15" i="8" s="1"/>
  <c r="C8" i="8"/>
  <c r="D8" i="8" s="1"/>
  <c r="C8" i="32" s="1"/>
  <c r="C14" i="8"/>
  <c r="C7" i="8"/>
  <c r="D7" i="8" s="1"/>
  <c r="AC7" i="8" s="1"/>
  <c r="AA7" i="8" s="1"/>
  <c r="C11" i="8"/>
  <c r="C6" i="9"/>
  <c r="D6" i="9" s="1"/>
  <c r="AC6" i="9" s="1"/>
  <c r="C8" i="7"/>
  <c r="D8" i="7" s="1"/>
  <c r="C6" i="7"/>
  <c r="D6" i="7" s="1"/>
  <c r="C7" i="7"/>
  <c r="D7" i="7" s="1"/>
  <c r="C9" i="14"/>
  <c r="D9" i="14" s="1"/>
  <c r="AC9" i="14" s="1"/>
  <c r="C5" i="7"/>
  <c r="D5" i="7" s="1"/>
  <c r="C4" i="7"/>
  <c r="D4" i="7" s="1"/>
  <c r="C13" i="14"/>
  <c r="D13" i="14" s="1"/>
  <c r="AC13" i="14" s="1"/>
  <c r="C10" i="32"/>
  <c r="C11" i="32"/>
  <c r="C12" i="32"/>
  <c r="C5" i="19"/>
  <c r="C9" i="19"/>
  <c r="D9" i="19" s="1"/>
  <c r="AC9" i="19" s="1"/>
  <c r="C6" i="19"/>
  <c r="D6" i="19" s="1"/>
  <c r="AC6" i="19" s="1"/>
  <c r="C8" i="19"/>
  <c r="D8" i="19" s="1"/>
  <c r="AC8" i="19" s="1"/>
  <c r="C4" i="19"/>
  <c r="D4" i="19" s="1"/>
  <c r="AC4" i="19" s="1"/>
  <c r="C7" i="19"/>
  <c r="D7" i="19" s="1"/>
  <c r="AC7" i="19" s="1"/>
  <c r="C11" i="19"/>
  <c r="D11" i="19" s="1"/>
  <c r="AC11" i="19" s="1"/>
  <c r="C12" i="19"/>
  <c r="D12" i="19" s="1"/>
  <c r="AC12" i="19" s="1"/>
  <c r="C10" i="19"/>
  <c r="D10" i="19" s="1"/>
  <c r="AC10" i="19" s="1"/>
  <c r="C11" i="17"/>
  <c r="D11" i="17" s="1"/>
  <c r="AC11" i="17" s="1"/>
  <c r="C12" i="17"/>
  <c r="D12" i="17" s="1"/>
  <c r="AC12" i="17" s="1"/>
  <c r="C9" i="17"/>
  <c r="D9" i="17" s="1"/>
  <c r="AC9" i="17" s="1"/>
  <c r="C10" i="17"/>
  <c r="D10" i="17" s="1"/>
  <c r="AC10" i="17" s="1"/>
  <c r="C12" i="14"/>
  <c r="D12" i="14" s="1"/>
  <c r="AC12" i="14" s="1"/>
  <c r="C10" i="14"/>
  <c r="D10" i="14" s="1"/>
  <c r="AC10" i="14" s="1"/>
  <c r="C11" i="14"/>
  <c r="D11" i="14" s="1"/>
  <c r="AC11" i="14" s="1"/>
  <c r="C8" i="14"/>
  <c r="D8" i="14" s="1"/>
  <c r="AC8" i="14" s="1"/>
  <c r="C6" i="16"/>
  <c r="D6" i="16" s="1"/>
  <c r="C7" i="15"/>
  <c r="D7" i="15" s="1"/>
  <c r="AC7" i="15" s="1"/>
  <c r="C5" i="16"/>
  <c r="D5" i="16" s="1"/>
  <c r="C5" i="15"/>
  <c r="D5" i="15" s="1"/>
  <c r="C5" i="44" s="1"/>
  <c r="C6" i="15"/>
  <c r="D6" i="15" s="1"/>
  <c r="C6" i="44" s="1"/>
  <c r="C11" i="12"/>
  <c r="D11" i="12" s="1"/>
  <c r="AC11" i="12" s="1"/>
  <c r="C12" i="12"/>
  <c r="D12" i="12" s="1"/>
  <c r="AC12" i="12" s="1"/>
  <c r="C9" i="12"/>
  <c r="D9" i="12" s="1"/>
  <c r="AC9" i="12" s="1"/>
  <c r="C10" i="12"/>
  <c r="D10" i="12" s="1"/>
  <c r="AC10" i="12" s="1"/>
  <c r="C7" i="12"/>
  <c r="D7" i="12" s="1"/>
  <c r="AC7" i="12" s="1"/>
  <c r="C8" i="12"/>
  <c r="D8" i="12" s="1"/>
  <c r="AC8" i="12" s="1"/>
  <c r="C11" i="11"/>
  <c r="D11" i="11" s="1"/>
  <c r="AC11" i="11" s="1"/>
  <c r="C6" i="12"/>
  <c r="D6" i="12" s="1"/>
  <c r="AC6" i="12" s="1"/>
  <c r="C9" i="11"/>
  <c r="D9" i="11" s="1"/>
  <c r="AC9" i="11" s="1"/>
  <c r="C10" i="11"/>
  <c r="D10" i="11" s="1"/>
  <c r="AC10" i="11" s="1"/>
  <c r="C7" i="11"/>
  <c r="D7" i="11" s="1"/>
  <c r="AC7" i="11" s="1"/>
  <c r="C8" i="11"/>
  <c r="D8" i="11" s="1"/>
  <c r="AC8" i="11" s="1"/>
  <c r="C5" i="11"/>
  <c r="D5" i="11" s="1"/>
  <c r="AC5" i="11" s="1"/>
  <c r="C6" i="11"/>
  <c r="D6" i="11" s="1"/>
  <c r="AC6" i="11" s="1"/>
  <c r="C5" i="9"/>
  <c r="D5" i="9" s="1"/>
  <c r="AC5" i="9" s="1"/>
  <c r="C6" i="3"/>
  <c r="D6" i="3" s="1"/>
  <c r="C7" i="3"/>
  <c r="D7" i="3" s="1"/>
  <c r="AC7" i="3" s="1"/>
  <c r="C5" i="3"/>
  <c r="D5" i="3" s="1"/>
  <c r="AC5" i="3" s="1"/>
  <c r="C8" i="17"/>
  <c r="D8" i="17" s="1"/>
  <c r="AC8" i="17" s="1"/>
  <c r="C6" i="17"/>
  <c r="D6" i="17" s="1"/>
  <c r="AC6" i="17" s="1"/>
  <c r="C7" i="17"/>
  <c r="D7" i="17" s="1"/>
  <c r="AC7" i="17" s="1"/>
  <c r="C6" i="14"/>
  <c r="D6" i="14" s="1"/>
  <c r="AC6" i="14" s="1"/>
  <c r="C7" i="14"/>
  <c r="D7" i="14" s="1"/>
  <c r="AC7" i="14" s="1"/>
  <c r="C4" i="16"/>
  <c r="D4" i="16" s="1"/>
  <c r="C5" i="14"/>
  <c r="C12" i="13"/>
  <c r="D12" i="13" s="1"/>
  <c r="C13" i="13"/>
  <c r="D13" i="13" s="1"/>
  <c r="C10" i="13"/>
  <c r="D10" i="13" s="1"/>
  <c r="C10" i="43" s="1"/>
  <c r="C11" i="13"/>
  <c r="D11" i="13" s="1"/>
  <c r="C8" i="13"/>
  <c r="D8" i="13" s="1"/>
  <c r="C8" i="43" s="1"/>
  <c r="C9" i="13"/>
  <c r="D9" i="13" s="1"/>
  <c r="C9" i="43" s="1"/>
  <c r="C4" i="3"/>
  <c r="D4" i="3" s="1"/>
  <c r="C6" i="13"/>
  <c r="D6" i="13" s="1"/>
  <c r="C6" i="43" s="1"/>
  <c r="C7" i="13"/>
  <c r="D7" i="13" s="1"/>
  <c r="C7" i="43" s="1"/>
  <c r="C6" i="10"/>
  <c r="D6" i="10" s="1"/>
  <c r="C11" i="10"/>
  <c r="D11" i="10" s="1"/>
  <c r="C12" i="10"/>
  <c r="D12" i="10" s="1"/>
  <c r="C13" i="10"/>
  <c r="D13" i="10" s="1"/>
  <c r="AC13" i="10" s="1"/>
  <c r="C7" i="10"/>
  <c r="D7" i="10" s="1"/>
  <c r="C8" i="10"/>
  <c r="D8" i="10" s="1"/>
  <c r="C9" i="10"/>
  <c r="D9" i="10" s="1"/>
  <c r="C10" i="10"/>
  <c r="D10" i="10" s="1"/>
  <c r="C3" i="3"/>
  <c r="D3" i="3" s="1"/>
  <c r="C3" i="16"/>
  <c r="D3" i="16" s="1"/>
  <c r="C3" i="15"/>
  <c r="D3" i="15" s="1"/>
  <c r="C3" i="44" s="1"/>
  <c r="C4" i="14"/>
  <c r="D4" i="14" s="1"/>
  <c r="AC4" i="14" s="1"/>
  <c r="C3" i="13"/>
  <c r="D3" i="13" s="1"/>
  <c r="C3" i="43" s="1"/>
  <c r="C4" i="13"/>
  <c r="D4" i="13" s="1"/>
  <c r="C4" i="43" s="1"/>
  <c r="C5" i="13"/>
  <c r="D5" i="13" s="1"/>
  <c r="C5" i="43" s="1"/>
  <c r="C5" i="12"/>
  <c r="D5" i="12" s="1"/>
  <c r="AC5" i="12" s="1"/>
  <c r="C4" i="12"/>
  <c r="D4" i="12" s="1"/>
  <c r="AC4" i="12" s="1"/>
  <c r="C3" i="11"/>
  <c r="D3" i="11" s="1"/>
  <c r="C4" i="11"/>
  <c r="D4" i="11" s="1"/>
  <c r="AC4" i="11" s="1"/>
  <c r="C3" i="9"/>
  <c r="D3" i="9" s="1"/>
  <c r="C4" i="9"/>
  <c r="D4" i="9" s="1"/>
  <c r="AC4" i="9" s="1"/>
  <c r="C4" i="15"/>
  <c r="D4" i="15" s="1"/>
  <c r="C4" i="44" s="1"/>
  <c r="C3" i="10"/>
  <c r="D3" i="10" s="1"/>
  <c r="C3" i="19"/>
  <c r="D3" i="19" s="1"/>
  <c r="C4" i="18"/>
  <c r="D4" i="18" s="1"/>
  <c r="C3" i="18"/>
  <c r="D3" i="18" s="1"/>
  <c r="C5" i="18"/>
  <c r="D5" i="18" s="1"/>
  <c r="AC5" i="18" s="1"/>
  <c r="C3" i="17"/>
  <c r="D3" i="17" s="1"/>
  <c r="C4" i="17"/>
  <c r="D4" i="17" s="1"/>
  <c r="AC4" i="17" s="1"/>
  <c r="C5" i="17"/>
  <c r="C3" i="14"/>
  <c r="D3" i="14" s="1"/>
  <c r="C3" i="12"/>
  <c r="D3" i="12" s="1"/>
  <c r="AC3" i="12" s="1"/>
  <c r="C4" i="10"/>
  <c r="D4" i="10" s="1"/>
  <c r="C5" i="10"/>
  <c r="D5" i="10" s="1"/>
  <c r="C3" i="7"/>
  <c r="D3" i="7" s="1"/>
  <c r="M7" i="7" l="1"/>
  <c r="D7" i="39" s="1"/>
  <c r="AA7" i="7"/>
  <c r="M6" i="7"/>
  <c r="D6" i="39" s="1"/>
  <c r="AA6" i="7"/>
  <c r="AA5" i="7"/>
  <c r="M5" i="7"/>
  <c r="D5" i="39" s="1"/>
  <c r="M4" i="7"/>
  <c r="D4" i="39" s="1"/>
  <c r="AA4" i="7"/>
  <c r="M3" i="7"/>
  <c r="AA3" i="7"/>
  <c r="D3" i="5"/>
  <c r="AC3" i="5" s="1"/>
  <c r="AA3" i="5" s="1"/>
  <c r="D3" i="8"/>
  <c r="AC3" i="8" s="1"/>
  <c r="AA3" i="8" s="1"/>
  <c r="AC3" i="10"/>
  <c r="AA3" i="10" s="1"/>
  <c r="D15" i="47"/>
  <c r="B15" i="47" s="1"/>
  <c r="E15" i="47"/>
  <c r="C15" i="47" s="1"/>
  <c r="M4" i="10"/>
  <c r="D4" i="40" s="1"/>
  <c r="AA4" i="10"/>
  <c r="C18" i="40"/>
  <c r="AC10" i="10"/>
  <c r="C10" i="40"/>
  <c r="AC4" i="10"/>
  <c r="C4" i="40"/>
  <c r="AC8" i="10"/>
  <c r="C8" i="40"/>
  <c r="AC5" i="10"/>
  <c r="C5" i="40"/>
  <c r="AC9" i="10"/>
  <c r="C9" i="40"/>
  <c r="AC7" i="10"/>
  <c r="C7" i="40"/>
  <c r="C17" i="40"/>
  <c r="C13" i="40"/>
  <c r="C15" i="40"/>
  <c r="C16" i="40"/>
  <c r="C14" i="40"/>
  <c r="AC11" i="10"/>
  <c r="C11" i="40"/>
  <c r="AC12" i="10"/>
  <c r="C12" i="40"/>
  <c r="AC6" i="10"/>
  <c r="C6" i="40"/>
  <c r="C19" i="39"/>
  <c r="C18" i="39"/>
  <c r="C17" i="39"/>
  <c r="C16" i="39"/>
  <c r="C15" i="39"/>
  <c r="C14" i="39"/>
  <c r="AC13" i="7"/>
  <c r="C13" i="39"/>
  <c r="AC12" i="7"/>
  <c r="C12" i="39"/>
  <c r="AC11" i="7"/>
  <c r="C11" i="39"/>
  <c r="AC10" i="7"/>
  <c r="C10" i="39"/>
  <c r="AC9" i="7"/>
  <c r="C9" i="39"/>
  <c r="AC8" i="7"/>
  <c r="C8" i="39"/>
  <c r="AC7" i="7"/>
  <c r="C7" i="39"/>
  <c r="AC6" i="7"/>
  <c r="C6" i="39"/>
  <c r="AC5" i="7"/>
  <c r="C5" i="39"/>
  <c r="AC3" i="9"/>
  <c r="AA3" i="9"/>
  <c r="M3" i="9"/>
  <c r="D3" i="38" s="1"/>
  <c r="C13" i="36"/>
  <c r="C12" i="36"/>
  <c r="C11" i="36"/>
  <c r="C10" i="36"/>
  <c r="AC9" i="5"/>
  <c r="AA9" i="5" s="1"/>
  <c r="C9" i="36"/>
  <c r="AC8" i="5"/>
  <c r="AA8" i="5" s="1"/>
  <c r="C8" i="36"/>
  <c r="AC7" i="5"/>
  <c r="AA7" i="5" s="1"/>
  <c r="C7" i="36"/>
  <c r="AC4" i="5"/>
  <c r="AA4" i="5"/>
  <c r="AC6" i="5"/>
  <c r="AA6" i="5" s="1"/>
  <c r="C6" i="36"/>
  <c r="AC5" i="5"/>
  <c r="AA5" i="5" s="1"/>
  <c r="C5" i="36"/>
  <c r="C7" i="32"/>
  <c r="M16" i="8"/>
  <c r="D16" i="32" s="1"/>
  <c r="C16" i="32"/>
  <c r="D11" i="8"/>
  <c r="AC11" i="8" s="1"/>
  <c r="D14" i="8"/>
  <c r="AC14" i="8" s="1"/>
  <c r="AC4" i="8"/>
  <c r="AA4" i="8" s="1"/>
  <c r="D5" i="8"/>
  <c r="D12" i="8"/>
  <c r="AC12" i="8" s="1"/>
  <c r="D10" i="8"/>
  <c r="AC10" i="8" s="1"/>
  <c r="D13" i="8"/>
  <c r="AC13" i="8" s="1"/>
  <c r="AC8" i="8"/>
  <c r="D9" i="8"/>
  <c r="AC6" i="8"/>
  <c r="AA6" i="8"/>
  <c r="M6" i="8"/>
  <c r="D6" i="32" s="1"/>
  <c r="M3" i="8"/>
  <c r="AC4" i="18"/>
  <c r="AC3" i="18"/>
  <c r="AC4" i="16"/>
  <c r="AC5" i="16"/>
  <c r="AC6" i="16"/>
  <c r="AC3" i="16"/>
  <c r="AC6" i="15"/>
  <c r="AC5" i="15"/>
  <c r="AC4" i="15"/>
  <c r="AC3" i="15"/>
  <c r="AC11" i="13"/>
  <c r="AC5" i="13"/>
  <c r="AC9" i="13"/>
  <c r="AC8" i="13"/>
  <c r="AC13" i="13"/>
  <c r="AC4" i="13"/>
  <c r="AC12" i="13"/>
  <c r="AC6" i="13"/>
  <c r="AC10" i="13"/>
  <c r="AC7" i="13"/>
  <c r="AC3" i="13"/>
  <c r="AC3" i="11"/>
  <c r="AC4" i="7"/>
  <c r="AC3" i="7"/>
  <c r="AC4" i="3"/>
  <c r="AC3" i="3"/>
  <c r="AC3" i="19"/>
  <c r="D9" i="47"/>
  <c r="B9" i="47" s="1"/>
  <c r="E9" i="47"/>
  <c r="C9" i="47" s="1"/>
  <c r="AC3" i="17"/>
  <c r="AA3" i="17" s="1"/>
  <c r="AC3" i="14"/>
  <c r="AA3" i="14" s="1"/>
  <c r="AA5" i="8"/>
  <c r="C5" i="38"/>
  <c r="C7" i="37"/>
  <c r="C5" i="37"/>
  <c r="C4" i="35"/>
  <c r="C4" i="34"/>
  <c r="C7" i="33"/>
  <c r="C8" i="33"/>
  <c r="C4" i="33"/>
  <c r="C6" i="33"/>
  <c r="C9" i="33"/>
  <c r="C6" i="37"/>
  <c r="AC6" i="3"/>
  <c r="C3" i="40"/>
  <c r="C3" i="39"/>
  <c r="D14" i="47"/>
  <c r="B14" i="47" s="1"/>
  <c r="E14" i="47"/>
  <c r="C14" i="47" s="1"/>
  <c r="D13" i="47"/>
  <c r="B13" i="47" s="1"/>
  <c r="E13" i="47"/>
  <c r="C13" i="47" s="1"/>
  <c r="D12" i="47"/>
  <c r="B12" i="47" s="1"/>
  <c r="E12" i="47"/>
  <c r="C12" i="47" s="1"/>
  <c r="D11" i="47"/>
  <c r="B11" i="47" s="1"/>
  <c r="E11" i="47"/>
  <c r="C11" i="47" s="1"/>
  <c r="E7" i="47"/>
  <c r="C7" i="47" s="1"/>
  <c r="D7" i="47"/>
  <c r="B7" i="47" s="1"/>
  <c r="C3" i="34"/>
  <c r="C14" i="33"/>
  <c r="C10" i="33"/>
  <c r="D16" i="33"/>
  <c r="C11" i="33"/>
  <c r="C15" i="33"/>
  <c r="C16" i="33"/>
  <c r="D15" i="33"/>
  <c r="D14" i="33"/>
  <c r="D13" i="33"/>
  <c r="C13" i="33"/>
  <c r="D12" i="33"/>
  <c r="C12" i="33"/>
  <c r="C4" i="39"/>
  <c r="D5" i="38"/>
  <c r="D7" i="37"/>
  <c r="D6" i="37"/>
  <c r="D5" i="37"/>
  <c r="D6" i="33"/>
  <c r="D7" i="33"/>
  <c r="D9" i="33"/>
  <c r="D11" i="33"/>
  <c r="D10" i="33"/>
  <c r="D8" i="33"/>
  <c r="D5" i="19"/>
  <c r="AC5" i="19" s="1"/>
  <c r="D5" i="17"/>
  <c r="AC5" i="17" s="1"/>
  <c r="D5" i="14"/>
  <c r="D4" i="35"/>
  <c r="C4" i="36"/>
  <c r="D12" i="32"/>
  <c r="D11" i="32"/>
  <c r="D10" i="32"/>
  <c r="D9" i="32"/>
  <c r="D8" i="32"/>
  <c r="D7" i="32"/>
  <c r="C3" i="45"/>
  <c r="D3" i="45"/>
  <c r="C3" i="42"/>
  <c r="D3" i="42"/>
  <c r="C5" i="41"/>
  <c r="C4" i="41"/>
  <c r="C3" i="41"/>
  <c r="D5" i="41"/>
  <c r="D4" i="41"/>
  <c r="D3" i="41"/>
  <c r="C4" i="38"/>
  <c r="C3" i="38"/>
  <c r="C4" i="37"/>
  <c r="C3" i="37"/>
  <c r="D4" i="37"/>
  <c r="D3" i="37"/>
  <c r="D3" i="36"/>
  <c r="C3" i="35"/>
  <c r="D3" i="35"/>
  <c r="D4" i="33"/>
  <c r="C3" i="33"/>
  <c r="C6" i="32"/>
  <c r="U3" i="18" a="1"/>
  <c r="U3" i="18" s="1"/>
  <c r="P12" i="18" s="1"/>
  <c r="E33" i="46" s="1"/>
  <c r="U3" i="16" a="1"/>
  <c r="U3" i="16" s="1"/>
  <c r="P12" i="16" s="1"/>
  <c r="E33" i="45" s="1"/>
  <c r="U3" i="15" a="1"/>
  <c r="U3" i="15" s="1"/>
  <c r="P26" i="15" s="1"/>
  <c r="E33" i="44" s="1"/>
  <c r="U3" i="12" a="1"/>
  <c r="U3" i="12" s="1"/>
  <c r="P20" i="12" s="1"/>
  <c r="E33" i="42" s="1"/>
  <c r="U3" i="10" a="1"/>
  <c r="U3" i="10" s="1"/>
  <c r="P26" i="10" s="1"/>
  <c r="E33" i="40" s="1"/>
  <c r="U3" i="7" a="1"/>
  <c r="U3" i="7" s="1"/>
  <c r="P26" i="7" s="1"/>
  <c r="E33" i="39" s="1"/>
  <c r="D3" i="39" l="1"/>
  <c r="C3" i="36"/>
  <c r="M3" i="10"/>
  <c r="D3" i="40" s="1"/>
  <c r="AC9" i="8"/>
  <c r="C9" i="32"/>
  <c r="M13" i="8"/>
  <c r="D13" i="32" s="1"/>
  <c r="C13" i="32"/>
  <c r="M3" i="17"/>
  <c r="D3" i="34" s="1"/>
  <c r="D8" i="47"/>
  <c r="B8" i="47" s="1"/>
  <c r="B22" i="47" s="1"/>
  <c r="AC5" i="14"/>
  <c r="E8" i="47"/>
  <c r="C8" i="47" s="1"/>
  <c r="C22" i="47" s="1"/>
  <c r="M3" i="14"/>
  <c r="D3" i="33" s="1"/>
  <c r="AC5" i="8"/>
  <c r="M5" i="8"/>
  <c r="D5" i="32" s="1"/>
  <c r="U4" i="19" a="1"/>
  <c r="U4" i="19" s="1"/>
  <c r="P16" i="19" s="1"/>
  <c r="E33" i="35" s="1"/>
  <c r="U3" i="14" a="1"/>
  <c r="U3" i="14" s="1"/>
  <c r="P16" i="14" s="1"/>
  <c r="E33" i="33" s="1"/>
  <c r="C3" i="32"/>
  <c r="D3" i="32"/>
  <c r="B3" i="47"/>
  <c r="C3" i="47"/>
  <c r="D4" i="36"/>
  <c r="D5" i="35"/>
  <c r="C5" i="35"/>
  <c r="D5" i="34"/>
  <c r="C5" i="33"/>
  <c r="C5" i="34"/>
  <c r="D5" i="33"/>
  <c r="D4" i="34"/>
  <c r="D4" i="38"/>
  <c r="C4" i="32"/>
  <c r="C5" i="32"/>
  <c r="U3" i="17" a="1"/>
  <c r="U3" i="17" s="1"/>
  <c r="P16" i="17" s="1"/>
  <c r="U3" i="13" a="1"/>
  <c r="U3" i="13" s="1"/>
  <c r="P26" i="13" s="1"/>
  <c r="E33" i="43" s="1"/>
  <c r="U3" i="3" a="1"/>
  <c r="U3" i="3" s="1"/>
  <c r="P26" i="3" s="1"/>
  <c r="E33" i="37" s="1"/>
  <c r="U3" i="11" a="1"/>
  <c r="U3" i="11" s="1"/>
  <c r="P16" i="11" s="1"/>
  <c r="E33" i="41" s="1"/>
  <c r="U3" i="8" a="1"/>
  <c r="U3" i="8" s="1"/>
  <c r="U3" i="5" a="1"/>
  <c r="U3" i="5" s="1"/>
  <c r="P26" i="5" s="1"/>
  <c r="E33" i="36" s="1"/>
  <c r="M4" i="8" l="1"/>
  <c r="E33" i="34"/>
  <c r="P26" i="8"/>
  <c r="U3" i="9" a="1"/>
  <c r="U3" i="9" s="1"/>
  <c r="P26" i="9" s="1"/>
  <c r="E33" i="38" s="1"/>
  <c r="D4" i="32" l="1"/>
  <c r="P2" i="51" a="1"/>
  <c r="E33" i="32"/>
  <c r="G15" i="51" l="1"/>
  <c r="D13" i="51"/>
  <c r="D27" i="51"/>
  <c r="D41" i="51"/>
  <c r="D55" i="51"/>
  <c r="E15" i="51"/>
  <c r="D14" i="51"/>
  <c r="D28" i="51"/>
  <c r="D42" i="51"/>
  <c r="D56" i="51"/>
  <c r="H15" i="51"/>
  <c r="D15" i="51"/>
  <c r="D29" i="51"/>
  <c r="D43" i="51"/>
  <c r="D57" i="51"/>
  <c r="F15" i="51"/>
  <c r="D16" i="51"/>
  <c r="D30" i="51"/>
  <c r="D44" i="51"/>
  <c r="D58" i="51"/>
  <c r="D3" i="51"/>
  <c r="D17" i="51"/>
  <c r="D31" i="51"/>
  <c r="D45" i="51"/>
  <c r="D59" i="51"/>
  <c r="D4" i="51"/>
  <c r="D18" i="51"/>
  <c r="D32" i="51"/>
  <c r="D46" i="51"/>
  <c r="D60" i="51"/>
  <c r="D5" i="51"/>
  <c r="D19" i="51"/>
  <c r="D33" i="51"/>
  <c r="D47" i="51"/>
  <c r="D61" i="51"/>
  <c r="D6" i="51"/>
  <c r="D20" i="51"/>
  <c r="D34" i="51"/>
  <c r="D48" i="51"/>
  <c r="D62" i="51"/>
  <c r="D7" i="51"/>
  <c r="H7" i="51" s="1"/>
  <c r="D21" i="51"/>
  <c r="D35" i="51"/>
  <c r="D49" i="51"/>
  <c r="D63" i="51"/>
  <c r="D8" i="51"/>
  <c r="D22" i="51"/>
  <c r="D36" i="51"/>
  <c r="D50" i="51"/>
  <c r="D9" i="51"/>
  <c r="D23" i="51"/>
  <c r="D37" i="51"/>
  <c r="D51" i="51"/>
  <c r="C15" i="51"/>
  <c r="D10" i="51"/>
  <c r="H10" i="51" s="1"/>
  <c r="D24" i="51"/>
  <c r="D38" i="51"/>
  <c r="D52" i="51"/>
  <c r="D11" i="51"/>
  <c r="D25" i="51"/>
  <c r="D39" i="51"/>
  <c r="D53" i="51"/>
  <c r="D12" i="51"/>
  <c r="D26" i="51"/>
  <c r="D40" i="51"/>
  <c r="D54" i="51"/>
  <c r="C17" i="51"/>
  <c r="G17" i="51" s="1"/>
  <c r="H17" i="51" s="1"/>
  <c r="C31" i="51"/>
  <c r="G31" i="51" s="1"/>
  <c r="H31" i="51" s="1"/>
  <c r="C45" i="51"/>
  <c r="E45" i="51" s="1"/>
  <c r="F45" i="51" s="1"/>
  <c r="C59" i="51"/>
  <c r="E59" i="51" s="1"/>
  <c r="C62" i="51"/>
  <c r="C6" i="51"/>
  <c r="C49" i="51"/>
  <c r="C3" i="51"/>
  <c r="E3" i="51" s="1"/>
  <c r="C18" i="51"/>
  <c r="E18" i="51" s="1"/>
  <c r="C32" i="51"/>
  <c r="G32" i="51" s="1"/>
  <c r="C46" i="51"/>
  <c r="G46" i="51" s="1"/>
  <c r="H46" i="51" s="1"/>
  <c r="C60" i="51"/>
  <c r="E60" i="51" s="1"/>
  <c r="F60" i="51" s="1"/>
  <c r="C20" i="51"/>
  <c r="E20" i="51" s="1"/>
  <c r="F20" i="51" s="1"/>
  <c r="C21" i="51"/>
  <c r="G21" i="51" s="1"/>
  <c r="C63" i="51"/>
  <c r="G63" i="51" s="1"/>
  <c r="H63" i="51" s="1"/>
  <c r="C4" i="51"/>
  <c r="G4" i="51" s="1"/>
  <c r="C19" i="51"/>
  <c r="G19" i="51" s="1"/>
  <c r="H19" i="51" s="1"/>
  <c r="C33" i="51"/>
  <c r="G33" i="51" s="1"/>
  <c r="C47" i="51"/>
  <c r="C61" i="51"/>
  <c r="C7" i="51"/>
  <c r="G7" i="51" s="1"/>
  <c r="C22" i="51"/>
  <c r="G22" i="51" s="1"/>
  <c r="H22" i="51" s="1"/>
  <c r="C36" i="51"/>
  <c r="G36" i="51" s="1"/>
  <c r="C50" i="51"/>
  <c r="G50" i="51" s="1"/>
  <c r="C8" i="51"/>
  <c r="G8" i="51" s="1"/>
  <c r="C23" i="51"/>
  <c r="G23" i="51" s="1"/>
  <c r="C37" i="51"/>
  <c r="G37" i="51" s="1"/>
  <c r="C51" i="51"/>
  <c r="G51" i="51" s="1"/>
  <c r="C9" i="51"/>
  <c r="G9" i="51" s="1"/>
  <c r="H9" i="51" s="1"/>
  <c r="C24" i="51"/>
  <c r="G24" i="51" s="1"/>
  <c r="C38" i="51"/>
  <c r="G38" i="51" s="1"/>
  <c r="H38" i="51" s="1"/>
  <c r="C52" i="51"/>
  <c r="E52" i="51" s="1"/>
  <c r="F52" i="51" s="1"/>
  <c r="C10" i="51"/>
  <c r="C25" i="51"/>
  <c r="E25" i="51" s="1"/>
  <c r="C39" i="51"/>
  <c r="E39" i="51" s="1"/>
  <c r="C53" i="51"/>
  <c r="E53" i="51" s="1"/>
  <c r="C11" i="51"/>
  <c r="G11" i="51" s="1"/>
  <c r="H11" i="51" s="1"/>
  <c r="C26" i="51"/>
  <c r="G26" i="51" s="1"/>
  <c r="C40" i="51"/>
  <c r="E40" i="51" s="1"/>
  <c r="C54" i="51"/>
  <c r="G54" i="51" s="1"/>
  <c r="C12" i="51"/>
  <c r="E12" i="51" s="1"/>
  <c r="C27" i="51"/>
  <c r="E27" i="51" s="1"/>
  <c r="F27" i="51" s="1"/>
  <c r="C41" i="51"/>
  <c r="E41" i="51" s="1"/>
  <c r="C55" i="51"/>
  <c r="G55" i="51" s="1"/>
  <c r="H55" i="51" s="1"/>
  <c r="C5" i="51"/>
  <c r="G5" i="51" s="1"/>
  <c r="H5" i="51" s="1"/>
  <c r="C13" i="51"/>
  <c r="E13" i="51" s="1"/>
  <c r="F13" i="51" s="1"/>
  <c r="C28" i="51"/>
  <c r="C42" i="51"/>
  <c r="G42" i="51" s="1"/>
  <c r="C56" i="51"/>
  <c r="G56" i="51" s="1"/>
  <c r="C14" i="51"/>
  <c r="G14" i="51" s="1"/>
  <c r="C29" i="51"/>
  <c r="G29" i="51" s="1"/>
  <c r="C43" i="51"/>
  <c r="G43" i="51" s="1"/>
  <c r="C57" i="51"/>
  <c r="G57" i="51" s="1"/>
  <c r="H57" i="51" s="1"/>
  <c r="C48" i="51"/>
  <c r="G48" i="51" s="1"/>
  <c r="C16" i="51"/>
  <c r="E16" i="51" s="1"/>
  <c r="F16" i="51" s="1"/>
  <c r="C30" i="51"/>
  <c r="E30" i="51" s="1"/>
  <c r="F30" i="51" s="1"/>
  <c r="C44" i="51"/>
  <c r="G44" i="51" s="1"/>
  <c r="H44" i="51" s="1"/>
  <c r="C58" i="51"/>
  <c r="G58" i="51" s="1"/>
  <c r="C34" i="51"/>
  <c r="E34" i="51" s="1"/>
  <c r="F34" i="51" s="1"/>
  <c r="C35" i="51"/>
  <c r="E35" i="51" s="1"/>
  <c r="F35" i="51" s="1"/>
  <c r="E10" i="51"/>
  <c r="G3" i="51"/>
  <c r="G10" i="51"/>
  <c r="G25" i="51"/>
  <c r="E47" i="51"/>
  <c r="E61" i="51"/>
  <c r="E62" i="51"/>
  <c r="G47" i="51"/>
  <c r="H47" i="51" s="1"/>
  <c r="G61" i="51"/>
  <c r="G20" i="51"/>
  <c r="H20" i="51" s="1"/>
  <c r="G62" i="51"/>
  <c r="E6" i="51"/>
  <c r="E28" i="51"/>
  <c r="E42" i="51"/>
  <c r="E49" i="51"/>
  <c r="F49" i="51" s="1"/>
  <c r="G6" i="51"/>
  <c r="G28" i="51"/>
  <c r="G49" i="51"/>
  <c r="H49" i="51" s="1"/>
  <c r="E7" i="51"/>
  <c r="E22" i="51"/>
  <c r="F22" i="51" s="1"/>
  <c r="E29" i="51"/>
  <c r="E36" i="51"/>
  <c r="F36" i="51" s="1"/>
  <c r="E43" i="51"/>
  <c r="E37" i="51"/>
  <c r="P2" i="51"/>
  <c r="Q3" i="51" a="1"/>
  <c r="Q3" i="51" s="1"/>
  <c r="Q4" i="51" a="1"/>
  <c r="Q4" i="51" s="1"/>
  <c r="Q5" i="51" a="1"/>
  <c r="Q5" i="51" s="1"/>
  <c r="Q6" i="51" a="1"/>
  <c r="Q6" i="51" s="1"/>
  <c r="Q7" i="51" a="1"/>
  <c r="Q7" i="51" s="1"/>
  <c r="Q8" i="51" a="1"/>
  <c r="Q8" i="51" s="1"/>
  <c r="Q9" i="51" a="1"/>
  <c r="Q9" i="51" s="1"/>
  <c r="Q10" i="51" a="1"/>
  <c r="Q10" i="51" s="1"/>
  <c r="Q11" i="51" a="1"/>
  <c r="Q11" i="51" s="1"/>
  <c r="Q12" i="51" a="1"/>
  <c r="Q12" i="51" s="1"/>
  <c r="Q13" i="51" a="1"/>
  <c r="Q13" i="51" s="1"/>
  <c r="Q14" i="51" a="1"/>
  <c r="Q14" i="51" s="1"/>
  <c r="Q15" i="51" a="1"/>
  <c r="Q15" i="51" s="1"/>
  <c r="Q16" i="51" a="1"/>
  <c r="Q16" i="51" s="1"/>
  <c r="Q17" i="51" a="1"/>
  <c r="Q17" i="51" s="1"/>
  <c r="Q18" i="51" a="1"/>
  <c r="Q18" i="51" s="1"/>
  <c r="Q19" i="51" a="1"/>
  <c r="Q19" i="51" s="1"/>
  <c r="Q20" i="51" a="1"/>
  <c r="Q20" i="51" s="1"/>
  <c r="Q21" i="51" a="1"/>
  <c r="Q21" i="51" s="1"/>
  <c r="Q23" i="51" a="1"/>
  <c r="Q23" i="51" s="1"/>
  <c r="Q24" i="51" a="1"/>
  <c r="Q24" i="51" s="1"/>
  <c r="Q25" i="51" a="1"/>
  <c r="Q25" i="51" s="1"/>
  <c r="Q26" i="51" a="1"/>
  <c r="Q26" i="51" s="1"/>
  <c r="Q27" i="51" a="1"/>
  <c r="Q27" i="51" s="1"/>
  <c r="Q28" i="51" a="1"/>
  <c r="Q28" i="51" s="1"/>
  <c r="Q29" i="51" a="1"/>
  <c r="Q29" i="51" s="1"/>
  <c r="Q30" i="51" a="1"/>
  <c r="Q30" i="51" s="1"/>
  <c r="Q31" i="51" a="1"/>
  <c r="Q31" i="51" s="1"/>
  <c r="Q33" i="51" a="1"/>
  <c r="Q33" i="51" s="1"/>
  <c r="Q35" i="51" a="1"/>
  <c r="Q35" i="51" s="1"/>
  <c r="Q37" i="51" a="1"/>
  <c r="Q37" i="51" s="1"/>
  <c r="Q40" i="51" a="1"/>
  <c r="Q40" i="51" s="1"/>
  <c r="Q42" i="51" a="1"/>
  <c r="Q42" i="51" s="1"/>
  <c r="Q44" i="51" a="1"/>
  <c r="Q44" i="51" s="1"/>
  <c r="Q46" i="51" a="1"/>
  <c r="Q46" i="51" s="1"/>
  <c r="Q50" i="51" a="1"/>
  <c r="Q50" i="51" s="1"/>
  <c r="Q51" i="51" a="1"/>
  <c r="Q51" i="51" s="1"/>
  <c r="Q52" i="51" a="1"/>
  <c r="Q52" i="51" s="1"/>
  <c r="Q53" i="51" a="1"/>
  <c r="Q53" i="51" s="1"/>
  <c r="Q54" i="51" a="1"/>
  <c r="Q54" i="51" s="1"/>
  <c r="Q55" i="51" a="1"/>
  <c r="Q55" i="51" s="1"/>
  <c r="Q56" i="51" a="1"/>
  <c r="Q56" i="51" s="1"/>
  <c r="Q57" i="51" a="1"/>
  <c r="Q57" i="51" s="1"/>
  <c r="Q58" i="51" a="1"/>
  <c r="Q58" i="51" s="1"/>
  <c r="Q59" i="51" a="1"/>
  <c r="Q59" i="51" s="1"/>
  <c r="Q60" i="51" a="1"/>
  <c r="Q60" i="51" s="1"/>
  <c r="Q61" i="51" a="1"/>
  <c r="Q61" i="51" s="1"/>
  <c r="Q62" i="51" a="1"/>
  <c r="Q62" i="51" s="1"/>
  <c r="Q63" i="51" a="1"/>
  <c r="Q63" i="51" s="1"/>
  <c r="Q22" i="51" a="1"/>
  <c r="Q22" i="51" s="1"/>
  <c r="Q32" i="51" a="1"/>
  <c r="Q32" i="51" s="1"/>
  <c r="Q34" i="51" a="1"/>
  <c r="Q34" i="51" s="1"/>
  <c r="Q36" i="51" a="1"/>
  <c r="Q36" i="51" s="1"/>
  <c r="Q38" i="51" a="1"/>
  <c r="Q38" i="51" s="1"/>
  <c r="Q39" i="51" a="1"/>
  <c r="Q39" i="51" s="1"/>
  <c r="Q41" i="51" a="1"/>
  <c r="Q41" i="51" s="1"/>
  <c r="Q43" i="51" a="1"/>
  <c r="Q43" i="51" s="1"/>
  <c r="Q45" i="51" a="1"/>
  <c r="Q45" i="51" s="1"/>
  <c r="Q47" i="51" a="1"/>
  <c r="Q47" i="51" s="1"/>
  <c r="Q48" i="51" a="1"/>
  <c r="Q48" i="51" s="1"/>
  <c r="Q49" i="51" a="1"/>
  <c r="Q49" i="51" s="1"/>
  <c r="E48" i="51" l="1"/>
  <c r="F42" i="51"/>
  <c r="G39" i="51"/>
  <c r="H39" i="51" s="1"/>
  <c r="E56" i="51"/>
  <c r="H56" i="51"/>
  <c r="E51" i="51"/>
  <c r="F48" i="51"/>
  <c r="E55" i="51"/>
  <c r="F55" i="51" s="1"/>
  <c r="G16" i="51"/>
  <c r="E58" i="51"/>
  <c r="F58" i="51" s="1"/>
  <c r="F51" i="51"/>
  <c r="F41" i="51"/>
  <c r="G53" i="51"/>
  <c r="H53" i="51" s="1"/>
  <c r="H23" i="51"/>
  <c r="F40" i="51"/>
  <c r="H25" i="51"/>
  <c r="H21" i="51"/>
  <c r="E21" i="51"/>
  <c r="F21" i="51" s="1"/>
  <c r="G12" i="51"/>
  <c r="H12" i="51" s="1"/>
  <c r="H42" i="51"/>
  <c r="E14" i="51"/>
  <c r="F14" i="51" s="1"/>
  <c r="G30" i="51"/>
  <c r="H30" i="51" s="1"/>
  <c r="G13" i="51"/>
  <c r="H13" i="51" s="1"/>
  <c r="G59" i="51"/>
  <c r="H59" i="51" s="1"/>
  <c r="F37" i="51"/>
  <c r="H28" i="51"/>
  <c r="G34" i="51"/>
  <c r="H34" i="51" s="1"/>
  <c r="E33" i="51"/>
  <c r="F33" i="51" s="1"/>
  <c r="H24" i="51"/>
  <c r="G52" i="51"/>
  <c r="H52" i="51" s="1"/>
  <c r="H54" i="51"/>
  <c r="F6" i="51"/>
  <c r="E44" i="51"/>
  <c r="F44" i="51" s="1"/>
  <c r="H48" i="51"/>
  <c r="E63" i="51"/>
  <c r="F63" i="51" s="1"/>
  <c r="E38" i="51"/>
  <c r="F38" i="51" s="1"/>
  <c r="F56" i="51"/>
  <c r="F18" i="51"/>
  <c r="G27" i="51"/>
  <c r="H27" i="51" s="1"/>
  <c r="E31" i="51"/>
  <c r="F31" i="51" s="1"/>
  <c r="G41" i="51"/>
  <c r="H41" i="51" s="1"/>
  <c r="H16" i="51"/>
  <c r="E24" i="51"/>
  <c r="F24" i="51" s="1"/>
  <c r="G35" i="51"/>
  <c r="H35" i="51" s="1"/>
  <c r="E17" i="51"/>
  <c r="F17" i="51" s="1"/>
  <c r="F29" i="51"/>
  <c r="H37" i="51"/>
  <c r="F62" i="51"/>
  <c r="H4" i="51"/>
  <c r="G60" i="51"/>
  <c r="H60" i="51" s="1"/>
  <c r="E5" i="51"/>
  <c r="F5" i="51" s="1"/>
  <c r="E9" i="51"/>
  <c r="F9" i="51" s="1"/>
  <c r="F7" i="51"/>
  <c r="G18" i="51"/>
  <c r="H18" i="51" s="1"/>
  <c r="E23" i="51"/>
  <c r="F23" i="51" s="1"/>
  <c r="F28" i="51"/>
  <c r="H51" i="51"/>
  <c r="F10" i="51"/>
  <c r="E54" i="51"/>
  <c r="F54" i="51" s="1"/>
  <c r="H8" i="51"/>
  <c r="F12" i="51"/>
  <c r="H3" i="51"/>
  <c r="H43" i="51"/>
  <c r="H26" i="51"/>
  <c r="H50" i="51"/>
  <c r="H32" i="51"/>
  <c r="H29" i="51"/>
  <c r="H33" i="51"/>
  <c r="H62" i="51"/>
  <c r="H6" i="51"/>
  <c r="G45" i="51"/>
  <c r="H45" i="51" s="1"/>
  <c r="E19" i="51"/>
  <c r="F19" i="51" s="1"/>
  <c r="F39" i="51"/>
  <c r="F59" i="51"/>
  <c r="E11" i="51"/>
  <c r="F11" i="51" s="1"/>
  <c r="E4" i="51"/>
  <c r="F4" i="51" s="1"/>
  <c r="F25" i="51"/>
  <c r="F43" i="51"/>
  <c r="F3" i="51"/>
  <c r="E26" i="51"/>
  <c r="F26" i="51" s="1"/>
  <c r="H14" i="51"/>
  <c r="E46" i="51"/>
  <c r="F46" i="51" s="1"/>
  <c r="H58" i="51"/>
  <c r="E57" i="51"/>
  <c r="F57" i="51" s="1"/>
  <c r="E50" i="51"/>
  <c r="F50" i="51" s="1"/>
  <c r="H61" i="51"/>
  <c r="F53" i="51"/>
  <c r="G40" i="51"/>
  <c r="H40" i="51" s="1"/>
  <c r="F61" i="51"/>
  <c r="E32" i="51"/>
  <c r="F32" i="51" s="1"/>
  <c r="E8" i="51"/>
  <c r="F8" i="51" s="1"/>
  <c r="F47" i="51"/>
  <c r="Q2" i="51" a="1"/>
  <c r="Q2" i="51" s="1"/>
  <c r="S2" i="51" s="1" a="1"/>
  <c r="S2" i="51" s="1"/>
  <c r="D2" i="51"/>
  <c r="C2" i="51"/>
  <c r="E2" i="51" s="1"/>
  <c r="F2" i="51" s="1"/>
  <c r="H36" i="51"/>
  <c r="T42" i="51" a="1"/>
  <c r="T42" i="51" s="1"/>
  <c r="S42" i="51" a="1"/>
  <c r="S42" i="51" s="1"/>
  <c r="T52" i="51" a="1"/>
  <c r="T52" i="51" s="1"/>
  <c r="S52" i="51" a="1"/>
  <c r="S52" i="51" s="1"/>
  <c r="T53" i="51" a="1"/>
  <c r="T53" i="51" s="1"/>
  <c r="S53" i="51" a="1"/>
  <c r="S53" i="51" s="1"/>
  <c r="T54" i="51" a="1"/>
  <c r="T54" i="51" s="1"/>
  <c r="S54" i="51" a="1"/>
  <c r="S54" i="51" s="1"/>
  <c r="T55" i="51" a="1"/>
  <c r="T55" i="51" s="1"/>
  <c r="S55" i="51" a="1"/>
  <c r="S55" i="51" s="1"/>
  <c r="T56" i="51" a="1"/>
  <c r="T56" i="51" s="1"/>
  <c r="S56" i="51" a="1"/>
  <c r="S56" i="51" s="1"/>
  <c r="S57" i="51" a="1"/>
  <c r="S57" i="51" s="1"/>
  <c r="T57" i="51" a="1"/>
  <c r="T57" i="51" s="1"/>
  <c r="T58" i="51" a="1"/>
  <c r="T58" i="51" s="1"/>
  <c r="S58" i="51" a="1"/>
  <c r="S58" i="51" s="1"/>
  <c r="S59" i="51" a="1"/>
  <c r="S59" i="51" s="1"/>
  <c r="T59" i="51" a="1"/>
  <c r="T59" i="51" s="1"/>
  <c r="S3" i="51" a="1"/>
  <c r="S3" i="51" s="1"/>
  <c r="T3" i="51" a="1"/>
  <c r="T3" i="51" s="1"/>
  <c r="V3" i="51"/>
  <c r="U3" i="51"/>
  <c r="V4" i="51"/>
  <c r="S4" i="51" a="1"/>
  <c r="S4" i="51" s="1"/>
  <c r="U4" i="51"/>
  <c r="T4" i="51" a="1"/>
  <c r="T4" i="51" s="1"/>
  <c r="V5" i="51"/>
  <c r="S5" i="51" a="1"/>
  <c r="S5" i="51" s="1"/>
  <c r="T5" i="51" a="1"/>
  <c r="T5" i="51" s="1"/>
  <c r="U5" i="51"/>
  <c r="V6" i="51"/>
  <c r="U6" i="51"/>
  <c r="T6" i="51" a="1"/>
  <c r="T6" i="51" s="1"/>
  <c r="S6" i="51" a="1"/>
  <c r="S6" i="51" s="1"/>
  <c r="V7" i="51"/>
  <c r="S7" i="51" a="1"/>
  <c r="S7" i="51" s="1"/>
  <c r="U7" i="51"/>
  <c r="T7" i="51" a="1"/>
  <c r="T7" i="51" s="1"/>
  <c r="V8" i="51"/>
  <c r="T8" i="51" a="1"/>
  <c r="T8" i="51" s="1"/>
  <c r="U8" i="51"/>
  <c r="S8" i="51" a="1"/>
  <c r="S8" i="51" s="1"/>
  <c r="V9" i="51"/>
  <c r="S9" i="51" a="1"/>
  <c r="S9" i="51" s="1"/>
  <c r="U9" i="51"/>
  <c r="T9" i="51" a="1"/>
  <c r="T9" i="51" s="1"/>
  <c r="V10" i="51"/>
  <c r="S10" i="51" a="1"/>
  <c r="S10" i="51" s="1"/>
  <c r="T10" i="51" a="1"/>
  <c r="T10" i="51" s="1"/>
  <c r="U10" i="51"/>
  <c r="V11" i="51"/>
  <c r="U11" i="51"/>
  <c r="S11" i="51" a="1"/>
  <c r="S11" i="51" s="1"/>
  <c r="T11" i="51" a="1"/>
  <c r="T11" i="51" s="1"/>
  <c r="V12" i="51"/>
  <c r="U12" i="51"/>
  <c r="T12" i="51" a="1"/>
  <c r="T12" i="51" s="1"/>
  <c r="S12" i="51" a="1"/>
  <c r="S12" i="51" s="1"/>
  <c r="V13" i="51"/>
  <c r="U13" i="51"/>
  <c r="T13" i="51" a="1"/>
  <c r="T13" i="51" s="1"/>
  <c r="S13" i="51" a="1"/>
  <c r="S13" i="51" s="1"/>
  <c r="T14" i="51" a="1"/>
  <c r="T14" i="51" s="1"/>
  <c r="V14" i="51"/>
  <c r="U14" i="51"/>
  <c r="S14" i="51" a="1"/>
  <c r="S14" i="51" s="1"/>
  <c r="T15" i="51" a="1"/>
  <c r="T15" i="51" s="1"/>
  <c r="V15" i="51"/>
  <c r="U15" i="51"/>
  <c r="S15" i="51" a="1"/>
  <c r="S15" i="51" s="1"/>
  <c r="T16" i="51" a="1"/>
  <c r="T16" i="51" s="1"/>
  <c r="S16" i="51" a="1"/>
  <c r="S16" i="51" s="1"/>
  <c r="U16" i="51"/>
  <c r="V16" i="51"/>
  <c r="S17" i="51" a="1"/>
  <c r="S17" i="51" s="1"/>
  <c r="U17" i="51"/>
  <c r="T17" i="51" a="1"/>
  <c r="T17" i="51" s="1"/>
  <c r="V17" i="51"/>
  <c r="S18" i="51" a="1"/>
  <c r="S18" i="51" s="1"/>
  <c r="V18" i="51"/>
  <c r="U18" i="51"/>
  <c r="T18" i="51" a="1"/>
  <c r="T18" i="51" s="1"/>
  <c r="S19" i="51" a="1"/>
  <c r="S19" i="51" s="1"/>
  <c r="U19" i="51"/>
  <c r="V19" i="51"/>
  <c r="T19" i="51" a="1"/>
  <c r="T19" i="51" s="1"/>
  <c r="U20" i="51"/>
  <c r="S20" i="51" a="1"/>
  <c r="S20" i="51" s="1"/>
  <c r="V20" i="51"/>
  <c r="T20" i="51" a="1"/>
  <c r="T20" i="51" s="1"/>
  <c r="S21" i="51" a="1"/>
  <c r="S21" i="51" s="1"/>
  <c r="T21" i="51" a="1"/>
  <c r="T21" i="51" s="1"/>
  <c r="U21" i="51"/>
  <c r="V21" i="51"/>
  <c r="S23" i="51" a="1"/>
  <c r="S23" i="51" s="1"/>
  <c r="V23" i="51"/>
  <c r="U23" i="51"/>
  <c r="T23" i="51" a="1"/>
  <c r="T23" i="51" s="1"/>
  <c r="S24" i="51" a="1"/>
  <c r="S24" i="51" s="1"/>
  <c r="T24" i="51" a="1"/>
  <c r="T24" i="51" s="1"/>
  <c r="V24" i="51"/>
  <c r="U24" i="51"/>
  <c r="T25" i="51" a="1"/>
  <c r="T25" i="51" s="1"/>
  <c r="V25" i="51"/>
  <c r="U25" i="51"/>
  <c r="S25" i="51" a="1"/>
  <c r="S25" i="51" s="1"/>
  <c r="S26" i="51" a="1"/>
  <c r="S26" i="51" s="1"/>
  <c r="V26" i="51"/>
  <c r="T26" i="51" a="1"/>
  <c r="T26" i="51" s="1"/>
  <c r="U26" i="51"/>
  <c r="V27" i="51"/>
  <c r="S27" i="51" a="1"/>
  <c r="S27" i="51" s="1"/>
  <c r="T27" i="51" a="1"/>
  <c r="T27" i="51" s="1"/>
  <c r="U27" i="51"/>
  <c r="V28" i="51"/>
  <c r="S28" i="51" a="1"/>
  <c r="S28" i="51" s="1"/>
  <c r="T28" i="51" a="1"/>
  <c r="T28" i="51" s="1"/>
  <c r="U28" i="51"/>
  <c r="V29" i="51"/>
  <c r="U29" i="51"/>
  <c r="S29" i="51" a="1"/>
  <c r="S29" i="51" s="1"/>
  <c r="T29" i="51" a="1"/>
  <c r="T29" i="51" s="1"/>
  <c r="S30" i="51" a="1"/>
  <c r="S30" i="51" s="1"/>
  <c r="V30" i="51"/>
  <c r="U30" i="51"/>
  <c r="T30" i="51" a="1"/>
  <c r="T30" i="51" s="1"/>
  <c r="V31" i="51"/>
  <c r="U31" i="51"/>
  <c r="S31" i="51" a="1"/>
  <c r="S31" i="51" s="1"/>
  <c r="T31" i="51" a="1"/>
  <c r="T31" i="51" s="1"/>
  <c r="V33" i="51"/>
  <c r="U33" i="51"/>
  <c r="S33" i="51" a="1"/>
  <c r="S33" i="51" s="1"/>
  <c r="T33" i="51" a="1"/>
  <c r="T33" i="51" s="1"/>
  <c r="V35" i="51"/>
  <c r="U35" i="51"/>
  <c r="S35" i="51" a="1"/>
  <c r="S35" i="51" s="1"/>
  <c r="T35" i="51" a="1"/>
  <c r="T35" i="51" s="1"/>
  <c r="T37" i="51" a="1"/>
  <c r="T37" i="51" s="1"/>
  <c r="U37" i="51"/>
  <c r="V37" i="51"/>
  <c r="S37" i="51" a="1"/>
  <c r="S37" i="51" s="1"/>
  <c r="S40" i="51" a="1"/>
  <c r="S40" i="51" s="1"/>
  <c r="V40" i="51"/>
  <c r="U40" i="51"/>
  <c r="T40" i="51" a="1"/>
  <c r="T40" i="51" s="1"/>
  <c r="V42" i="51"/>
  <c r="U42" i="51"/>
  <c r="S44" i="51" a="1"/>
  <c r="S44" i="51" s="1"/>
  <c r="V44" i="51"/>
  <c r="U44" i="51"/>
  <c r="T44" i="51" a="1"/>
  <c r="T44" i="51" s="1"/>
  <c r="V46" i="51"/>
  <c r="U46" i="51"/>
  <c r="T46" i="51" a="1"/>
  <c r="T46" i="51" s="1"/>
  <c r="S46" i="51" a="1"/>
  <c r="S46" i="51" s="1"/>
  <c r="T50" i="51" a="1"/>
  <c r="T50" i="51" s="1"/>
  <c r="V50" i="51"/>
  <c r="S50" i="51" a="1"/>
  <c r="S50" i="51" s="1"/>
  <c r="U50" i="51"/>
  <c r="V51" i="51"/>
  <c r="S51" i="51" a="1"/>
  <c r="S51" i="51" s="1"/>
  <c r="U51" i="51"/>
  <c r="T51" i="51" a="1"/>
  <c r="T51" i="51" s="1"/>
  <c r="V52" i="51"/>
  <c r="U52" i="51"/>
  <c r="U53" i="51"/>
  <c r="V53" i="51"/>
  <c r="U54" i="51"/>
  <c r="V54" i="51"/>
  <c r="U55" i="51"/>
  <c r="V55" i="51"/>
  <c r="U56" i="51"/>
  <c r="V56" i="51"/>
  <c r="U57" i="51"/>
  <c r="V57" i="51"/>
  <c r="V58" i="51"/>
  <c r="U58" i="51"/>
  <c r="V59" i="51"/>
  <c r="U59" i="51"/>
  <c r="V60" i="51"/>
  <c r="T60" i="51" a="1"/>
  <c r="T60" i="51" s="1"/>
  <c r="U60" i="51"/>
  <c r="S60" i="51" a="1"/>
  <c r="S60" i="51" s="1"/>
  <c r="S61" i="51" a="1"/>
  <c r="S61" i="51" s="1"/>
  <c r="V61" i="51"/>
  <c r="T61" i="51" a="1"/>
  <c r="T61" i="51" s="1"/>
  <c r="U61" i="51"/>
  <c r="S62" i="51" a="1"/>
  <c r="S62" i="51" s="1"/>
  <c r="T62" i="51" a="1"/>
  <c r="T62" i="51" s="1"/>
  <c r="V62" i="51"/>
  <c r="U62" i="51"/>
  <c r="T63" i="51" a="1"/>
  <c r="T63" i="51" s="1"/>
  <c r="V63" i="51"/>
  <c r="U63" i="51"/>
  <c r="S63" i="51" a="1"/>
  <c r="S63" i="51" s="1"/>
  <c r="S22" i="51" a="1"/>
  <c r="S22" i="51" s="1"/>
  <c r="U22" i="51"/>
  <c r="T22" i="51" a="1"/>
  <c r="T22" i="51" s="1"/>
  <c r="V22" i="51"/>
  <c r="U32" i="51"/>
  <c r="S32" i="51" a="1"/>
  <c r="S32" i="51" s="1"/>
  <c r="T32" i="51" a="1"/>
  <c r="T32" i="51" s="1"/>
  <c r="V32" i="51"/>
  <c r="T34" i="51" a="1"/>
  <c r="T34" i="51" s="1"/>
  <c r="V34" i="51"/>
  <c r="S34" i="51" a="1"/>
  <c r="S34" i="51" s="1"/>
  <c r="U34" i="51"/>
  <c r="U36" i="51"/>
  <c r="V36" i="51"/>
  <c r="T36" i="51" a="1"/>
  <c r="T36" i="51" s="1"/>
  <c r="S36" i="51" a="1"/>
  <c r="S36" i="51" s="1"/>
  <c r="U38" i="51"/>
  <c r="V38" i="51"/>
  <c r="T38" i="51" a="1"/>
  <c r="T38" i="51" s="1"/>
  <c r="S38" i="51" a="1"/>
  <c r="S38" i="51" s="1"/>
  <c r="V39" i="51"/>
  <c r="S39" i="51" a="1"/>
  <c r="S39" i="51" s="1"/>
  <c r="U39" i="51"/>
  <c r="T39" i="51" a="1"/>
  <c r="T39" i="51" s="1"/>
  <c r="V41" i="51"/>
  <c r="U41" i="51"/>
  <c r="T41" i="51" a="1"/>
  <c r="T41" i="51" s="1"/>
  <c r="S41" i="51" a="1"/>
  <c r="S41" i="51" s="1"/>
  <c r="V43" i="51"/>
  <c r="U43" i="51"/>
  <c r="T43" i="51" a="1"/>
  <c r="T43" i="51" s="1"/>
  <c r="S43" i="51" a="1"/>
  <c r="S43" i="51" s="1"/>
  <c r="V45" i="51"/>
  <c r="S45" i="51" a="1"/>
  <c r="S45" i="51" s="1"/>
  <c r="U45" i="51"/>
  <c r="T45" i="51" a="1"/>
  <c r="T45" i="51" s="1"/>
  <c r="V47" i="51"/>
  <c r="U47" i="51"/>
  <c r="S47" i="51" a="1"/>
  <c r="S47" i="51" s="1"/>
  <c r="T47" i="51" a="1"/>
  <c r="T47" i="51" s="1"/>
  <c r="T48" i="51" a="1"/>
  <c r="T48" i="51" s="1"/>
  <c r="V48" i="51"/>
  <c r="U48" i="51"/>
  <c r="S48" i="51" a="1"/>
  <c r="S48" i="51" s="1"/>
  <c r="T49" i="51" a="1"/>
  <c r="T49" i="51" s="1"/>
  <c r="V49" i="51"/>
  <c r="U49" i="51"/>
  <c r="S49" i="51" a="1"/>
  <c r="S49" i="51" s="1"/>
  <c r="V2" i="51" l="1"/>
  <c r="R2" i="51" a="1"/>
  <c r="R2" i="51" s="1"/>
  <c r="T2" i="51" a="1"/>
  <c r="T2" i="51" s="1"/>
  <c r="U2" i="51"/>
  <c r="G2" i="51"/>
  <c r="H2" i="51" s="1"/>
  <c r="S65" i="51"/>
  <c r="T65" i="51"/>
  <c r="T66" i="51"/>
  <c r="S66" i="51"/>
  <c r="V68" i="51"/>
  <c r="U68" i="51"/>
  <c r="S68" i="51" l="1"/>
  <c r="U72" i="51" s="1"/>
  <c r="T68" i="51"/>
  <c r="V72" i="5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<sst xmlns="http://schemas.openxmlformats.org/spreadsheetml/2006/main" count="1330" uniqueCount="349">
  <si>
    <t>Today's Date:</t>
  </si>
  <si>
    <t>Name:</t>
  </si>
  <si>
    <t>Date of Birth:</t>
  </si>
  <si>
    <t>Age:</t>
  </si>
  <si>
    <t>Life Expectancy:</t>
  </si>
  <si>
    <t>Years Remaining</t>
  </si>
  <si>
    <t>Sex:</t>
  </si>
  <si>
    <t>Female</t>
  </si>
  <si>
    <t>White</t>
  </si>
  <si>
    <t>Male</t>
  </si>
  <si>
    <t>Black</t>
  </si>
  <si>
    <t>Hispanic</t>
  </si>
  <si>
    <t>Non-Hispanic White</t>
  </si>
  <si>
    <t>Non-Hispanic Black</t>
  </si>
  <si>
    <t>Min Age</t>
  </si>
  <si>
    <t>Age Initiated:</t>
  </si>
  <si>
    <t>Through Age:</t>
  </si>
  <si>
    <t>Duration (Years):</t>
  </si>
  <si>
    <t>Min Cost of Visit:</t>
  </si>
  <si>
    <t>Max Cost of Visit:</t>
  </si>
  <si>
    <t>Freq Min:</t>
  </si>
  <si>
    <t>Freq Max:</t>
  </si>
  <si>
    <t>Time Period Min:</t>
  </si>
  <si>
    <t>Time Period Max:</t>
  </si>
  <si>
    <t>Time Value:</t>
  </si>
  <si>
    <t>Annual Cost Min:</t>
  </si>
  <si>
    <t>Annual Cost Max:</t>
  </si>
  <si>
    <t>One-Time Cost Min:</t>
  </si>
  <si>
    <t>One-Time Cost Max:</t>
  </si>
  <si>
    <t>Cost:</t>
  </si>
  <si>
    <t>Frequency:</t>
  </si>
  <si>
    <t>Annual Cost:</t>
  </si>
  <si>
    <t>Total:</t>
  </si>
  <si>
    <t>Description:</t>
  </si>
  <si>
    <t>One-Time Cost:</t>
  </si>
  <si>
    <t>month</t>
  </si>
  <si>
    <t>day</t>
  </si>
  <si>
    <t>LE Table Number</t>
  </si>
  <si>
    <t>Demo</t>
  </si>
  <si>
    <t>Table</t>
  </si>
  <si>
    <t>Hispanic Male</t>
  </si>
  <si>
    <t>Hispanic Female</t>
  </si>
  <si>
    <t>Non-Hispanic White Male</t>
  </si>
  <si>
    <t>Non-Hispanic White Female</t>
  </si>
  <si>
    <t>Non-Hispanic Black Male</t>
  </si>
  <si>
    <t>Non-Hispanic Black Female</t>
  </si>
  <si>
    <t>Combined Demographic:</t>
  </si>
  <si>
    <t>L.E. Table #:</t>
  </si>
  <si>
    <t>Durations?</t>
  </si>
  <si>
    <t>lifetime</t>
  </si>
  <si>
    <t>year</t>
  </si>
  <si>
    <t>Durations</t>
  </si>
  <si>
    <t>week</t>
  </si>
  <si>
    <t>Title</t>
  </si>
  <si>
    <t>Surname</t>
  </si>
  <si>
    <t>Ethnicity:</t>
  </si>
  <si>
    <t>Only</t>
  </si>
  <si>
    <t>Only Male</t>
  </si>
  <si>
    <t>Only Female</t>
  </si>
  <si>
    <t>DIAGNOSTICS</t>
  </si>
  <si>
    <t>MEDICATIONS</t>
  </si>
  <si>
    <t>PROSTHETICS / ORTHOTICS</t>
  </si>
  <si>
    <t>HOME MAINTENANCE</t>
  </si>
  <si>
    <t>TRANSPORTATION</t>
  </si>
  <si>
    <t>LOW</t>
  </si>
  <si>
    <t>Childcare</t>
  </si>
  <si>
    <t>N/D</t>
  </si>
  <si>
    <t>Last:</t>
  </si>
  <si>
    <t>First:</t>
  </si>
  <si>
    <t>This table will not populate anything for you, everything must be done manually.</t>
  </si>
  <si>
    <t>Use the last rows of the research document section for anything not pre-filled and remove formulas from this table.</t>
  </si>
  <si>
    <t>Housework</t>
  </si>
  <si>
    <t>Food</t>
  </si>
  <si>
    <t>Pets/Home/V</t>
  </si>
  <si>
    <t>House Mgmt</t>
  </si>
  <si>
    <t>Shop</t>
  </si>
  <si>
    <t>Services</t>
  </si>
  <si>
    <t>Trav House Actvty</t>
  </si>
  <si>
    <t>Personal HC</t>
  </si>
  <si>
    <t>Groom</t>
  </si>
  <si>
    <t>Married Male, Retired</t>
  </si>
  <si>
    <t>Single Male, FT Employed, Child 0-1</t>
  </si>
  <si>
    <t>Single Male, FT Employed, Child 2-5</t>
  </si>
  <si>
    <t>Single Male, FT Employed, Child 6-12</t>
  </si>
  <si>
    <t>Single Male, FT Employed, Child 13-17</t>
  </si>
  <si>
    <t>Single Male, FT Employed, Alone</t>
  </si>
  <si>
    <t>Single Male, Retired</t>
  </si>
  <si>
    <t>Single Female, FT Employed, Child 0-1</t>
  </si>
  <si>
    <t>Single Female, FT Employed, Child 2-5</t>
  </si>
  <si>
    <t>Single Female, FT Employed, Child 6-12</t>
  </si>
  <si>
    <t>Single Female, FT Employed, Child 13-17</t>
  </si>
  <si>
    <t>Single Female, FT Employed, Alone</t>
  </si>
  <si>
    <t>Single Female, Retired</t>
  </si>
  <si>
    <t xml:space="preserve"> </t>
  </si>
  <si>
    <t>Married Male, FT Employed, Child 0-1 (Regardless of Spousal Employment)</t>
  </si>
  <si>
    <t>Married Male, FT Employed, Child 2-5 (Regardless of Spousal Employment)</t>
  </si>
  <si>
    <t>Married Male, FT Employed, Child 6-12 (Regardless of Spousal Employment)</t>
  </si>
  <si>
    <t>Married Male, FT Employed, Child 13-17 (Regardless of Spousal Employment)</t>
  </si>
  <si>
    <t>Married Male, FT Employed, Spouse Only (Regardless of Spousal Employment)</t>
  </si>
  <si>
    <t>Married Female, FT Employed, Child 0-1 (Regardless of Spousal Employment)</t>
  </si>
  <si>
    <t>Married Female, FT Employed, Child 2-5 (Regardless of Spousal Employment)</t>
  </si>
  <si>
    <t>Married Female, FT Employed, Child 6-12 (Regardless of Spousal Employment)</t>
  </si>
  <si>
    <t>Married Female, FT Employed, Child 13-17 (Regardless of Spousal Employment)</t>
  </si>
  <si>
    <t>Married Female, FT Employed, Spouse Only (Regardless of Spousal Employment)</t>
  </si>
  <si>
    <t>Married Female, Retired (Regardless of Spousal Employment)</t>
  </si>
  <si>
    <t>Non-Hispanic Asian Male</t>
  </si>
  <si>
    <t>Non-Hispanic Asian Female</t>
  </si>
  <si>
    <t>Non-Hispanic Asian</t>
  </si>
  <si>
    <t>DVOD 2020 (Entered 02/08/22) - not updated to 2023 because no document has been published as of 05/09/23 - - not updated to 2024 since no longer using DVOD</t>
  </si>
  <si>
    <t>Male Life Expectancy Tables</t>
  </si>
  <si>
    <t>Female Life Expectancy Tables</t>
  </si>
  <si>
    <t>FUTURE MEDICAL CARE - ROUTINE</t>
  </si>
  <si>
    <t>PROJECTED EVALUATIONS</t>
  </si>
  <si>
    <t>INTERVENTIONAL PAIN MANAGEMENT PROCEDURES</t>
  </si>
  <si>
    <t>PROCEDURE 3 (RENAME)</t>
  </si>
  <si>
    <t>THERAPEUTIC MODALITIES</t>
  </si>
  <si>
    <t>EQUIPMENT &amp; SUPPLIES</t>
  </si>
  <si>
    <t>Service or Item</t>
  </si>
  <si>
    <t>Purpose</t>
  </si>
  <si>
    <t>Duration</t>
  </si>
  <si>
    <t>Frequency</t>
  </si>
  <si>
    <t>Cost/Unit</t>
  </si>
  <si>
    <t>Cost/Year</t>
  </si>
  <si>
    <t>Comments</t>
  </si>
  <si>
    <t>Total Annual Costs:</t>
  </si>
  <si>
    <t>Total One-Time/Short-Term Costs:</t>
  </si>
  <si>
    <t>PROCEDURE 4 (RENAME)</t>
  </si>
  <si>
    <t>SUMMARY OF COSTS:</t>
  </si>
  <si>
    <t>HIGH</t>
  </si>
  <si>
    <t>One-Time Only/Short-Term Costs:</t>
  </si>
  <si>
    <t>TOTAL COSTS SUMMARY:</t>
  </si>
  <si>
    <t>Total Costs:</t>
  </si>
  <si>
    <t>PROCEDURE 2 (RENAME)</t>
  </si>
  <si>
    <t>Link to copy/paste table here</t>
  </si>
  <si>
    <t>ANN LOW</t>
  </si>
  <si>
    <t>ANN HIGH</t>
  </si>
  <si>
    <t>OT LOW</t>
  </si>
  <si>
    <t>OT HIGH</t>
  </si>
  <si>
    <t>Annual Costs (Lifelong Only):</t>
  </si>
  <si>
    <t>DELETE OR HIDE ROWS YOU DON'T NEED</t>
  </si>
  <si>
    <t xml:space="preserve">just delete or hide rows you don't need when doing </t>
  </si>
  <si>
    <t>your copy paste into the word document</t>
  </si>
  <si>
    <t>the total annual and one-time costs down at the bottom</t>
  </si>
  <si>
    <t>can't be copied/pasted, they're there for easy reference</t>
  </si>
  <si>
    <t>Lifetime full frequency</t>
  </si>
  <si>
    <t>Non-lifetime duration</t>
  </si>
  <si>
    <t>Non-lifetime frequency</t>
  </si>
  <si>
    <t>Non-litime time period</t>
  </si>
  <si>
    <t>Annualized full frequency</t>
  </si>
  <si>
    <t>LUNG-RELATED</t>
  </si>
  <si>
    <t>Location:</t>
  </si>
  <si>
    <t>San Francisco</t>
  </si>
  <si>
    <t>San Diego</t>
  </si>
  <si>
    <t>Los Angeles</t>
  </si>
  <si>
    <t>NVSR Volume 74, #6, Life Tables 2023 (07/15/25)</t>
  </si>
  <si>
    <t>Updated 02/04/26</t>
  </si>
  <si>
    <t>Code</t>
  </si>
  <si>
    <t>Universal (Milliman)</t>
  </si>
  <si>
    <t>Single Lung Transplant</t>
  </si>
  <si>
    <t>Mohs Procedure</t>
  </si>
  <si>
    <t>Double Lung Transplant</t>
  </si>
  <si>
    <t>Transplant Physician</t>
  </si>
  <si>
    <t>Ophthalmologist</t>
  </si>
  <si>
    <t>Internist</t>
  </si>
  <si>
    <t>Pulmonologist</t>
  </si>
  <si>
    <t>Nephrologist</t>
  </si>
  <si>
    <t>Cardiologist</t>
  </si>
  <si>
    <t>Dentist</t>
  </si>
  <si>
    <t>Endocrinologist</t>
  </si>
  <si>
    <t>Outpatient Pulmonary Rehabilitation</t>
  </si>
  <si>
    <t>Chest X-ray</t>
  </si>
  <si>
    <t>Spirometry Test</t>
  </si>
  <si>
    <t>Pulmonary Function Test</t>
  </si>
  <si>
    <t>Prograf Level</t>
  </si>
  <si>
    <t>CMP</t>
  </si>
  <si>
    <t>Chest CT Scan</t>
  </si>
  <si>
    <t>Tacrolimus Test</t>
  </si>
  <si>
    <t>Prospera Lung Test</t>
  </si>
  <si>
    <t>Flu Vaccine</t>
  </si>
  <si>
    <t>COVID-19 Vaccine</t>
  </si>
  <si>
    <t>Blood Pressure Cuff</t>
  </si>
  <si>
    <t>Micro Spirometer</t>
  </si>
  <si>
    <t>Thermometer</t>
  </si>
  <si>
    <t>Body Weight Scale</t>
  </si>
  <si>
    <t>Pulse Oximeter</t>
  </si>
  <si>
    <t>HEPA Air Purifier</t>
  </si>
  <si>
    <t>One 10-14-day Hospitalization</t>
  </si>
  <si>
    <t>Inpatient Infusions of Sundry Regimens of Immunomodulatory Medications</t>
  </si>
  <si>
    <t>J7504</t>
  </si>
  <si>
    <t>Los Angeles 80th (GeoZip 900)</t>
  </si>
  <si>
    <t>.1 is ASC</t>
  </si>
  <si>
    <t>.2 is Outpt</t>
  </si>
  <si>
    <t>D1110</t>
  </si>
  <si>
    <t>PROCEDURES</t>
  </si>
  <si>
    <t>Column1</t>
  </si>
  <si>
    <t>Column2</t>
  </si>
  <si>
    <t>Service</t>
  </si>
  <si>
    <t>Flexible Bronchoscopy with Transbronchial Biopsy or "Cryo Biopsy"</t>
  </si>
  <si>
    <t>Low</t>
  </si>
  <si>
    <t>High</t>
  </si>
  <si>
    <t>Scenario</t>
  </si>
  <si>
    <t>Component</t>
  </si>
  <si>
    <t>CPT Code</t>
  </si>
  <si>
    <t>Medical</t>
  </si>
  <si>
    <t>ASC</t>
  </si>
  <si>
    <t>Outpatient</t>
  </si>
  <si>
    <t>Anesthesia</t>
  </si>
  <si>
    <t>Medical - Sedation</t>
  </si>
  <si>
    <t>Item</t>
  </si>
  <si>
    <t>One-Time Low</t>
  </si>
  <si>
    <t>One-Time High</t>
  </si>
  <si>
    <t>Annual Low</t>
  </si>
  <si>
    <t>Annual High</t>
  </si>
  <si>
    <t>Mycophenolate (Cellcept) 500mg</t>
  </si>
  <si>
    <t>Los Angeles 1</t>
  </si>
  <si>
    <t>Los Angeles 2</t>
  </si>
  <si>
    <t>Los Angeles 3</t>
  </si>
  <si>
    <t>San Diego 1</t>
  </si>
  <si>
    <t>San Diego 2</t>
  </si>
  <si>
    <t>San Diego 3</t>
  </si>
  <si>
    <t>San Francisco 1</t>
  </si>
  <si>
    <t>San Francisco 2</t>
  </si>
  <si>
    <t>San Francisco 3</t>
  </si>
  <si>
    <t>Prednisone (Deltasone) 10mg</t>
  </si>
  <si>
    <t>Sirolimus (Rapamune) 1mg</t>
  </si>
  <si>
    <t>Sulfamethoxazole / Trimethoprim (Bactrim) 800/160mg</t>
  </si>
  <si>
    <t>Valganciclovir (Valcyte) 450mg</t>
  </si>
  <si>
    <t>Posaconazole (Noxafil) 100mg</t>
  </si>
  <si>
    <t>Azithromycin (Zithromax) 250mg</t>
  </si>
  <si>
    <t>Atorvastatin (Lipitor) 20mg</t>
  </si>
  <si>
    <t>Tenormin (Atenolol) 50mg</t>
  </si>
  <si>
    <t>Anti-Ulcer Medication (e.g., Tums) 1000mg</t>
  </si>
  <si>
    <t>Iron 10mg (Chewable)</t>
  </si>
  <si>
    <t>Vitamin C 90mg</t>
  </si>
  <si>
    <t>Magnesium Oxide 400mg</t>
  </si>
  <si>
    <t>Dermatologist</t>
  </si>
  <si>
    <t>Physical Therapy Evaluation</t>
  </si>
  <si>
    <t>Physical Therapy Session</t>
  </si>
  <si>
    <t>CBC</t>
  </si>
  <si>
    <t>Quantitative CMV DNA PCR</t>
  </si>
  <si>
    <t>HLA Immunogenetic Lab Studies</t>
  </si>
  <si>
    <t>COVID Vaccine</t>
  </si>
  <si>
    <t>Tacrolimus (Prograf) 0.5 to 5mg</t>
  </si>
  <si>
    <t>HEPA Replacement Filter</t>
  </si>
  <si>
    <t>MISCELLANEOUS</t>
  </si>
  <si>
    <t>One 10-14 Day Hospitalization</t>
  </si>
  <si>
    <t>Handyman Services</t>
  </si>
  <si>
    <t>Housekeeping Services</t>
  </si>
  <si>
    <t>executive decision to only use MCS</t>
  </si>
  <si>
    <t>low should be medical + MCS + facility low</t>
  </si>
  <si>
    <t>high schould be medical + general anesthesia + facility high</t>
  </si>
  <si>
    <t>.3 is Modifier</t>
  </si>
  <si>
    <t>N/A</t>
  </si>
  <si>
    <t>Walgreens</t>
  </si>
  <si>
    <t>Walmart</t>
  </si>
  <si>
    <t>CVS</t>
  </si>
  <si>
    <t>Amazon</t>
  </si>
  <si>
    <t>Cardiac Direct</t>
  </si>
  <si>
    <t>Medical Device Depot</t>
  </si>
  <si>
    <t>Serfinity Medical</t>
  </si>
  <si>
    <t>Best Buy</t>
  </si>
  <si>
    <t>Target</t>
  </si>
  <si>
    <t>Accu-Chek Blood Sugar Monitor</t>
  </si>
  <si>
    <t>Thymoglobulin 1.5mg/kg, 1000mg IV (Infusion Regimens of Cytolytic or Immunomodulatory Medications)</t>
  </si>
  <si>
    <t>Drug</t>
  </si>
  <si>
    <t>San Diego 4</t>
  </si>
  <si>
    <t>San Francisco 4</t>
  </si>
  <si>
    <t>Los Angeles 1 (State)</t>
  </si>
  <si>
    <t>Los Angeles 2 (Nonprofit)</t>
  </si>
  <si>
    <t>Los Angeles 3 (For Profit)</t>
  </si>
  <si>
    <t>Los Angeles 4 (KFF)</t>
  </si>
  <si>
    <t>Source Table (Category)</t>
  </si>
  <si>
    <t>Item/Service</t>
  </si>
  <si>
    <t>Begin Age</t>
  </si>
  <si>
    <t>Unit Cost Low</t>
  </si>
  <si>
    <t>Unit Cost High</t>
  </si>
  <si>
    <t>Per Dr. Ross. This cost includes 30 days of pre-transplant, procurement costs, surgery costs, and 180 days of post discharge costs per the Milliman (2025) research report.</t>
  </si>
  <si>
    <t>Per Dr. Ross, a bronchoscopy six times within the first year following bilateral lung transplant followed by two additional bronchoscopies. We have allotted for 3 bronchoscopies within the first year not covered under the Milliman study. </t>
  </si>
  <si>
    <t>Per Dr. Ross, due to his increased risk for skin cancer, he will require a Mohs procedure one to two times through life expectancy.</t>
  </si>
  <si>
    <t>The Milliman study provides costs for the pre-operative visit and post-operative visits for 180 days post-transplant discharge. Dr. Ross recommended one pre-operative visit, 2 times per week for the first post-operative month, weekly for the second post-operative month, 2 times per month for the third post-operative month, then monthly for one year. This cost begins at 6 months post-transplant discharge.</t>
  </si>
  <si>
    <t>Per Dr. Ross, a follow-up visit with a transplant physician quarterly through life expectancy. </t>
  </si>
  <si>
    <t>Per Dr. Ross, annual visits through life expectancy. </t>
  </si>
  <si>
    <t>Per Dr. Ross, follow-up visits twice per year with a dermatologist through life expectancy with an annual skin exam.</t>
  </si>
  <si>
    <t>Per Dr. Ross, dental visits twice per year through life expectancy in excess of typical yearly cleanings and checkups. </t>
  </si>
  <si>
    <t>Surgical needs</t>
  </si>
  <si>
    <t>Diagnostics testing</t>
  </si>
  <si>
    <t>Skin cancer treatment</t>
  </si>
  <si>
    <t>Routine care</t>
  </si>
  <si>
    <t>Therapeutic needs</t>
  </si>
  <si>
    <t>Per Dr. Ross, will require a course of outpatient pulmonary rehabilitation for six to twelve weeks pre- and post-lung transplant to consist of an initial evaluation followed by visits three times per week.</t>
  </si>
  <si>
    <t>The Milliman study provides costs for the pre-operative labs/diagnostics and post-operative labs/diagnostics for 180 days post-transplant discharge. Dr. Ross recommended one chest x-ray pre-operatively, 2 per week for the first month, then monthly for one year. This cost begins at 6 months post-transplant discharge. </t>
  </si>
  <si>
    <t>Per Dr. Ross a chest X-ray every three months through life expectancy; to begin 1-year post-transplant.</t>
  </si>
  <si>
    <t>The Milliman study provides costs for the pre-operative labs/diagnostics and post-operative labs/diagnostics for 180 days post-transplant discharge. Dr. Ross recommended a spirometry test at every follow-up visit with the transplant physician. This cost begins at 6 months post-transplant discharge.</t>
  </si>
  <si>
    <t>Per Dr. Ross, a spirometry test at every follow-up visit with the transplant physician; to begin 1-year post-transplant.</t>
  </si>
  <si>
    <t>The Milliman study provides costs for the pre-operative labs/diagnostics and post-operative labs/diagnostics for 180 days post-transplant discharge. Dr. Ross recommended one pulmonary function test pre-operatively, 2 per week for the first month, weekly the second month, 2 per month for the third month, then monthly for one year. This cost begins at 6 months post-transplant discharge.</t>
  </si>
  <si>
    <t>Per Dr. Ross a pulmonary function test every three months through life expectancy; to begin 1-year post-transplant.</t>
  </si>
  <si>
    <t>The Milliman study provides costs for the pre-operative labs/diagnostics and post-operative labs/diagnostics for 180 days post-transplant discharge. Dr. Ross recommended one Prograf level pre-operatively, 2 per week for the first month, weekly the second month, 2 per month for the third month, then monthly for one year. This cost begins at 6 months post-transplant discharge.</t>
  </si>
  <si>
    <t>Per Dr. Ross a Prograf Level every three months through life expectancy; to begin 1-year post-transplant.</t>
  </si>
  <si>
    <t>The Milliman study provides costs for the pre-operative labs/diagnostics and post-operative labs/diagnostics for 180 days post-transplant discharge. Dr. Ross recommended one CMP pre-operatively then every three months through life expectancy. This cost begins at 6 months post-transplant discharge.</t>
  </si>
  <si>
    <t>Per Dr. Ross a CMP every three months through life expectancy; to begin 1-year post-transplant.</t>
  </si>
  <si>
    <t>The Milliman study provides costs for the pre-operative labs/diagnostics and post-operative labs/diagnostics for 180 days post-transplant discharge. Dr. Ross recommended one CBC with blood differential tests pre-operatively then every three months through life expectancy. This cost begins at 6 months post-transplant discharge.</t>
  </si>
  <si>
    <t>Per Dr. Ross a CBC every three months through life expectancy; to begin 1-year post-transplant. </t>
  </si>
  <si>
    <t>Per Dr. Ross, annually through life expectancy. </t>
  </si>
  <si>
    <t>Per Dr. Ross, every three months through life expectancy. </t>
  </si>
  <si>
    <t>Medication needs</t>
  </si>
  <si>
    <t>Preventative</t>
  </si>
  <si>
    <t>Supplement needs</t>
  </si>
  <si>
    <t>Per Dr. Ross, two tablets per day through life expectancy. </t>
  </si>
  <si>
    <t>Per Dr. Ross, one tablet per day through life expectancy. </t>
  </si>
  <si>
    <t>Per Dr. Ross, one tablet on Monday, Wednesday, and Friday through life expectancy. </t>
  </si>
  <si>
    <t>Per Dr. Ross, three tablets per day through life expectancy. </t>
  </si>
  <si>
    <t>Per Dr. Ross, one vaccine per year through life expectancy. </t>
  </si>
  <si>
    <t>Self-monitoring needs</t>
  </si>
  <si>
    <t>Per Dr. Ross; replaced every 2-3 years.</t>
  </si>
  <si>
    <t>Per Dr. Ross; replaced every 3-5 years.</t>
  </si>
  <si>
    <t>Per Dr. Ross; replaced every 6 – 12 months.</t>
  </si>
  <si>
    <t>Infection care</t>
  </si>
  <si>
    <t>Increased risk of chronic rejection of lung(s)</t>
  </si>
  <si>
    <t>Post-transplant maintenance needs</t>
  </si>
  <si>
    <t>Post-transplant household needs</t>
  </si>
  <si>
    <t>Per Dr. Ross.</t>
  </si>
  <si>
    <t>Per Dr. Ross, monthly for the first year post-operatively for the upkeep of the home.</t>
  </si>
  <si>
    <t>Per Dr. Ross, every two weeks for the first year post-operatively for the upkeep of the home.</t>
  </si>
  <si>
    <t>Begin Year</t>
  </si>
  <si>
    <t>Frequency Low</t>
  </si>
  <si>
    <t>Frequency High</t>
  </si>
  <si>
    <t>Interval Low</t>
  </si>
  <si>
    <t>Interval High</t>
  </si>
  <si>
    <t>Time Value</t>
  </si>
  <si>
    <t>Palo Alto</t>
  </si>
  <si>
    <t>San Diego 80th  (GeoZip 921)</t>
  </si>
  <si>
    <t>San Francisco 80th  (GeoZip 941)</t>
  </si>
  <si>
    <t>Palo Alto 80th 
(GeoZip 943)</t>
  </si>
  <si>
    <t>Palo Alto 1</t>
  </si>
  <si>
    <t>Palo Alto 2</t>
  </si>
  <si>
    <t>Palo Alto 3</t>
  </si>
  <si>
    <t>Palo Alto 4</t>
  </si>
  <si>
    <t>I reran these in fh to correct data</t>
  </si>
  <si>
    <t>should high be medical + oputpatient?</t>
  </si>
  <si>
    <t>How It's Written in the LCP</t>
  </si>
  <si>
    <t>How It Is In Reality</t>
  </si>
  <si>
    <t>5 to 10 year expenses:</t>
  </si>
  <si>
    <t>4 to 9 year expenses:</t>
  </si>
  <si>
    <t>sum of annual/one-time</t>
  </si>
  <si>
    <t>LIFETIME TOTALS:</t>
  </si>
  <si>
    <t>Low End Age</t>
  </si>
  <si>
    <t>Low End Year</t>
  </si>
  <si>
    <t>High End Age</t>
  </si>
  <si>
    <t>High End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</si>
</sst>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mm/dd/yy;@"/>
    <numFmt numFmtId="165" formatCode="0.0"/>
    <numFmt numFmtId="166" formatCode="&quot;$&quot;#,##0.00"/>
    <numFmt numFmtId="167" formatCode="00000"/>
    <numFmt numFmtId="168" formatCode="0000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333333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0"/>
      <color theme="1"/>
      <name val="Arial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1E9F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60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Protection="1">
      <protection locked="0"/>
    </xf>
    <xf numFmtId="0" fontId="3" fillId="0" borderId="0" xfId="0" applyFont="1"/>
    <xf numFmtId="0" fontId="3" fillId="0" borderId="0" xfId="0" applyFont="1" applyAlignment="1">
      <alignment wrapText="1"/>
    </xf>
    <xf numFmtId="165" fontId="0" fillId="0" borderId="0" xfId="0" applyNumberFormat="1"/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166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left" wrapText="1"/>
    </xf>
    <xf numFmtId="165" fontId="7" fillId="0" borderId="0" xfId="0" applyNumberFormat="1" applyFont="1" applyAlignment="1">
      <alignment horizontal="center" wrapText="1"/>
    </xf>
    <xf numFmtId="166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right" wrapText="1"/>
    </xf>
    <xf numFmtId="0" fontId="7" fillId="0" borderId="6" xfId="0" applyFont="1" applyBorder="1" applyAlignment="1">
      <alignment horizontal="left" wrapText="1"/>
    </xf>
    <xf numFmtId="166" fontId="7" fillId="0" borderId="7" xfId="0" applyNumberFormat="1" applyFont="1" applyBorder="1" applyAlignment="1">
      <alignment horizontal="right" wrapText="1"/>
    </xf>
    <xf numFmtId="166" fontId="7" fillId="0" borderId="4" xfId="0" applyNumberFormat="1" applyFont="1" applyBorder="1" applyAlignment="1">
      <alignment horizontal="right" wrapText="1"/>
    </xf>
    <xf numFmtId="166" fontId="8" fillId="0" borderId="8" xfId="0" applyNumberFormat="1" applyFont="1" applyBorder="1" applyAlignment="1">
      <alignment horizontal="right" wrapText="1"/>
    </xf>
    <xf numFmtId="0" fontId="4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wrapText="1"/>
    </xf>
    <xf numFmtId="0" fontId="8" fillId="0" borderId="3" xfId="0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6" fontId="8" fillId="0" borderId="8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wrapText="1"/>
    </xf>
    <xf numFmtId="165" fontId="7" fillId="0" borderId="13" xfId="0" applyNumberFormat="1" applyFont="1" applyBorder="1" applyAlignment="1">
      <alignment horizontal="center" wrapText="1"/>
    </xf>
    <xf numFmtId="166" fontId="7" fillId="0" borderId="13" xfId="0" applyNumberFormat="1" applyFont="1" applyBorder="1" applyAlignment="1">
      <alignment horizontal="right" wrapText="1"/>
    </xf>
    <xf numFmtId="166" fontId="7" fillId="0" borderId="13" xfId="0" applyNumberFormat="1" applyFont="1" applyBorder="1" applyAlignment="1">
      <alignment horizontal="center" wrapText="1"/>
    </xf>
    <xf numFmtId="1" fontId="7" fillId="0" borderId="13" xfId="0" applyNumberFormat="1" applyFont="1" applyBorder="1" applyAlignment="1">
      <alignment horizontal="right" wrapText="1"/>
    </xf>
    <xf numFmtId="0" fontId="7" fillId="0" borderId="13" xfId="0" applyFont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165" fontId="7" fillId="0" borderId="2" xfId="0" applyNumberFormat="1" applyFont="1" applyBorder="1" applyAlignment="1">
      <alignment horizontal="center" wrapText="1"/>
    </xf>
    <xf numFmtId="166" fontId="7" fillId="0" borderId="2" xfId="0" applyNumberFormat="1" applyFont="1" applyBorder="1" applyAlignment="1">
      <alignment horizontal="right" wrapText="1"/>
    </xf>
    <xf numFmtId="166" fontId="7" fillId="0" borderId="2" xfId="0" applyNumberFormat="1" applyFont="1" applyBorder="1" applyAlignment="1">
      <alignment horizontal="center" wrapText="1"/>
    </xf>
    <xf numFmtId="1" fontId="7" fillId="0" borderId="2" xfId="0" applyNumberFormat="1" applyFont="1" applyBorder="1" applyAlignment="1">
      <alignment horizontal="right" wrapText="1"/>
    </xf>
    <xf numFmtId="0" fontId="7" fillId="0" borderId="2" xfId="0" applyFont="1" applyBorder="1" applyAlignment="1">
      <alignment horizontal="center" wrapText="1"/>
    </xf>
    <xf numFmtId="0" fontId="7" fillId="0" borderId="14" xfId="0" applyFont="1" applyBorder="1" applyAlignment="1">
      <alignment horizontal="left" wrapText="1"/>
    </xf>
    <xf numFmtId="165" fontId="7" fillId="0" borderId="15" xfId="0" applyNumberFormat="1" applyFont="1" applyBorder="1" applyAlignment="1">
      <alignment horizontal="center" wrapText="1"/>
    </xf>
    <xf numFmtId="166" fontId="7" fillId="0" borderId="15" xfId="0" applyNumberFormat="1" applyFont="1" applyBorder="1" applyAlignment="1">
      <alignment horizontal="right" wrapText="1"/>
    </xf>
    <xf numFmtId="166" fontId="7" fillId="0" borderId="15" xfId="0" applyNumberFormat="1" applyFont="1" applyBorder="1" applyAlignment="1">
      <alignment horizontal="center" wrapText="1"/>
    </xf>
    <xf numFmtId="1" fontId="7" fillId="0" borderId="15" xfId="0" applyNumberFormat="1" applyFont="1" applyBorder="1" applyAlignment="1">
      <alignment horizontal="right" wrapText="1"/>
    </xf>
    <xf numFmtId="0" fontId="7" fillId="0" borderId="15" xfId="0" applyFont="1" applyBorder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7" fillId="0" borderId="13" xfId="0" applyFont="1" applyBorder="1" applyAlignment="1">
      <alignment horizontal="left" wrapText="1"/>
    </xf>
    <xf numFmtId="0" fontId="7" fillId="0" borderId="13" xfId="0" applyFont="1" applyBorder="1" applyAlignment="1">
      <alignment horizontal="right" wrapText="1"/>
    </xf>
    <xf numFmtId="0" fontId="7" fillId="0" borderId="16" xfId="0" applyFont="1" applyBorder="1" applyAlignment="1">
      <alignment horizontal="right" wrapText="1"/>
    </xf>
    <xf numFmtId="0" fontId="5" fillId="0" borderId="0" xfId="0" applyFont="1" applyAlignment="1">
      <alignment horizontal="left" wrapText="1"/>
    </xf>
    <xf numFmtId="165" fontId="5" fillId="0" borderId="0" xfId="0" applyNumberFormat="1" applyFont="1" applyAlignment="1">
      <alignment horizontal="center" wrapText="1"/>
    </xf>
    <xf numFmtId="166" fontId="5" fillId="0" borderId="0" xfId="0" applyNumberFormat="1" applyFont="1" applyAlignment="1">
      <alignment horizontal="right" wrapText="1"/>
    </xf>
    <xf numFmtId="166" fontId="5" fillId="0" borderId="0" xfId="0" applyNumberFormat="1" applyFont="1" applyAlignment="1">
      <alignment horizontal="center" wrapText="1"/>
    </xf>
    <xf numFmtId="1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right" wrapText="1"/>
    </xf>
    <xf numFmtId="0" fontId="7" fillId="0" borderId="19" xfId="0" applyFont="1" applyBorder="1" applyAlignment="1">
      <alignment horizontal="left" wrapText="1"/>
    </xf>
    <xf numFmtId="0" fontId="7" fillId="0" borderId="20" xfId="0" applyFont="1" applyBorder="1" applyAlignment="1">
      <alignment horizontal="right" wrapText="1"/>
    </xf>
    <xf numFmtId="0" fontId="7" fillId="0" borderId="22" xfId="0" applyFont="1" applyBorder="1" applyAlignment="1">
      <alignment horizontal="right" wrapText="1"/>
    </xf>
    <xf numFmtId="0" fontId="7" fillId="0" borderId="15" xfId="0" applyFont="1" applyBorder="1" applyAlignment="1">
      <alignment horizontal="left" wrapText="1"/>
    </xf>
    <xf numFmtId="0" fontId="7" fillId="0" borderId="15" xfId="0" applyFont="1" applyBorder="1" applyAlignment="1">
      <alignment horizontal="right" wrapText="1"/>
    </xf>
    <xf numFmtId="0" fontId="7" fillId="0" borderId="17" xfId="0" applyFont="1" applyBorder="1" applyAlignment="1">
      <alignment horizontal="right" wrapText="1"/>
    </xf>
    <xf numFmtId="0" fontId="8" fillId="0" borderId="4" xfId="0" applyFont="1" applyBorder="1" applyAlignment="1">
      <alignment horizontal="right" wrapText="1"/>
    </xf>
    <xf numFmtId="0" fontId="8" fillId="0" borderId="8" xfId="0" applyFont="1" applyBorder="1" applyAlignment="1">
      <alignment horizontal="right" wrapText="1"/>
    </xf>
    <xf numFmtId="166" fontId="7" fillId="0" borderId="25" xfId="0" applyNumberFormat="1" applyFont="1" applyBorder="1" applyAlignment="1">
      <alignment horizontal="right" wrapText="1"/>
    </xf>
    <xf numFmtId="0" fontId="8" fillId="0" borderId="25" xfId="0" applyFont="1" applyBorder="1" applyAlignment="1">
      <alignment horizontal="right" wrapText="1"/>
    </xf>
    <xf numFmtId="0" fontId="8" fillId="0" borderId="28" xfId="0" applyFont="1" applyBorder="1" applyAlignment="1">
      <alignment horizontal="right" wrapText="1"/>
    </xf>
    <xf numFmtId="0" fontId="7" fillId="0" borderId="0" xfId="0" applyFont="1" applyAlignment="1">
      <alignment horizontal="center" vertical="center" wrapText="1"/>
    </xf>
    <xf numFmtId="1" fontId="0" fillId="0" borderId="0" xfId="0" applyNumberFormat="1"/>
    <xf numFmtId="0" fontId="4" fillId="0" borderId="0" xfId="0" applyFont="1" applyAlignment="1" applyProtection="1">
      <alignment wrapText="1"/>
      <protection locked="0"/>
    </xf>
    <xf numFmtId="164" fontId="5" fillId="0" borderId="0" xfId="0" applyNumberFormat="1" applyFont="1" applyAlignment="1">
      <alignment wrapText="1"/>
    </xf>
    <xf numFmtId="164" fontId="5" fillId="0" borderId="0" xfId="0" applyNumberFormat="1" applyFont="1" applyAlignment="1" applyProtection="1">
      <alignment wrapText="1"/>
      <protection locked="0"/>
    </xf>
    <xf numFmtId="165" fontId="5" fillId="0" borderId="0" xfId="0" applyNumberFormat="1" applyFont="1" applyAlignment="1">
      <alignment wrapText="1"/>
    </xf>
    <xf numFmtId="165" fontId="6" fillId="0" borderId="0" xfId="0" applyNumberFormat="1" applyFont="1" applyAlignment="1">
      <alignment wrapText="1"/>
    </xf>
    <xf numFmtId="165" fontId="5" fillId="0" borderId="0" xfId="0" applyNumberFormat="1" applyFont="1"/>
    <xf numFmtId="0" fontId="7" fillId="0" borderId="3" xfId="0" applyFont="1" applyBorder="1" applyAlignment="1">
      <alignment horizontal="left" wrapText="1"/>
    </xf>
    <xf numFmtId="165" fontId="7" fillId="0" borderId="4" xfId="0" applyNumberFormat="1" applyFont="1" applyBorder="1" applyAlignment="1">
      <alignment horizontal="center" wrapText="1"/>
    </xf>
    <xf numFmtId="165" fontId="7" fillId="0" borderId="34" xfId="0" applyNumberFormat="1" applyFont="1" applyBorder="1" applyAlignment="1">
      <alignment horizontal="center" wrapText="1"/>
    </xf>
    <xf numFmtId="166" fontId="7" fillId="0" borderId="34" xfId="0" applyNumberFormat="1" applyFont="1" applyBorder="1" applyAlignment="1">
      <alignment horizontal="right" wrapText="1"/>
    </xf>
    <xf numFmtId="166" fontId="7" fillId="0" borderId="34" xfId="0" applyNumberFormat="1" applyFont="1" applyBorder="1" applyAlignment="1">
      <alignment horizontal="center" wrapText="1"/>
    </xf>
    <xf numFmtId="1" fontId="7" fillId="0" borderId="34" xfId="0" applyNumberFormat="1" applyFont="1" applyBorder="1" applyAlignment="1">
      <alignment horizontal="right" wrapText="1"/>
    </xf>
    <xf numFmtId="0" fontId="7" fillId="0" borderId="34" xfId="0" applyFont="1" applyBorder="1" applyAlignment="1">
      <alignment horizontal="center" wrapText="1"/>
    </xf>
    <xf numFmtId="0" fontId="7" fillId="0" borderId="34" xfId="0" applyFont="1" applyBorder="1" applyAlignment="1">
      <alignment horizontal="right" wrapText="1"/>
    </xf>
    <xf numFmtId="0" fontId="7" fillId="0" borderId="35" xfId="0" applyFont="1" applyBorder="1" applyAlignment="1">
      <alignment horizontal="right" wrapText="1"/>
    </xf>
    <xf numFmtId="165" fontId="10" fillId="0" borderId="0" xfId="0" applyNumberFormat="1" applyFont="1" applyAlignment="1">
      <alignment horizontal="center" wrapText="1"/>
    </xf>
    <xf numFmtId="0" fontId="7" fillId="0" borderId="4" xfId="0" applyFont="1" applyBorder="1" applyAlignment="1">
      <alignment horizontal="left" wrapText="1"/>
    </xf>
    <xf numFmtId="166" fontId="7" fillId="0" borderId="4" xfId="0" applyNumberFormat="1" applyFont="1" applyBorder="1" applyAlignment="1">
      <alignment horizontal="center" wrapText="1"/>
    </xf>
    <xf numFmtId="1" fontId="7" fillId="0" borderId="4" xfId="0" applyNumberFormat="1" applyFont="1" applyBorder="1" applyAlignment="1">
      <alignment horizontal="right" wrapText="1"/>
    </xf>
    <xf numFmtId="0" fontId="7" fillId="0" borderId="33" xfId="0" applyFont="1" applyBorder="1" applyAlignment="1">
      <alignment horizontal="left" wrapText="1"/>
    </xf>
    <xf numFmtId="0" fontId="7" fillId="0" borderId="0" xfId="0" applyFont="1"/>
    <xf numFmtId="0" fontId="2" fillId="0" borderId="0" xfId="0" applyFont="1"/>
    <xf numFmtId="0" fontId="1" fillId="0" borderId="0" xfId="0" applyFont="1" applyAlignment="1" applyProtection="1">
      <alignment horizontal="right" wrapText="1"/>
      <protection locked="0"/>
    </xf>
    <xf numFmtId="0" fontId="12" fillId="0" borderId="0" xfId="0" applyFont="1"/>
    <xf numFmtId="0" fontId="7" fillId="0" borderId="21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2" fontId="12" fillId="0" borderId="0" xfId="0" applyNumberFormat="1" applyFont="1"/>
    <xf numFmtId="0" fontId="1" fillId="0" borderId="0" xfId="0" applyFont="1"/>
    <xf numFmtId="0" fontId="7" fillId="0" borderId="34" xfId="0" applyFont="1" applyBorder="1" applyAlignment="1">
      <alignment horizontal="left" wrapText="1"/>
    </xf>
    <xf numFmtId="0" fontId="15" fillId="0" borderId="0" xfId="1" applyAlignment="1">
      <alignment horizontal="center"/>
    </xf>
    <xf numFmtId="0" fontId="8" fillId="2" borderId="29" xfId="0" applyFont="1" applyFill="1" applyBorder="1" applyAlignment="1">
      <alignment horizontal="center" vertical="center" wrapText="1"/>
    </xf>
    <xf numFmtId="165" fontId="8" fillId="2" borderId="26" xfId="0" applyNumberFormat="1" applyFont="1" applyFill="1" applyBorder="1" applyAlignment="1">
      <alignment horizontal="center" vertical="center" wrapText="1"/>
    </xf>
    <xf numFmtId="166" fontId="8" fillId="2" borderId="26" xfId="0" applyNumberFormat="1" applyFont="1" applyFill="1" applyBorder="1" applyAlignment="1">
      <alignment horizontal="center" vertical="center" wrapText="1"/>
    </xf>
    <xf numFmtId="1" fontId="8" fillId="2" borderId="26" xfId="0" applyNumberFormat="1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165" fontId="9" fillId="0" borderId="13" xfId="0" applyNumberFormat="1" applyFont="1" applyBorder="1" applyAlignment="1">
      <alignment horizontal="center" wrapText="1"/>
    </xf>
    <xf numFmtId="166" fontId="9" fillId="0" borderId="13" xfId="0" applyNumberFormat="1" applyFont="1" applyBorder="1" applyAlignment="1">
      <alignment horizontal="right" wrapText="1"/>
    </xf>
    <xf numFmtId="166" fontId="9" fillId="0" borderId="13" xfId="0" applyNumberFormat="1" applyFont="1" applyBorder="1" applyAlignment="1">
      <alignment horizontal="center" wrapText="1"/>
    </xf>
    <xf numFmtId="1" fontId="9" fillId="0" borderId="13" xfId="0" applyNumberFormat="1" applyFont="1" applyBorder="1" applyAlignment="1">
      <alignment horizontal="right" wrapText="1"/>
    </xf>
    <xf numFmtId="0" fontId="9" fillId="0" borderId="13" xfId="0" applyFont="1" applyBorder="1" applyAlignment="1">
      <alignment horizontal="center" wrapText="1"/>
    </xf>
    <xf numFmtId="0" fontId="9" fillId="0" borderId="13" xfId="0" applyFont="1" applyBorder="1" applyAlignment="1">
      <alignment horizontal="right" wrapText="1"/>
    </xf>
    <xf numFmtId="0" fontId="9" fillId="0" borderId="16" xfId="0" applyFont="1" applyBorder="1" applyAlignment="1">
      <alignment horizontal="right" wrapText="1"/>
    </xf>
    <xf numFmtId="0" fontId="17" fillId="0" borderId="0" xfId="0" applyFont="1" applyAlignment="1">
      <alignment vertical="center"/>
    </xf>
    <xf numFmtId="166" fontId="17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wrapText="1"/>
    </xf>
    <xf numFmtId="166" fontId="17" fillId="0" borderId="0" xfId="0" applyNumberFormat="1" applyFont="1"/>
    <xf numFmtId="166" fontId="18" fillId="0" borderId="0" xfId="0" applyNumberFormat="1" applyFont="1" applyAlignment="1">
      <alignment horizontal="center"/>
    </xf>
    <xf numFmtId="165" fontId="7" fillId="0" borderId="2" xfId="0" applyNumberFormat="1" applyFont="1" applyBorder="1" applyAlignment="1" applyProtection="1">
      <alignment horizontal="center" wrapText="1"/>
      <protection locked="0"/>
    </xf>
    <xf numFmtId="166" fontId="7" fillId="0" borderId="2" xfId="0" applyNumberFormat="1" applyFont="1" applyBorder="1" applyAlignment="1" applyProtection="1">
      <alignment horizontal="right" wrapText="1"/>
      <protection locked="0"/>
    </xf>
    <xf numFmtId="165" fontId="7" fillId="0" borderId="13" xfId="0" applyNumberFormat="1" applyFont="1" applyBorder="1" applyAlignment="1" applyProtection="1">
      <alignment horizontal="center" wrapText="1"/>
      <protection locked="0"/>
    </xf>
    <xf numFmtId="166" fontId="7" fillId="0" borderId="13" xfId="0" applyNumberFormat="1" applyFont="1" applyBorder="1" applyAlignment="1" applyProtection="1">
      <alignment horizontal="right" wrapText="1"/>
      <protection locked="0"/>
    </xf>
    <xf numFmtId="166" fontId="7" fillId="0" borderId="34" xfId="0" applyNumberFormat="1" applyFont="1" applyBorder="1" applyAlignment="1" applyProtection="1">
      <alignment horizontal="right" wrapText="1"/>
      <protection locked="0"/>
    </xf>
    <xf numFmtId="0" fontId="7" fillId="0" borderId="1" xfId="0" applyFont="1" applyBorder="1" applyAlignment="1" applyProtection="1">
      <alignment horizontal="left" wrapText="1"/>
      <protection locked="0"/>
    </xf>
    <xf numFmtId="1" fontId="7" fillId="0" borderId="2" xfId="0" applyNumberFormat="1" applyFont="1" applyBorder="1" applyAlignment="1" applyProtection="1">
      <alignment horizontal="right" wrapText="1"/>
      <protection locked="0"/>
    </xf>
    <xf numFmtId="0" fontId="7" fillId="0" borderId="34" xfId="0" applyFont="1" applyBorder="1" applyAlignment="1" applyProtection="1">
      <alignment horizontal="left" wrapText="1"/>
      <protection locked="0"/>
    </xf>
    <xf numFmtId="0" fontId="7" fillId="0" borderId="12" xfId="0" applyFont="1" applyBorder="1" applyAlignment="1" applyProtection="1">
      <alignment horizontal="left" wrapText="1"/>
      <protection locked="0"/>
    </xf>
    <xf numFmtId="1" fontId="7" fillId="0" borderId="13" xfId="0" applyNumberFormat="1" applyFont="1" applyBorder="1" applyAlignment="1" applyProtection="1">
      <alignment horizontal="right" wrapText="1"/>
      <protection locked="0"/>
    </xf>
    <xf numFmtId="0" fontId="7" fillId="0" borderId="33" xfId="0" applyFont="1" applyBorder="1" applyAlignment="1" applyProtection="1">
      <alignment horizontal="left" wrapText="1"/>
      <protection locked="0"/>
    </xf>
    <xf numFmtId="1" fontId="7" fillId="0" borderId="34" xfId="0" applyNumberFormat="1" applyFont="1" applyBorder="1" applyAlignment="1" applyProtection="1">
      <alignment horizontal="right" wrapText="1"/>
      <protection locked="0"/>
    </xf>
    <xf numFmtId="0" fontId="7" fillId="0" borderId="13" xfId="0" applyFont="1" applyBorder="1" applyAlignment="1" applyProtection="1">
      <alignment horizontal="left" wrapText="1"/>
      <protection locked="0"/>
    </xf>
    <xf numFmtId="166" fontId="7" fillId="0" borderId="15" xfId="0" applyNumberFormat="1" applyFont="1" applyBorder="1" applyAlignment="1" applyProtection="1">
      <alignment horizontal="right" wrapText="1"/>
      <protection locked="0"/>
    </xf>
    <xf numFmtId="1" fontId="7" fillId="0" borderId="15" xfId="0" applyNumberFormat="1" applyFont="1" applyBorder="1" applyAlignment="1" applyProtection="1">
      <alignment horizontal="right" wrapText="1"/>
      <protection locked="0"/>
    </xf>
    <xf numFmtId="0" fontId="7" fillId="0" borderId="15" xfId="0" applyFont="1" applyBorder="1" applyAlignment="1" applyProtection="1">
      <alignment horizontal="left" wrapText="1"/>
      <protection locked="0"/>
    </xf>
    <xf numFmtId="165" fontId="7" fillId="0" borderId="34" xfId="0" applyNumberFormat="1" applyFont="1" applyBorder="1" applyAlignment="1" applyProtection="1">
      <alignment horizontal="center" wrapText="1"/>
      <protection locked="0"/>
    </xf>
    <xf numFmtId="166" fontId="7" fillId="0" borderId="2" xfId="0" applyNumberFormat="1" applyFont="1" applyBorder="1" applyAlignment="1" applyProtection="1">
      <alignment horizontal="center" wrapText="1"/>
      <protection locked="0"/>
    </xf>
    <xf numFmtId="166" fontId="7" fillId="0" borderId="13" xfId="0" applyNumberFormat="1" applyFont="1" applyBorder="1" applyAlignment="1" applyProtection="1">
      <alignment horizontal="center" wrapText="1"/>
      <protection locked="0"/>
    </xf>
    <xf numFmtId="166" fontId="7" fillId="0" borderId="34" xfId="0" applyNumberFormat="1" applyFont="1" applyBorder="1" applyAlignment="1" applyProtection="1">
      <alignment horizontal="center" wrapText="1"/>
      <protection locked="0"/>
    </xf>
    <xf numFmtId="166" fontId="7" fillId="0" borderId="15" xfId="0" applyNumberFormat="1" applyFont="1" applyBorder="1" applyAlignment="1" applyProtection="1">
      <alignment horizont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8" fillId="2" borderId="29" xfId="0" applyFont="1" applyFill="1" applyBorder="1" applyAlignment="1" applyProtection="1">
      <alignment horizontal="center" vertical="center" wrapText="1"/>
      <protection locked="0"/>
    </xf>
    <xf numFmtId="165" fontId="8" fillId="2" borderId="26" xfId="0" applyNumberFormat="1" applyFont="1" applyFill="1" applyBorder="1" applyAlignment="1" applyProtection="1">
      <alignment horizontal="center" vertical="center" wrapText="1"/>
      <protection locked="0"/>
    </xf>
    <xf numFmtId="166" fontId="8" fillId="2" borderId="26" xfId="0" applyNumberFormat="1" applyFont="1" applyFill="1" applyBorder="1" applyAlignment="1" applyProtection="1">
      <alignment horizontal="center" vertical="center" wrapText="1"/>
      <protection locked="0"/>
    </xf>
    <xf numFmtId="1" fontId="8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26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left" wrapText="1"/>
      <protection locked="0"/>
    </xf>
    <xf numFmtId="165" fontId="7" fillId="0" borderId="0" xfId="0" applyNumberFormat="1" applyFont="1" applyAlignment="1" applyProtection="1">
      <alignment horizontal="center" wrapText="1"/>
      <protection locked="0"/>
    </xf>
    <xf numFmtId="166" fontId="7" fillId="0" borderId="0" xfId="0" applyNumberFormat="1" applyFont="1" applyAlignment="1" applyProtection="1">
      <alignment horizontal="right" wrapText="1"/>
      <protection locked="0"/>
    </xf>
    <xf numFmtId="166" fontId="7" fillId="0" borderId="0" xfId="0" applyNumberFormat="1" applyFont="1" applyAlignment="1" applyProtection="1">
      <alignment horizontal="center" wrapText="1"/>
      <protection locked="0"/>
    </xf>
    <xf numFmtId="1" fontId="7" fillId="0" borderId="0" xfId="0" applyNumberFormat="1" applyFont="1" applyAlignment="1" applyProtection="1">
      <alignment horizontal="right" wrapText="1"/>
      <protection locked="0"/>
    </xf>
    <xf numFmtId="2" fontId="7" fillId="0" borderId="0" xfId="0" applyNumberFormat="1" applyFont="1" applyAlignment="1" applyProtection="1">
      <alignment horizontal="right" wrapText="1"/>
      <protection locked="0"/>
    </xf>
    <xf numFmtId="0" fontId="8" fillId="0" borderId="32" xfId="0" applyFont="1" applyBorder="1" applyAlignment="1" applyProtection="1">
      <alignment vertical="center" wrapText="1"/>
      <protection locked="0"/>
    </xf>
    <xf numFmtId="165" fontId="5" fillId="0" borderId="0" xfId="0" applyNumberFormat="1" applyFont="1" applyAlignment="1" applyProtection="1">
      <alignment horizontal="center" wrapText="1"/>
      <protection locked="0"/>
    </xf>
    <xf numFmtId="166" fontId="5" fillId="0" borderId="0" xfId="0" applyNumberFormat="1" applyFont="1" applyAlignment="1" applyProtection="1">
      <alignment horizontal="right" wrapText="1"/>
      <protection locked="0"/>
    </xf>
    <xf numFmtId="0" fontId="5" fillId="0" borderId="0" xfId="0" applyFont="1" applyAlignment="1" applyProtection="1">
      <alignment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8" fillId="0" borderId="31" xfId="0" applyFont="1" applyBorder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left" wrapText="1"/>
      <protection locked="0"/>
    </xf>
    <xf numFmtId="1" fontId="5" fillId="0" borderId="0" xfId="0" applyNumberFormat="1" applyFont="1" applyAlignment="1" applyProtection="1">
      <alignment horizontal="right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14" fillId="0" borderId="0" xfId="0" applyFont="1" applyAlignment="1" applyProtection="1">
      <alignment horizontal="left"/>
      <protection locked="0"/>
    </xf>
    <xf numFmtId="0" fontId="8" fillId="0" borderId="31" xfId="0" applyFont="1" applyBorder="1" applyAlignment="1" applyProtection="1">
      <alignment horizontal="right" vertical="center" wrapText="1"/>
      <protection locked="0"/>
    </xf>
    <xf numFmtId="0" fontId="8" fillId="2" borderId="30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wrapText="1"/>
      <protection locked="0"/>
    </xf>
    <xf numFmtId="0" fontId="7" fillId="0" borderId="13" xfId="0" applyFont="1" applyBorder="1" applyAlignment="1" applyProtection="1">
      <alignment horizontal="center" wrapText="1"/>
      <protection locked="0"/>
    </xf>
    <xf numFmtId="0" fontId="7" fillId="0" borderId="34" xfId="0" applyFont="1" applyBorder="1" applyAlignment="1" applyProtection="1">
      <alignment horizontal="center" wrapText="1"/>
      <protection locked="0"/>
    </xf>
    <xf numFmtId="166" fontId="7" fillId="0" borderId="25" xfId="0" applyNumberFormat="1" applyFont="1" applyBorder="1" applyAlignment="1" applyProtection="1">
      <alignment horizontal="right" wrapText="1"/>
      <protection locked="0"/>
    </xf>
    <xf numFmtId="0" fontId="8" fillId="0" borderId="25" xfId="0" applyFont="1" applyBorder="1" applyAlignment="1" applyProtection="1">
      <alignment horizontal="right" wrapText="1"/>
      <protection locked="0"/>
    </xf>
    <xf numFmtId="0" fontId="8" fillId="0" borderId="28" xfId="0" applyFont="1" applyBorder="1" applyAlignment="1" applyProtection="1">
      <alignment horizontal="right" wrapText="1"/>
      <protection locked="0"/>
    </xf>
    <xf numFmtId="166" fontId="5" fillId="0" borderId="0" xfId="0" applyNumberFormat="1" applyFont="1" applyAlignment="1" applyProtection="1">
      <alignment horizontal="center" wrapText="1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0" borderId="0" xfId="0" applyFont="1" applyAlignment="1" applyProtection="1">
      <alignment horizontal="right" wrapText="1"/>
      <protection locked="0"/>
    </xf>
    <xf numFmtId="0" fontId="7" fillId="0" borderId="2" xfId="0" applyFont="1" applyBorder="1" applyAlignment="1" applyProtection="1">
      <alignment horizontal="right" wrapText="1"/>
      <protection locked="0"/>
    </xf>
    <xf numFmtId="0" fontId="7" fillId="0" borderId="5" xfId="0" applyFont="1" applyBorder="1" applyAlignment="1" applyProtection="1">
      <alignment horizontal="right" wrapText="1"/>
      <protection locked="0"/>
    </xf>
    <xf numFmtId="0" fontId="7" fillId="0" borderId="13" xfId="0" applyFont="1" applyBorder="1" applyAlignment="1" applyProtection="1">
      <alignment horizontal="right" wrapText="1"/>
      <protection locked="0"/>
    </xf>
    <xf numFmtId="0" fontId="7" fillId="0" borderId="16" xfId="0" applyFont="1" applyBorder="1" applyAlignment="1" applyProtection="1">
      <alignment horizontal="right" wrapText="1"/>
      <protection locked="0"/>
    </xf>
    <xf numFmtId="0" fontId="7" fillId="0" borderId="34" xfId="0" applyFont="1" applyBorder="1" applyAlignment="1" applyProtection="1">
      <alignment horizontal="right" wrapText="1"/>
      <protection locked="0"/>
    </xf>
    <xf numFmtId="0" fontId="7" fillId="0" borderId="35" xfId="0" applyFont="1" applyBorder="1" applyAlignment="1" applyProtection="1">
      <alignment horizontal="right" wrapText="1"/>
      <protection locked="0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166" fontId="20" fillId="0" borderId="0" xfId="0" applyNumberFormat="1" applyFont="1" applyAlignment="1">
      <alignment vertical="center"/>
    </xf>
    <xf numFmtId="166" fontId="17" fillId="0" borderId="0" xfId="0" applyNumberFormat="1" applyFont="1" applyAlignment="1">
      <alignment horizontal="center"/>
    </xf>
    <xf numFmtId="166" fontId="18" fillId="0" borderId="37" xfId="0" applyNumberFormat="1" applyFont="1" applyBorder="1" applyAlignment="1">
      <alignment horizontal="center"/>
    </xf>
    <xf numFmtId="166" fontId="18" fillId="0" borderId="41" xfId="0" applyNumberFormat="1" applyFont="1" applyBorder="1" applyAlignment="1">
      <alignment horizontal="center"/>
    </xf>
    <xf numFmtId="0" fontId="17" fillId="0" borderId="39" xfId="0" applyFont="1" applyBorder="1" applyAlignment="1">
      <alignment wrapText="1"/>
    </xf>
    <xf numFmtId="166" fontId="17" fillId="0" borderId="38" xfId="0" applyNumberFormat="1" applyFont="1" applyBorder="1"/>
    <xf numFmtId="0" fontId="16" fillId="0" borderId="22" xfId="0" applyFont="1" applyBorder="1"/>
    <xf numFmtId="166" fontId="16" fillId="0" borderId="42" xfId="0" applyNumberFormat="1" applyFont="1" applyBorder="1"/>
    <xf numFmtId="166" fontId="16" fillId="0" borderId="21" xfId="0" applyNumberFormat="1" applyFont="1" applyBorder="1"/>
    <xf numFmtId="166" fontId="7" fillId="0" borderId="39" xfId="0" applyNumberFormat="1" applyFont="1" applyBorder="1" applyAlignment="1" applyProtection="1">
      <alignment horizontal="right" wrapText="1"/>
      <protection locked="0"/>
    </xf>
    <xf numFmtId="166" fontId="7" fillId="0" borderId="39" xfId="0" applyNumberFormat="1" applyFont="1" applyBorder="1" applyAlignment="1" applyProtection="1">
      <alignment horizontal="center" wrapText="1"/>
      <protection locked="0"/>
    </xf>
    <xf numFmtId="1" fontId="7" fillId="0" borderId="39" xfId="0" applyNumberFormat="1" applyFont="1" applyBorder="1" applyAlignment="1" applyProtection="1">
      <alignment horizontal="right" wrapText="1"/>
      <protection locked="0"/>
    </xf>
    <xf numFmtId="0" fontId="18" fillId="0" borderId="0" xfId="0" applyFont="1"/>
    <xf numFmtId="0" fontId="18" fillId="0" borderId="40" xfId="0" applyFont="1" applyBorder="1" applyAlignment="1">
      <alignment wrapText="1"/>
    </xf>
    <xf numFmtId="0" fontId="1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Protection="1">
      <protection locked="0"/>
    </xf>
    <xf numFmtId="165" fontId="21" fillId="0" borderId="34" xfId="0" applyNumberFormat="1" applyFont="1" applyBorder="1" applyAlignment="1" applyProtection="1">
      <alignment horizontal="center" wrapText="1"/>
      <protection locked="0"/>
    </xf>
    <xf numFmtId="165" fontId="21" fillId="0" borderId="0" xfId="0" applyNumberFormat="1" applyFont="1" applyAlignment="1" applyProtection="1">
      <alignment horizontal="center" wrapText="1"/>
      <protection locked="0"/>
    </xf>
    <xf numFmtId="166" fontId="21" fillId="0" borderId="39" xfId="0" applyNumberFormat="1" applyFont="1" applyBorder="1" applyAlignment="1" applyProtection="1">
      <alignment horizontal="right" wrapText="1"/>
      <protection locked="0"/>
    </xf>
    <xf numFmtId="166" fontId="21" fillId="0" borderId="34" xfId="0" applyNumberFormat="1" applyFont="1" applyBorder="1" applyAlignment="1" applyProtection="1">
      <alignment horizontal="right" wrapText="1"/>
      <protection locked="0"/>
    </xf>
    <xf numFmtId="166" fontId="21" fillId="0" borderId="39" xfId="0" applyNumberFormat="1" applyFont="1" applyBorder="1" applyAlignment="1" applyProtection="1">
      <alignment horizontal="center" wrapText="1"/>
      <protection locked="0"/>
    </xf>
    <xf numFmtId="1" fontId="21" fillId="0" borderId="0" xfId="0" applyNumberFormat="1" applyFont="1" applyAlignment="1" applyProtection="1">
      <alignment horizontal="right" wrapText="1"/>
      <protection locked="0"/>
    </xf>
    <xf numFmtId="1" fontId="21" fillId="0" borderId="39" xfId="0" applyNumberFormat="1" applyFont="1" applyBorder="1" applyAlignment="1" applyProtection="1">
      <alignment horizontal="right" wrapText="1"/>
      <protection locked="0"/>
    </xf>
    <xf numFmtId="0" fontId="21" fillId="0" borderId="34" xfId="0" applyFont="1" applyBorder="1" applyAlignment="1" applyProtection="1">
      <alignment horizontal="left" wrapText="1"/>
      <protection locked="0"/>
    </xf>
    <xf numFmtId="0" fontId="21" fillId="0" borderId="34" xfId="0" applyFont="1" applyBorder="1" applyAlignment="1" applyProtection="1">
      <alignment horizontal="center" wrapText="1"/>
      <protection locked="0"/>
    </xf>
    <xf numFmtId="0" fontId="21" fillId="0" borderId="34" xfId="0" applyFont="1" applyBorder="1" applyAlignment="1" applyProtection="1">
      <alignment horizontal="right" wrapText="1"/>
      <protection locked="0"/>
    </xf>
    <xf numFmtId="0" fontId="21" fillId="0" borderId="35" xfId="0" applyFont="1" applyBorder="1" applyAlignment="1" applyProtection="1">
      <alignment horizontal="right" wrapText="1"/>
      <protection locked="0"/>
    </xf>
    <xf numFmtId="166" fontId="21" fillId="0" borderId="0" xfId="0" applyNumberFormat="1" applyFont="1" applyAlignment="1" applyProtection="1">
      <alignment horizontal="right" wrapText="1"/>
      <protection locked="0"/>
    </xf>
    <xf numFmtId="166" fontId="21" fillId="0" borderId="0" xfId="0" applyNumberFormat="1" applyFont="1" applyAlignment="1" applyProtection="1">
      <alignment horizontal="center" wrapText="1"/>
      <protection locked="0"/>
    </xf>
    <xf numFmtId="0" fontId="21" fillId="0" borderId="0" xfId="0" applyFont="1" applyAlignment="1" applyProtection="1">
      <alignment horizontal="left" wrapText="1"/>
      <protection locked="0"/>
    </xf>
    <xf numFmtId="0" fontId="21" fillId="0" borderId="12" xfId="0" applyFont="1" applyBorder="1" applyAlignment="1" applyProtection="1">
      <alignment horizontal="left" wrapText="1"/>
      <protection locked="0"/>
    </xf>
    <xf numFmtId="165" fontId="21" fillId="0" borderId="13" xfId="0" applyNumberFormat="1" applyFont="1" applyBorder="1" applyAlignment="1">
      <alignment horizontal="center" wrapText="1"/>
    </xf>
    <xf numFmtId="165" fontId="21" fillId="0" borderId="13" xfId="0" applyNumberFormat="1" applyFont="1" applyBorder="1" applyAlignment="1" applyProtection="1">
      <alignment horizontal="center" wrapText="1"/>
      <protection locked="0"/>
    </xf>
    <xf numFmtId="166" fontId="21" fillId="0" borderId="13" xfId="0" applyNumberFormat="1" applyFont="1" applyBorder="1" applyAlignment="1" applyProtection="1">
      <alignment horizontal="right" wrapText="1"/>
      <protection locked="0"/>
    </xf>
    <xf numFmtId="166" fontId="21" fillId="0" borderId="13" xfId="0" applyNumberFormat="1" applyFont="1" applyBorder="1" applyAlignment="1" applyProtection="1">
      <alignment horizontal="center" wrapText="1"/>
      <protection locked="0"/>
    </xf>
    <xf numFmtId="1" fontId="21" fillId="0" borderId="13" xfId="0" applyNumberFormat="1" applyFont="1" applyBorder="1" applyAlignment="1" applyProtection="1">
      <alignment horizontal="right" wrapText="1"/>
      <protection locked="0"/>
    </xf>
    <xf numFmtId="0" fontId="21" fillId="0" borderId="13" xfId="0" applyFont="1" applyBorder="1" applyAlignment="1" applyProtection="1">
      <alignment horizontal="left" wrapText="1"/>
      <protection locked="0"/>
    </xf>
    <xf numFmtId="0" fontId="21" fillId="0" borderId="13" xfId="0" applyFont="1" applyBorder="1" applyAlignment="1">
      <alignment horizontal="center" wrapText="1"/>
    </xf>
    <xf numFmtId="166" fontId="21" fillId="0" borderId="13" xfId="0" applyNumberFormat="1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1" fillId="0" borderId="16" xfId="0" applyFont="1" applyBorder="1" applyAlignment="1">
      <alignment horizontal="right" wrapText="1"/>
    </xf>
    <xf numFmtId="0" fontId="21" fillId="0" borderId="6" xfId="0" applyFont="1" applyBorder="1" applyAlignment="1" applyProtection="1">
      <alignment horizontal="left" wrapText="1"/>
      <protection locked="0"/>
    </xf>
    <xf numFmtId="165" fontId="21" fillId="0" borderId="0" xfId="0" applyNumberFormat="1" applyFont="1" applyAlignment="1">
      <alignment horizontal="center" wrapText="1"/>
    </xf>
    <xf numFmtId="0" fontId="21" fillId="0" borderId="38" xfId="0" applyFont="1" applyBorder="1" applyAlignment="1">
      <alignment horizontal="center" wrapText="1"/>
    </xf>
    <xf numFmtId="166" fontId="21" fillId="0" borderId="34" xfId="0" applyNumberFormat="1" applyFont="1" applyBorder="1" applyAlignment="1">
      <alignment horizontal="right" wrapText="1"/>
    </xf>
    <xf numFmtId="0" fontId="21" fillId="0" borderId="34" xfId="0" applyFont="1" applyBorder="1" applyAlignment="1">
      <alignment horizontal="right" wrapText="1"/>
    </xf>
    <xf numFmtId="0" fontId="21" fillId="0" borderId="35" xfId="0" applyFont="1" applyBorder="1" applyAlignment="1">
      <alignment horizontal="right" wrapText="1"/>
    </xf>
    <xf numFmtId="0" fontId="21" fillId="0" borderId="12" xfId="0" applyFont="1" applyBorder="1" applyAlignment="1">
      <alignment horizontal="left" wrapText="1"/>
    </xf>
    <xf numFmtId="166" fontId="21" fillId="0" borderId="13" xfId="0" applyNumberFormat="1" applyFont="1" applyBorder="1" applyAlignment="1">
      <alignment horizontal="center" wrapText="1"/>
    </xf>
    <xf numFmtId="1" fontId="21" fillId="0" borderId="13" xfId="0" applyNumberFormat="1" applyFont="1" applyBorder="1" applyAlignment="1">
      <alignment horizontal="right" wrapText="1"/>
    </xf>
    <xf numFmtId="0" fontId="21" fillId="0" borderId="13" xfId="0" applyFont="1" applyBorder="1" applyAlignment="1">
      <alignment horizontal="left" wrapText="1"/>
    </xf>
    <xf numFmtId="0" fontId="21" fillId="0" borderId="3" xfId="0" applyFont="1" applyBorder="1" applyAlignment="1">
      <alignment horizontal="left" wrapText="1"/>
    </xf>
    <xf numFmtId="165" fontId="21" fillId="0" borderId="4" xfId="0" applyNumberFormat="1" applyFont="1" applyBorder="1" applyAlignment="1">
      <alignment horizontal="center" wrapText="1"/>
    </xf>
    <xf numFmtId="166" fontId="21" fillId="0" borderId="4" xfId="0" applyNumberFormat="1" applyFont="1" applyBorder="1" applyAlignment="1">
      <alignment horizontal="right" wrapText="1"/>
    </xf>
    <xf numFmtId="166" fontId="21" fillId="0" borderId="4" xfId="0" applyNumberFormat="1" applyFont="1" applyBorder="1" applyAlignment="1">
      <alignment horizontal="center" wrapText="1"/>
    </xf>
    <xf numFmtId="1" fontId="21" fillId="0" borderId="4" xfId="0" applyNumberFormat="1" applyFont="1" applyBorder="1" applyAlignment="1">
      <alignment horizontal="right" wrapText="1"/>
    </xf>
    <xf numFmtId="0" fontId="21" fillId="0" borderId="4" xfId="0" applyFont="1" applyBorder="1" applyAlignment="1">
      <alignment horizontal="left" wrapText="1"/>
    </xf>
    <xf numFmtId="0" fontId="21" fillId="0" borderId="4" xfId="0" applyFont="1" applyBorder="1" applyAlignment="1">
      <alignment horizontal="center" wrapText="1"/>
    </xf>
    <xf numFmtId="0" fontId="21" fillId="0" borderId="4" xfId="0" applyFont="1" applyBorder="1" applyAlignment="1">
      <alignment horizontal="right" wrapText="1"/>
    </xf>
    <xf numFmtId="0" fontId="21" fillId="0" borderId="8" xfId="0" applyFont="1" applyBorder="1" applyAlignment="1">
      <alignment horizontal="right" wrapText="1"/>
    </xf>
    <xf numFmtId="0" fontId="7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right" wrapText="1"/>
    </xf>
    <xf numFmtId="0" fontId="7" fillId="0" borderId="8" xfId="0" applyFont="1" applyBorder="1" applyAlignment="1">
      <alignment horizontal="right" wrapText="1"/>
    </xf>
    <xf numFmtId="0" fontId="22" fillId="3" borderId="13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166" fontId="22" fillId="3" borderId="13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13" xfId="0" applyFont="1" applyBorder="1" applyAlignment="1">
      <alignment vertical="center" wrapText="1"/>
    </xf>
    <xf numFmtId="165" fontId="23" fillId="0" borderId="13" xfId="0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166" fontId="23" fillId="0" borderId="13" xfId="0" applyNumberFormat="1" applyFont="1" applyBorder="1" applyAlignment="1">
      <alignment horizontal="right"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166" fontId="23" fillId="0" borderId="0" xfId="0" applyNumberFormat="1" applyFont="1" applyAlignment="1">
      <alignment horizontal="left" vertical="center"/>
    </xf>
    <xf numFmtId="166" fontId="23" fillId="0" borderId="0" xfId="0" applyNumberFormat="1" applyFont="1" applyAlignment="1">
      <alignment vertical="center"/>
    </xf>
    <xf numFmtId="167" fontId="0" fillId="0" borderId="0" xfId="0" applyNumberFormat="1" applyAlignment="1">
      <alignment horizontal="right"/>
    </xf>
    <xf numFmtId="167" fontId="3" fillId="0" borderId="0" xfId="0" applyNumberFormat="1" applyFont="1" applyAlignment="1">
      <alignment horizontal="center" wrapText="1"/>
    </xf>
    <xf numFmtId="166" fontId="0" fillId="0" borderId="0" xfId="0" applyNumberFormat="1"/>
    <xf numFmtId="168" fontId="0" fillId="0" borderId="0" xfId="0" applyNumberFormat="1" applyAlignment="1">
      <alignment horizontal="right"/>
    </xf>
    <xf numFmtId="0" fontId="25" fillId="0" borderId="33" xfId="0" applyFont="1" applyBorder="1" applyAlignment="1" applyProtection="1">
      <alignment horizontal="left" wrapText="1"/>
      <protection locked="0"/>
    </xf>
    <xf numFmtId="165" fontId="25" fillId="0" borderId="34" xfId="0" applyNumberFormat="1" applyFont="1" applyBorder="1" applyAlignment="1" applyProtection="1">
      <alignment horizontal="center" wrapText="1"/>
      <protection locked="0"/>
    </xf>
    <xf numFmtId="165" fontId="25" fillId="0" borderId="0" xfId="0" applyNumberFormat="1" applyFont="1" applyAlignment="1" applyProtection="1">
      <alignment horizontal="center" wrapText="1"/>
      <protection locked="0"/>
    </xf>
    <xf numFmtId="166" fontId="25" fillId="0" borderId="39" xfId="0" applyNumberFormat="1" applyFont="1" applyBorder="1" applyAlignment="1" applyProtection="1">
      <alignment horizontal="right" wrapText="1"/>
      <protection locked="0"/>
    </xf>
    <xf numFmtId="166" fontId="25" fillId="0" borderId="34" xfId="0" applyNumberFormat="1" applyFont="1" applyBorder="1" applyAlignment="1" applyProtection="1">
      <alignment horizontal="right" wrapText="1"/>
      <protection locked="0"/>
    </xf>
    <xf numFmtId="166" fontId="25" fillId="0" borderId="39" xfId="0" applyNumberFormat="1" applyFont="1" applyBorder="1" applyAlignment="1" applyProtection="1">
      <alignment horizontal="center" wrapText="1"/>
      <protection locked="0"/>
    </xf>
    <xf numFmtId="1" fontId="25" fillId="0" borderId="0" xfId="0" applyNumberFormat="1" applyFont="1" applyAlignment="1" applyProtection="1">
      <alignment horizontal="right" wrapText="1"/>
      <protection locked="0"/>
    </xf>
    <xf numFmtId="1" fontId="25" fillId="0" borderId="39" xfId="0" applyNumberFormat="1" applyFont="1" applyBorder="1" applyAlignment="1" applyProtection="1">
      <alignment horizontal="right" wrapText="1"/>
      <protection locked="0"/>
    </xf>
    <xf numFmtId="0" fontId="25" fillId="0" borderId="34" xfId="0" applyFont="1" applyBorder="1" applyAlignment="1" applyProtection="1">
      <alignment horizontal="left" wrapText="1"/>
      <protection locked="0"/>
    </xf>
    <xf numFmtId="0" fontId="25" fillId="0" borderId="34" xfId="0" applyFont="1" applyBorder="1" applyAlignment="1" applyProtection="1">
      <alignment horizontal="center" wrapText="1"/>
      <protection locked="0"/>
    </xf>
    <xf numFmtId="0" fontId="25" fillId="0" borderId="34" xfId="0" applyFont="1" applyBorder="1" applyAlignment="1" applyProtection="1">
      <alignment horizontal="right" wrapText="1"/>
      <protection locked="0"/>
    </xf>
    <xf numFmtId="0" fontId="25" fillId="0" borderId="35" xfId="0" applyFont="1" applyBorder="1" applyAlignment="1" applyProtection="1">
      <alignment horizontal="right" wrapText="1"/>
      <protection locked="0"/>
    </xf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wrapText="1"/>
    </xf>
    <xf numFmtId="0" fontId="25" fillId="0" borderId="12" xfId="0" applyFont="1" applyBorder="1" applyAlignment="1">
      <alignment horizontal="left" wrapText="1"/>
    </xf>
    <xf numFmtId="165" fontId="25" fillId="0" borderId="13" xfId="0" applyNumberFormat="1" applyFont="1" applyBorder="1" applyAlignment="1">
      <alignment horizontal="center" wrapText="1"/>
    </xf>
    <xf numFmtId="166" fontId="25" fillId="0" borderId="13" xfId="0" applyNumberFormat="1" applyFont="1" applyBorder="1" applyAlignment="1">
      <alignment horizontal="right" wrapText="1"/>
    </xf>
    <xf numFmtId="166" fontId="25" fillId="0" borderId="13" xfId="0" applyNumberFormat="1" applyFont="1" applyBorder="1" applyAlignment="1">
      <alignment horizontal="center" wrapText="1"/>
    </xf>
    <xf numFmtId="1" fontId="25" fillId="0" borderId="13" xfId="0" applyNumberFormat="1" applyFont="1" applyBorder="1" applyAlignment="1">
      <alignment horizontal="right" wrapText="1"/>
    </xf>
    <xf numFmtId="0" fontId="25" fillId="0" borderId="13" xfId="0" applyFont="1" applyBorder="1" applyAlignment="1">
      <alignment horizontal="left" wrapText="1"/>
    </xf>
    <xf numFmtId="0" fontId="25" fillId="0" borderId="13" xfId="0" applyFont="1" applyBorder="1" applyAlignment="1">
      <alignment horizontal="center" wrapText="1"/>
    </xf>
    <xf numFmtId="0" fontId="25" fillId="0" borderId="13" xfId="0" applyFont="1" applyBorder="1" applyAlignment="1">
      <alignment horizontal="right" wrapText="1"/>
    </xf>
    <xf numFmtId="0" fontId="25" fillId="0" borderId="16" xfId="0" applyFont="1" applyBorder="1" applyAlignment="1">
      <alignment horizontal="right" wrapText="1"/>
    </xf>
    <xf numFmtId="0" fontId="25" fillId="0" borderId="33" xfId="0" applyFont="1" applyBorder="1" applyAlignment="1">
      <alignment horizontal="left" wrapText="1"/>
    </xf>
    <xf numFmtId="165" fontId="25" fillId="0" borderId="34" xfId="0" applyNumberFormat="1" applyFont="1" applyBorder="1" applyAlignment="1">
      <alignment horizontal="center" wrapText="1"/>
    </xf>
    <xf numFmtId="166" fontId="25" fillId="0" borderId="34" xfId="0" applyNumberFormat="1" applyFont="1" applyBorder="1" applyAlignment="1">
      <alignment horizontal="right" wrapText="1"/>
    </xf>
    <xf numFmtId="166" fontId="25" fillId="0" borderId="34" xfId="0" applyNumberFormat="1" applyFont="1" applyBorder="1" applyAlignment="1">
      <alignment horizontal="center" wrapText="1"/>
    </xf>
    <xf numFmtId="1" fontId="25" fillId="0" borderId="34" xfId="0" applyNumberFormat="1" applyFont="1" applyBorder="1" applyAlignment="1">
      <alignment horizontal="right" wrapText="1"/>
    </xf>
    <xf numFmtId="0" fontId="25" fillId="0" borderId="34" xfId="0" applyFont="1" applyBorder="1" applyAlignment="1">
      <alignment horizontal="left" wrapText="1"/>
    </xf>
    <xf numFmtId="0" fontId="25" fillId="0" borderId="34" xfId="0" applyFont="1" applyBorder="1" applyAlignment="1">
      <alignment horizontal="center" wrapText="1"/>
    </xf>
    <xf numFmtId="0" fontId="25" fillId="0" borderId="35" xfId="0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25" fillId="0" borderId="3" xfId="0" applyFont="1" applyBorder="1" applyAlignment="1">
      <alignment horizontal="left" wrapText="1"/>
    </xf>
    <xf numFmtId="165" fontId="25" fillId="0" borderId="4" xfId="0" applyNumberFormat="1" applyFont="1" applyBorder="1" applyAlignment="1">
      <alignment horizontal="center" wrapText="1"/>
    </xf>
    <xf numFmtId="166" fontId="25" fillId="0" borderId="4" xfId="0" applyNumberFormat="1" applyFont="1" applyBorder="1" applyAlignment="1">
      <alignment horizontal="right" wrapText="1"/>
    </xf>
    <xf numFmtId="166" fontId="25" fillId="0" borderId="4" xfId="0" applyNumberFormat="1" applyFont="1" applyBorder="1" applyAlignment="1">
      <alignment horizontal="center" wrapText="1"/>
    </xf>
    <xf numFmtId="1" fontId="25" fillId="0" borderId="4" xfId="0" applyNumberFormat="1" applyFont="1" applyBorder="1" applyAlignment="1">
      <alignment horizontal="right" wrapText="1"/>
    </xf>
    <xf numFmtId="0" fontId="25" fillId="0" borderId="4" xfId="0" applyFont="1" applyBorder="1" applyAlignment="1">
      <alignment horizontal="left" wrapText="1"/>
    </xf>
    <xf numFmtId="0" fontId="25" fillId="0" borderId="4" xfId="0" applyFont="1" applyBorder="1" applyAlignment="1">
      <alignment horizontal="center" wrapText="1"/>
    </xf>
    <xf numFmtId="0" fontId="25" fillId="0" borderId="4" xfId="0" applyFont="1" applyBorder="1" applyAlignment="1">
      <alignment horizontal="right" wrapText="1"/>
    </xf>
    <xf numFmtId="0" fontId="25" fillId="0" borderId="8" xfId="0" applyFont="1" applyBorder="1" applyAlignment="1">
      <alignment horizontal="right" wrapText="1"/>
    </xf>
    <xf numFmtId="166" fontId="3" fillId="0" borderId="0" xfId="0" applyNumberFormat="1" applyFont="1"/>
    <xf numFmtId="0" fontId="0" fillId="0" borderId="0" xfId="0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1" fontId="26" fillId="0" borderId="0" xfId="0" applyNumberFormat="1" applyFont="1" applyAlignment="1">
      <alignment horizontal="center" vertical="center" wrapText="1"/>
    </xf>
    <xf numFmtId="166" fontId="28" fillId="0" borderId="0" xfId="0" applyNumberFormat="1" applyFont="1"/>
    <xf numFmtId="0" fontId="0" fillId="4" borderId="0" xfId="0" applyFill="1"/>
    <xf numFmtId="167" fontId="0" fillId="4" borderId="0" xfId="0" applyNumberFormat="1" applyFill="1"/>
    <xf numFmtId="168" fontId="0" fillId="4" borderId="0" xfId="0" applyNumberFormat="1" applyFill="1"/>
    <xf numFmtId="0" fontId="3" fillId="0" borderId="0" xfId="0" applyFont="1" applyAlignment="1">
      <alignment horizontal="right"/>
    </xf>
    <xf numFmtId="166" fontId="5" fillId="0" borderId="0" xfId="0" applyNumberFormat="1" applyFont="1" applyAlignment="1">
      <alignment wrapText="1"/>
    </xf>
    <xf numFmtId="166" fontId="1" fillId="0" borderId="0" xfId="0" applyNumberFormat="1" applyFont="1" applyAlignment="1">
      <alignment wrapText="1"/>
    </xf>
    <xf numFmtId="166" fontId="7" fillId="0" borderId="0" xfId="0" applyNumberFormat="1" applyFont="1" applyAlignment="1">
      <alignment wrapText="1"/>
    </xf>
    <xf numFmtId="0" fontId="24" fillId="0" borderId="0" xfId="0" applyFont="1" applyAlignment="1">
      <alignment horizontal="center" vertical="center"/>
    </xf>
    <xf numFmtId="0" fontId="15" fillId="0" borderId="0" xfId="1" applyAlignment="1" applyProtection="1">
      <alignment horizontal="center" wrapText="1"/>
      <protection locked="0"/>
    </xf>
    <xf numFmtId="0" fontId="4" fillId="2" borderId="23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right" vertical="center" wrapText="1"/>
      <protection locked="0"/>
    </xf>
    <xf numFmtId="0" fontId="8" fillId="0" borderId="32" xfId="0" applyFont="1" applyBorder="1" applyAlignment="1" applyProtection="1">
      <alignment horizontal="right" vertical="center" wrapText="1"/>
      <protection locked="0"/>
    </xf>
    <xf numFmtId="0" fontId="8" fillId="0" borderId="36" xfId="0" applyFont="1" applyBorder="1" applyAlignment="1" applyProtection="1">
      <alignment horizontal="right" vertical="center" wrapText="1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18" xfId="0" applyFont="1" applyFill="1" applyBorder="1" applyAlignment="1" applyProtection="1">
      <alignment horizontal="center" vertical="center" wrapText="1"/>
      <protection locked="0"/>
    </xf>
    <xf numFmtId="0" fontId="4" fillId="2" borderId="24" xfId="0" applyFont="1" applyFill="1" applyBorder="1" applyAlignment="1" applyProtection="1">
      <alignment horizontal="center" vertical="center" wrapText="1"/>
      <protection locked="0"/>
    </xf>
    <xf numFmtId="0" fontId="4" fillId="2" borderId="23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right" vertical="center" wrapText="1"/>
    </xf>
    <xf numFmtId="0" fontId="8" fillId="0" borderId="25" xfId="0" applyFont="1" applyBorder="1" applyAlignment="1">
      <alignment horizontal="right" vertical="center" wrapText="1"/>
    </xf>
    <xf numFmtId="0" fontId="15" fillId="0" borderId="0" xfId="1" applyAlignment="1">
      <alignment horizont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3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</dxf>
    <dxf>
      <border outline="0">
        <left style="double">
          <color auto="1"/>
        </left>
        <right style="double">
          <color auto="1"/>
        </right>
        <top style="thin">
          <color auto="1"/>
        </top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fill>
        <patternFill patternType="solid">
          <fgColor indexed="64"/>
          <bgColor rgb="FFD1E9F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double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 style="double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left style="double">
          <color auto="1"/>
        </left>
        <right style="double">
          <color auto="1"/>
        </right>
        <top style="thin">
          <color auto="1"/>
        </top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fill>
        <patternFill patternType="solid">
          <fgColor indexed="64"/>
          <bgColor rgb="FFD1E9F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double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 style="double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left style="double">
          <color auto="1"/>
        </left>
        <right style="double">
          <color auto="1"/>
        </right>
        <top style="thin">
          <color auto="1"/>
        </top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9" formatCode="\$#,##0.00"/>
      <alignment horizontal="right" vertical="bottom" textRotation="0" wrapText="1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fill>
        <patternFill patternType="solid">
          <fgColor indexed="64"/>
          <bgColor rgb="FFD1E9F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double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left" vertical="bottom" textRotation="0" wrapText="1" indent="0" justifyLastLine="0" shrinkToFit="0" readingOrder="0"/>
      <border diagonalUp="0" diagonalDown="0">
        <left style="double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left style="double">
          <color auto="1"/>
        </left>
        <right style="double">
          <color auto="1"/>
        </right>
        <top style="thin">
          <color auto="1"/>
        </top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fill>
        <patternFill patternType="solid">
          <fgColor indexed="64"/>
          <bgColor rgb="FFD1E9F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double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 style="double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left style="double">
          <color auto="1"/>
        </left>
        <right style="double">
          <color auto="1"/>
        </right>
        <top style="thin">
          <color auto="1"/>
        </top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9" formatCode="\$#,##0.00"/>
      <alignment horizontal="right" vertical="bottom" textRotation="0" wrapText="1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fill>
        <patternFill patternType="solid">
          <fgColor indexed="64"/>
          <bgColor rgb="FFD1E9F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double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 style="double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left style="double">
          <color auto="1"/>
        </left>
        <right style="double">
          <color auto="1"/>
        </right>
        <top style="thin">
          <color auto="1"/>
        </top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9" formatCode="\$#,##0.00"/>
      <alignment horizontal="right" vertical="bottom" textRotation="0" wrapText="1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fill>
        <patternFill patternType="solid">
          <fgColor indexed="64"/>
          <bgColor rgb="FFD1E9F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left" vertical="bottom" textRotation="0" wrapText="1" indent="0" justifyLastLine="0" shrinkToFit="0" readingOrder="0"/>
    </dxf>
    <dxf>
      <border outline="0">
        <left style="double">
          <color auto="1"/>
        </left>
        <right style="double">
          <color auto="1"/>
        </right>
        <top style="thin">
          <color auto="1"/>
        </top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fill>
        <patternFill patternType="solid">
          <fgColor indexed="64"/>
          <bgColor rgb="FFD1E9F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double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left" vertical="bottom" textRotation="0" wrapText="1" indent="0" justifyLastLine="0" shrinkToFit="0" readingOrder="0"/>
      <border diagonalUp="0" diagonalDown="0">
        <left style="double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left style="double">
          <color auto="1"/>
        </left>
        <right style="double">
          <color auto="1"/>
        </right>
        <top style="thin">
          <color auto="1"/>
        </top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</dxf>
    <dxf>
      <border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fill>
        <patternFill patternType="solid">
          <fgColor indexed="64"/>
          <bgColor rgb="FFD1E9F4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left" vertical="bottom" textRotation="0" wrapText="1" indent="0" justifyLastLine="0" shrinkToFit="0" readingOrder="0"/>
    </dxf>
    <dxf>
      <border outline="0">
        <left style="double">
          <color auto="1"/>
        </left>
        <right style="double">
          <color auto="1"/>
        </right>
        <top style="thin">
          <color auto="1"/>
        </top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9" formatCode="\$#,##0.00"/>
      <alignment horizontal="right" vertical="bottom" textRotation="0" wrapText="1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fill>
        <patternFill patternType="solid">
          <fgColor indexed="64"/>
          <bgColor rgb="FFD1E9F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</dxf>
    <dxf>
      <border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left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double">
          <color auto="1"/>
        </left>
        <right style="double">
          <color auto="1"/>
        </right>
        <top style="thin">
          <color auto="1"/>
        </top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</dxf>
    <dxf>
      <border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fill>
        <patternFill patternType="solid">
          <fgColor indexed="64"/>
          <bgColor rgb="FFD1E9F4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double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>
        <left style="double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left style="double">
          <color auto="1"/>
        </left>
        <right style="double">
          <color auto="1"/>
        </right>
        <top style="thin">
          <color auto="1"/>
        </top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fill>
        <patternFill patternType="solid">
          <fgColor indexed="64"/>
          <bgColor rgb="FFD1E9F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center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protection locked="0" hidden="0"/>
    </dxf>
    <dxf>
      <border outline="0">
        <left style="double">
          <color auto="1"/>
        </left>
        <right style="double">
          <color auto="1"/>
        </right>
        <top style="thin">
          <color auto="1"/>
        </top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protection locked="0" hidden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fill>
        <patternFill patternType="solid">
          <fgColor indexed="64"/>
          <bgColor rgb="FFD1E9F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double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 style="double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border outline="0">
        <left style="double">
          <color auto="1"/>
        </left>
        <right style="double">
          <color auto="1"/>
        </right>
        <top style="thin">
          <color auto="1"/>
        </top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protection locked="0" hidden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fill>
        <patternFill patternType="solid">
          <fgColor indexed="64"/>
          <bgColor rgb="FFD1E9F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>
        <left style="thin">
          <color auto="1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>
        <left style="thin">
          <color auto="1"/>
        </left>
        <right style="thin">
          <color auto="1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>
        <right style="thin">
          <color auto="1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right" vertical="bottom" textRotation="0" wrapText="1" indent="0" justifyLastLine="0" shrinkToFit="0" readingOrder="0"/>
      <border>
        <left style="thin">
          <color auto="1"/>
        </left>
        <right style="thin">
          <color auto="1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>
        <left style="thin">
          <color auto="1"/>
        </left>
        <right style="thin">
          <color auto="1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>
        <left style="thin">
          <color auto="1"/>
        </left>
        <right style="thin">
          <color auto="1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1" indent="0" justifyLastLine="0" shrinkToFit="0" readingOrder="0"/>
      <border>
        <left style="thin">
          <color auto="1"/>
        </left>
        <right style="thin">
          <color auto="1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>
        <left style="thin">
          <color auto="1"/>
        </left>
        <right style="thin">
          <color auto="1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>
        <left style="thin">
          <color auto="1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>
        <left style="thin">
          <color auto="1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border>
        <left style="thin">
          <color auto="1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center" vertical="bottom" textRotation="0" wrapText="1" indent="0" justifyLastLine="0" shrinkToFit="0" readingOrder="0"/>
      <border>
        <left style="thin">
          <color auto="1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>
        <left style="thin">
          <color auto="1"/>
        </left>
        <right style="thin">
          <color auto="1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border>
        <left style="thin">
          <color auto="1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"/>
      <alignment horizontal="center" vertical="bottom" textRotation="0" wrapText="1" indent="0" justifyLastLine="0" shrinkToFit="0" readingOrder="0"/>
      <border>
        <left style="thin">
          <color auto="1"/>
        </left>
        <right style="thin">
          <color auto="1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left" vertical="bottom" textRotation="0" wrapText="1" indent="0" justifyLastLine="0" shrinkToFit="0" readingOrder="0"/>
      <border>
        <right style="thin">
          <color auto="1"/>
        </right>
      </border>
      <protection locked="0" hidden="0"/>
    </dxf>
    <dxf>
      <border outline="0">
        <left style="double">
          <color auto="1"/>
        </left>
        <right style="double">
          <color auto="1"/>
        </right>
        <top style="thin">
          <color auto="1"/>
        </top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1" indent="0" justifyLastLine="0" shrinkToFit="0" readingOrder="0"/>
      <protection locked="0" hidden="0"/>
    </dxf>
    <dxf>
      <border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fill>
        <patternFill patternType="solid">
          <fgColor indexed="64"/>
          <bgColor rgb="FFD1E9F4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theme="2"/>
          <bgColor theme="8" tint="0.79995117038483843"/>
        </patternFill>
      </fill>
    </dxf>
    <dxf>
      <font>
        <b/>
        <color theme="1"/>
      </font>
      <fill>
        <patternFill>
          <fgColor theme="2"/>
          <bgColor theme="2"/>
        </patternFill>
      </fill>
      <border>
        <top style="double">
          <color theme="8"/>
        </top>
      </border>
    </dxf>
    <dxf>
      <font>
        <b/>
        <color theme="0"/>
      </font>
      <fill>
        <patternFill patternType="solid">
          <fgColor theme="2"/>
          <bgColor theme="2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rgb="FFD1E9F4"/>
        </patternFill>
      </fill>
    </dxf>
    <dxf>
      <fill>
        <patternFill>
          <bgColor rgb="FFD1E9F4"/>
        </patternFill>
      </fill>
    </dxf>
    <dxf>
      <border>
        <left style="double">
          <color auto="1"/>
        </left>
        <right style="double">
          <color auto="1"/>
        </right>
        <top style="double">
          <color auto="1"/>
        </top>
        <vertical style="thin">
          <color auto="1"/>
        </vertical>
        <horizontal style="thin">
          <color auto="1"/>
        </horizontal>
      </border>
    </dxf>
    <dxf>
      <fill>
        <patternFill>
          <bgColor theme="2" tint="-9.9948118533890809E-2"/>
        </patternFill>
      </fill>
    </dxf>
    <dxf>
      <border>
        <left style="double">
          <color auto="1"/>
        </left>
        <right style="double">
          <color auto="1"/>
        </right>
        <top style="double">
          <color auto="1"/>
        </top>
        <vertical style="thin">
          <color auto="1"/>
        </vertical>
        <horizontal style="thin">
          <color auto="1"/>
        </horizontal>
      </border>
    </dxf>
  </dxfs>
  <tableStyles count="4" defaultTableStyle="TableStyleMedium2" defaultPivotStyle="PivotStyleLight16">
    <tableStyle name="LCP Style" pivot="0" count="2" xr9:uid="{00000000-0011-0000-FFFF-FFFF00000000}">
      <tableStyleElement type="wholeTable" dxfId="361"/>
      <tableStyleElement type="secondRowStripe" dxfId="360"/>
    </tableStyle>
    <tableStyle name="LCP Tables" pivot="0" count="3" xr9:uid="{00000000-0011-0000-FFFF-FFFF01000000}">
      <tableStyleElement type="wholeTable" dxfId="359"/>
      <tableStyleElement type="headerRow" dxfId="358"/>
      <tableStyleElement type="secondRowStripe" dxfId="357"/>
    </tableStyle>
    <tableStyle name="MyTables" pivot="0" count="3" xr9:uid="{00000000-0011-0000-FFFF-FFFF02000000}">
      <tableStyleElement type="wholeTable" dxfId="356"/>
      <tableStyleElement type="headerRow" dxfId="355"/>
      <tableStyleElement type="secondRowStripe" dxfId="354"/>
    </tableStyle>
    <tableStyle name="MyTableStyle" pivot="0" count="6" xr9:uid="{00000000-0011-0000-FFFF-FFFF03000000}">
      <tableStyleElement type="wholeTable" dxfId="353"/>
      <tableStyleElement type="headerRow" dxfId="352"/>
      <tableStyleElement type="totalRow" dxfId="351"/>
      <tableStyleElement type="firstRowStripe" dxfId="350"/>
      <tableStyleElement type="firstColumnStripe" dxfId="349"/>
      <tableStyleElement type="secondColumnStripe" dxfId="348"/>
    </tableStyle>
  </tableStyles>
  <colors>
    <mruColors>
      <color rgb="FFD9D9D9"/>
      <color rgb="FFEAEAEA"/>
      <color rgb="FFC1D9F1"/>
      <color rgb="FFB4D1EE"/>
      <color rgb="FFA1C6EA"/>
      <color rgb="FFD1E9F4"/>
      <color rgb="FFD9E2F3"/>
      <color rgb="FFD2FFFF"/>
      <color rgb="FFFFFFC8"/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33FBA84-328B-4D15-BC05-D82FC4C2F1B3}" name="Table16" displayName="Table16" ref="U3:V7" totalsRowShown="0" headerRowDxfId="347" dataDxfId="346">
  <autoFilter ref="U3:V7" xr:uid="{633FBA84-328B-4D15-BC05-D82FC4C2F1B3}"/>
  <tableColumns count="2">
    <tableColumn id="1" xr3:uid="{7EAAC2A8-5BD9-4892-BB53-BC2AAFEC5DB7}" name="Column1" dataDxfId="345"/>
    <tableColumn id="2" xr3:uid="{68967C53-7A28-4FAA-B284-1EF82C15DE2A}" name="Column2" dataDxfId="344"/>
  </tableColumns>
  <tableStyleInfo name="LCP Table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3000000}" name="Table14" displayName="Table14" ref="A2:S25" totalsRowShown="0" headerRowDxfId="343" dataDxfId="341" headerRowBorderDxfId="342" tableBorderDxfId="340">
  <autoFilter ref="A2:S25" xr:uid="{00000000-0009-0000-0100-00000E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00000000-0010-0000-0300-000001000000}" name="Description:" dataDxfId="339"/>
    <tableColumn id="2" xr3:uid="{00000000-0010-0000-0300-000002000000}" name="Age Initiated:" dataDxfId="338">
      <calculatedColumnFormula>'Master Data'!$B$6</calculatedColumnFormula>
    </tableColumn>
    <tableColumn id="3" xr3:uid="{00000000-0010-0000-0300-000003000000}" name="Through Age:" dataDxfId="337">
      <calculatedColumnFormula>'Master Data'!$B$7</calculatedColumnFormula>
    </tableColumn>
    <tableColumn id="4" xr3:uid="{00000000-0010-0000-0300-000004000000}" name="Duration (Years):" dataDxfId="336">
      <calculatedColumnFormula>ROUND(C4-B4,1)</calculatedColumnFormula>
    </tableColumn>
    <tableColumn id="5" xr3:uid="{00000000-0010-0000-0300-000005000000}" name="Min Cost of Visit:" dataDxfId="335">
      <calculatedColumnFormula array="1">IF(
  $A3="Single Lung Transplant",
  _xlfn.XLOOKUP(1,'Cost Data Sheet'!$A$2:$A$1003,'Cost Data Sheet'!$F$2:$F$1003),
  IF(
    $A3="Double Lung Transplant",
    _xlfn.XLOOKUP(2,'Cost Data Sheet'!$A$2:$A$1003,'Cost Data Sheet'!$F$2:$F$1003),
    SUMPRODUCT(
      ('Service to CPT Map'!$A$2:$A$1017=$A3)*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Francisco","Texas"},0),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Map'!$A$2:$A$1017,$A3,
        'Service to CPT Map'!$B$2:$B$1017,"Low",
        'Service to CPT Map'!$D$2:$D$1017,"Anesthesia"
      )&gt;0,
      SUMPRODUCT(
        ('Service to CPT Map'!$A$2:$A$1017=$A3)*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Francisco","Texas"},0),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Map'!$A$2:$A$1017=$A3)*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Francisco","Texas"},0),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Map'!$A$2:$A$1017=$A3)*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Francisco","Texas"},0),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Map'!$A$2:$A$1017=$A3)*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Francisco","Texas"},0),
              'Cost Data Sheet'!$B$2:$B$1003,
              'Cost Data Sheet'!$C$2:$C$1003,
              'Cost Data Sheet'!$D$2:$D$1003,
              'Cost Data Sheet'!$E$2:$E$1003
            )
          ),
          0
        )
      )
    )
  )
)</calculatedColumnFormula>
    </tableColumn>
    <tableColumn id="6" xr3:uid="{00000000-0010-0000-0300-000006000000}" name="Max Cost of Visit:" dataDxfId="334">
      <calculatedColumnFormula array="1">IF(
  OR($A3="Single Lung Transplant",$A3="Double Lung Transplant"),
  E3,
  SUMPRODUCT(
    ('Service to CPT Map'!$A$2:$A$1017=$A3)*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Francisco","Texas"},0),
          'Cost Data Sheet'!$B$2:$B$1003,
          'Cost Data Sheet'!$C$2:$C$1003,
          'Cost Data Sheet'!$D$2:$D$1003,
          'Cost Data Sheet'!$E$2:$E$1003
        )
      ),
      0
    )
  )
  +
  IF(
    COUNTIFS(
      'Service to CPT Map'!$A$2:$A$1017,$A3,
      'Service to CPT Map'!$B$2:$B$1017,"High",
      'Service to CPT Map'!$D$2:$D$1017,"Anesthesia"
    )&gt;0,
    SUMPRODUCT(
      ('Service to CPT Map'!$A$2:$A$1017=$A3)*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Francisco","Texas"},0),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Map'!$A$2:$A$1017=$A3)*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Francisco","Texas"},0),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Map'!$A$2:$A$1017=$A3)*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Francisco","Texas"},0),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Map'!$A$2:$A$1017=$A3)*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Francisco","Texas"},0),
            'Cost Data Sheet'!$B$2:$B$1003,
            'Cost Data Sheet'!$C$2:$C$1003,
            'Cost Data Sheet'!$D$2:$D$1003,
            'Cost Data Sheet'!$E$2:$E$1003
          )
        ),
        0
      )
    )
  )
)</calculatedColumnFormula>
    </tableColumn>
    <tableColumn id="7" xr3:uid="{00000000-0010-0000-0300-000007000000}" name="Cost:" dataDxfId="333">
      <calculatedColumnFormula>IF(E3&lt;F3,CONCATENATE(TEXT(E3,"$#,##0.00"),CHAR(10)," - ",CHAR(10),TEXT(F3,"$#,##0.00")),TEXT(E3,"$#,##0.00"))</calculatedColumnFormula>
    </tableColumn>
    <tableColumn id="8" xr3:uid="{00000000-0010-0000-0300-000008000000}" name="Freq Min:" dataDxfId="332"/>
    <tableColumn id="9" xr3:uid="{00000000-0010-0000-0300-000009000000}" name="Freq Max:" dataDxfId="331"/>
    <tableColumn id="10" xr3:uid="{00000000-0010-0000-0300-00000A000000}" name="Time Period Min:" dataDxfId="330"/>
    <tableColumn id="11" xr3:uid="{00000000-0010-0000-0300-00000B000000}" name="Time Period Max:" dataDxfId="329"/>
    <tableColumn id="12" xr3:uid="{00000000-0010-0000-0300-00000C000000}" name="Time Value:" dataDxfId="328">
      <calculatedColumnFormula>IF(LEN(K3)=0,IF(LEN(J3)=0,"lifetime",IF(J3=1,"year","years")),"years")</calculatedColumnFormula>
    </tableColumn>
    <tableColumn id="13" xr3:uid="{00000000-0010-0000-0300-00000D000000}" name="Frequency:" dataDxfId="327">
      <calculatedColumnFormula>IF(L3="lifetime",
    IF(I3&lt;&gt;"", H3 &amp; "-" &amp; I3 &amp; "x/lifetime", H3 &amp; "x/lifetime"),
    IF(D3='Master Data'!$B$8, AD3 &amp; AE3, AD3 &amp; AE3 &amp; AC3))</calculatedColumnFormula>
    </tableColumn>
    <tableColumn id="14" xr3:uid="{00000000-0010-0000-0300-00000E000000}" name="Annual Cost Min:" dataDxfId="326">
      <calculatedColumnFormula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calculatedColumnFormula>
    </tableColumn>
    <tableColumn id="15" xr3:uid="{00000000-0010-0000-0300-00000F000000}" name="Annual Cost Max:" dataDxfId="325">
      <calculatedColumnFormula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calculatedColumnFormula>
    </tableColumn>
    <tableColumn id="16" xr3:uid="{00000000-0010-0000-0300-000010000000}" name="Annual Cost:" dataDxfId="324">
      <calculatedColumnFormula>IF(N3&lt;O3,CONCATENATE(TEXT(N3,"$#,###.00"),CHAR(10)," - ",CHAR(10),TEXT(O3,"$#,####.00")),TEXT(N3,"$0.00"))</calculatedColumnFormula>
    </tableColumn>
    <tableColumn id="17" xr3:uid="{00000000-0010-0000-0300-000011000000}" name="One-Time Cost Min:" dataDxfId="323">
      <calculatedColumnFormula>ROUND(IF(TimeValue="lifetime",MinCost*MinFreq,0),2)</calculatedColumnFormula>
    </tableColumn>
    <tableColumn id="18" xr3:uid="{00000000-0010-0000-0300-000012000000}" name="One-Time Cost Max:" dataDxfId="322">
      <calculatedColumnFormula>ROUND(IF(AND(TimeValue="lifetime",MaxFreq&lt;1),MinFreq*MaxCost,IF(AND(TimeValue="lifetime",MaxFreq&gt;=1),MaxFreq*MaxCost,0)),2)</calculatedColumnFormula>
    </tableColumn>
    <tableColumn id="19" xr3:uid="{00000000-0010-0000-0300-000013000000}" name="One-Time Cost:" dataDxfId="321">
      <calculatedColumnFormula>IF(Q3&lt;R3,CONCATENATE(TEXT(Q3,"$#,##0.00"),CHAR(10)," - ",CHAR(10),TEXT(R3,"$#,##0.00")),TEXT(Q3,"$#,##0.00"))</calculatedColumnFormula>
    </tableColumn>
  </tableColumns>
  <tableStyleInfo name="LCP Tables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Table6" displayName="Table6" ref="A2:S15" totalsRowShown="0" headerRowDxfId="320" dataDxfId="318" headerRowBorderDxfId="319" tableBorderDxfId="317">
  <tableColumns count="19">
    <tableColumn id="1" xr3:uid="{00000000-0010-0000-0900-000001000000}" name="Description:" dataDxfId="316"/>
    <tableColumn id="2" xr3:uid="{00000000-0010-0000-0900-000002000000}" name="Age Initiated:" dataDxfId="315">
      <calculatedColumnFormula>'Master Data'!$B$6</calculatedColumnFormula>
    </tableColumn>
    <tableColumn id="3" xr3:uid="{00000000-0010-0000-0900-000003000000}" name="Through Age:" dataDxfId="314">
      <calculatedColumnFormula>'Master Data'!$B$7</calculatedColumnFormula>
    </tableColumn>
    <tableColumn id="4" xr3:uid="{00000000-0010-0000-0900-000004000000}" name="Duration (Years):" dataDxfId="313">
      <calculatedColumnFormula>ROUND(C3-B3,1)</calculatedColumnFormula>
    </tableColumn>
    <tableColumn id="5" xr3:uid="{00000000-0010-0000-0900-000005000000}" name="Min Cost of Visit:" dataDxfId="312">
      <calculatedColumnFormula array="1">IF(
  $A3="Single Lung Transplant",
  _xlfn.XLOOKUP(1,'Cost Data Sheet'!$A$2:$A$1006,'Cost Data Sheet'!$F$2:$F$1006),
  IF(
    $A3="Double Lung Transplant",
    _xlfn.XLOOKUP(2,'Cost Data Sheet'!$A$2:$A$1006,'Cost Data Sheet'!$F$2:$F$1006),
    SUMPRODUCT(
      ('Service to CPT Map'!$A$2:$A$1017=$A3) *
      ('Service to CPT Map'!$B$2:$B$1017="Low") *
      _xlfn.XLOOKUP(
        'Service to CPT Map'!$C$2:$C$1017,
        'Cost Data Sheet'!$A$2:$A$1006,
        'Cost Data Sheet'!$B$2:$B$1006,
        0
      )
    )
  )
)</calculatedColumnFormula>
    </tableColumn>
    <tableColumn id="6" xr3:uid="{00000000-0010-0000-0900-000006000000}" name="Max Cost of Visit:" dataDxfId="311">
      <calculatedColumnFormula array="1">IF(
  OR($A3="Single Lung Transplant",$A3="Double Lung Transplant"),
  E3,
  SUMPRODUCT(
    ('Service to CPT Map'!$A$2:$A$1017=$A3)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Map'!$A$2:$A$1017=$A3)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Map'!$A$2:$A$1017=$A3)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calculatedColumnFormula>
    </tableColumn>
    <tableColumn id="7" xr3:uid="{00000000-0010-0000-0900-000007000000}" name="Cost:" dataDxfId="310">
      <calculatedColumnFormula>IF(E3&lt;F3,CONCATENATE(TEXT(E3,"$#,##0.00"),CHAR(10)," - ",CHAR(10),TEXT(F3,"$#,##0.00")),TEXT(E3,"$#,##0.00"))</calculatedColumnFormula>
    </tableColumn>
    <tableColumn id="8" xr3:uid="{00000000-0010-0000-0900-000008000000}" name="Freq Min:" dataDxfId="309"/>
    <tableColumn id="9" xr3:uid="{00000000-0010-0000-0900-000009000000}" name="Freq Max:" dataDxfId="308"/>
    <tableColumn id="10" xr3:uid="{00000000-0010-0000-0900-00000A000000}" name="Time Period Min:" dataDxfId="307"/>
    <tableColumn id="11" xr3:uid="{00000000-0010-0000-0900-00000B000000}" name="Time Period Max:" dataDxfId="306"/>
    <tableColumn id="12" xr3:uid="{00000000-0010-0000-0900-00000C000000}" name="Time Value:" dataDxfId="305">
      <calculatedColumnFormula>IF(LEN(K3)=0,IF(LEN(J3)=0,"lifetime",IF(J3=1,"year","years")),"years")</calculatedColumnFormula>
    </tableColumn>
    <tableColumn id="13" xr3:uid="{00000000-0010-0000-0900-00000D000000}" name="Frequency:" dataDxfId="304">
      <calculatedColumnFormula>IF(L3="lifetime",
    IF(I3&lt;&gt;"", H3 &amp; "-" &amp; I3 &amp; "x/lifetime", H3 &amp; "x/lifetime"),
    IF(D3='Master Data'!$B$8, AD3 &amp; AE3, AD3 &amp; AE3 &amp; AC3))</calculatedColumnFormula>
    </tableColumn>
    <tableColumn id="14" xr3:uid="{00000000-0010-0000-0900-00000E000000}" name="Annual Cost Min:" dataDxfId="303">
      <calculatedColumnFormula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calculatedColumnFormula>
    </tableColumn>
    <tableColumn id="15" xr3:uid="{00000000-0010-0000-0900-00000F000000}" name="Annual Cost Max:" dataDxfId="302">
      <calculatedColumnFormula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calculatedColumnFormula>
    </tableColumn>
    <tableColumn id="16" xr3:uid="{00000000-0010-0000-0900-000010000000}" name="Annual Cost:" dataDxfId="301">
      <calculatedColumnFormula>IF(N3&lt;O3,CONCATENATE(TEXT(N3,"$#,##0.00"),CHAR(10)," - ",CHAR(10),TEXT(O3,"$#,##0.00")),TEXT(N3,"$0.00"))</calculatedColumnFormula>
    </tableColumn>
    <tableColumn id="17" xr3:uid="{00000000-0010-0000-0900-000011000000}" name="One-Time Cost Min:" dataDxfId="300">
      <calculatedColumnFormula>ROUND(IF(TimeValue="lifetime",MinCost*MinFreq,0),2)</calculatedColumnFormula>
    </tableColumn>
    <tableColumn id="18" xr3:uid="{00000000-0010-0000-0900-000012000000}" name="One-Time Cost Max:" dataDxfId="299">
      <calculatedColumnFormula>ROUND(IF(AND(TimeValue="lifetime",MaxFreq&lt;1),MinFreq*MaxCost,IF(AND(TimeValue="lifetime",MaxFreq&gt;=1),MaxFreq*MaxCost,0)),2)</calculatedColumnFormula>
    </tableColumn>
    <tableColumn id="19" xr3:uid="{00000000-0010-0000-0900-000013000000}" name="One-Time Cost:" dataDxfId="298">
      <calculatedColumnFormula>IF(Q3&lt;R3,CONCATENATE(TEXT(Q3,"$#,##0.00"),CHAR(10)," - ",CHAR(10),TEXT(R3,"$#,##0.00")),TEXT(Q3,"$0.00"))</calculatedColumnFormula>
    </tableColumn>
  </tableColumns>
  <tableStyleInfo name="LCP Table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C000000}" name="Table9" displayName="Table9" ref="A2:S15" totalsRowShown="0" headerRowDxfId="297" dataDxfId="295" headerRowBorderDxfId="296" tableBorderDxfId="294">
  <autoFilter ref="A2:S15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00000000-0010-0000-0C00-000001000000}" name="Description:" dataDxfId="293"/>
    <tableColumn id="2" xr3:uid="{00000000-0010-0000-0C00-000002000000}" name="Age Initiated:" dataDxfId="292">
      <calculatedColumnFormula>'Master Data'!$B$6</calculatedColumnFormula>
    </tableColumn>
    <tableColumn id="3" xr3:uid="{00000000-0010-0000-0C00-000003000000}" name="Through Age:" dataDxfId="291">
      <calculatedColumnFormula>'Master Data'!$B$7</calculatedColumnFormula>
    </tableColumn>
    <tableColumn id="4" xr3:uid="{00000000-0010-0000-0C00-000004000000}" name="Duration (Years):" dataDxfId="290">
      <calculatedColumnFormula>ROUND(C3-B3,1)</calculatedColumnFormula>
    </tableColumn>
    <tableColumn id="5" xr3:uid="{00000000-0010-0000-0C00-000005000000}" name="Min Cost of Visit:" dataDxfId="289">
      <calculatedColumnFormula array="1">IF(
  $A3="Single Lung Transplant",
  _xlfn.XLOOKUP(1,'Cost Data Sheet'!$A$2:$A$1006,'Cost Data Sheet'!$F$2:$F$1006),
  IF(
    $A3="Double Lung Transplant",
    _xlfn.XLOOKUP(2,'Cost Data Sheet'!$A$2:$A$1006,'Cost Data Sheet'!$F$2:$F$1006),
    SUMPRODUCT(
      ('Service to CPT Map'!$A$2:$A$1017=$A3) *
      ('Service to CPT Map'!$B$2:$B$1017="Low") *
      _xlfn.XLOOKUP(
        'Service to CPT Map'!$C$2:$C$1017,
        'Cost Data Sheet'!$A$2:$A$1006,
        'Cost Data Sheet'!$B$2:$B$1006,
        0
      )
    )
  )
)</calculatedColumnFormula>
    </tableColumn>
    <tableColumn id="6" xr3:uid="{00000000-0010-0000-0C00-000006000000}" name="Max Cost of Visit:" dataDxfId="288">
      <calculatedColumnFormula array="1">IF(
  OR($A3="Single Lung Transplant",$A3="Double Lung Transplant"),
  E3,
  SUMPRODUCT(
    ('Service to CPT Map'!$A$2:$A$1017=$A3)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Map'!$A$2:$A$1017=$A3)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Map'!$A$2:$A$1017=$A3)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calculatedColumnFormula>
    </tableColumn>
    <tableColumn id="7" xr3:uid="{00000000-0010-0000-0C00-000007000000}" name="Cost:" dataDxfId="287">
      <calculatedColumnFormula>IF(E3&lt;F3,CONCATENATE(TEXT(E3,"$#,##0.00"),CHAR(10)," - ",CHAR(10),TEXT(F3,"$#,##0.00")),TEXT(E3,"$#,##0.00"))</calculatedColumnFormula>
    </tableColumn>
    <tableColumn id="8" xr3:uid="{00000000-0010-0000-0C00-000008000000}" name="Freq Min:" dataDxfId="286"/>
    <tableColumn id="9" xr3:uid="{00000000-0010-0000-0C00-000009000000}" name="Freq Max:" dataDxfId="285"/>
    <tableColumn id="10" xr3:uid="{00000000-0010-0000-0C00-00000A000000}" name="Time Period Min:" dataDxfId="284"/>
    <tableColumn id="11" xr3:uid="{00000000-0010-0000-0C00-00000B000000}" name="Time Period Max:" dataDxfId="283"/>
    <tableColumn id="12" xr3:uid="{00000000-0010-0000-0C00-00000C000000}" name="Time Value:" dataDxfId="282">
      <calculatedColumnFormula>IF(LEN(K3)=0,IF(LEN(J3)=0,"lifetime",IF(J3=1,"year","years")),"years")</calculatedColumnFormula>
    </tableColumn>
    <tableColumn id="13" xr3:uid="{00000000-0010-0000-0C00-00000D000000}" name="Frequency:" dataDxfId="281">
      <calculatedColumnFormula>IF(L3="lifetime",
    IF(I3&lt;&gt;"", H3 &amp; "-" &amp; I3 &amp; "x/lifetime", H3 &amp; "x/lifetime"),
    IF(D3='Master Data'!$B$8, AD3 &amp; AE3, AD3 &amp; AE3 &amp; AC3))</calculatedColumnFormula>
    </tableColumn>
    <tableColumn id="14" xr3:uid="{00000000-0010-0000-0C00-00000E000000}" name="Annual Cost Min:" dataDxfId="280">
      <calculatedColumnFormula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calculatedColumnFormula>
    </tableColumn>
    <tableColumn id="15" xr3:uid="{00000000-0010-0000-0C00-00000F000000}" name="Annual Cost Max:" dataDxfId="279">
      <calculatedColumnFormula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calculatedColumnFormula>
    </tableColumn>
    <tableColumn id="16" xr3:uid="{00000000-0010-0000-0C00-000010000000}" name="Annual Cost:" dataDxfId="278">
      <calculatedColumnFormula>IF(N3&lt;O3,CONCATENATE(TEXT(N3,"$#,##0.00"),CHAR(10)," - ",CHAR(10),TEXT(O3,"$#,##0.00")),TEXT(N3,"$0.00"))</calculatedColumnFormula>
    </tableColumn>
    <tableColumn id="17" xr3:uid="{00000000-0010-0000-0C00-000011000000}" name="One-Time Cost Min:" dataDxfId="277">
      <calculatedColumnFormula>ROUND(IF(TimeValue="lifetime",MinCost*MinFreq,0),2)</calculatedColumnFormula>
    </tableColumn>
    <tableColumn id="18" xr3:uid="{00000000-0010-0000-0C00-000012000000}" name="One-Time Cost Max:" dataDxfId="276">
      <calculatedColumnFormula>ROUND(IF(AND(TimeValue="lifetime",MaxFreq&lt;1),MinFreq*MaxCost,IF(AND(TimeValue="lifetime",MaxFreq&gt;=1),MaxFreq*MaxCost,0)),2)</calculatedColumnFormula>
    </tableColumn>
    <tableColumn id="19" xr3:uid="{00000000-0010-0000-0C00-000013000000}" name="One-Time Cost:" dataDxfId="275">
      <calculatedColumnFormula>IF(Q3&lt;R3,CONCATENATE(TEXT(Q3,"$#,##0.00"),CHAR(10)," - ",CHAR(10),TEXT(R3,"$#,##0.00")),TEXT(Q3,"$0.00"))</calculatedColumnFormula>
    </tableColumn>
  </tableColumns>
  <tableStyleInfo name="LCP Table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E000000}" name="Table11" displayName="Table11" ref="A2:S15" totalsRowShown="0" headerRowDxfId="274" dataDxfId="272" headerRowBorderDxfId="273" tableBorderDxfId="271">
  <autoFilter ref="A2:S15" xr:uid="{00000000-0009-0000-0100-00000B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00000000-0010-0000-0E00-000001000000}" name="Description:" dataDxfId="270"/>
    <tableColumn id="2" xr3:uid="{00000000-0010-0000-0E00-000002000000}" name="Age Initiated:" dataDxfId="269">
      <calculatedColumnFormula>'Master Data'!$B$6</calculatedColumnFormula>
    </tableColumn>
    <tableColumn id="3" xr3:uid="{00000000-0010-0000-0E00-000003000000}" name="Through Age:" dataDxfId="268">
      <calculatedColumnFormula>'Master Data'!$B$7</calculatedColumnFormula>
    </tableColumn>
    <tableColumn id="4" xr3:uid="{00000000-0010-0000-0E00-000004000000}" name="Duration (Years):" dataDxfId="267">
      <calculatedColumnFormula>ROUND(C3-B3,1)</calculatedColumnFormula>
    </tableColumn>
    <tableColumn id="5" xr3:uid="{00000000-0010-0000-0E00-000005000000}" name="Min Cost of Visit:" dataDxfId="266">
      <calculatedColumnFormula array="1">IF(
  $A3="Single Lung Transplant",
  _xlfn.XLOOKUP(1,'Cost Data Sheet'!$A$2:$A$1006,'Cost Data Sheet'!$F$2:$F$1006),
  IF(
    $A3="Double Lung Transplant",
    _xlfn.XLOOKUP(2,'Cost Data Sheet'!$A$2:$A$1006,'Cost Data Sheet'!$F$2:$F$1006),
    SUMPRODUCT(
      ('Service to CPT Map'!$A$2:$A$1017=$A3) *
      ('Service to CPT Map'!$B$2:$B$1017="Low") *
      _xlfn.XLOOKUP(
        'Service to CPT Map'!$C$2:$C$1017,
        'Cost Data Sheet'!$A$2:$A$1006,
        'Cost Data Sheet'!$B$2:$B$1006,
        0
      )
    )
  )
)</calculatedColumnFormula>
    </tableColumn>
    <tableColumn id="6" xr3:uid="{00000000-0010-0000-0E00-000006000000}" name="Max Cost of Visit:" dataDxfId="265">
      <calculatedColumnFormula array="1">IF(
  OR($A3="Single Lung Transplant",$A3="Double Lung Transplant"),
  E3,
  SUMPRODUCT(
    ('Service to CPT Map'!$A$2:$A$1017=$A3)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Map'!$A$2:$A$1017=$A3)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Map'!$A$2:$A$1017=$A3)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calculatedColumnFormula>
    </tableColumn>
    <tableColumn id="7" xr3:uid="{00000000-0010-0000-0E00-000007000000}" name="Cost:" dataDxfId="264">
      <calculatedColumnFormula>IF(E3&lt;F3,CONCATENATE(TEXT(E3,"$#,##0.00"),CHAR(10)," - ",CHAR(10),TEXT(F3,"$#,##0.00")),TEXT(E3,"$#,##0.00"))</calculatedColumnFormula>
    </tableColumn>
    <tableColumn id="8" xr3:uid="{00000000-0010-0000-0E00-000008000000}" name="Freq Min:" dataDxfId="263"/>
    <tableColumn id="9" xr3:uid="{00000000-0010-0000-0E00-000009000000}" name="Freq Max:" dataDxfId="262"/>
    <tableColumn id="10" xr3:uid="{00000000-0010-0000-0E00-00000A000000}" name="Time Period Min:" dataDxfId="261"/>
    <tableColumn id="11" xr3:uid="{00000000-0010-0000-0E00-00000B000000}" name="Time Period Max:" dataDxfId="260"/>
    <tableColumn id="12" xr3:uid="{00000000-0010-0000-0E00-00000C000000}" name="Time Value:" dataDxfId="259">
      <calculatedColumnFormula>IF(LEN(K3)=0,IF(LEN(J3)=0,"lifetime",IF(J3=1,"year","years")),"years")</calculatedColumnFormula>
    </tableColumn>
    <tableColumn id="13" xr3:uid="{00000000-0010-0000-0E00-00000D000000}" name="Frequency:" dataDxfId="258">
      <calculatedColumnFormula>IF(L3="lifetime",
    IF(I3&lt;&gt;"", H3 &amp; "-" &amp; I3 &amp; "x/lifetime", H3 &amp; "x/lifetime"),
    IF(D3='Master Data'!$B$8, AD3 &amp; AE3, AD3 &amp; AE3 &amp; AC3))</calculatedColumnFormula>
    </tableColumn>
    <tableColumn id="14" xr3:uid="{00000000-0010-0000-0E00-00000E000000}" name="Annual Cost Min:" dataDxfId="257">
      <calculatedColumnFormula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calculatedColumnFormula>
    </tableColumn>
    <tableColumn id="15" xr3:uid="{00000000-0010-0000-0E00-00000F000000}" name="Annual Cost Max:" dataDxfId="256">
      <calculatedColumnFormula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calculatedColumnFormula>
    </tableColumn>
    <tableColumn id="16" xr3:uid="{00000000-0010-0000-0E00-000010000000}" name="Annual Cost:" dataDxfId="255">
      <calculatedColumnFormula>IF(N3&lt;O3,CONCATENATE(TEXT(N3,"$#,##0.00"),CHAR(10)," - ",CHAR(10),TEXT(O3,"$#,##0.00")),TEXT(N3,"$0.00"))</calculatedColumnFormula>
    </tableColumn>
    <tableColumn id="17" xr3:uid="{00000000-0010-0000-0E00-000011000000}" name="One-Time Cost Min:" dataDxfId="254">
      <calculatedColumnFormula>ROUND(IF(TimeValue="lifetime",MinCost*MinFreq,0),2)</calculatedColumnFormula>
    </tableColumn>
    <tableColumn id="18" xr3:uid="{00000000-0010-0000-0E00-000012000000}" name="One-Time Cost Max:" dataDxfId="253">
      <calculatedColumnFormula>ROUND(IF(AND(TimeValue="lifetime",MaxFreq&lt;1),MinFreq*MaxCost,IF(AND(TimeValue="lifetime",MaxFreq&gt;=1),MaxFreq*MaxCost,0)),2)</calculatedColumnFormula>
    </tableColumn>
    <tableColumn id="19" xr3:uid="{00000000-0010-0000-0E00-000013000000}" name="One-Time Cost:" dataDxfId="252">
      <calculatedColumnFormula>IF(Q3&lt;R3,CONCATENATE(TEXT(Q3,"$#,##0.00"),CHAR(10)," - ",CHAR(10),TEXT(R3,"$#,##0.00")),TEXT(Q3,"$0.00"))</calculatedColumnFormula>
    </tableColumn>
  </tableColumns>
  <tableStyleInfo name="LCP Table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1000000}" name="Table12" displayName="Table12" ref="A2:S25" totalsRowShown="0" headerRowDxfId="251" dataDxfId="249" headerRowBorderDxfId="250" tableBorderDxfId="248">
  <autoFilter ref="A2:S25" xr:uid="{00000000-0009-0000-0100-00000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00000000-0010-0000-0100-000001000000}" name="Description:" dataDxfId="247"/>
    <tableColumn id="2" xr3:uid="{00000000-0010-0000-0100-000002000000}" name="Age Initiated:" dataDxfId="246">
      <calculatedColumnFormula>'Master Data'!$B$6</calculatedColumnFormula>
    </tableColumn>
    <tableColumn id="3" xr3:uid="{00000000-0010-0000-0100-000003000000}" name="Through Age:" dataDxfId="245">
      <calculatedColumnFormula>'Master Data'!$B$7</calculatedColumnFormula>
    </tableColumn>
    <tableColumn id="4" xr3:uid="{00000000-0010-0000-0100-000004000000}" name="Duration (Years):" dataDxfId="244">
      <calculatedColumnFormula>ROUND(C3-B3,1)</calculatedColumnFormula>
    </tableColumn>
    <tableColumn id="5" xr3:uid="{00000000-0010-0000-0100-000005000000}" name="Min Cost of Visit:" dataDxfId="243">
      <calculatedColumnFormula array="1">IF(
  $A3="Single Lung Transplant",
  _xlfn.XLOOKUP(1,'Cost Data Sheet'!$A$2:$A$1006,'Cost Data Sheet'!$F$2:$F$1006),
  IF(
    $A3="Double Lung Transplant",
    _xlfn.XLOOKUP(2,'Cost Data Sheet'!$A$2:$A$1006,'Cost Data Sheet'!$F$2:$F$1006),
    SUMPRODUCT(
      ('Service to CPT Map'!$A$2:$A$1017=$A3)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Francisco","Texas"},0),
            'Cost Data Sheet'!$B$2:$B$1006,
            'Cost Data Sheet'!$C$2:$C$1006,
            'Cost Data Sheet'!$D$2:$D$1006,
            'Cost Data Sheet'!$E$2:$E$1006
          )
        ),
        0
      )
    )
  )
)</calculatedColumnFormula>
    </tableColumn>
    <tableColumn id="6" xr3:uid="{00000000-0010-0000-0100-000006000000}" name="Max Cost of Visit:" dataDxfId="242">
      <calculatedColumnFormula array="1">IF(
  OR($A3="Single Lung Transplant",$A3="Double Lung Transplant"),
  E3,
  SUMPRODUCT(
    ('Service to CPT Map'!$A$2:$A$1017=$A3)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Francisco","Texas"},0),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Map'!$A$2:$A$1017=$A3)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Francisco","Texas"},0),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Map'!$A$2:$A$1017=$A3)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Francisco","Texas"},0),
            'Cost Data Sheet'!$B$2:$B$1006,
            'Cost Data Sheet'!$C$2:$C$1006,
            'Cost Data Sheet'!$D$2:$D$1006,
            'Cost Data Sheet'!$E$2:$E$1006
          )
        ),
        0
      )
    )
  )
)</calculatedColumnFormula>
    </tableColumn>
    <tableColumn id="7" xr3:uid="{00000000-0010-0000-0100-000007000000}" name="Cost:" dataDxfId="241">
      <calculatedColumnFormula>IF(E3&lt;F3,CONCATENATE(TEXT(E3,"$#,##0.00"),CHAR(10)," - ",CHAR(10),TEXT(F3,"$#,##0.00")),TEXT(E3,"$#,##0.00"))</calculatedColumnFormula>
    </tableColumn>
    <tableColumn id="8" xr3:uid="{00000000-0010-0000-0100-000008000000}" name="Freq Min:" dataDxfId="240"/>
    <tableColumn id="9" xr3:uid="{00000000-0010-0000-0100-000009000000}" name="Freq Max:" dataDxfId="239"/>
    <tableColumn id="10" xr3:uid="{00000000-0010-0000-0100-00000A000000}" name="Time Period Min:" dataDxfId="238"/>
    <tableColumn id="11" xr3:uid="{00000000-0010-0000-0100-00000B000000}" name="Time Period Max:" dataDxfId="237"/>
    <tableColumn id="12" xr3:uid="{00000000-0010-0000-0100-00000C000000}" name="Time Value:" dataDxfId="236">
      <calculatedColumnFormula>IF(LEN(K3)=0,IF(LEN(J3)=0,"lifetime",IF(J3=1,"year","years")),"years")</calculatedColumnFormula>
    </tableColumn>
    <tableColumn id="13" xr3:uid="{00000000-0010-0000-0100-00000D000000}" name="Frequency:" dataDxfId="235">
      <calculatedColumnFormula>IF(L3="lifetime",
    IF(I3&lt;&gt;"", H3 &amp; "-" &amp; I3 &amp; "x/lifetime", H3 &amp; "x/lifetime"),
    IF(D3='Master Data'!$B$8, AD3 &amp; AE3, AD3 &amp; AE3 &amp; AC3))</calculatedColumnFormula>
    </tableColumn>
    <tableColumn id="14" xr3:uid="{00000000-0010-0000-0100-00000E000000}" name="Annual Cost Min:" dataDxfId="234">
      <calculatedColumnFormula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calculatedColumnFormula>
    </tableColumn>
    <tableColumn id="15" xr3:uid="{00000000-0010-0000-0100-00000F000000}" name="Annual Cost Max:" dataDxfId="233">
      <calculatedColumnFormula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calculatedColumnFormula>
    </tableColumn>
    <tableColumn id="16" xr3:uid="{00000000-0010-0000-0100-000010000000}" name="Annual Cost:" dataDxfId="232">
      <calculatedColumnFormula>IF(N3&lt;O3,CONCATENATE(TEXT(N3,"$#,##0.00"),CHAR(10)," - ",CHAR(10),TEXT(O3,"$#,##0.00")),TEXT(N3,"$0.00"))</calculatedColumnFormula>
    </tableColumn>
    <tableColumn id="17" xr3:uid="{00000000-0010-0000-0100-000011000000}" name="One-Time Cost Min:" dataDxfId="231">
      <calculatedColumnFormula>ROUND(IF(TimeValue="lifetime",MinCost*MinFreq,0),2)</calculatedColumnFormula>
    </tableColumn>
    <tableColumn id="18" xr3:uid="{00000000-0010-0000-0100-000012000000}" name="One-Time Cost Max:" dataDxfId="230">
      <calculatedColumnFormula>ROUND(IF(AND(TimeValue="lifetime",MaxFreq&lt;1),MinFreq*MaxCost,IF(AND(TimeValue="lifetime",MaxFreq&gt;=1),MaxFreq*MaxCost,0)),2)</calculatedColumnFormula>
    </tableColumn>
    <tableColumn id="19" xr3:uid="{00000000-0010-0000-0100-000013000000}" name="One-Time Cost:" dataDxfId="229">
      <calculatedColumnFormula>IF(Q3&lt;R3,CONCATENATE(TEXT(Q3,"$#,##0.00"),CHAR(10)," - ",CHAR(10),TEXT(R3,"$#,##0.00")),TEXT(Q3,"$0.00"))</calculatedColumnFormula>
    </tableColumn>
  </tableColumns>
  <tableStyleInfo name="LCP Tables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2:S25" totalsRowShown="0" headerRowDxfId="228" dataDxfId="226" headerRowBorderDxfId="227">
  <tableColumns count="19">
    <tableColumn id="1" xr3:uid="{00000000-0010-0000-0000-000001000000}" name="Description:" dataDxfId="225"/>
    <tableColumn id="2" xr3:uid="{00000000-0010-0000-0000-000002000000}" name="Age Initiated:" dataDxfId="224">
      <calculatedColumnFormula>ROUND('Master Data'!$B$6,1)</calculatedColumnFormula>
    </tableColumn>
    <tableColumn id="3" xr3:uid="{00000000-0010-0000-0000-000003000000}" name="Through Age:" dataDxfId="223">
      <calculatedColumnFormula>'Master Data'!$B$7</calculatedColumnFormula>
    </tableColumn>
    <tableColumn id="4" xr3:uid="{00000000-0010-0000-0000-000004000000}" name="Duration (Years):" dataDxfId="222">
      <calculatedColumnFormula>ROUND(C3-B3,1)</calculatedColumnFormula>
    </tableColumn>
    <tableColumn id="5" xr3:uid="{00000000-0010-0000-0000-000005000000}" name="Min Cost of Visit:" dataDxfId="221">
      <calculatedColumnFormula array="1">SUMPRODUCT(
  ('Service to CPT Map'!$A$2:$A$1017=$A3) *
  ('Service to CPT Map'!$B$2:$B$1017="Low") *
  IFERROR(
    _xlfn.XLOOKUP(
      'Service to CPT Map'!$C$2:$C$1017,
      'Cost Data Sheet'!$A$2:$A$1006,
      CHOOSE(
        MATCH('Master Data'!$B$19,
          {"Los Angeles","San Diego","San Francisco","Texas"},0),
        'Cost Data Sheet'!$B$2:$B$1006,
        'Cost Data Sheet'!$C$2:$C$1006,
        'Cost Data Sheet'!$D$2:$D$1006,
        'Cost Data Sheet'!$E$2:$E$1006
      )
    ),
    0
  )
)</calculatedColumnFormula>
    </tableColumn>
    <tableColumn id="6" xr3:uid="{00000000-0010-0000-0000-000006000000}" name="Max Cost of Visit:" dataDxfId="220">
      <calculatedColumnFormula array="1">SUMPRODUCT(
  ('Service to CPT Map'!$A$2:$A$1017=$A3)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Francisco","Texas"},0),
        'Cost Data Sheet'!$B$2:$B$1006,
        'Cost Data Sheet'!$C$2:$C$1006,
        'Cost Data Sheet'!$D$2:$D$1006,
        'Cost Data Sheet'!$E$2:$E$1006
      )
    ),
    0
  )
)
+
MAX(
  SUMPRODUCT(
    ('Service to CPT Map'!$A$2:$A$1017=$A3)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Francisco","Texas"},0),
          'Cost Data Sheet'!$B$2:$B$1006,
          'Cost Data Sheet'!$C$2:$C$1006,
          'Cost Data Sheet'!$D$2:$D$1006,
          'Cost Data Sheet'!$E$2:$E$1006
        )
      ),
      0
    )
  ),
  SUMPRODUCT(
    ('Service to CPT Map'!$A$2:$A$1017=$A3)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Francisco","Texas"},0),
          'Cost Data Sheet'!$B$2:$B$1006,
          'Cost Data Sheet'!$C$2:$C$1006,
          'Cost Data Sheet'!$D$2:$D$1006,
          'Cost Data Sheet'!$E$2:$E$1006
        )
      ),
      0
    )
  )
)</calculatedColumnFormula>
    </tableColumn>
    <tableColumn id="7" xr3:uid="{00000000-0010-0000-0000-000007000000}" name="Cost:" dataDxfId="219">
      <calculatedColumnFormula>IF(E3&lt;F3,CONCATENATE(TEXT(E3,"$#,##0.00"),CHAR(10)," - ",CHAR(10),TEXT(F3,"$#,##0.00")),TEXT(E3,"$#,##0.00"))</calculatedColumnFormula>
    </tableColumn>
    <tableColumn id="8" xr3:uid="{00000000-0010-0000-0000-000008000000}" name="Freq Min:" dataDxfId="218"/>
    <tableColumn id="9" xr3:uid="{00000000-0010-0000-0000-000009000000}" name="Freq Max:" dataDxfId="217"/>
    <tableColumn id="10" xr3:uid="{00000000-0010-0000-0000-00000A000000}" name="Time Period Min:" dataDxfId="216"/>
    <tableColumn id="11" xr3:uid="{00000000-0010-0000-0000-00000B000000}" name="Time Period Max:" dataDxfId="215"/>
    <tableColumn id="12" xr3:uid="{00000000-0010-0000-0000-00000C000000}" name="Time Value:" dataDxfId="214">
      <calculatedColumnFormula>IF(LEN(K3)=0,IF(LEN(J3)=0,"lifetime",IF(J3=1,"year","years")),"years")</calculatedColumnFormula>
    </tableColumn>
    <tableColumn id="13" xr3:uid="{00000000-0010-0000-0000-00000D000000}" name="Frequency:" dataDxfId="213">
      <calculatedColumnFormula>IF(L3="lifetime",
    IF(I3&lt;&gt;"", H3 &amp; "-" &amp; I3 &amp; "x/lifetime", H3 &amp; "x/lifetime"),
    IF(D3='Master Data'!$B$8, AD3 &amp; AE3, AD3 &amp; AE3 &amp; AC3))</calculatedColumnFormula>
    </tableColumn>
    <tableColumn id="14" xr3:uid="{00000000-0010-0000-0000-00000E000000}" name="Annual Cost Min:" dataDxfId="212">
      <calculatedColumnFormula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calculatedColumnFormula>
    </tableColumn>
    <tableColumn id="15" xr3:uid="{00000000-0010-0000-0000-00000F000000}" name="Annual Cost Max:" dataDxfId="211">
      <calculatedColumnFormula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calculatedColumnFormula>
    </tableColumn>
    <tableColumn id="16" xr3:uid="{00000000-0010-0000-0000-000010000000}" name="Annual Cost:" dataDxfId="210">
      <calculatedColumnFormula>IF(N3&lt;O3,CONCATENATE(TEXT(N3,"$#,##0.00"),CHAR(10)," - ",CHAR(10),TEXT(O3,"$#,###0.00")),TEXT(N3,"$0.00"))</calculatedColumnFormula>
    </tableColumn>
    <tableColumn id="17" xr3:uid="{00000000-0010-0000-0000-000011000000}" name="One-Time Cost Min:" dataDxfId="209">
      <calculatedColumnFormula>ROUND(IF(TimeValue="lifetime",MinCost*MinFreq,0),2)</calculatedColumnFormula>
    </tableColumn>
    <tableColumn id="18" xr3:uid="{00000000-0010-0000-0000-000012000000}" name="One-Time Cost Max:" dataDxfId="208">
      <calculatedColumnFormula>ROUND(IF(AND(TimeValue="lifetime",MaxFreq&lt;1),MinFreq*MaxCost,IF(AND(TimeValue="lifetime",MaxFreq&gt;=1),MaxFreq*MaxCost,0)),2)</calculatedColumnFormula>
    </tableColumn>
    <tableColumn id="19" xr3:uid="{00000000-0010-0000-0000-000013000000}" name="One-Time Cost:" dataDxfId="207">
      <calculatedColumnFormula>IF(Q3&lt;R3,CONCATENATE(TEXT(Q3,"$#,##0.00"),CHAR(10)," - ",CHAR(10),TEXT(R3,"$#,##0.00")),TEXT(Q3,"$0.00"))</calculatedColumnFormula>
    </tableColumn>
  </tableColumns>
  <tableStyleInfo name="LCP Tables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4000000}" name="Table15" displayName="Table15" ref="A2:S25" totalsRowShown="0" headerRowDxfId="206" dataDxfId="204" headerRowBorderDxfId="205" tableBorderDxfId="203">
  <autoFilter ref="A2:S25" xr:uid="{00000000-0009-0000-0100-00000F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00000000-0010-0000-0400-000001000000}" name="Description:" dataDxfId="202"/>
    <tableColumn id="2" xr3:uid="{00000000-0010-0000-0400-000002000000}" name="Age Initiated:" dataDxfId="201">
      <calculatedColumnFormula>'Master Data'!$B$6</calculatedColumnFormula>
    </tableColumn>
    <tableColumn id="3" xr3:uid="{00000000-0010-0000-0400-000003000000}" name="Through Age:" dataDxfId="200">
      <calculatedColumnFormula>'Master Data'!$B$7</calculatedColumnFormula>
    </tableColumn>
    <tableColumn id="4" xr3:uid="{00000000-0010-0000-0400-000004000000}" name="Duration (Years):" dataDxfId="199">
      <calculatedColumnFormula>ROUND(C3-B3,1)</calculatedColumnFormula>
    </tableColumn>
    <tableColumn id="5" xr3:uid="{00000000-0010-0000-0400-000005000000}" name="Min Cost of Visit:" dataDxfId="198">
      <calculatedColumnFormula array="1">SUMPRODUCT(
  ('Service to CPT Map'!$A$2:$A$1017=$A3) *
  ('Service to CPT Map'!$B$2:$B$1017="Low") *
  IFERROR(
    _xlfn.XLOOKUP(
      'Service to CPT Map'!$C$2:$C$1017,
      'Cost Data Sheet'!$A$2:$A$1006,
      CHOOSE(
        MATCH('Master Data'!$B$19,
          {"Los Angeles","San Diego","San Francisco","Texas"},0),
        'Cost Data Sheet'!$B$2:$B$1006,
        'Cost Data Sheet'!$C$2:$C$1006,
        'Cost Data Sheet'!$D$2:$D$1006,
        'Cost Data Sheet'!$E$2:$E$1006
      )
    ),
    0
  )
)</calculatedColumnFormula>
    </tableColumn>
    <tableColumn id="6" xr3:uid="{00000000-0010-0000-0400-000006000000}" name="Max Cost of Visit:" dataDxfId="197">
      <calculatedColumnFormula array="1">SUMPRODUCT(
  ('Service to CPT Map'!$A$2:$A$1017=$A3)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Francisco","Texas"},0),
        'Cost Data Sheet'!$B$2:$B$1006,
        'Cost Data Sheet'!$C$2:$C$1006,
        'Cost Data Sheet'!$D$2:$D$1006,
        'Cost Data Sheet'!$E$2:$E$1006
      )
    ),
    0
  )
)
+
MAX(
  SUMPRODUCT(
    ('Service to CPT Map'!$A$2:$A$1017=$A3)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Francisco","Texas"},0),
          'Cost Data Sheet'!$B$2:$B$1006,
          'Cost Data Sheet'!$C$2:$C$1006,
          'Cost Data Sheet'!$D$2:$D$1006,
          'Cost Data Sheet'!$E$2:$E$1006
        )
      ),
      0
    )
  ),
  SUMPRODUCT(
    ('Service to CPT Map'!$A$2:$A$1017=$A3)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Francisco","Texas"},0),
          'Cost Data Sheet'!$B$2:$B$1006,
          'Cost Data Sheet'!$C$2:$C$1006,
          'Cost Data Sheet'!$D$2:$D$1006,
          'Cost Data Sheet'!$E$2:$E$1006
        )
      ),
      0
    )
  )
)</calculatedColumnFormula>
    </tableColumn>
    <tableColumn id="7" xr3:uid="{00000000-0010-0000-0400-000007000000}" name="Cost:" dataDxfId="196">
      <calculatedColumnFormula>IF(E3&lt;F3,CONCATENATE(TEXT(E3,"$#,##0.00"),CHAR(10)," - ",CHAR(10),TEXT(F3,"$#,##0.00")),TEXT(E3,"$#,##0.00"))</calculatedColumnFormula>
    </tableColumn>
    <tableColumn id="8" xr3:uid="{00000000-0010-0000-0400-000008000000}" name="Freq Min:" dataDxfId="195"/>
    <tableColumn id="9" xr3:uid="{00000000-0010-0000-0400-000009000000}" name="Freq Max:" dataDxfId="194"/>
    <tableColumn id="10" xr3:uid="{00000000-0010-0000-0400-00000A000000}" name="Time Period Min:" dataDxfId="193"/>
    <tableColumn id="11" xr3:uid="{00000000-0010-0000-0400-00000B000000}" name="Time Period Max:" dataDxfId="192"/>
    <tableColumn id="12" xr3:uid="{00000000-0010-0000-0400-00000C000000}" name="Time Value:" dataDxfId="191">
      <calculatedColumnFormula>IF(LEN(K3)=0,IF(LEN(J3)=0,"lifetime",IF(J3=1,"year","years")),"years")</calculatedColumnFormula>
    </tableColumn>
    <tableColumn id="13" xr3:uid="{00000000-0010-0000-0400-00000D000000}" name="Frequency:" dataDxfId="190">
      <calculatedColumnFormula>IF(L3="lifetime",
    IF(I3&lt;&gt;"", H3 &amp; "-" &amp; I3 &amp; "x/lifetime", H3 &amp; "x/lifetime"),
    IF(D3='Master Data'!$B$8, AD3 &amp; AE3, AD3 &amp; AE3 &amp; AC3))</calculatedColumnFormula>
    </tableColumn>
    <tableColumn id="14" xr3:uid="{00000000-0010-0000-0400-00000E000000}" name="Annual Cost Min:" dataDxfId="189">
      <calculatedColumnFormula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48,MinTimePeriod/48)),0),IF(OR(EXACT(TimeValue,"day"),EXACT(TimeValue,"days")),IF(OR(MinTimePeriod&gt;0,MaxTimePeriod&gt;0),MinFreq*MinCost/(IF(MaxTimePeriod&gt;0,MaxTimePeriod/365,MinTimePeriod/365))),"invalidinput"))))),2)</calculatedColumnFormula>
    </tableColumn>
    <tableColumn id="15" xr3:uid="{00000000-0010-0000-0400-00000F000000}" name="Annual Cost Max:" dataDxfId="188">
      <calculatedColumnFormula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48),IF(OR(EXACT(TimeValue,"day"),EXACT(TimeValue,"days")),IF(OR(MinTimePeriod&gt;0,MaxTimePeriod&gt;0),IF(MaxFreq&gt;0,MaxFreq,MinFreq))*MaxCost/(MinTimePeriod/365),"invalidinput"))))),2)</calculatedColumnFormula>
    </tableColumn>
    <tableColumn id="16" xr3:uid="{00000000-0010-0000-0400-000010000000}" name="Annual Cost:" dataDxfId="187">
      <calculatedColumnFormula>IF(N3&lt;O3,CONCATENATE(TEXT(N3,"$#,##0.00"),CHAR(10)," - ",CHAR(10),TEXT(O3,"$#,##0.00")),TEXT(N3,"$0.00"))</calculatedColumnFormula>
    </tableColumn>
    <tableColumn id="17" xr3:uid="{00000000-0010-0000-0400-000011000000}" name="One-Time Cost Min:" dataDxfId="186">
      <calculatedColumnFormula>ROUND(IF(TimeValue="lifetime",MinCost*MinFreq,0),2)</calculatedColumnFormula>
    </tableColumn>
    <tableColumn id="18" xr3:uid="{00000000-0010-0000-0400-000012000000}" name="One-Time Cost Max:" dataDxfId="185">
      <calculatedColumnFormula>ROUND(IF(AND(TimeValue="lifetime",MaxFreq&lt;1),MinFreq*MaxCost,IF(AND(TimeValue="lifetime",MaxFreq&gt;=1),MaxFreq*MaxCost,0)),2)</calculatedColumnFormula>
    </tableColumn>
    <tableColumn id="19" xr3:uid="{00000000-0010-0000-0400-000013000000}" name="One-Time Cost:" dataDxfId="184">
      <calculatedColumnFormula>IF(Q3&lt;R3,CONCATENATE(TEXT(Q3,"$#,##0.00"),CHAR(10)," - ",CHAR(10),TEXT(R3,"$#,##0.00")),TEXT(Q3,"$.00"))</calculatedColumnFormula>
    </tableColumn>
  </tableColumns>
  <tableStyleInfo name="LCP Tables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2000000}" name="Table13" displayName="Table13" ref="A2:S25" totalsRowShown="0" headerRowDxfId="183" dataDxfId="181" headerRowBorderDxfId="182" tableBorderDxfId="180">
  <autoFilter ref="A2:S25" xr:uid="{00000000-0009-0000-0100-00000D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00000000-0010-0000-0200-000001000000}" name="Description:" dataDxfId="179"/>
    <tableColumn id="2" xr3:uid="{00000000-0010-0000-0200-000002000000}" name="Age Initiated:" dataDxfId="178">
      <calculatedColumnFormula>'Master Data'!$B$6</calculatedColumnFormula>
    </tableColumn>
    <tableColumn id="3" xr3:uid="{00000000-0010-0000-0200-000003000000}" name="Through Age:" dataDxfId="177">
      <calculatedColumnFormula>'Master Data'!$B$7</calculatedColumnFormula>
    </tableColumn>
    <tableColumn id="4" xr3:uid="{00000000-0010-0000-0200-000004000000}" name="Duration (Years):" dataDxfId="176">
      <calculatedColumnFormula>ROUND(C3-B3,1)</calculatedColumnFormula>
    </tableColumn>
    <tableColumn id="5" xr3:uid="{00000000-0010-0000-0200-000005000000}" name="Min Cost of Visit:" dataDxfId="175">
      <calculatedColumnFormula array="1">IF(
  OR($A3="Chest X-ray",$A3="Chest CT Scan"),
  MIN(
    IF(
      ('Service to CPT Map'!$A$2:$A$1017=$A3) *
      ('Service to CPT Map'!$B$2:$B$1017="Low"),
      _xlfn.XLOOKUP(
        'Service to CPT Map'!$C$2:$C$1017,
        'Cost Data Sheet'!$A$2:$A$1006,
        CHOOSE(
          MATCH('Master Data'!$B$19,
            {"Los Angeles","San Diego","San Francisco","Texas"},0),
          'Cost Data Sheet'!$B$2:$B$1006,
          'Cost Data Sheet'!$C$2:$C$1006,
          'Cost Data Sheet'!$D$2:$D$1006,
          'Cost Data Sheet'!$E$2:$E$1006
        ),
        0
      )
    )
  ),
  SUMPRODUCT(
    ('Service to CPT Map'!$A$2:$A$1017=$A3) *
    ('Service to CPT Map'!$B$2:$B$1017="Low") *
    _xlfn.XLOOKUP(
      'Service to CPT Map'!$C$2:$C$1017,
      'Cost Data Sheet'!$A$2:$A$1006,
      CHOOSE(
        MATCH('Master Data'!$B$19,
          {"Los Angeles","San Diego","San Francisco","Texas"},0),
        'Cost Data Sheet'!$B$2:$B$1006,
        'Cost Data Sheet'!$C$2:$C$1006,
        'Cost Data Sheet'!$D$2:$D$1006,
        'Cost Data Sheet'!$E$2:$E$1006
      ),
      0
    )
  )
)</calculatedColumnFormula>
    </tableColumn>
    <tableColumn id="6" xr3:uid="{00000000-0010-0000-0200-000006000000}" name="Max Cost of Visit:" dataDxfId="174">
      <calculatedColumnFormula array="1">_xlfn.LET(
  _xlpm.HighCalc,
  IF(
    OR($A3="Chest X-ray",$A3="Chest CT Scan"),
    MAX(
      IF(
        ('Service to CPT Map'!$A$2:$A$1018=$A3)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Francisco","Texas"},0),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Map'!$A$2:$A$1018=$A3)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Francisco","Texas"},0),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Map'!$A$2:$A$1018=$A3)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Francisco","Texas"},0),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Map'!$A$2:$A$1018=$A3)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Francisco","Texas"},0),
            'Cost Data Sheet'!$B$2:$B$1007,
            'Cost Data Sheet'!$C$2:$C$1007,
            'Cost Data Sheet'!$D$2:$D$1007,
            'Cost Data Sheet'!$E$2:$E$1007
          ),
          0
        )
      )
    )
  ),
  IF(_xlpm.HighCalc=0, E3, _xlpm.HighCalc)
)</calculatedColumnFormula>
    </tableColumn>
    <tableColumn id="7" xr3:uid="{00000000-0010-0000-0200-000007000000}" name="Cost:" dataDxfId="173">
      <calculatedColumnFormula>IF(E3&lt;F3,CONCATENATE(TEXT(E3,"$#,##0.00"),CHAR(10)," - ",CHAR(10),TEXT(F3,"$#,##0.00")),TEXT(E3,"$#,##0.00"))</calculatedColumnFormula>
    </tableColumn>
    <tableColumn id="8" xr3:uid="{00000000-0010-0000-0200-000008000000}" name="Freq Min:" dataDxfId="172"/>
    <tableColumn id="9" xr3:uid="{00000000-0010-0000-0200-000009000000}" name="Freq Max:" dataDxfId="171"/>
    <tableColumn id="10" xr3:uid="{00000000-0010-0000-0200-00000A000000}" name="Time Period Min:" dataDxfId="170"/>
    <tableColumn id="11" xr3:uid="{00000000-0010-0000-0200-00000B000000}" name="Time Period Max:" dataDxfId="169"/>
    <tableColumn id="12" xr3:uid="{00000000-0010-0000-0200-00000C000000}" name="Time Value:" dataDxfId="168">
      <calculatedColumnFormula>IF(LEN(K3)=0,IF(LEN(J3)=0,"lifetime",IF(J3=1,"year","years")),"years")</calculatedColumnFormula>
    </tableColumn>
    <tableColumn id="13" xr3:uid="{00000000-0010-0000-0200-00000D000000}" name="Frequency:" dataDxfId="167">
      <calculatedColumnFormula>IF(L3="lifetime",
    IF(I3&lt;&gt;"", H3 &amp; "-" &amp; I3 &amp; "x/lifetime", H3 &amp; "x/lifetime"),
    IF(D3='Master Data'!$B$8, AD3 &amp; AE3, AD3 &amp; AE3 &amp; AC3))</calculatedColumnFormula>
    </tableColumn>
    <tableColumn id="14" xr3:uid="{00000000-0010-0000-0200-00000E000000}" name="Annual Cost Min:" dataDxfId="166">
      <calculatedColumnFormula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calculatedColumnFormula>
    </tableColumn>
    <tableColumn id="15" xr3:uid="{00000000-0010-0000-0200-00000F000000}" name="Annual Cost Max:" dataDxfId="165">
      <calculatedColumnFormula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calculatedColumnFormula>
    </tableColumn>
    <tableColumn id="16" xr3:uid="{00000000-0010-0000-0200-000010000000}" name="Annual Cost:" dataDxfId="164">
      <calculatedColumnFormula>IF(N3&lt;O3,CONCATENATE(TEXT(N3,"$#,##0.00"),CHAR(10)," - ",CHAR(10),TEXT(O3,"$#,##0.00")),TEXT(N3,"$0.00"))</calculatedColumnFormula>
    </tableColumn>
    <tableColumn id="17" xr3:uid="{00000000-0010-0000-0200-000011000000}" name="One-Time Cost Min:" dataDxfId="163">
      <calculatedColumnFormula>ROUND(IF(TimeValue="lifetime",MinCost*MinFreq,0),2)</calculatedColumnFormula>
    </tableColumn>
    <tableColumn id="18" xr3:uid="{00000000-0010-0000-0200-000012000000}" name="One-Time Cost Max:" dataDxfId="162">
      <calculatedColumnFormula>ROUND(IF(AND(TimeValue="lifetime",MaxFreq&lt;1),MinFreq*MaxCost,IF(AND(TimeValue="lifetime",MaxFreq&gt;=1),MaxFreq*MaxCost,0)),2)</calculatedColumnFormula>
    </tableColumn>
    <tableColumn id="19" xr3:uid="{00000000-0010-0000-0200-000013000000}" name="One-Time Cost:" dataDxfId="161">
      <calculatedColumnFormula>IF(Q3&lt;R3,CONCATENATE(TEXT(Q3,"$#,##0.00"),CHAR(10)," - ",CHAR(10),TEXT(R3,"$#,##0.00")),TEXT(Q3,"$#,##0.00"))</calculatedColumnFormula>
    </tableColumn>
  </tableColumns>
  <tableStyleInfo name="LCP Tables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e1" displayName="Table1" ref="A2:S25" totalsRowShown="0" headerRowDxfId="160" dataDxfId="158" headerRowBorderDxfId="159" tableBorderDxfId="157">
  <autoFilter ref="A2:S2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00000000-0010-0000-0500-000001000000}" name="Description:" dataDxfId="156"/>
    <tableColumn id="2" xr3:uid="{00000000-0010-0000-0500-000002000000}" name="Age Initiated:" dataDxfId="155">
      <calculatedColumnFormula>'Master Data'!$B$6</calculatedColumnFormula>
    </tableColumn>
    <tableColumn id="3" xr3:uid="{00000000-0010-0000-0500-000003000000}" name="Through Age:" dataDxfId="154">
      <calculatedColumnFormula>'Master Data'!$B$7</calculatedColumnFormula>
    </tableColumn>
    <tableColumn id="4" xr3:uid="{00000000-0010-0000-0500-000004000000}" name="Duration (Years):" dataDxfId="153">
      <calculatedColumnFormula>ROUND(C3-B3,1)</calculatedColumnFormula>
    </tableColumn>
    <tableColumn id="5" xr3:uid="{00000000-0010-0000-0500-000005000000}" name="Min Cost of Visit:" dataDxfId="152">
      <calculatedColumnFormula array="1">IF(
  A3="",
  0,
  IF(
    A3="COVID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"Texas",'Cost Data Sheet'!$E$2:$E$1006
      ),
      0
    ),
    MIN(
      INDEX(
        'Meds Sheet'!$A$2:$M$16,
        MATCH(A3,'Meds Sheet'!$A$2:$A$16,0),
        _xlfn.SWITCH(
          'Master Data'!$B$19,
          "Los Angeles",{2,3,4},
          "San Diego",{5,6,7},
          "San Francisco",{8,9,10},
          "Texas",{11,12,13}
        )
      )
    )
  )
)</calculatedColumnFormula>
    </tableColumn>
    <tableColumn id="6" xr3:uid="{00000000-0010-0000-0500-000006000000}" name="Max Cost of Visit:" dataDxfId="151">
      <calculatedColumnFormula array="1">IF(
  A3="",
  0,
  IF(
    A3="COVID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"Texas",'Cost Data Sheet'!$E$2:$E$1006
      ),
      0
    ),
    MAX(
      INDEX(
        'Meds Sheet'!$A$2:$M$16,
        MATCH(A3,'Meds Sheet'!$A$2:$A$16,0),
        _xlfn.SWITCH(
          'Master Data'!$B$19,
          "Los Angeles",{2,3,4},
          "San Diego",{5,6,7},
          "San Francisco",{8,9,10},
          "Texas",{11,12,13}
        )
      )
    )
  )
)</calculatedColumnFormula>
    </tableColumn>
    <tableColumn id="7" xr3:uid="{00000000-0010-0000-0500-000007000000}" name="Cost:" dataDxfId="150">
      <calculatedColumnFormula>IF(E3&lt;F3,CONCATENATE(TEXT(E3,"$#,##0.00"),CHAR(10)," - ",CHAR(10),TEXT(F3,"$#,##0.00")),TEXT(E3,"$#,##0.00"))</calculatedColumnFormula>
    </tableColumn>
    <tableColumn id="8" xr3:uid="{00000000-0010-0000-0500-000008000000}" name="Freq Min:" dataDxfId="149"/>
    <tableColumn id="9" xr3:uid="{00000000-0010-0000-0500-000009000000}" name="Freq Max:" dataDxfId="148"/>
    <tableColumn id="10" xr3:uid="{00000000-0010-0000-0500-00000A000000}" name="Time Period Min:" dataDxfId="147"/>
    <tableColumn id="11" xr3:uid="{00000000-0010-0000-0500-00000B000000}" name="Time Period Max:" dataDxfId="146"/>
    <tableColumn id="12" xr3:uid="{00000000-0010-0000-0500-00000C000000}" name="Time Value:" dataDxfId="145">
      <calculatedColumnFormula>IF(LEN(K3)=0,IF(LEN(J3)=0,"lifetime",IF(J3=1,"year","years")),"years")</calculatedColumnFormula>
    </tableColumn>
    <tableColumn id="13" xr3:uid="{00000000-0010-0000-0500-00000D000000}" name="Frequency:" dataDxfId="144">
      <calculatedColumnFormula>IF(L3="lifetime",
    IF(I3&lt;&gt;"", H3 &amp; "-" &amp; I3 &amp; "x/lifetime", H3 &amp; "x/lifetime"),
    IF(D3='Master Data'!$B$8, AD3 &amp; AE3, AD3 &amp; AE3 &amp; AC3))</calculatedColumnFormula>
    </tableColumn>
    <tableColumn id="14" xr3:uid="{00000000-0010-0000-0500-00000E000000}" name="Annual Cost Min:" dataDxfId="143">
      <calculatedColumnFormula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calculatedColumnFormula>
    </tableColumn>
    <tableColumn id="15" xr3:uid="{00000000-0010-0000-0500-00000F000000}" name="Annual Cost Max:" dataDxfId="142">
      <calculatedColumnFormula>IFERROR(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,0)</calculatedColumnFormula>
    </tableColumn>
    <tableColumn id="16" xr3:uid="{00000000-0010-0000-0500-000010000000}" name="Annual Cost:" dataDxfId="141">
      <calculatedColumnFormula>IFERROR(IF(N3&lt;O3,CONCATENATE(TEXT(N3,"$#,##0.00"),CHAR(10)," - ",CHAR(10),TEXT(O3,"$#,##0.00")),TEXT(N3,"$0.00")),0)</calculatedColumnFormula>
    </tableColumn>
    <tableColumn id="17" xr3:uid="{00000000-0010-0000-0500-000011000000}" name="One-Time Cost Min:" dataDxfId="140">
      <calculatedColumnFormula>ROUND(IF(TimeValue="lifetime",MinCost*MinFreq,0),2)</calculatedColumnFormula>
    </tableColumn>
    <tableColumn id="18" xr3:uid="{00000000-0010-0000-0500-000012000000}" name="One-Time Cost Max:" dataDxfId="139">
      <calculatedColumnFormula>ROUND(IF(AND(TimeValue="lifetime",MaxFreq&lt;1),MinFreq*MaxCost,IF(AND(TimeValue="lifetime",MaxFreq&gt;=1),MaxFreq*MaxCost,0)),2)</calculatedColumnFormula>
    </tableColumn>
    <tableColumn id="19" xr3:uid="{00000000-0010-0000-0500-000013000000}" name="One-Time Cost:" dataDxfId="138">
      <calculatedColumnFormula>IF(Q3&lt;R3,CONCATENATE(TEXT(Q3,"$#,##0.00"),CHAR(10)," - ",CHAR(10),TEXT(R3,"$#,##0.00")),TEXT(Q3,"$0.00"))</calculatedColumnFormula>
    </tableColumn>
  </tableColumns>
  <tableStyleInfo name="LCP Tables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able2" displayName="Table2" ref="A2:S15" totalsRowShown="0" headerRowDxfId="137" dataDxfId="135" headerRowBorderDxfId="136" tableBorderDxfId="134">
  <autoFilter ref="A2:S15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00000000-0010-0000-0600-000001000000}" name="Description:" dataDxfId="133"/>
    <tableColumn id="2" xr3:uid="{00000000-0010-0000-0600-000002000000}" name="Age Initiated:" dataDxfId="132">
      <calculatedColumnFormula>'Master Data'!$B$6</calculatedColumnFormula>
    </tableColumn>
    <tableColumn id="3" xr3:uid="{00000000-0010-0000-0600-000003000000}" name="Through Age:" dataDxfId="131">
      <calculatedColumnFormula>'Master Data'!$B$7</calculatedColumnFormula>
    </tableColumn>
    <tableColumn id="4" xr3:uid="{00000000-0010-0000-0600-000004000000}" name="Duration (Years):" dataDxfId="130">
      <calculatedColumnFormula>ROUND(C3-B3,1)</calculatedColumnFormula>
    </tableColumn>
    <tableColumn id="5" xr3:uid="{00000000-0010-0000-0600-000005000000}" name="Min Cost of Visit:" dataDxfId="129"/>
    <tableColumn id="6" xr3:uid="{00000000-0010-0000-0600-000006000000}" name="Max Cost of Visit:" dataDxfId="128"/>
    <tableColumn id="7" xr3:uid="{00000000-0010-0000-0600-000007000000}" name="Cost:" dataDxfId="127">
      <calculatedColumnFormula>IF(E3&lt;F3,CONCATENATE(TEXT(E3,"$#,##0.00"),CHAR(10)," - ",CHAR(10),TEXT(F3,"$#,##0.00")),TEXT(E3,"$#,##0.00"))</calculatedColumnFormula>
    </tableColumn>
    <tableColumn id="8" xr3:uid="{00000000-0010-0000-0600-000008000000}" name="Freq Min:" dataDxfId="126"/>
    <tableColumn id="9" xr3:uid="{00000000-0010-0000-0600-000009000000}" name="Freq Max:" dataDxfId="125"/>
    <tableColumn id="10" xr3:uid="{00000000-0010-0000-0600-00000A000000}" name="Time Period Min:" dataDxfId="124"/>
    <tableColumn id="11" xr3:uid="{00000000-0010-0000-0600-00000B000000}" name="Time Period Max:" dataDxfId="123"/>
    <tableColumn id="12" xr3:uid="{00000000-0010-0000-0600-00000C000000}" name="Time Value:" dataDxfId="122">
      <calculatedColumnFormula>IF(LEN(K3)=0,IF(LEN(J3)=0,"lifetime",IF(J3=1,"year","years")),"years")</calculatedColumnFormula>
    </tableColumn>
    <tableColumn id="13" xr3:uid="{00000000-0010-0000-0600-00000D000000}" name="Frequency:" dataDxfId="121">
      <calculatedColumnFormula>IF(L3="lifetime",
    IF(I3&lt;&gt;"", H3 &amp; "-" &amp; I3 &amp; "x/lifetime", H3 &amp; "x/lifetime"),
    IF(D3='Master Data'!$B$8, AD3 &amp; AE3, AD3 &amp; AE3 &amp; AC3))</calculatedColumnFormula>
    </tableColumn>
    <tableColumn id="14" xr3:uid="{00000000-0010-0000-0600-00000E000000}" name="Annual Cost Min:" dataDxfId="120">
      <calculatedColumnFormula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calculatedColumnFormula>
    </tableColumn>
    <tableColumn id="15" xr3:uid="{00000000-0010-0000-0600-00000F000000}" name="Annual Cost Max:" dataDxfId="119">
      <calculatedColumnFormula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calculatedColumnFormula>
    </tableColumn>
    <tableColumn id="16" xr3:uid="{00000000-0010-0000-0600-000010000000}" name="Annual Cost:" dataDxfId="118">
      <calculatedColumnFormula>IF(N3&lt;O3,CONCATENATE(TEXT(N3,"$#,##0.00"),CHAR(10)," - ",CHAR(10),TEXT(O3,"$#,##0.00")),TEXT(N3,"$0.00"))</calculatedColumnFormula>
    </tableColumn>
    <tableColumn id="17" xr3:uid="{00000000-0010-0000-0600-000011000000}" name="One-Time Cost Min:" dataDxfId="117">
      <calculatedColumnFormula>ROUND(IF(TimeValue="lifetime",MinCost*MinFreq,0),2)</calculatedColumnFormula>
    </tableColumn>
    <tableColumn id="18" xr3:uid="{00000000-0010-0000-0600-000012000000}" name="One-Time Cost Max:" dataDxfId="116">
      <calculatedColumnFormula>ROUND(IF(AND(TimeValue="lifetime",MaxFreq&lt;1),MinFreq*MaxCost,IF(AND(TimeValue="lifetime",MaxFreq&gt;=1),MaxFreq*MaxCost,0)),2)</calculatedColumnFormula>
    </tableColumn>
    <tableColumn id="19" xr3:uid="{00000000-0010-0000-0600-000013000000}" name="One-Time Cost:" dataDxfId="115">
      <calculatedColumnFormula>IF(Q3&lt;R3,CONCATENATE(TEXT(Q3,"$#,###"),CHAR(10)," - ",CHAR(10),TEXT(R3,"$#,###")),TEXT(Q3,"$0"))</calculatedColumnFormula>
    </tableColumn>
  </tableColumns>
  <tableStyleInfo name="LCP Tables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Table4" displayName="Table4" ref="A2:S19" totalsRowShown="0" headerRowDxfId="114" dataDxfId="112" headerRowBorderDxfId="113" tableBorderDxfId="111">
  <autoFilter ref="A2:S19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00000000-0010-0000-0700-000001000000}" name="Description:" dataDxfId="110"/>
    <tableColumn id="2" xr3:uid="{00000000-0010-0000-0700-000002000000}" name="Age Initiated:" dataDxfId="109">
      <calculatedColumnFormula>'Master Data'!$B$6</calculatedColumnFormula>
    </tableColumn>
    <tableColumn id="3" xr3:uid="{00000000-0010-0000-0700-000003000000}" name="Through Age:" dataDxfId="108">
      <calculatedColumnFormula>'Master Data'!$B$7</calculatedColumnFormula>
    </tableColumn>
    <tableColumn id="4" xr3:uid="{00000000-0010-0000-0700-000004000000}" name="Duration (Years):" dataDxfId="107">
      <calculatedColumnFormula>ROUND(C3-B3,1)</calculatedColumnFormula>
    </tableColumn>
    <tableColumn id="5" xr3:uid="{00000000-0010-0000-0700-000005000000}" name="Min Cost of Visit:" dataDxfId="106"/>
    <tableColumn id="6" xr3:uid="{00000000-0010-0000-0700-000006000000}" name="Max Cost of Visit:" dataDxfId="105"/>
    <tableColumn id="7" xr3:uid="{00000000-0010-0000-0700-000007000000}" name="Cost:" dataDxfId="104">
      <calculatedColumnFormula>IF(E3&lt;F3,CONCATENATE(TEXT(E3,"$#,##0.00"),CHAR(10)," - ",CHAR(10),TEXT(F3,"$#,##0.00")),TEXT(E3,"$#,##0.00"))</calculatedColumnFormula>
    </tableColumn>
    <tableColumn id="8" xr3:uid="{00000000-0010-0000-0700-000008000000}" name="Freq Min:" dataDxfId="103"/>
    <tableColumn id="9" xr3:uid="{00000000-0010-0000-0700-000009000000}" name="Freq Max:" dataDxfId="102"/>
    <tableColumn id="10" xr3:uid="{00000000-0010-0000-0700-00000A000000}" name="Time Period Min:" dataDxfId="101"/>
    <tableColumn id="11" xr3:uid="{00000000-0010-0000-0700-00000B000000}" name="Time Period Max:" dataDxfId="100"/>
    <tableColumn id="12" xr3:uid="{00000000-0010-0000-0700-00000C000000}" name="Time Value:" dataDxfId="99">
      <calculatedColumnFormula>IF(LEN(K3)=0,IF(LEN(J3)=0,"lifetime",IF(J3=1,"year","years")),"years")</calculatedColumnFormula>
    </tableColumn>
    <tableColumn id="13" xr3:uid="{00000000-0010-0000-0700-00000D000000}" name="Frequency:" dataDxfId="98">
      <calculatedColumnFormula>IF(L3="lifetime",
    IF(I3&lt;&gt;"", H3 &amp; "-" &amp; I3 &amp; "x/lifetime", H3 &amp; "x/lifetime"),
    IF(D3='Master Data'!$B$8, AD3 &amp; AE3, AD3 &amp; AE3 &amp; AC3))</calculatedColumnFormula>
    </tableColumn>
    <tableColumn id="14" xr3:uid="{00000000-0010-0000-0700-00000E000000}" name="Annual Cost Min:" dataDxfId="97">
      <calculatedColumnFormula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calculatedColumnFormula>
    </tableColumn>
    <tableColumn id="15" xr3:uid="{00000000-0010-0000-0700-00000F000000}" name="Annual Cost Max:" dataDxfId="96">
      <calculatedColumnFormula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calculatedColumnFormula>
    </tableColumn>
    <tableColumn id="16" xr3:uid="{00000000-0010-0000-0700-000010000000}" name="Annual Cost:" dataDxfId="95">
      <calculatedColumnFormula>IF(N3&lt;O3,CONCATENATE(TEXT(N3,"$#,##0.00"),CHAR(10)," - ",CHAR(10),TEXT(O3,"$#,##0.00")),TEXT(N3,"$0.00"))</calculatedColumnFormula>
    </tableColumn>
    <tableColumn id="17" xr3:uid="{00000000-0010-0000-0700-000011000000}" name="One-Time Cost Min:" dataDxfId="94">
      <calculatedColumnFormula>ROUND(IF(TimeValue="lifetime",MinCost*MinFreq,0),2)</calculatedColumnFormula>
    </tableColumn>
    <tableColumn id="18" xr3:uid="{00000000-0010-0000-0700-000012000000}" name="One-Time Cost Max:" dataDxfId="93">
      <calculatedColumnFormula>ROUND(IF(AND(TimeValue="lifetime",MaxFreq&lt;1),MinFreq*MaxCost,IF(AND(TimeValue="lifetime",MaxFreq&gt;=1),MaxFreq*MaxCost,0)),2)</calculatedColumnFormula>
    </tableColumn>
    <tableColumn id="19" xr3:uid="{00000000-0010-0000-0700-000013000000}" name="One-Time Cost:" dataDxfId="92">
      <calculatedColumnFormula>IF(Q3&lt;R3,CONCATENATE(TEXT(Q3,"$#,##0.00"),CHAR(10)," - ",CHAR(10),TEXT(R3,"$#,##0.00")),TEXT(Q3,"$0.00"))</calculatedColumnFormula>
    </tableColumn>
  </tableColumns>
  <tableStyleInfo name="LCP Tables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able5" displayName="Table5" ref="A2:S25" totalsRowShown="0" headerRowDxfId="91" dataDxfId="89" headerRowBorderDxfId="90" tableBorderDxfId="88">
  <autoFilter ref="A2:S25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00000000-0010-0000-0800-000001000000}" name="Description:" dataDxfId="87"/>
    <tableColumn id="2" xr3:uid="{00000000-0010-0000-0800-000002000000}" name="Age Initiated:" dataDxfId="86">
      <calculatedColumnFormula>'Master Data'!$B$6</calculatedColumnFormula>
    </tableColumn>
    <tableColumn id="3" xr3:uid="{00000000-0010-0000-0800-000003000000}" name="Through Age:" dataDxfId="85">
      <calculatedColumnFormula>'Master Data'!$B$7</calculatedColumnFormula>
    </tableColumn>
    <tableColumn id="4" xr3:uid="{00000000-0010-0000-0800-000004000000}" name="Duration (Years):" dataDxfId="84">
      <calculatedColumnFormula>ROUND(C3-B3,1)</calculatedColumnFormula>
    </tableColumn>
    <tableColumn id="5" xr3:uid="{00000000-0010-0000-0800-000005000000}" name="Min Cost of Visit:" dataDxfId="83">
      <calculatedColumnFormula>IF(
  A3="",
  0,
  MIN(
    INDEX(
      'Meds Sheet'!$B$24:$J$31,
      MATCH(A3, 'Meds Sheet'!$A$24:$A$31, 0),
      0
    )
  )
)</calculatedColumnFormula>
    </tableColumn>
    <tableColumn id="6" xr3:uid="{00000000-0010-0000-0800-000006000000}" name="Max Cost of Visit:" dataDxfId="82">
      <calculatedColumnFormula>IF(
  A3="",
  0,
  MAX(
    INDEX(
      'Meds Sheet'!$B$24:$J$31,
      MATCH(A3, 'Meds Sheet'!$A$24:$A$31, 0),
      0
    )
  )
)</calculatedColumnFormula>
    </tableColumn>
    <tableColumn id="7" xr3:uid="{00000000-0010-0000-0800-000007000000}" name="Cost:" dataDxfId="81">
      <calculatedColumnFormula>IF(E3&lt;F3,CONCATENATE(TEXT(E3,"$#,##0.00"),CHAR(10)," - ",CHAR(10),TEXT(F3,"$#,##0.00")),TEXT(E3,"$#,##0.00"))</calculatedColumnFormula>
    </tableColumn>
    <tableColumn id="8" xr3:uid="{00000000-0010-0000-0800-000008000000}" name="Freq Min:" dataDxfId="80"/>
    <tableColumn id="9" xr3:uid="{00000000-0010-0000-0800-000009000000}" name="Freq Max:" dataDxfId="79"/>
    <tableColumn id="10" xr3:uid="{00000000-0010-0000-0800-00000A000000}" name="Time Period Min:" dataDxfId="78"/>
    <tableColumn id="11" xr3:uid="{00000000-0010-0000-0800-00000B000000}" name="Time Period Max:" dataDxfId="77"/>
    <tableColumn id="12" xr3:uid="{00000000-0010-0000-0800-00000C000000}" name="Time Value:" dataDxfId="76">
      <calculatedColumnFormula>IF(LEN(K3)=0,IF(LEN(J3)=0,"lifetime",IF(J3=1,"year","years")),"years")</calculatedColumnFormula>
    </tableColumn>
    <tableColumn id="13" xr3:uid="{00000000-0010-0000-0800-00000D000000}" name="Frequency:" dataDxfId="75">
      <calculatedColumnFormula>IF(L3="lifetime",
    IF(I3&lt;&gt;"", H3 &amp; "-" &amp; I3 &amp; "x/lifetime", H3 &amp; "x/lifetime"),
    IF(D3='Master Data'!$B$8, AD3 &amp; AE3, AD3 &amp; AE3 &amp; AC3))</calculatedColumnFormula>
    </tableColumn>
    <tableColumn id="14" xr3:uid="{00000000-0010-0000-0800-00000E000000}" name="Annual Cost Min:" dataDxfId="74">
      <calculatedColumnFormula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calculatedColumnFormula>
    </tableColumn>
    <tableColumn id="15" xr3:uid="{00000000-0010-0000-0800-00000F000000}" name="Annual Cost Max:" dataDxfId="73">
      <calculatedColumnFormula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calculatedColumnFormula>
    </tableColumn>
    <tableColumn id="16" xr3:uid="{00000000-0010-0000-0800-000010000000}" name="Annual Cost:" dataDxfId="72">
      <calculatedColumnFormula>IF(N3&lt;O3,CONCATENATE(TEXT(N3,"$#,##0.00"),CHAR(10)," - ",CHAR(10),TEXT(O3,"$#,##0.00")),TEXT(N3,"$0.00"))</calculatedColumnFormula>
    </tableColumn>
    <tableColumn id="17" xr3:uid="{00000000-0010-0000-0800-000011000000}" name="One-Time Cost Min:" dataDxfId="71">
      <calculatedColumnFormula>ROUND(IF(TimeValue="lifetime",MinCost*MinFreq,0),2)</calculatedColumnFormula>
    </tableColumn>
    <tableColumn id="18" xr3:uid="{00000000-0010-0000-0800-000012000000}" name="One-Time Cost Max:" dataDxfId="70">
      <calculatedColumnFormula>ROUND(IF(AND(TimeValue="lifetime",MaxFreq&lt;1),MinFreq*MaxCost,IF(AND(TimeValue="lifetime",MaxFreq&gt;=1),MaxFreq*MaxCost,0)),2)</calculatedColumnFormula>
    </tableColumn>
    <tableColumn id="19" xr3:uid="{00000000-0010-0000-0800-000013000000}" name="One-Time Cost:" dataDxfId="69">
      <calculatedColumnFormula>IF(Q3&lt;R3,CONCATENATE(TEXT(Q3,"$#,##0.00"),CHAR(10)," - ",CHAR(10),TEXT(R3,"$#,##0.00")),TEXT(Q3,"$0.00"))</calculatedColumnFormula>
    </tableColumn>
  </tableColumns>
  <tableStyleInfo name="LCP Tables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A000000}" name="Table7" displayName="Table7" ref="A2:S25" totalsRowShown="0" headerRowDxfId="68" dataDxfId="66" headerRowBorderDxfId="67" tableBorderDxfId="65">
  <autoFilter ref="A2:S25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00000000-0010-0000-0A00-000001000000}" name="Description:" dataDxfId="64"/>
    <tableColumn id="2" xr3:uid="{00000000-0010-0000-0A00-000002000000}" name="Age Initiated:" dataDxfId="63">
      <calculatedColumnFormula>'Master Data'!$B$6</calculatedColumnFormula>
    </tableColumn>
    <tableColumn id="3" xr3:uid="{00000000-0010-0000-0A00-000003000000}" name="Through Age:" dataDxfId="62">
      <calculatedColumnFormula>'Master Data'!$B$7</calculatedColumnFormula>
    </tableColumn>
    <tableColumn id="4" xr3:uid="{00000000-0010-0000-0A00-000004000000}" name="Duration (Years):" dataDxfId="61">
      <calculatedColumnFormula>ROUND(C3-B3,1)</calculatedColumnFormula>
    </tableColumn>
    <tableColumn id="5" xr3:uid="{00000000-0010-0000-0A00-000005000000}" name="Min Cost of Visit:" dataDxfId="60">
      <calculatedColumnFormula array="1">IF(
  A3="",
  0,
  IF(
    OR(A3="Handyman Services",A3="Housekeeping Services"),
    MIN(
      INDEX(
        'Meds Sheet'!$A$36:$M$37,
        MATCH(A3,'Meds Sheet'!$A$36:$A$37,0),
        _xlfn.SWITCH(
          'Master Data'!$B$19,
          "Los Angeles",{2,3,4},
          "San Diego",{5,6,7},
          "San Francisco",{8,9,10},
          "Texas",{11,12,13}
        )
      )
    ),
    IF(
      A3="One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"Texas",{14,15,16,17}
          )
        )
      ),
      IF(
        A3="Thymoglobulin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"Texas",'Cost Data Sheet'!$E$2:$E$1006
            ),
            0
          )
        ),
        0
      )
    )
  )
)</calculatedColumnFormula>
    </tableColumn>
    <tableColumn id="6" xr3:uid="{00000000-0010-0000-0A00-000006000000}" name="Max Cost of Visit:" dataDxfId="59">
      <calculatedColumnFormula array="1">IF(
  A3="",
  0,
  IF(
    OR(A3="Handyman Services",A3="Housekeeping Services"),
    MAX(
      INDEX(
        'Meds Sheet'!$A$36:$M$37,
        MATCH(A3,'Meds Sheet'!$A$36:$A$37,0),
        _xlfn.SWITCH(
          'Master Data'!$B$19,
          "Los Angeles",{2,3,4},
          "San Diego",{5,6,7},
          "San Francisco",{8,9,10},
          "Texas",{11,12,13}
        )
      )
    ),
    IF(
      A3="One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"Texas",{14,15,16,17}
          )
        )
      ),
      IF(
        A3="Thymoglobulin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"Texas",'Cost Data Sheet'!$E$2:$E$1006
            ),
            0
          )
        ),
        0
      )
    )
  )
)</calculatedColumnFormula>
    </tableColumn>
    <tableColumn id="7" xr3:uid="{00000000-0010-0000-0A00-000007000000}" name="Cost:" dataDxfId="58">
      <calculatedColumnFormula>IF(E3&lt;F3,CONCATENATE(TEXT(E3,"$#,##0.00"),CHAR(10)," - ",CHAR(10),TEXT(F3,"$#,##0.00")),TEXT(E3,"$#,##0.00"))</calculatedColumnFormula>
    </tableColumn>
    <tableColumn id="8" xr3:uid="{00000000-0010-0000-0A00-000008000000}" name="Freq Min:" dataDxfId="57"/>
    <tableColumn id="9" xr3:uid="{00000000-0010-0000-0A00-000009000000}" name="Freq Max:" dataDxfId="56"/>
    <tableColumn id="10" xr3:uid="{00000000-0010-0000-0A00-00000A000000}" name="Time Period Min:" dataDxfId="55"/>
    <tableColumn id="11" xr3:uid="{00000000-0010-0000-0A00-00000B000000}" name="Time Period Max:" dataDxfId="54"/>
    <tableColumn id="12" xr3:uid="{00000000-0010-0000-0A00-00000C000000}" name="Time Value:" dataDxfId="53">
      <calculatedColumnFormula>IF(LEN(K3)=0,IF(LEN(J3)=0,"lifetime",IF(J3=1,"year","years")),"years")</calculatedColumnFormula>
    </tableColumn>
    <tableColumn id="13" xr3:uid="{00000000-0010-0000-0A00-00000D000000}" name="Frequency:" dataDxfId="52">
      <calculatedColumnFormula>IF(L3="lifetime",
    IF(I3&lt;&gt;"", H3 &amp; "-" &amp; I3 &amp; "x/lifetime", H3 &amp; "x/lifetime"),
    IF(D3='Master Data'!$B$8, AD3 &amp; AE3, AD3 &amp; AE3 &amp; AC3))</calculatedColumnFormula>
    </tableColumn>
    <tableColumn id="14" xr3:uid="{00000000-0010-0000-0A00-00000E000000}" name="Annual Cost Min:" dataDxfId="51">
      <calculatedColumnFormula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calculatedColumnFormula>
    </tableColumn>
    <tableColumn id="15" xr3:uid="{00000000-0010-0000-0A00-00000F000000}" name="Annual Cost Max:" dataDxfId="50">
      <calculatedColumnFormula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calculatedColumnFormula>
    </tableColumn>
    <tableColumn id="16" xr3:uid="{00000000-0010-0000-0A00-000010000000}" name="Annual Cost:" dataDxfId="49">
      <calculatedColumnFormula>IF(N3&lt;O3,CONCATENATE(TEXT(N3,"$#,##0.00"),CHAR(10)," - ",CHAR(10),TEXT(O3,"$#,##0.00")),TEXT(N3,"$0.00"))</calculatedColumnFormula>
    </tableColumn>
    <tableColumn id="17" xr3:uid="{00000000-0010-0000-0A00-000011000000}" name="One-Time Cost Min:" dataDxfId="48">
      <calculatedColumnFormula>ROUND(IF(TimeValue="lifetime",MinCost*MinFreq,0),2)</calculatedColumnFormula>
    </tableColumn>
    <tableColumn id="18" xr3:uid="{00000000-0010-0000-0A00-000012000000}" name="One-Time Cost Max:" dataDxfId="47">
      <calculatedColumnFormula>ROUND(IF(AND(TimeValue="lifetime",MaxFreq&lt;1),MinFreq*MaxCost,IF(AND(TimeValue="lifetime",MaxFreq&gt;=1),MaxFreq*MaxCost,0)),2)</calculatedColumnFormula>
    </tableColumn>
    <tableColumn id="19" xr3:uid="{00000000-0010-0000-0A00-000013000000}" name="One-Time Cost:" dataDxfId="46">
      <calculatedColumnFormula>IF(Q3&lt;R3,CONCATENATE(TEXT(Q3,"$#,##0.00"),CHAR(10)," - ",CHAR(10),TEXT(R3,"$#,##0.00")),TEXT(Q3,"$0.00"))</calculatedColumnFormula>
    </tableColumn>
  </tableColumns>
  <tableStyleInfo name="LCP Tables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B000000}" name="Table8" displayName="Table8" ref="A2:S11" totalsRowShown="0" headerRowDxfId="45" dataDxfId="43" headerRowBorderDxfId="44" tableBorderDxfId="42">
  <autoFilter ref="A2:S11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00000000-0010-0000-0B00-000001000000}" name="Description:" dataDxfId="41"/>
    <tableColumn id="2" xr3:uid="{00000000-0010-0000-0B00-000002000000}" name="Age Initiated:" dataDxfId="40">
      <calculatedColumnFormula>'Master Data'!$B$6</calculatedColumnFormula>
    </tableColumn>
    <tableColumn id="3" xr3:uid="{00000000-0010-0000-0B00-000003000000}" name="Through Age:" dataDxfId="39">
      <calculatedColumnFormula>'Master Data'!$B$7</calculatedColumnFormula>
    </tableColumn>
    <tableColumn id="4" xr3:uid="{00000000-0010-0000-0B00-000004000000}" name="Duration (Years):" dataDxfId="38">
      <calculatedColumnFormula>ROUND(C3-B3,1)</calculatedColumnFormula>
    </tableColumn>
    <tableColumn id="5" xr3:uid="{00000000-0010-0000-0B00-000005000000}" name="Min Cost of Visit:" dataDxfId="37"/>
    <tableColumn id="6" xr3:uid="{00000000-0010-0000-0B00-000006000000}" name="Max Cost of Visit:" dataDxfId="36"/>
    <tableColumn id="7" xr3:uid="{00000000-0010-0000-0B00-000007000000}" name="Cost:" dataDxfId="35">
      <calculatedColumnFormula>IF(E3&lt;F3,CONCATENATE(TEXT(E3,"$#,##0.00"),CHAR(10)," - ",CHAR(10),TEXT(F3,"$#,##0.00")),TEXT(E3,"$#,##0.00"))</calculatedColumnFormula>
    </tableColumn>
    <tableColumn id="8" xr3:uid="{00000000-0010-0000-0B00-000008000000}" name="Freq Min:" dataDxfId="34"/>
    <tableColumn id="9" xr3:uid="{00000000-0010-0000-0B00-000009000000}" name="Freq Max:" dataDxfId="33"/>
    <tableColumn id="10" xr3:uid="{00000000-0010-0000-0B00-00000A000000}" name="Time Period Min:" dataDxfId="32"/>
    <tableColumn id="11" xr3:uid="{00000000-0010-0000-0B00-00000B000000}" name="Time Period Max:" dataDxfId="31"/>
    <tableColumn id="12" xr3:uid="{00000000-0010-0000-0B00-00000C000000}" name="Time Value:" dataDxfId="30">
      <calculatedColumnFormula>IF(LEN(K3)=0,IF(LEN(J3)=0,"lifetime",IF(J3=1,"year","years")),"years")</calculatedColumnFormula>
    </tableColumn>
    <tableColumn id="13" xr3:uid="{00000000-0010-0000-0B00-00000D000000}" name="Frequency:" dataDxfId="29">
      <calculatedColumnFormula>IF(L3="lifetime",
    IF(I3&lt;&gt;"", H3 &amp; "-" &amp; I3 &amp; "x/lifetime", H3 &amp; "x/lifetime"),
    IF(D3='Master Data'!$B$8, AD3 &amp; AE3, AD3 &amp; AE3 &amp; AC3))</calculatedColumnFormula>
    </tableColumn>
    <tableColumn id="14" xr3:uid="{00000000-0010-0000-0B00-00000E000000}" name="Annual Cost Min:" dataDxfId="28">
      <calculatedColumnFormula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calculatedColumnFormula>
    </tableColumn>
    <tableColumn id="15" xr3:uid="{00000000-0010-0000-0B00-00000F000000}" name="Annual Cost Max:" dataDxfId="27">
      <calculatedColumnFormula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calculatedColumnFormula>
    </tableColumn>
    <tableColumn id="16" xr3:uid="{00000000-0010-0000-0B00-000010000000}" name="Annual Cost:" dataDxfId="26">
      <calculatedColumnFormula>IF(N3&lt;O3,CONCATENATE(TEXT(N3,"$#,##0.00"),CHAR(10)," - ",CHAR(10),TEXT(O3,"$#,##0.00")),TEXT(N3,"$0.00"))</calculatedColumnFormula>
    </tableColumn>
    <tableColumn id="17" xr3:uid="{00000000-0010-0000-0B00-000011000000}" name="One-Time Cost Min:" dataDxfId="25">
      <calculatedColumnFormula>ROUND(IF(TimeValue="lifetime",MinCost*MinFreq,0),2)</calculatedColumnFormula>
    </tableColumn>
    <tableColumn id="18" xr3:uid="{00000000-0010-0000-0B00-000012000000}" name="One-Time Cost Max:" dataDxfId="24">
      <calculatedColumnFormula>ROUND(IF(AND(TimeValue="lifetime",MaxFreq&lt;1),MinFreq*MaxCost,IF(AND(TimeValue="lifetime",MaxFreq&gt;=1),MaxFreq*MaxCost,0)),2)</calculatedColumnFormula>
    </tableColumn>
    <tableColumn id="19" xr3:uid="{00000000-0010-0000-0B00-000013000000}" name="One-Time Cost:" dataDxfId="23">
      <calculatedColumnFormula>IF(Q3&lt;R3,CONCATENATE(TEXT(Q3,"$#,##0.00"),CHAR(10)," - ",CHAR(10),TEXT(R3,"$#,##0.00")),TEXT(Q3,"$0.00"))</calculatedColumnFormula>
    </tableColumn>
  </tableColumns>
  <tableStyleInfo name="LCP Tables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D000000}" name="Table10" displayName="Table10" ref="A2:S11" totalsRowShown="0" headerRowDxfId="22" dataDxfId="20" headerRowBorderDxfId="21" tableBorderDxfId="19">
  <autoFilter ref="A2:S11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00000000-0010-0000-0D00-000001000000}" name="Description:" dataDxfId="18"/>
    <tableColumn id="2" xr3:uid="{00000000-0010-0000-0D00-000002000000}" name="Age Initiated:" dataDxfId="17">
      <calculatedColumnFormula>'Master Data'!$B$6</calculatedColumnFormula>
    </tableColumn>
    <tableColumn id="3" xr3:uid="{00000000-0010-0000-0D00-000003000000}" name="Through Age:" dataDxfId="16">
      <calculatedColumnFormula>'Master Data'!$B$7</calculatedColumnFormula>
    </tableColumn>
    <tableColumn id="4" xr3:uid="{00000000-0010-0000-0D00-000004000000}" name="Duration (Years):" dataDxfId="15">
      <calculatedColumnFormula>ROUND(C3-B3,1)</calculatedColumnFormula>
    </tableColumn>
    <tableColumn id="5" xr3:uid="{00000000-0010-0000-0D00-000005000000}" name="Min Cost of Visit:" dataDxfId="14"/>
    <tableColumn id="6" xr3:uid="{00000000-0010-0000-0D00-000006000000}" name="Max Cost of Visit:" dataDxfId="13"/>
    <tableColumn id="7" xr3:uid="{00000000-0010-0000-0D00-000007000000}" name="Cost:" dataDxfId="12">
      <calculatedColumnFormula>IF(E3&lt;F3,CONCATENATE(TEXT(E3,"$#,##0.00"),CHAR(10)," - ",CHAR(10),TEXT(F3,"$#,##0.00")),TEXT(E3,"$#,##0.00"))</calculatedColumnFormula>
    </tableColumn>
    <tableColumn id="8" xr3:uid="{00000000-0010-0000-0D00-000008000000}" name="Freq Min:" dataDxfId="11"/>
    <tableColumn id="9" xr3:uid="{00000000-0010-0000-0D00-000009000000}" name="Freq Max:" dataDxfId="10"/>
    <tableColumn id="10" xr3:uid="{00000000-0010-0000-0D00-00000A000000}" name="Time Period Min:" dataDxfId="9"/>
    <tableColumn id="11" xr3:uid="{00000000-0010-0000-0D00-00000B000000}" name="Time Period Max:" dataDxfId="8"/>
    <tableColumn id="12" xr3:uid="{00000000-0010-0000-0D00-00000C000000}" name="Time Value:" dataDxfId="7">
      <calculatedColumnFormula>IF(LEN(K3)=0,IF(LEN(J3)=0,"lifetime",IF(J3=1,"year","years")),"years")</calculatedColumnFormula>
    </tableColumn>
    <tableColumn id="13" xr3:uid="{00000000-0010-0000-0D00-00000D000000}" name="Frequency:" dataDxfId="6">
      <calculatedColumnFormula>IF(L3="lifetime",
    IF(I3&lt;&gt;"", H3 &amp; "-" &amp; I3 &amp; "x/lifetime", H3 &amp; "x/lifetime"),
    IF(D3='Master Data'!$B$8, AD3 &amp; AE3, AD3 &amp; AE3 &amp; AC3))</calculatedColumnFormula>
    </tableColumn>
    <tableColumn id="14" xr3:uid="{00000000-0010-0000-0D00-00000E000000}" name="Annual Cost Min:" dataDxfId="5">
      <calculatedColumnFormula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calculatedColumnFormula>
    </tableColumn>
    <tableColumn id="15" xr3:uid="{00000000-0010-0000-0D00-00000F000000}" name="Annual Cost Max:" dataDxfId="4">
      <calculatedColumnFormula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calculatedColumnFormula>
    </tableColumn>
    <tableColumn id="16" xr3:uid="{00000000-0010-0000-0D00-000010000000}" name="Annual Cost:" dataDxfId="3">
      <calculatedColumnFormula>IF(N3&lt;O3,CONCATENATE(TEXT(N3,"$#,##0.00"),CHAR(10)," - ",CHAR(10),TEXT(O3,"$#,##0.00")),TEXT(N3,"$0.00"))</calculatedColumnFormula>
    </tableColumn>
    <tableColumn id="17" xr3:uid="{00000000-0010-0000-0D00-000011000000}" name="One-Time Cost Min:" dataDxfId="2">
      <calculatedColumnFormula>ROUND(IF(TimeValue="lifetime",MinCost*MinFreq,0),2)</calculatedColumnFormula>
    </tableColumn>
    <tableColumn id="18" xr3:uid="{00000000-0010-0000-0D00-000012000000}" name="One-Time Cost Max:" dataDxfId="1">
      <calculatedColumnFormula>ROUND(IF(AND(TimeValue="lifetime",MaxFreq&lt;1),MinFreq*MaxCost,IF(AND(TimeValue="lifetime",MaxFreq&gt;=1),MaxFreq*MaxCost,0)),2)</calculatedColumnFormula>
    </tableColumn>
    <tableColumn id="19" xr3:uid="{00000000-0010-0000-0D00-000013000000}" name="One-Time Cost:" dataDxfId="0">
      <calculatedColumnFormula>IF(Q3&lt;R3,CONCATENATE(TEXT(Q3,"$#,##0.00"),CHAR(10)," - ",CHAR(10),TEXT(R3,"$#,##0.00")),TEXT(Q3,"$0.00"))</calculatedColumnFormula>
    </tableColumn>
  </tableColumns>
  <tableStyleInfo name="LCP Tables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30"/>
  <sheetViews>
    <sheetView workbookViewId="0">
      <selection activeCell="B19" sqref="B19"/>
    </sheetView>
  </sheetViews>
  <sheetFormatPr defaultColWidth="9.140625" defaultRowHeight="15" x14ac:dyDescent="0.25"/>
  <cols>
    <col min="1" max="1" width="20.140625" style="1" customWidth="1"/>
    <col min="2" max="2" width="17.85546875" style="46" customWidth="1"/>
    <col min="3" max="4" width="9.140625" style="2" customWidth="1"/>
    <col min="5" max="20" width="9.140625" style="2"/>
    <col min="21" max="22" width="11.5703125" style="2" hidden="1" customWidth="1"/>
    <col min="23" max="16384" width="9.140625" style="2"/>
  </cols>
  <sheetData>
    <row r="1" spans="1:22" ht="18.75" customHeight="1" x14ac:dyDescent="0.25">
      <c r="A1" s="1" t="s">
        <v>0</v>
      </c>
      <c r="B1" s="75">
        <f ca="1">TODAY()</f>
        <v>46129</v>
      </c>
      <c r="F1" s="95"/>
      <c r="G1" s="95"/>
    </row>
    <row r="2" spans="1:22" ht="18.75" customHeight="1" x14ac:dyDescent="0.25">
      <c r="A2" s="3" t="s">
        <v>1</v>
      </c>
      <c r="B2" s="96"/>
    </row>
    <row r="3" spans="1:22" ht="18.75" customHeight="1" x14ac:dyDescent="0.25">
      <c r="A3" s="3" t="s">
        <v>2</v>
      </c>
      <c r="B3" s="76"/>
      <c r="G3" s="104"/>
      <c r="U3" s="102" t="s">
        <v>194</v>
      </c>
      <c r="V3" s="2" t="s">
        <v>195</v>
      </c>
    </row>
    <row r="4" spans="1:22" ht="18.75" customHeight="1" x14ac:dyDescent="0.25">
      <c r="A4" s="3" t="s">
        <v>6</v>
      </c>
      <c r="B4" s="96"/>
      <c r="D4" s="79"/>
      <c r="U4" s="102" t="s">
        <v>153</v>
      </c>
      <c r="V4" s="2">
        <v>2</v>
      </c>
    </row>
    <row r="5" spans="1:22" ht="18.75" hidden="1" customHeight="1" x14ac:dyDescent="0.25">
      <c r="A5" s="3" t="s">
        <v>55</v>
      </c>
      <c r="B5" s="96" t="s">
        <v>56</v>
      </c>
      <c r="U5" s="102" t="s">
        <v>152</v>
      </c>
      <c r="V5" s="2">
        <v>3</v>
      </c>
    </row>
    <row r="6" spans="1:22" ht="18.75" customHeight="1" x14ac:dyDescent="0.25">
      <c r="A6" s="1" t="s">
        <v>3</v>
      </c>
      <c r="B6" s="77">
        <f ca="1">ROUND((B1-B3)/365.25,1)</f>
        <v>126.3</v>
      </c>
      <c r="U6" s="102" t="s">
        <v>151</v>
      </c>
      <c r="V6" s="2">
        <v>4</v>
      </c>
    </row>
    <row r="7" spans="1:22" ht="18.75" customHeight="1" x14ac:dyDescent="0.25">
      <c r="A7" s="1" t="s">
        <v>4</v>
      </c>
      <c r="B7" s="78">
        <f ca="1">B8+B6</f>
        <v>136.30000000000001</v>
      </c>
      <c r="K7" s="102" t="s">
        <v>93</v>
      </c>
      <c r="U7" s="102" t="s">
        <v>329</v>
      </c>
      <c r="V7" s="2">
        <v>5</v>
      </c>
    </row>
    <row r="8" spans="1:22" ht="18.75" customHeight="1" x14ac:dyDescent="0.25">
      <c r="A8" s="1" t="s">
        <v>5</v>
      </c>
      <c r="B8" s="77">
        <v>10</v>
      </c>
    </row>
    <row r="9" spans="1:22" ht="18.75" hidden="1" customHeight="1" x14ac:dyDescent="0.25">
      <c r="A9" s="74" t="s">
        <v>46</v>
      </c>
      <c r="B9" s="60" t="str">
        <f>CONCATENATE(Race," ",Sex)</f>
        <v xml:space="preserve">Only </v>
      </c>
    </row>
    <row r="10" spans="1:22" ht="18.75" hidden="1" customHeight="1" x14ac:dyDescent="0.25">
      <c r="A10" s="1" t="s">
        <v>47</v>
      </c>
      <c r="B10" s="46" t="e">
        <f>VLOOKUP(B9,'Drop Downs'!S11:T21,2,FALSE)</f>
        <v>#N/A</v>
      </c>
    </row>
    <row r="11" spans="1:22" ht="18.75" customHeight="1" x14ac:dyDescent="0.25"/>
    <row r="12" spans="1:22" ht="18.75" customHeight="1" x14ac:dyDescent="0.25"/>
    <row r="13" spans="1:22" ht="18.75" customHeight="1" x14ac:dyDescent="0.25">
      <c r="A13" s="1" t="s">
        <v>53</v>
      </c>
      <c r="B13" s="60" t="str">
        <f>IF(Sex="Male","Mr. ","Ms. ")</f>
        <v xml:space="preserve">Ms. </v>
      </c>
    </row>
    <row r="14" spans="1:22" ht="18.75" customHeight="1" x14ac:dyDescent="0.25">
      <c r="A14" s="1" t="s">
        <v>54</v>
      </c>
      <c r="B14" s="60" t="e">
        <f>RIGHT(B2,LEN(B2)-FIND(" ",B2))</f>
        <v>#VALUE!</v>
      </c>
    </row>
    <row r="15" spans="1:22" ht="18.75" customHeight="1" x14ac:dyDescent="0.25"/>
    <row r="18" spans="1:16" ht="28.5" customHeight="1" x14ac:dyDescent="0.2">
      <c r="A18" s="329" t="s">
        <v>149</v>
      </c>
      <c r="B18" s="329"/>
      <c r="C18" s="329"/>
      <c r="D18" s="329"/>
      <c r="E18" s="329"/>
      <c r="F18" s="329"/>
      <c r="G18" s="329"/>
      <c r="H18" s="329"/>
      <c r="I18" s="329"/>
      <c r="J18" s="329"/>
    </row>
    <row r="19" spans="1:16" x14ac:dyDescent="0.25">
      <c r="A19" s="1" t="s">
        <v>150</v>
      </c>
      <c r="B19" s="46" t="s">
        <v>153</v>
      </c>
    </row>
    <row r="24" spans="1:16" x14ac:dyDescent="0.25">
      <c r="P24" s="102"/>
    </row>
    <row r="30" spans="1:16" x14ac:dyDescent="0.25">
      <c r="I30" s="102" t="s">
        <v>93</v>
      </c>
    </row>
  </sheetData>
  <mergeCells count="1">
    <mergeCell ref="A18:J18"/>
  </mergeCells>
  <dataValidations count="4">
    <dataValidation operator="lessThanOrEqual" allowBlank="1" showInputMessage="1" showErrorMessage="1" sqref="B6" xr:uid="{00000000-0002-0000-0000-000000000000}"/>
    <dataValidation type="list" allowBlank="1" showInputMessage="1" showErrorMessage="1" prompt="Select ethnicity" sqref="B5" xr:uid="{00000000-0002-0000-0000-000001000000}">
      <formula1>Ethnicity</formula1>
    </dataValidation>
    <dataValidation type="list" allowBlank="1" showInputMessage="1" showErrorMessage="1" prompt="Select gender" sqref="B4" xr:uid="{00000000-0002-0000-0000-000002000000}">
      <formula1>Gender</formula1>
    </dataValidation>
    <dataValidation type="list" allowBlank="1" showInputMessage="1" showErrorMessage="1" sqref="B19" xr:uid="{27844EED-8866-4193-AF23-82B3AA18EE42}">
      <formula1>$U$4:$U$7</formula1>
    </dataValidation>
  </dataValidations>
  <printOptions gridLines="1"/>
  <pageMargins left="0.25" right="0.25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39"/>
  <sheetViews>
    <sheetView workbookViewId="0">
      <selection sqref="A1:S1"/>
    </sheetView>
  </sheetViews>
  <sheetFormatPr defaultColWidth="9.140625" defaultRowHeight="14.25" x14ac:dyDescent="0.2"/>
  <cols>
    <col min="1" max="1" width="19.7109375" style="169" customWidth="1"/>
    <col min="2" max="3" width="9.7109375" style="164" customWidth="1"/>
    <col min="4" max="4" width="13.42578125" style="164" customWidth="1"/>
    <col min="5" max="6" width="13.28515625" style="165" customWidth="1"/>
    <col min="7" max="7" width="15.7109375" style="181" hidden="1" customWidth="1"/>
    <col min="8" max="11" width="8.7109375" style="170" customWidth="1"/>
    <col min="12" max="12" width="10.85546875" style="169" customWidth="1"/>
    <col min="13" max="13" width="17.7109375" style="182" customWidth="1"/>
    <col min="14" max="15" width="12.28515625" style="165" hidden="1" customWidth="1"/>
    <col min="16" max="16" width="14.7109375" style="183" customWidth="1"/>
    <col min="17" max="18" width="12.28515625" style="165" hidden="1" customWidth="1"/>
    <col min="19" max="19" width="14.7109375" style="183" customWidth="1"/>
    <col min="20" max="20" width="9.140625" style="166"/>
    <col min="21" max="21" width="9.140625" style="166" hidden="1" customWidth="1"/>
    <col min="22" max="23" width="9.140625" style="166"/>
    <col min="24" max="25" width="9.140625" style="166" customWidth="1"/>
    <col min="26" max="26" width="9.140625" style="166"/>
    <col min="27" max="28" width="10.5703125" style="166" hidden="1" customWidth="1"/>
    <col min="29" max="31" width="9.140625" style="166" hidden="1" customWidth="1"/>
    <col min="32" max="16384" width="9.140625" style="166"/>
  </cols>
  <sheetData>
    <row r="1" spans="1:31" ht="30" customHeight="1" thickTop="1" x14ac:dyDescent="0.2">
      <c r="A1" s="331" t="s">
        <v>193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3"/>
    </row>
    <row r="2" spans="1:31" s="167" customFormat="1" ht="57.75" thickBot="1" x14ac:dyDescent="0.3">
      <c r="A2" s="149" t="s">
        <v>33</v>
      </c>
      <c r="B2" s="150" t="s">
        <v>15</v>
      </c>
      <c r="C2" s="150" t="s">
        <v>16</v>
      </c>
      <c r="D2" s="150" t="s">
        <v>17</v>
      </c>
      <c r="E2" s="151" t="s">
        <v>18</v>
      </c>
      <c r="F2" s="151" t="s">
        <v>19</v>
      </c>
      <c r="G2" s="151" t="s">
        <v>29</v>
      </c>
      <c r="H2" s="152" t="s">
        <v>20</v>
      </c>
      <c r="I2" s="152" t="s">
        <v>21</v>
      </c>
      <c r="J2" s="152" t="s">
        <v>22</v>
      </c>
      <c r="K2" s="152" t="s">
        <v>23</v>
      </c>
      <c r="L2" s="153" t="s">
        <v>24</v>
      </c>
      <c r="M2" s="153" t="s">
        <v>30</v>
      </c>
      <c r="N2" s="151" t="s">
        <v>25</v>
      </c>
      <c r="O2" s="151" t="s">
        <v>26</v>
      </c>
      <c r="P2" s="153" t="s">
        <v>31</v>
      </c>
      <c r="Q2" s="151" t="s">
        <v>27</v>
      </c>
      <c r="R2" s="151" t="s">
        <v>28</v>
      </c>
      <c r="S2" s="174" t="s">
        <v>34</v>
      </c>
      <c r="U2" s="154" t="s">
        <v>48</v>
      </c>
      <c r="AA2" s="207" t="s">
        <v>148</v>
      </c>
      <c r="AB2" s="207" t="s">
        <v>144</v>
      </c>
      <c r="AC2" s="207" t="s">
        <v>145</v>
      </c>
      <c r="AD2" s="207" t="s">
        <v>146</v>
      </c>
      <c r="AE2" s="207" t="s">
        <v>147</v>
      </c>
    </row>
    <row r="3" spans="1:31" ht="45" customHeight="1" thickTop="1" x14ac:dyDescent="0.25">
      <c r="A3" s="132" t="s">
        <v>160</v>
      </c>
      <c r="B3" s="127">
        <f ca="1">'Master Data'!$B$6</f>
        <v>126.3</v>
      </c>
      <c r="C3" s="127">
        <f ca="1">'Master Data'!$B$7</f>
        <v>136.30000000000001</v>
      </c>
      <c r="D3" s="129">
        <f ca="1">ROUND(C3-B3,1)</f>
        <v>10</v>
      </c>
      <c r="E3" s="128" cm="1">
        <f t="array" ref="E3">IF(
  $A3="Single Lung Transplant",
  _xlfn.XLOOKUP(1,'Cost Data Sheet'!$A$2:$A$1003,'Cost Data Sheet'!$F$2:$F$1003),
  IF(
    $A3="Double Lung Transplant",
    _xlfn.XLOOKUP(2,'Cost Data Sheet'!$A$2:$A$1003,'Cost Data Sheet'!$F$2:$F$1003),
    SUMPRODUCT(
      ('Service to CPT Map'!$A$2:$A$1017=$A3)*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Map'!$A$2:$A$1017,$A3,
        'Service to CPT Map'!$B$2:$B$1017,"Low",
        'Service to CPT Map'!$D$2:$D$1017,"Anesthesia"
      )&gt;0,
      SUMPRODUCT(
        ('Service to CPT Map'!$A$2:$A$1017=$A3)*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Map'!$A$2:$A$1017=$A3)*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Map'!$A$2:$A$1017=$A3)*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Map'!$A$2:$A$1017=$A3)*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2346500</v>
      </c>
      <c r="F3" s="128" cm="1">
        <f t="array" ref="F3">IF(
  OR($A3="Single Lung Transplant",$A3="Double Lung Transplant"),
  E3,
  SUMPRODUCT(
    ('Service to CPT Map'!$A$2:$A$1017=$A3)*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Map'!$A$2:$A$1017,$A3,
      'Service to CPT Map'!$B$2:$B$1017,"High",
      'Service to CPT Map'!$D$2:$D$1017,"Anesthesia"
    )&gt;0,
    SUMPRODUCT(
      ('Service to CPT Map'!$A$2:$A$1017=$A3)*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Map'!$A$2:$A$1017=$A3)*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Map'!$A$2:$A$1017=$A3)*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Map'!$A$2:$A$1017=$A3)*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2346500</v>
      </c>
      <c r="G3" s="144" t="str">
        <f>IF(E3&lt;F3,CONCATENATE(TEXT(E3,"$#,##0.00"),CHAR(10)," - ",CHAR(10),TEXT(F3,"$#,##0.00")),TEXT(E3,"$#,##0.00"))</f>
        <v>$2,346,500.00</v>
      </c>
      <c r="H3" s="133">
        <v>1</v>
      </c>
      <c r="I3" s="133"/>
      <c r="J3" s="133"/>
      <c r="K3" s="133"/>
      <c r="L3" s="134" t="str">
        <f>IF(LEN(K3)=0,IF(LEN(J3)=0,"lifetime",IF(J3=1,"year","years")),"years")</f>
        <v>lifetime</v>
      </c>
      <c r="M3" s="175" t="str">
        <f>IF(L3="lifetime",
    IF(I3&lt;&gt;"", H3 &amp; "-" &amp; I3 &amp; "x/lifetime", H3 &amp; "x/lifetime"),
    IF(D3='Master Data'!$B$8, AD3 &amp; AE3, AD3 &amp; AE3 &amp; AC3))</f>
        <v>1x/lifetime</v>
      </c>
      <c r="N3" s="128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3" s="128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3" s="184" t="str">
        <f>IF(N3&lt;O3,CONCATENATE(TEXT(N3,"$#,###.00"),CHAR(10)," - ",CHAR(10),TEXT(O3,"$#,####.00")),TEXT(N3,"$0.00"))</f>
        <v>$0.00</v>
      </c>
      <c r="Q3" s="128">
        <f>ROUND(IF(TimeValue="lifetime",MinCost*MinFreq,0),2)</f>
        <v>2346500</v>
      </c>
      <c r="R3" s="128">
        <f>ROUND(IF(AND(TimeValue="lifetime",MaxFreq&lt;1),MinFreq*MaxCost,IF(AND(TimeValue="lifetime",MaxFreq&gt;=1),MaxFreq*MaxCost,0)),2)</f>
        <v>2346500</v>
      </c>
      <c r="S3" s="185" t="str">
        <f>IF(Q3&lt;R3,CONCATENATE(TEXT(Q3,"$#,##0.00"),CHAR(10)," - ",CHAR(10),TEXT(R3,"$#,##0.00")),TEXT(Q3,"$#,##0.00"))</f>
        <v>$2,346,500.00</v>
      </c>
      <c r="U3" s="166" t="str">
        <f t="array" aca="1" ref="U3" ca="1">IF(AND(ROUND(Table14[Duration (Years):],1)='Master Data'!$B$8),"same","different")</f>
        <v>different</v>
      </c>
      <c r="V3" s="330" t="s">
        <v>133</v>
      </c>
      <c r="W3" s="330"/>
      <c r="AA3" s="166" t="str">
        <f>IF(L3="lifetime", "one-time cost", IF(D3='Master Data'!$B$8, AD3 &amp; AE3, AD3 &amp; AE3 &amp; AC3))</f>
        <v>one-time cost</v>
      </c>
      <c r="AB3" s="208" t="str">
        <f>IF(L3="lifetime", IF(I3&lt;&gt;"", H3 &amp; "-" &amp; I3 &amp; "x/lifetime", H3 &amp; "x/lifetime"), "ongoing cost")</f>
        <v>1x/lifetime</v>
      </c>
      <c r="AC3" s="166" t="str">
        <f ca="1">IF(Table14[[#This Row],[Duration (Years):]]&lt;&gt;'Master Data'!$B$8,CONCATENATE(",",CHAR(10),"for ",Table14[[#This Row],[Duration (Years):]]," years"),"lifelong")</f>
        <v>lifelong</v>
      </c>
      <c r="AD3" s="166" t="str">
        <f>IF(L3="lifetime", "one-time cost", IF(I3&lt;&gt;"", H3 &amp; "-" &amp; I3 &amp; "x/", H3 &amp; "x/"))</f>
        <v>one-time cost</v>
      </c>
      <c r="AE3" s="166" t="str">
        <f>IF(L3="lifetime", "one-time cost", IF(K3&lt;&gt;"", J3 &amp; "-" &amp; K3 &amp; " " &amp; L3, IF(J3&gt;1, J3 &amp; " " &amp; L3, L3)))</f>
        <v>one-time cost</v>
      </c>
    </row>
    <row r="4" spans="1:31" ht="45" customHeight="1" x14ac:dyDescent="0.25">
      <c r="A4" s="288" t="s">
        <v>197</v>
      </c>
      <c r="B4" s="129">
        <f ca="1">'Master Data'!$B$6</f>
        <v>126.3</v>
      </c>
      <c r="C4" s="129">
        <f ca="1">'Master Data'!$B$7</f>
        <v>136.30000000000001</v>
      </c>
      <c r="D4" s="129">
        <f ca="1">ROUND(C4-B4,1)</f>
        <v>10</v>
      </c>
      <c r="E4" s="130" cm="1">
        <f t="array" ref="E4">IF(
  $A4="Single Lung Transplant",
  _xlfn.XLOOKUP(1,'Cost Data Sheet'!$A$2:$A$1003,'Cost Data Sheet'!$F$2:$F$1003),
  IF(
    $A4="Double Lung Transplant",
    _xlfn.XLOOKUP(2,'Cost Data Sheet'!$A$2:$A$1003,'Cost Data Sheet'!$F$2:$F$1003),
    SUMPRODUCT(
      ('Service to CPT Map'!$A$2:$A$1017=$A4)*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Map'!$A$2:$A$1017,$A4,
        'Service to CPT Map'!$B$2:$B$1017,"Low",
        'Service to CPT Map'!$D$2:$D$1017,"Anesthesia"
      )&gt;0,
      SUMPRODUCT(
        ('Service to CPT Map'!$A$2:$A$1017=$A4)*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Map'!$A$2:$A$1017=$A4)*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Map'!$A$2:$A$1017=$A4)*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Map'!$A$2:$A$1017=$A4)*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16863</v>
      </c>
      <c r="F4" s="130" cm="1">
        <f t="array" ref="F4">IF(
  OR($A4="Single Lung Transplant",$A4="Double Lung Transplant"),
  E4,
  SUMPRODUCT(
    ('Service to CPT Map'!$A$2:$A$1017=$A4)*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Map'!$A$2:$A$1017,$A4,
      'Service to CPT Map'!$B$2:$B$1017,"High",
      'Service to CPT Map'!$D$2:$D$1017,"Anesthesia"
    )&gt;0,
    SUMPRODUCT(
      ('Service to CPT Map'!$A$2:$A$1017=$A4)*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Map'!$A$2:$A$1017=$A4)*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Map'!$A$2:$A$1017=$A4)*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Map'!$A$2:$A$1017=$A4)*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22139</v>
      </c>
      <c r="G4" s="145" t="str">
        <f>IF(E4&lt;F4,CONCATENATE(TEXT(E4,"$#,##0.00"),CHAR(10)," - ",CHAR(10),TEXT(F4,"$#,##0.00")),TEXT(E4,"$#,##0.00"))</f>
        <v>$16,863.00
 - 
$22,139.00</v>
      </c>
      <c r="H4" s="136">
        <v>5</v>
      </c>
      <c r="I4" s="136"/>
      <c r="J4" s="136"/>
      <c r="K4" s="136"/>
      <c r="L4" s="134" t="str">
        <f>IF(LEN(K4)=0,IF(LEN(J4)=0,"lifetime",IF(J4=1,"year","years")),"years")</f>
        <v>lifetime</v>
      </c>
      <c r="M4" s="176" t="str">
        <f>IF(L4="lifetime",
    IF(I4&lt;&gt;"", H4 &amp; "-" &amp; I4 &amp; "x/lifetime", H4 &amp; "x/lifetime"),
    IF(D4='Master Data'!$B$8, AD4 &amp; AE4, AD4 &amp; AE4 &amp; AC4))</f>
        <v>5x/lifetime</v>
      </c>
      <c r="N4" s="130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4" s="130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4" s="186" t="str">
        <f>IF(N4&lt;O4,CONCATENATE(TEXT(N4,"$#,###.00"),CHAR(10)," - ",CHAR(10),TEXT(O4,"$#,####.00")),TEXT(N4,"$0.00"))</f>
        <v>$0.00</v>
      </c>
      <c r="Q4" s="130">
        <f>ROUND(IF(TimeValue="lifetime",MinCost*MinFreq,0),2)</f>
        <v>84315</v>
      </c>
      <c r="R4" s="130">
        <f>ROUND(IF(AND(TimeValue="lifetime",MaxFreq&lt;1),MinFreq*MaxCost,IF(AND(TimeValue="lifetime",MaxFreq&gt;=1),MaxFreq*MaxCost,0)),2)</f>
        <v>110695</v>
      </c>
      <c r="S4" s="187" t="str">
        <f>IF(Q4&lt;R4,CONCATENATE(TEXT(Q4,"$#,##0.00"),CHAR(10)," - ",CHAR(10),TEXT(R4,"$#,##0.00")),TEXT(Q4,"$#,##0.00"))</f>
        <v>$84,315.00
 - 
$110,695.00</v>
      </c>
      <c r="AA4" s="166" t="str">
        <f>IF(L4="lifetime", "one-time cost", IF(D4='Master Data'!$B$8, AD4 &amp; AE4, AD4 &amp; AE4 &amp; AC4))</f>
        <v>one-time cost</v>
      </c>
      <c r="AB4" s="208" t="str">
        <f t="shared" ref="AB4:AB11" si="0">IF(L4="lifetime", IF(I4&lt;&gt;"", H4 &amp; "-" &amp; I4 &amp; "x/lifetime", H4 &amp; "x/lifetime"), "ongoing cost")</f>
        <v>5x/lifetime</v>
      </c>
      <c r="AC4" s="166" t="str">
        <f ca="1">IF(Table14[[#This Row],[Duration (Years):]]&lt;&gt;'Master Data'!$B$8,CONCATENATE(",",CHAR(10),"for ",Table14[[#This Row],[Duration (Years):]]," years"),"lifelong")</f>
        <v>lifelong</v>
      </c>
      <c r="AD4" s="166" t="str">
        <f t="shared" ref="AD4:AD10" si="1">IF(L4="lifetime", "one-time cost", IF(I4&lt;&gt;"", H4 &amp; "-" &amp; I4 &amp; "x/", H4 &amp; "x/"))</f>
        <v>one-time cost</v>
      </c>
      <c r="AE4" s="166" t="str">
        <f t="shared" ref="AE4:AE10" si="2">IF(L4="lifetime", "one-time cost", IF(K4&lt;&gt;"", J4 &amp; "-" &amp; K4 &amp; " " &amp; L4, IF(J4&gt;1, J4 &amp; " " &amp; L4, L4)))</f>
        <v>one-time cost</v>
      </c>
    </row>
    <row r="5" spans="1:31" ht="45" customHeight="1" x14ac:dyDescent="0.25">
      <c r="A5" t="s">
        <v>159</v>
      </c>
      <c r="B5" s="143">
        <f ca="1">'Master Data'!$B$6</f>
        <v>126.3</v>
      </c>
      <c r="C5" s="143">
        <f ca="1">'Master Data'!$B$7</f>
        <v>136.30000000000001</v>
      </c>
      <c r="D5" s="129">
        <f t="shared" ref="D5:D16" ca="1" si="3">ROUND(C5-B5,1)</f>
        <v>10</v>
      </c>
      <c r="E5" s="131" cm="1">
        <f t="array" ref="E5">IF(
  $A5="Single Lung Transplant",
  _xlfn.XLOOKUP(1,'Cost Data Sheet'!$A$2:$A$1003,'Cost Data Sheet'!$F$2:$F$1003),
  IF(
    $A5="Double Lung Transplant",
    _xlfn.XLOOKUP(2,'Cost Data Sheet'!$A$2:$A$1003,'Cost Data Sheet'!$F$2:$F$1003),
    SUMPRODUCT(
      ('Service to CPT Map'!$A$2:$A$1017=$A5)*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Map'!$A$2:$A$1017,$A5,
        'Service to CPT Map'!$B$2:$B$1017,"Low",
        'Service to CPT Map'!$D$2:$D$1017,"Anesthesia"
      )&gt;0,
      SUMPRODUCT(
        ('Service to CPT Map'!$A$2:$A$1017=$A5)*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Map'!$A$2:$A$1017=$A5)*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Map'!$A$2:$A$1017=$A5)*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Map'!$A$2:$A$1017=$A5)*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4253</v>
      </c>
      <c r="F5" s="131" cm="1">
        <f t="array" ref="F5">IF(
  OR($A5="Single Lung Transplant",$A5="Double Lung Transplant"),
  E5,
  SUMPRODUCT(
    ('Service to CPT Map'!$A$2:$A$1017=$A5)*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Map'!$A$2:$A$1017,$A5,
      'Service to CPT Map'!$B$2:$B$1017,"High",
      'Service to CPT Map'!$D$2:$D$1017,"Anesthesia"
    )&gt;0,
    SUMPRODUCT(
      ('Service to CPT Map'!$A$2:$A$1017=$A5)*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Map'!$A$2:$A$1017=$A5)*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Map'!$A$2:$A$1017=$A5)*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Map'!$A$2:$A$1017=$A5)*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8085</v>
      </c>
      <c r="G5" s="146" t="str">
        <f>IF(E5&lt;F5,CONCATENATE(TEXT(E5,"$#,##0.00"),CHAR(10)," - ",CHAR(10),TEXT(F5,"$#,##0.00")),TEXT(E5,"$#,##0.00"))</f>
        <v>$4,253.00
 - 
$8,085.00</v>
      </c>
      <c r="H5" s="138">
        <v>1</v>
      </c>
      <c r="I5" s="138">
        <v>2</v>
      </c>
      <c r="J5" s="138"/>
      <c r="K5" s="138"/>
      <c r="L5" s="134" t="str">
        <f>IF(LEN(K5)=0,IF(LEN(J5)=0,"lifetime",IF(J5=1,"year","years")),"years")</f>
        <v>lifetime</v>
      </c>
      <c r="M5" s="177" t="str">
        <f>IF(L5="lifetime",
    IF(I5&lt;&gt;"", H5 &amp; "-" &amp; I5 &amp; "x/lifetime", H5 &amp; "x/lifetime"),
    IF(D5='Master Data'!$B$8, AD5 &amp; AE5, AD5 &amp; AE5 &amp; AC5))</f>
        <v>1-2x/lifetime</v>
      </c>
      <c r="N5" s="131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5" s="131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5" s="188" t="str">
        <f>IF(N5&lt;O5,CONCATENATE(TEXT(N5,"$#,###.00"),CHAR(10)," - ",CHAR(10),TEXT(O5,"$#,####.00")),TEXT(N5,"$0.00"))</f>
        <v>$0.00</v>
      </c>
      <c r="Q5" s="131">
        <f>ROUND(IF(TimeValue="lifetime",MinCost*MinFreq,0),2)</f>
        <v>4253</v>
      </c>
      <c r="R5" s="131">
        <f>ROUND(IF(AND(TimeValue="lifetime",MaxFreq&lt;1),MinFreq*MaxCost,IF(AND(TimeValue="lifetime",MaxFreq&gt;=1),MaxFreq*MaxCost,0)),2)</f>
        <v>16170</v>
      </c>
      <c r="S5" s="189" t="str">
        <f>IF(Q5&lt;R5,CONCATENATE(TEXT(Q5,"$#,##0.00"),CHAR(10)," - ",CHAR(10),TEXT(R5,"$#,##0.00")),TEXT(Q5,"$#,##0.00"))</f>
        <v>$4,253.00
 - 
$16,170.00</v>
      </c>
      <c r="AA5" s="166" t="str">
        <f>IF(L5="lifetime", "one-time cost", IF(D5='Master Data'!$B$8, AD5 &amp; AE5, AD5 &amp; AE5 &amp; AC5))</f>
        <v>one-time cost</v>
      </c>
      <c r="AB5" s="208" t="str">
        <f t="shared" si="0"/>
        <v>1-2x/lifetime</v>
      </c>
      <c r="AC5" s="166" t="str">
        <f ca="1">IF(Table14[[#This Row],[Duration (Years):]]&lt;&gt;'Master Data'!$B$8,CONCATENATE(",",CHAR(10),"for ",Table14[[#This Row],[Duration (Years):]]," years"),"lifelong")</f>
        <v>lifelong</v>
      </c>
      <c r="AD5" s="166" t="str">
        <f t="shared" si="1"/>
        <v>one-time cost</v>
      </c>
      <c r="AE5" s="166" t="str">
        <f t="shared" si="2"/>
        <v>one-time cost</v>
      </c>
    </row>
    <row r="6" spans="1:31" ht="45" customHeight="1" x14ac:dyDescent="0.2">
      <c r="A6" s="137"/>
      <c r="B6" s="143">
        <f ca="1">'Master Data'!$B$6</f>
        <v>126.3</v>
      </c>
      <c r="C6" s="143">
        <f ca="1">'Master Data'!$B$7</f>
        <v>136.30000000000001</v>
      </c>
      <c r="D6" s="129">
        <f t="shared" ca="1" si="3"/>
        <v>10</v>
      </c>
      <c r="E6" s="131" cm="1">
        <f t="array" ref="E6">IF(
  $A6="Single Lung Transplant",
  _xlfn.XLOOKUP(1,'Cost Data Sheet'!$A$2:$A$1003,'Cost Data Sheet'!$F$2:$F$1003),
  IF(
    $A6="Double Lung Transplant",
    _xlfn.XLOOKUP(2,'Cost Data Sheet'!$A$2:$A$1003,'Cost Data Sheet'!$F$2:$F$1003),
    SUMPRODUCT(
      ('Service to CPT Map'!$A$2:$A$1017=$A6)*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Map'!$A$2:$A$1017,$A6,
        'Service to CPT Map'!$B$2:$B$1017,"Low",
        'Service to CPT Map'!$D$2:$D$1017,"Anesthesia"
      )&gt;0,
      SUMPRODUCT(
        ('Service to CPT Map'!$A$2:$A$1017=$A6)*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Map'!$A$2:$A$1017=$A6)*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Map'!$A$2:$A$1017=$A6)*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Map'!$A$2:$A$1017=$A6)*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6" s="131" cm="1">
        <f t="array" ref="F6">IF(
  OR($A6="Single Lung Transplant",$A6="Double Lung Transplant"),
  E6,
  SUMPRODUCT(
    ('Service to CPT Map'!$A$2:$A$1017=$A6)*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Map'!$A$2:$A$1017,$A6,
      'Service to CPT Map'!$B$2:$B$1017,"High",
      'Service to CPT Map'!$D$2:$D$1017,"Anesthesia"
    )&gt;0,
    SUMPRODUCT(
      ('Service to CPT Map'!$A$2:$A$1017=$A6)*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Map'!$A$2:$A$1017=$A6)*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Map'!$A$2:$A$1017=$A6)*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Map'!$A$2:$A$1017=$A6)*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6" s="146" t="str">
        <f t="shared" ref="G6:G13" si="4">IF(E6&lt;F6,CONCATENATE(TEXT(E6,"$#,##0.00"),CHAR(10)," - ",CHAR(10),TEXT(F6,"$#,##0.00")),TEXT(E6,"$#,##0.00"))</f>
        <v>$0.00</v>
      </c>
      <c r="H6" s="138"/>
      <c r="I6" s="138"/>
      <c r="J6" s="138"/>
      <c r="K6" s="138"/>
      <c r="L6" s="134" t="str">
        <f t="shared" ref="L6:L13" si="5">IF(LEN(K6)=0,IF(LEN(J6)=0,"lifetime",IF(J6=1,"year","years")),"years")</f>
        <v>lifetime</v>
      </c>
      <c r="M6" s="177" t="str">
        <f>IF(L6="lifetime",
    IF(I6&lt;&gt;"", H6 &amp; "-" &amp; I6 &amp; "x/lifetime", H6 &amp; "x/lifetime"),
    IF(D6='Master Data'!$B$8, AD6 &amp; AE6, AD6 &amp; AE6 &amp; AC6))</f>
        <v>x/lifetime</v>
      </c>
      <c r="N6" s="131">
        <f t="shared" ref="N6:N13" si="6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6" s="131">
        <f t="shared" ref="O6:O13" si="7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6" s="188" t="str">
        <f t="shared" ref="P6:P13" si="8">IF(N6&lt;O6,CONCATENATE(TEXT(N6,"$#,###.00"),CHAR(10)," - ",CHAR(10),TEXT(O6,"$#,####.00")),TEXT(N6,"$0.00"))</f>
        <v>$0.00</v>
      </c>
      <c r="Q6" s="131">
        <f t="shared" ref="Q6:Q13" si="9">ROUND(IF(TimeValue="lifetime",MinCost*MinFreq,0),2)</f>
        <v>0</v>
      </c>
      <c r="R6" s="131">
        <f t="shared" ref="R6:R13" si="10">ROUND(IF(AND(TimeValue="lifetime",MaxFreq&lt;1),MinFreq*MaxCost,IF(AND(TimeValue="lifetime",MaxFreq&gt;=1),MaxFreq*MaxCost,0)),2)</f>
        <v>0</v>
      </c>
      <c r="S6" s="189" t="str">
        <f t="shared" ref="S6:S13" si="11">IF(Q6&lt;R6,CONCATENATE(TEXT(Q6,"$#,##0.00"),CHAR(10)," - ",CHAR(10),TEXT(R6,"$#,##0.00")),TEXT(Q6,"$#,##0.00"))</f>
        <v>$0.00</v>
      </c>
      <c r="AA6" s="166" t="str">
        <f>IF(L6="lifetime", "one-time cost", IF(D6='Master Data'!$B$8, AD6 &amp; AE6, AD6 &amp; AE6 &amp; AC6))</f>
        <v>one-time cost</v>
      </c>
      <c r="AB6" s="208" t="str">
        <f t="shared" si="0"/>
        <v>x/lifetime</v>
      </c>
      <c r="AC6" s="166" t="str">
        <f ca="1">IF(Table14[[#This Row],[Duration (Years):]]&lt;&gt;'Master Data'!$B$8,CONCATENATE(",",CHAR(10),"for ",Table14[[#This Row],[Duration (Years):]]," years"),"lifelong")</f>
        <v>lifelong</v>
      </c>
      <c r="AD6" s="166" t="str">
        <f t="shared" si="1"/>
        <v>one-time cost</v>
      </c>
      <c r="AE6" s="166" t="str">
        <f t="shared" si="2"/>
        <v>one-time cost</v>
      </c>
    </row>
    <row r="7" spans="1:31" ht="45" customHeight="1" x14ac:dyDescent="0.2">
      <c r="A7" s="137"/>
      <c r="B7" s="143">
        <f ca="1">'Master Data'!$B$6</f>
        <v>126.3</v>
      </c>
      <c r="C7" s="143">
        <f ca="1">'Master Data'!$B$7</f>
        <v>136.30000000000001</v>
      </c>
      <c r="D7" s="129">
        <f t="shared" ca="1" si="3"/>
        <v>10</v>
      </c>
      <c r="E7" s="131" cm="1">
        <f t="array" ref="E7">IF(
  $A7="Single Lung Transplant",
  _xlfn.XLOOKUP(1,'Cost Data Sheet'!$A$2:$A$1003,'Cost Data Sheet'!$F$2:$F$1003),
  IF(
    $A7="Double Lung Transplant",
    _xlfn.XLOOKUP(2,'Cost Data Sheet'!$A$2:$A$1003,'Cost Data Sheet'!$F$2:$F$1003),
    SUMPRODUCT(
      ('Service to CPT Map'!$A$2:$A$1017=$A7)*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Map'!$A$2:$A$1017,$A7,
        'Service to CPT Map'!$B$2:$B$1017,"Low",
        'Service to CPT Map'!$D$2:$D$1017,"Anesthesia"
      )&gt;0,
      SUMPRODUCT(
        ('Service to CPT Map'!$A$2:$A$1017=$A7)*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Map'!$A$2:$A$1017=$A7)*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Map'!$A$2:$A$1017=$A7)*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Map'!$A$2:$A$1017=$A7)*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7" s="131" cm="1">
        <f t="array" ref="F7">IF(
  OR($A7="Single Lung Transplant",$A7="Double Lung Transplant"),
  E7,
  SUMPRODUCT(
    ('Service to CPT Map'!$A$2:$A$1017=$A7)*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Map'!$A$2:$A$1017,$A7,
      'Service to CPT Map'!$B$2:$B$1017,"High",
      'Service to CPT Map'!$D$2:$D$1017,"Anesthesia"
    )&gt;0,
    SUMPRODUCT(
      ('Service to CPT Map'!$A$2:$A$1017=$A7)*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Map'!$A$2:$A$1017=$A7)*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Map'!$A$2:$A$1017=$A7)*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Map'!$A$2:$A$1017=$A7)*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7" s="146" t="str">
        <f t="shared" si="4"/>
        <v>$0.00</v>
      </c>
      <c r="H7" s="138"/>
      <c r="I7" s="138"/>
      <c r="J7" s="138"/>
      <c r="K7" s="138"/>
      <c r="L7" s="134" t="str">
        <f t="shared" si="5"/>
        <v>lifetime</v>
      </c>
      <c r="M7" s="177" t="str">
        <f>IF(L7="lifetime",
    IF(I7&lt;&gt;"", H7 &amp; "-" &amp; I7 &amp; "x/lifetime", H7 &amp; "x/lifetime"),
    IF(D7='Master Data'!$B$8, AD7 &amp; AE7, AD7 &amp; AE7 &amp; AC7))</f>
        <v>x/lifetime</v>
      </c>
      <c r="N7" s="131">
        <f t="shared" si="6"/>
        <v>0</v>
      </c>
      <c r="O7" s="131">
        <f t="shared" si="7"/>
        <v>0</v>
      </c>
      <c r="P7" s="188" t="str">
        <f t="shared" si="8"/>
        <v>$0.00</v>
      </c>
      <c r="Q7" s="131">
        <f t="shared" si="9"/>
        <v>0</v>
      </c>
      <c r="R7" s="131">
        <f t="shared" si="10"/>
        <v>0</v>
      </c>
      <c r="S7" s="189" t="str">
        <f t="shared" si="11"/>
        <v>$0.00</v>
      </c>
      <c r="AA7" s="166" t="str">
        <f>IF(L7="lifetime", "one-time cost", IF(D7='Master Data'!$B$8, AD7 &amp; AE7, AD7 &amp; AE7 &amp; AC7))</f>
        <v>one-time cost</v>
      </c>
      <c r="AB7" s="208" t="str">
        <f t="shared" si="0"/>
        <v>x/lifetime</v>
      </c>
      <c r="AC7" s="166" t="str">
        <f ca="1">IF(Table14[[#This Row],[Duration (Years):]]&lt;&gt;'Master Data'!$B$8,CONCATENATE(",",CHAR(10),"for ",Table14[[#This Row],[Duration (Years):]]," years"),"lifelong")</f>
        <v>lifelong</v>
      </c>
      <c r="AD7" s="166" t="str">
        <f t="shared" si="1"/>
        <v>one-time cost</v>
      </c>
      <c r="AE7" s="166" t="str">
        <f t="shared" si="2"/>
        <v>one-time cost</v>
      </c>
    </row>
    <row r="8" spans="1:31" ht="45" customHeight="1" x14ac:dyDescent="0.2">
      <c r="A8" s="137"/>
      <c r="B8" s="143">
        <f ca="1">'Master Data'!$B$6</f>
        <v>126.3</v>
      </c>
      <c r="C8" s="143">
        <f ca="1">'Master Data'!$B$7</f>
        <v>136.30000000000001</v>
      </c>
      <c r="D8" s="129">
        <f t="shared" ca="1" si="3"/>
        <v>10</v>
      </c>
      <c r="E8" s="131" cm="1">
        <f t="array" ref="E8">IF(
  $A8="Single Lung Transplant",
  _xlfn.XLOOKUP(1,'Cost Data Sheet'!$A$2:$A$1003,'Cost Data Sheet'!$F$2:$F$1003),
  IF(
    $A8="Double Lung Transplant",
    _xlfn.XLOOKUP(2,'Cost Data Sheet'!$A$2:$A$1003,'Cost Data Sheet'!$F$2:$F$1003),
    SUMPRODUCT(
      ('Service to CPT Map'!$A$2:$A$1017=$A8)*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Map'!$A$2:$A$1017,$A8,
        'Service to CPT Map'!$B$2:$B$1017,"Low",
        'Service to CPT Map'!$D$2:$D$1017,"Anesthesia"
      )&gt;0,
      SUMPRODUCT(
        ('Service to CPT Map'!$A$2:$A$1017=$A8)*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Map'!$A$2:$A$1017=$A8)*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Map'!$A$2:$A$1017=$A8)*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Map'!$A$2:$A$1017=$A8)*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8" s="131" cm="1">
        <f t="array" ref="F8">IF(
  OR($A8="Single Lung Transplant",$A8="Double Lung Transplant"),
  E8,
  SUMPRODUCT(
    ('Service to CPT Map'!$A$2:$A$1017=$A8)*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Map'!$A$2:$A$1017,$A8,
      'Service to CPT Map'!$B$2:$B$1017,"High",
      'Service to CPT Map'!$D$2:$D$1017,"Anesthesia"
    )&gt;0,
    SUMPRODUCT(
      ('Service to CPT Map'!$A$2:$A$1017=$A8)*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Map'!$A$2:$A$1017=$A8)*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Map'!$A$2:$A$1017=$A8)*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Map'!$A$2:$A$1017=$A8)*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8" s="146" t="str">
        <f t="shared" si="4"/>
        <v>$0.00</v>
      </c>
      <c r="H8" s="138"/>
      <c r="I8" s="138"/>
      <c r="J8" s="138"/>
      <c r="K8" s="138"/>
      <c r="L8" s="134" t="str">
        <f t="shared" si="5"/>
        <v>lifetime</v>
      </c>
      <c r="M8" s="177" t="str">
        <f>IF(L8="lifetime",
    IF(I8&lt;&gt;"", H8 &amp; "-" &amp; I8 &amp; "x/lifetime", H8 &amp; "x/lifetime"),
    IF(D8='Master Data'!$B$8, AD8 &amp; AE8, AD8 &amp; AE8 &amp; AC8))</f>
        <v>x/lifetime</v>
      </c>
      <c r="N8" s="131">
        <f t="shared" si="6"/>
        <v>0</v>
      </c>
      <c r="O8" s="131">
        <f t="shared" si="7"/>
        <v>0</v>
      </c>
      <c r="P8" s="188" t="str">
        <f t="shared" si="8"/>
        <v>$0.00</v>
      </c>
      <c r="Q8" s="131">
        <f t="shared" si="9"/>
        <v>0</v>
      </c>
      <c r="R8" s="131">
        <f t="shared" si="10"/>
        <v>0</v>
      </c>
      <c r="S8" s="189" t="str">
        <f t="shared" si="11"/>
        <v>$0.00</v>
      </c>
      <c r="AA8" s="166" t="str">
        <f>IF(L8="lifetime", "one-time cost", IF(D8='Master Data'!$B$8, AD8 &amp; AE8, AD8 &amp; AE8 &amp; AC8))</f>
        <v>one-time cost</v>
      </c>
      <c r="AB8" s="208" t="str">
        <f t="shared" si="0"/>
        <v>x/lifetime</v>
      </c>
      <c r="AC8" s="166" t="str">
        <f ca="1">IF(Table14[[#This Row],[Duration (Years):]]&lt;&gt;'Master Data'!$B$8,CONCATENATE(",",CHAR(10),"for ",Table14[[#This Row],[Duration (Years):]]," years"),"lifelong")</f>
        <v>lifelong</v>
      </c>
      <c r="AD8" s="166" t="str">
        <f t="shared" si="1"/>
        <v>one-time cost</v>
      </c>
      <c r="AE8" s="166" t="str">
        <f t="shared" si="2"/>
        <v>one-time cost</v>
      </c>
    </row>
    <row r="9" spans="1:31" ht="45" customHeight="1" x14ac:dyDescent="0.2">
      <c r="A9" s="137"/>
      <c r="B9" s="143">
        <f ca="1">'Master Data'!$B$6</f>
        <v>126.3</v>
      </c>
      <c r="C9" s="143">
        <f ca="1">'Master Data'!$B$7</f>
        <v>136.30000000000001</v>
      </c>
      <c r="D9" s="129">
        <f t="shared" ca="1" si="3"/>
        <v>10</v>
      </c>
      <c r="E9" s="131" cm="1">
        <f t="array" ref="E9">IF(
  $A9="Single Lung Transplant",
  _xlfn.XLOOKUP(1,'Cost Data Sheet'!$A$2:$A$1003,'Cost Data Sheet'!$F$2:$F$1003),
  IF(
    $A9="Double Lung Transplant",
    _xlfn.XLOOKUP(2,'Cost Data Sheet'!$A$2:$A$1003,'Cost Data Sheet'!$F$2:$F$1003),
    SUMPRODUCT(
      ('Service to CPT Map'!$A$2:$A$1017=$A9)*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Map'!$A$2:$A$1017,$A9,
        'Service to CPT Map'!$B$2:$B$1017,"Low",
        'Service to CPT Map'!$D$2:$D$1017,"Anesthesia"
      )&gt;0,
      SUMPRODUCT(
        ('Service to CPT Map'!$A$2:$A$1017=$A9)*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Map'!$A$2:$A$1017=$A9)*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Map'!$A$2:$A$1017=$A9)*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Map'!$A$2:$A$1017=$A9)*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9" s="131" cm="1">
        <f t="array" ref="F9">IF(
  OR($A9="Single Lung Transplant",$A9="Double Lung Transplant"),
  E9,
  SUMPRODUCT(
    ('Service to CPT Map'!$A$2:$A$1017=$A9)*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Map'!$A$2:$A$1017,$A9,
      'Service to CPT Map'!$B$2:$B$1017,"High",
      'Service to CPT Map'!$D$2:$D$1017,"Anesthesia"
    )&gt;0,
    SUMPRODUCT(
      ('Service to CPT Map'!$A$2:$A$1017=$A9)*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Map'!$A$2:$A$1017=$A9)*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Map'!$A$2:$A$1017=$A9)*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Map'!$A$2:$A$1017=$A9)*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9" s="146" t="str">
        <f t="shared" si="4"/>
        <v>$0.00</v>
      </c>
      <c r="H9" s="138"/>
      <c r="I9" s="138"/>
      <c r="J9" s="138"/>
      <c r="K9" s="138"/>
      <c r="L9" s="134" t="str">
        <f t="shared" si="5"/>
        <v>lifetime</v>
      </c>
      <c r="M9" s="177" t="str">
        <f>IF(L9="lifetime",
    IF(I9&lt;&gt;"", H9 &amp; "-" &amp; I9 &amp; "x/lifetime", H9 &amp; "x/lifetime"),
    IF(D9='Master Data'!$B$8, AD9 &amp; AE9, AD9 &amp; AE9 &amp; AC9))</f>
        <v>x/lifetime</v>
      </c>
      <c r="N9" s="131">
        <f t="shared" si="6"/>
        <v>0</v>
      </c>
      <c r="O9" s="131">
        <f t="shared" si="7"/>
        <v>0</v>
      </c>
      <c r="P9" s="188" t="str">
        <f t="shared" si="8"/>
        <v>$0.00</v>
      </c>
      <c r="Q9" s="131">
        <f t="shared" si="9"/>
        <v>0</v>
      </c>
      <c r="R9" s="131">
        <f t="shared" si="10"/>
        <v>0</v>
      </c>
      <c r="S9" s="189" t="str">
        <f t="shared" si="11"/>
        <v>$0.00</v>
      </c>
      <c r="AA9" s="166" t="str">
        <f>IF(L9="lifetime", "one-time cost", IF(D9='Master Data'!$B$8, AD9 &amp; AE9, AD9 &amp; AE9 &amp; AC9))</f>
        <v>one-time cost</v>
      </c>
      <c r="AB9" s="208" t="str">
        <f t="shared" si="0"/>
        <v>x/lifetime</v>
      </c>
      <c r="AC9" s="166" t="str">
        <f ca="1">IF(Table14[[#This Row],[Duration (Years):]]&lt;&gt;'Master Data'!$B$8,CONCATENATE(",",CHAR(10),"for ",Table14[[#This Row],[Duration (Years):]]," years"),"lifelong")</f>
        <v>lifelong</v>
      </c>
      <c r="AD9" s="166" t="str">
        <f t="shared" si="1"/>
        <v>one-time cost</v>
      </c>
      <c r="AE9" s="166" t="str">
        <f t="shared" si="2"/>
        <v>one-time cost</v>
      </c>
    </row>
    <row r="10" spans="1:31" ht="45" customHeight="1" x14ac:dyDescent="0.2">
      <c r="A10" s="137"/>
      <c r="B10" s="143">
        <f ca="1">'Master Data'!$B$6</f>
        <v>126.3</v>
      </c>
      <c r="C10" s="143">
        <f ca="1">'Master Data'!$B$7</f>
        <v>136.30000000000001</v>
      </c>
      <c r="D10" s="129">
        <f t="shared" ca="1" si="3"/>
        <v>10</v>
      </c>
      <c r="E10" s="131" cm="1">
        <f t="array" ref="E10">IF(
  $A10="Single Lung Transplant",
  _xlfn.XLOOKUP(1,'Cost Data Sheet'!$A$2:$A$1003,'Cost Data Sheet'!$F$2:$F$1003),
  IF(
    $A10="Double Lung Transplant",
    _xlfn.XLOOKUP(2,'Cost Data Sheet'!$A$2:$A$1003,'Cost Data Sheet'!$F$2:$F$1003),
    SUMPRODUCT(
      ('Service to CPT Map'!$A$2:$A$1017=$A10)*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Map'!$A$2:$A$1017,$A10,
        'Service to CPT Map'!$B$2:$B$1017,"Low",
        'Service to CPT Map'!$D$2:$D$1017,"Anesthesia"
      )&gt;0,
      SUMPRODUCT(
        ('Service to CPT Map'!$A$2:$A$1017=$A10)*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Map'!$A$2:$A$1017=$A10)*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Map'!$A$2:$A$1017=$A10)*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Map'!$A$2:$A$1017=$A10)*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10" s="131" cm="1">
        <f t="array" ref="F10">IF(
  OR($A10="Single Lung Transplant",$A10="Double Lung Transplant"),
  E10,
  SUMPRODUCT(
    ('Service to CPT Map'!$A$2:$A$1017=$A10)*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Map'!$A$2:$A$1017,$A10,
      'Service to CPT Map'!$B$2:$B$1017,"High",
      'Service to CPT Map'!$D$2:$D$1017,"Anesthesia"
    )&gt;0,
    SUMPRODUCT(
      ('Service to CPT Map'!$A$2:$A$1017=$A10)*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Map'!$A$2:$A$1017=$A10)*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Map'!$A$2:$A$1017=$A10)*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Map'!$A$2:$A$1017=$A10)*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10" s="146" t="str">
        <f t="shared" si="4"/>
        <v>$0.00</v>
      </c>
      <c r="H10" s="138"/>
      <c r="I10" s="138"/>
      <c r="J10" s="138"/>
      <c r="K10" s="138"/>
      <c r="L10" s="134" t="str">
        <f t="shared" si="5"/>
        <v>lifetime</v>
      </c>
      <c r="M10" s="177" t="str">
        <f>IF(L10="lifetime",
    IF(I10&lt;&gt;"", H10 &amp; "-" &amp; I10 &amp; "x/lifetime", H10 &amp; "x/lifetime"),
    IF(D10='Master Data'!$B$8, AD10 &amp; AE10, AD10 &amp; AE10 &amp; AC10))</f>
        <v>x/lifetime</v>
      </c>
      <c r="N10" s="131">
        <f t="shared" si="6"/>
        <v>0</v>
      </c>
      <c r="O10" s="131">
        <f t="shared" si="7"/>
        <v>0</v>
      </c>
      <c r="P10" s="188" t="str">
        <f t="shared" si="8"/>
        <v>$0.00</v>
      </c>
      <c r="Q10" s="131">
        <f t="shared" si="9"/>
        <v>0</v>
      </c>
      <c r="R10" s="131">
        <f t="shared" si="10"/>
        <v>0</v>
      </c>
      <c r="S10" s="189" t="str">
        <f t="shared" si="11"/>
        <v>$0.00</v>
      </c>
      <c r="AA10" s="166" t="str">
        <f>IF(L10="lifetime", "one-time cost", IF(D10='Master Data'!$B$8, AD10 &amp; AE10, AD10 &amp; AE10 &amp; AC10))</f>
        <v>one-time cost</v>
      </c>
      <c r="AB10" s="208" t="str">
        <f t="shared" si="0"/>
        <v>x/lifetime</v>
      </c>
      <c r="AC10" s="166" t="str">
        <f ca="1">IF(Table14[[#This Row],[Duration (Years):]]&lt;&gt;'Master Data'!$B$8,CONCATENATE(",",CHAR(10),"for ",Table14[[#This Row],[Duration (Years):]]," years"),"lifelong")</f>
        <v>lifelong</v>
      </c>
      <c r="AD10" s="166" t="str">
        <f t="shared" si="1"/>
        <v>one-time cost</v>
      </c>
      <c r="AE10" s="166" t="str">
        <f t="shared" si="2"/>
        <v>one-time cost</v>
      </c>
    </row>
    <row r="11" spans="1:31" ht="45" customHeight="1" x14ac:dyDescent="0.2">
      <c r="A11" s="137"/>
      <c r="B11" s="143">
        <f ca="1">'Master Data'!$B$6</f>
        <v>126.3</v>
      </c>
      <c r="C11" s="143">
        <f ca="1">'Master Data'!$B$7</f>
        <v>136.30000000000001</v>
      </c>
      <c r="D11" s="129">
        <f t="shared" ca="1" si="3"/>
        <v>10</v>
      </c>
      <c r="E11" s="131" cm="1">
        <f t="array" ref="E11">IF(
  $A11="Single Lung Transplant",
  _xlfn.XLOOKUP(1,'Cost Data Sheet'!$A$2:$A$1003,'Cost Data Sheet'!$F$2:$F$1003),
  IF(
    $A11="Double Lung Transplant",
    _xlfn.XLOOKUP(2,'Cost Data Sheet'!$A$2:$A$1003,'Cost Data Sheet'!$F$2:$F$1003),
    SUMPRODUCT(
      ('Service to CPT Map'!$A$2:$A$1017=$A11)*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Map'!$A$2:$A$1017,$A11,
        'Service to CPT Map'!$B$2:$B$1017,"Low",
        'Service to CPT Map'!$D$2:$D$1017,"Anesthesia"
      )&gt;0,
      SUMPRODUCT(
        ('Service to CPT Map'!$A$2:$A$1017=$A11)*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Map'!$A$2:$A$1017=$A11)*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Map'!$A$2:$A$1017=$A11)*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Map'!$A$2:$A$1017=$A11)*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11" s="131" cm="1">
        <f t="array" ref="F11">IF(
  OR($A11="Single Lung Transplant",$A11="Double Lung Transplant"),
  E11,
  SUMPRODUCT(
    ('Service to CPT Map'!$A$2:$A$1017=$A11)*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Map'!$A$2:$A$1017,$A11,
      'Service to CPT Map'!$B$2:$B$1017,"High",
      'Service to CPT Map'!$D$2:$D$1017,"Anesthesia"
    )&gt;0,
    SUMPRODUCT(
      ('Service to CPT Map'!$A$2:$A$1017=$A11)*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Map'!$A$2:$A$1017=$A11)*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Map'!$A$2:$A$1017=$A11)*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Map'!$A$2:$A$1017=$A11)*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11" s="146" t="str">
        <f t="shared" si="4"/>
        <v>$0.00</v>
      </c>
      <c r="H11" s="138"/>
      <c r="I11" s="138"/>
      <c r="J11" s="138"/>
      <c r="K11" s="138"/>
      <c r="L11" s="134" t="str">
        <f t="shared" si="5"/>
        <v>lifetime</v>
      </c>
      <c r="M11" s="177" t="str">
        <f>IF(L11="lifetime",
    IF(I11&lt;&gt;"", H11 &amp; "-" &amp; I11 &amp; "x/lifetime", H11 &amp; "x/lifetime"),
    IF(D11='Master Data'!$B$8, AD11 &amp; AE11, AD11 &amp; AE11 &amp; AC11))</f>
        <v>x/lifetime</v>
      </c>
      <c r="N11" s="131">
        <f t="shared" si="6"/>
        <v>0</v>
      </c>
      <c r="O11" s="131">
        <f t="shared" si="7"/>
        <v>0</v>
      </c>
      <c r="P11" s="188" t="str">
        <f t="shared" si="8"/>
        <v>$0.00</v>
      </c>
      <c r="Q11" s="131">
        <f t="shared" si="9"/>
        <v>0</v>
      </c>
      <c r="R11" s="131">
        <f t="shared" si="10"/>
        <v>0</v>
      </c>
      <c r="S11" s="189" t="str">
        <f t="shared" si="11"/>
        <v>$0.00</v>
      </c>
      <c r="T11" s="157"/>
      <c r="U11" s="157"/>
      <c r="V11" s="157"/>
      <c r="AA11" s="166" t="str">
        <f>IF(L11="lifetime", "one-time cost", IF(D11='Master Data'!$B$8, AD11 &amp; AE11, AD11 &amp; AE11 &amp; AC11))</f>
        <v>one-time cost</v>
      </c>
      <c r="AB11" s="208" t="str">
        <f t="shared" si="0"/>
        <v>x/lifetime</v>
      </c>
      <c r="AC11" s="166" t="str">
        <f ca="1">IF(Table14[[#This Row],[Duration (Years):]]&lt;&gt;'Master Data'!$B$8,CONCATENATE(",",CHAR(10),"for ",Table14[[#This Row],[Duration (Years):]]," years"),"lifelong")</f>
        <v>lifelong</v>
      </c>
      <c r="AD11" s="166" t="str">
        <f>IF(L11="lifetime", "one-time cost", IF(I11&lt;&gt;"", H11 &amp; "-" &amp; I11 &amp; "x/", H11 &amp; "x/"))</f>
        <v>one-time cost</v>
      </c>
      <c r="AE11" s="166" t="str">
        <f>IF(L11="lifetime", "one-time cost", IF(K11&lt;&gt;"", J11 &amp; "-" &amp; K11 &amp; " " &amp; L11, IF(J11&gt;1, J11 &amp; " " &amp; L11, L11)))</f>
        <v>one-time cost</v>
      </c>
    </row>
    <row r="12" spans="1:31" ht="45" customHeight="1" x14ac:dyDescent="0.2">
      <c r="A12" s="137"/>
      <c r="B12" s="143">
        <f ca="1">'Master Data'!$B$6</f>
        <v>126.3</v>
      </c>
      <c r="C12" s="143">
        <f ca="1">'Master Data'!$B$7</f>
        <v>136.30000000000001</v>
      </c>
      <c r="D12" s="129">
        <f t="shared" ca="1" si="3"/>
        <v>10</v>
      </c>
      <c r="E12" s="131" cm="1">
        <f t="array" ref="E12">IF(
  $A12="Single Lung Transplant",
  _xlfn.XLOOKUP(1,'Cost Data Sheet'!$A$2:$A$1003,'Cost Data Sheet'!$F$2:$F$1003),
  IF(
    $A12="Double Lung Transplant",
    _xlfn.XLOOKUP(2,'Cost Data Sheet'!$A$2:$A$1003,'Cost Data Sheet'!$F$2:$F$1003),
    SUMPRODUCT(
      ('Service to CPT Map'!$A$2:$A$1017=$A12)*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Map'!$A$2:$A$1017,$A12,
        'Service to CPT Map'!$B$2:$B$1017,"Low",
        'Service to CPT Map'!$D$2:$D$1017,"Anesthesia"
      )&gt;0,
      SUMPRODUCT(
        ('Service to CPT Map'!$A$2:$A$1017=$A12)*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Map'!$A$2:$A$1017=$A12)*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Map'!$A$2:$A$1017=$A12)*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Map'!$A$2:$A$1017=$A12)*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12" s="131" cm="1">
        <f t="array" ref="F12">IF(
  OR($A12="Single Lung Transplant",$A12="Double Lung Transplant"),
  E12,
  SUMPRODUCT(
    ('Service to CPT Map'!$A$2:$A$1017=$A12)*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Map'!$A$2:$A$1017,$A12,
      'Service to CPT Map'!$B$2:$B$1017,"High",
      'Service to CPT Map'!$D$2:$D$1017,"Anesthesia"
    )&gt;0,
    SUMPRODUCT(
      ('Service to CPT Map'!$A$2:$A$1017=$A12)*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Map'!$A$2:$A$1017=$A12)*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Map'!$A$2:$A$1017=$A12)*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Map'!$A$2:$A$1017=$A12)*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12" s="146" t="str">
        <f t="shared" si="4"/>
        <v>$0.00</v>
      </c>
      <c r="H12" s="138"/>
      <c r="I12" s="138"/>
      <c r="J12" s="138"/>
      <c r="K12" s="138"/>
      <c r="L12" s="134" t="str">
        <f t="shared" si="5"/>
        <v>lifetime</v>
      </c>
      <c r="M12" s="177" t="str">
        <f>IF(L12="lifetime",
    IF(I12&lt;&gt;"", H12 &amp; "-" &amp; I12 &amp; "x/lifetime", H12 &amp; "x/lifetime"),
    IF(D12='Master Data'!$B$8, AD12 &amp; AE12, AD12 &amp; AE12 &amp; AC12))</f>
        <v>x/lifetime</v>
      </c>
      <c r="N12" s="131">
        <f t="shared" si="6"/>
        <v>0</v>
      </c>
      <c r="O12" s="131">
        <f t="shared" si="7"/>
        <v>0</v>
      </c>
      <c r="P12" s="188" t="str">
        <f t="shared" si="8"/>
        <v>$0.00</v>
      </c>
      <c r="Q12" s="131">
        <f t="shared" si="9"/>
        <v>0</v>
      </c>
      <c r="R12" s="131">
        <f t="shared" si="10"/>
        <v>0</v>
      </c>
      <c r="S12" s="189" t="str">
        <f t="shared" si="11"/>
        <v>$0.00</v>
      </c>
      <c r="AA12" s="166" t="str">
        <f>IF(L12="lifetime", "one-time cost", IF(D12='Master Data'!$B$8, AD12 &amp; AE12, AD12 &amp; AE12 &amp; AC12))</f>
        <v>one-time cost</v>
      </c>
      <c r="AB12" s="208" t="str">
        <f t="shared" ref="AB12:AB39" si="12">IF(L12="lifetime", IF(I12&lt;&gt;"", H12 &amp; "-" &amp; I12 &amp; "x/lifetime", H12 &amp; "x/lifetime"), "ongoing cost")</f>
        <v>x/lifetime</v>
      </c>
      <c r="AC12" s="166" t="str">
        <f ca="1">IF(Table14[[#This Row],[Duration (Years):]]&lt;&gt;'Master Data'!$B$8,CONCATENATE(",",CHAR(10),"for ",Table14[[#This Row],[Duration (Years):]]," years"),"lifelong")</f>
        <v>lifelong</v>
      </c>
      <c r="AD12" s="166" t="str">
        <f t="shared" ref="AD12:AD39" si="13">IF(L12="lifetime", "one-time cost", IF(I12&lt;&gt;"", H12 &amp; "-" &amp; I12 &amp; "x/", H12 &amp; "x/"))</f>
        <v>one-time cost</v>
      </c>
      <c r="AE12" s="166" t="str">
        <f t="shared" ref="AE12:AE39" si="14">IF(L12="lifetime", "one-time cost", IF(K12&lt;&gt;"", J12 &amp; "-" &amp; K12 &amp; " " &amp; L12, IF(J12&gt;1, J12 &amp; " " &amp; L12, L12)))</f>
        <v>one-time cost</v>
      </c>
    </row>
    <row r="13" spans="1:31" ht="45" customHeight="1" x14ac:dyDescent="0.2">
      <c r="A13" s="137"/>
      <c r="B13" s="143">
        <f ca="1">'Master Data'!$B$6</f>
        <v>126.3</v>
      </c>
      <c r="C13" s="143">
        <f ca="1">'Master Data'!$B$7</f>
        <v>136.30000000000001</v>
      </c>
      <c r="D13" s="129">
        <f t="shared" ca="1" si="3"/>
        <v>10</v>
      </c>
      <c r="E13" s="131" cm="1">
        <f t="array" ref="E13">IF(
  $A13="Single Lung Transplant",
  _xlfn.XLOOKUP(1,'Cost Data Sheet'!$A$2:$A$1003,'Cost Data Sheet'!$F$2:$F$1003),
  IF(
    $A13="Double Lung Transplant",
    _xlfn.XLOOKUP(2,'Cost Data Sheet'!$A$2:$A$1003,'Cost Data Sheet'!$F$2:$F$1003),
    SUMPRODUCT(
      ('Service to CPT Map'!$A$2:$A$1017=$A13)*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Map'!$A$2:$A$1017,$A13,
        'Service to CPT Map'!$B$2:$B$1017,"Low",
        'Service to CPT Map'!$D$2:$D$1017,"Anesthesia"
      )&gt;0,
      SUMPRODUCT(
        ('Service to CPT Map'!$A$2:$A$1017=$A13)*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Map'!$A$2:$A$1017=$A13)*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Map'!$A$2:$A$1017=$A13)*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Map'!$A$2:$A$1017=$A13)*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13" s="131" cm="1">
        <f t="array" ref="F13">IF(
  OR($A13="Single Lung Transplant",$A13="Double Lung Transplant"),
  E13,
  SUMPRODUCT(
    ('Service to CPT Map'!$A$2:$A$1017=$A13)*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Map'!$A$2:$A$1017,$A13,
      'Service to CPT Map'!$B$2:$B$1017,"High",
      'Service to CPT Map'!$D$2:$D$1017,"Anesthesia"
    )&gt;0,
    SUMPRODUCT(
      ('Service to CPT Map'!$A$2:$A$1017=$A13)*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Map'!$A$2:$A$1017=$A13)*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Map'!$A$2:$A$1017=$A13)*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Map'!$A$2:$A$1017=$A13)*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13" s="146" t="str">
        <f t="shared" si="4"/>
        <v>$0.00</v>
      </c>
      <c r="H13" s="138"/>
      <c r="I13" s="138"/>
      <c r="J13" s="138"/>
      <c r="K13" s="138"/>
      <c r="L13" s="134" t="str">
        <f t="shared" si="5"/>
        <v>lifetime</v>
      </c>
      <c r="M13" s="177" t="str">
        <f>IF(L13="lifetime",
    IF(I13&lt;&gt;"", H13 &amp; "-" &amp; I13 &amp; "x/lifetime", H13 &amp; "x/lifetime"),
    IF(D13='Master Data'!$B$8, AD13 &amp; AE13, AD13 &amp; AE13 &amp; AC13))</f>
        <v>x/lifetime</v>
      </c>
      <c r="N13" s="131">
        <f t="shared" si="6"/>
        <v>0</v>
      </c>
      <c r="O13" s="131">
        <f t="shared" si="7"/>
        <v>0</v>
      </c>
      <c r="P13" s="188" t="str">
        <f t="shared" si="8"/>
        <v>$0.00</v>
      </c>
      <c r="Q13" s="131">
        <f t="shared" si="9"/>
        <v>0</v>
      </c>
      <c r="R13" s="131">
        <f t="shared" si="10"/>
        <v>0</v>
      </c>
      <c r="S13" s="189" t="str">
        <f t="shared" si="11"/>
        <v>$0.00</v>
      </c>
      <c r="AA13" s="166" t="str">
        <f>IF(L13="lifetime", "one-time cost", IF(D13='Master Data'!$B$8, AD13 &amp; AE13, AD13 &amp; AE13 &amp; AC13))</f>
        <v>one-time cost</v>
      </c>
      <c r="AB13" s="208" t="str">
        <f t="shared" si="12"/>
        <v>x/lifetime</v>
      </c>
      <c r="AC13" s="166" t="str">
        <f ca="1">IF(Table14[[#This Row],[Duration (Years):]]&lt;&gt;'Master Data'!$B$8,CONCATENATE(",",CHAR(10),"for ",Table14[[#This Row],[Duration (Years):]]," years"),"lifelong")</f>
        <v>lifelong</v>
      </c>
      <c r="AD13" s="166" t="str">
        <f t="shared" si="13"/>
        <v>one-time cost</v>
      </c>
      <c r="AE13" s="166" t="str">
        <f t="shared" si="14"/>
        <v>one-time cost</v>
      </c>
    </row>
    <row r="14" spans="1:31" ht="45" customHeight="1" x14ac:dyDescent="0.2">
      <c r="A14" s="137"/>
      <c r="B14" s="143">
        <f ca="1">'Master Data'!$B$6</f>
        <v>126.3</v>
      </c>
      <c r="C14" s="158">
        <f ca="1">'Master Data'!$B$7</f>
        <v>136.30000000000001</v>
      </c>
      <c r="D14" s="129">
        <f t="shared" ca="1" si="3"/>
        <v>10</v>
      </c>
      <c r="E14" s="202" cm="1">
        <f t="array" ref="E14">IF(
  $A14="Single Lung Transplant",
  _xlfn.XLOOKUP(1,'Cost Data Sheet'!$A$2:$A$1003,'Cost Data Sheet'!$F$2:$F$1003),
  IF(
    $A14="Double Lung Transplant",
    _xlfn.XLOOKUP(2,'Cost Data Sheet'!$A$2:$A$1003,'Cost Data Sheet'!$F$2:$F$1003),
    SUMPRODUCT(
      ('Service to CPT Map'!$A$2:$A$1017=$A14)*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Map'!$A$2:$A$1017,$A14,
        'Service to CPT Map'!$B$2:$B$1017,"Low",
        'Service to CPT Map'!$D$2:$D$1017,"Anesthesia"
      )&gt;0,
      SUMPRODUCT(
        ('Service to CPT Map'!$A$2:$A$1017=$A14)*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Map'!$A$2:$A$1017=$A14)*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Map'!$A$2:$A$1017=$A14)*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Map'!$A$2:$A$1017=$A14)*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14" s="131" cm="1">
        <f t="array" ref="F14">IF(
  OR($A14="Single Lung Transplant",$A14="Double Lung Transplant"),
  E14,
  SUMPRODUCT(
    ('Service to CPT Map'!$A$2:$A$1017=$A14)*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Map'!$A$2:$A$1017,$A14,
      'Service to CPT Map'!$B$2:$B$1017,"High",
      'Service to CPT Map'!$D$2:$D$1017,"Anesthesia"
    )&gt;0,
    SUMPRODUCT(
      ('Service to CPT Map'!$A$2:$A$1017=$A14)*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Map'!$A$2:$A$1017=$A14)*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Map'!$A$2:$A$1017=$A14)*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Map'!$A$2:$A$1017=$A14)*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14" s="203" t="str">
        <f t="shared" ref="G14:G22" si="15">IF(E14&lt;F14,CONCATENATE(TEXT(E14,"$#,##0.00"),CHAR(10)," - ",CHAR(10),TEXT(F14,"$#,##0.00")),TEXT(E14,"$#,##0.00"))</f>
        <v>$0.00</v>
      </c>
      <c r="H14" s="161"/>
      <c r="I14" s="204"/>
      <c r="J14" s="204"/>
      <c r="K14" s="204"/>
      <c r="L14" s="134" t="str">
        <f t="shared" ref="L14:L22" si="16">IF(LEN(K14)=0,IF(LEN(J14)=0,"lifetime",IF(J14=1,"year","years")),"years")</f>
        <v>lifetime</v>
      </c>
      <c r="M14" s="177" t="str">
        <f>IF(L14="lifetime",
    IF(I14&lt;&gt;"", H14 &amp; "-" &amp; I14 &amp; "x/lifetime", H14 &amp; "x/lifetime"),
    IF(D14='Master Data'!$B$8, AD14 &amp; AE14, AD14 &amp; AE14 &amp; AC14))</f>
        <v>x/lifetime</v>
      </c>
      <c r="N14" s="131">
        <f t="shared" ref="N14:N22" si="17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4" s="131">
        <f t="shared" ref="O14:O22" si="18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4" s="188" t="str">
        <f t="shared" ref="P14:P22" si="19">IF(N14&lt;O14,CONCATENATE(TEXT(N14,"$#,###.00"),CHAR(10)," - ",CHAR(10),TEXT(O14,"$#,####.00")),TEXT(N14,"$0.00"))</f>
        <v>$0.00</v>
      </c>
      <c r="Q14" s="131">
        <f t="shared" ref="Q14:Q22" si="20">ROUND(IF(TimeValue="lifetime",MinCost*MinFreq,0),2)</f>
        <v>0</v>
      </c>
      <c r="R14" s="131">
        <f t="shared" ref="R14:R22" si="21">ROUND(IF(AND(TimeValue="lifetime",MaxFreq&lt;1),MinFreq*MaxCost,IF(AND(TimeValue="lifetime",MaxFreq&gt;=1),MaxFreq*MaxCost,0)),2)</f>
        <v>0</v>
      </c>
      <c r="S14" s="189" t="str">
        <f t="shared" ref="S14:S22" si="22">IF(Q14&lt;R14,CONCATENATE(TEXT(Q14,"$#,##0.00"),CHAR(10)," - ",CHAR(10),TEXT(R14,"$#,##0.00")),TEXT(Q14,"$#,##0.00"))</f>
        <v>$0.00</v>
      </c>
      <c r="AA14" s="166" t="str">
        <f>IF(L14="lifetime", "one-time cost", IF(D14='Master Data'!$B$8, AD14 &amp; AE14, AD14 &amp; AE14 &amp; AC14))</f>
        <v>one-time cost</v>
      </c>
      <c r="AB14" s="208" t="str">
        <f t="shared" si="12"/>
        <v>x/lifetime</v>
      </c>
      <c r="AC14" s="166" t="str">
        <f ca="1">IF(Table14[[#This Row],[Duration (Years):]]&lt;&gt;'Master Data'!$B$8,CONCATENATE(",",CHAR(10),"for ",Table14[[#This Row],[Duration (Years):]]," years"),"lifelong")</f>
        <v>lifelong</v>
      </c>
      <c r="AD14" s="166" t="str">
        <f t="shared" si="13"/>
        <v>one-time cost</v>
      </c>
      <c r="AE14" s="166" t="str">
        <f t="shared" si="14"/>
        <v>one-time cost</v>
      </c>
    </row>
    <row r="15" spans="1:31" ht="45" customHeight="1" x14ac:dyDescent="0.2">
      <c r="A15" s="137"/>
      <c r="B15" s="143">
        <f ca="1">'Master Data'!$B$6</f>
        <v>126.3</v>
      </c>
      <c r="C15" s="158">
        <f ca="1">'Master Data'!$B$7</f>
        <v>136.30000000000001</v>
      </c>
      <c r="D15" s="129">
        <f t="shared" ca="1" si="3"/>
        <v>10</v>
      </c>
      <c r="E15" s="202" cm="1">
        <f t="array" ref="E15">IF(
  $A15="Single Lung Transplant",
  _xlfn.XLOOKUP(1,'Cost Data Sheet'!$A$2:$A$1003,'Cost Data Sheet'!$F$2:$F$1003),
  IF(
    $A15="Double Lung Transplant",
    _xlfn.XLOOKUP(2,'Cost Data Sheet'!$A$2:$A$1003,'Cost Data Sheet'!$F$2:$F$1003),
    SUMPRODUCT(
      ('Service to CPT Map'!$A$2:$A$1017=$A15)*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Map'!$A$2:$A$1017,$A15,
        'Service to CPT Map'!$B$2:$B$1017,"Low",
        'Service to CPT Map'!$D$2:$D$1017,"Anesthesia"
      )&gt;0,
      SUMPRODUCT(
        ('Service to CPT Map'!$A$2:$A$1017=$A15)*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Map'!$A$2:$A$1017=$A15)*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Map'!$A$2:$A$1017=$A15)*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Map'!$A$2:$A$1017=$A15)*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15" s="131" cm="1">
        <f t="array" ref="F15">IF(
  OR($A15="Single Lung Transplant",$A15="Double Lung Transplant"),
  E15,
  SUMPRODUCT(
    ('Service to CPT Map'!$A$2:$A$1017=$A15)*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Map'!$A$2:$A$1017,$A15,
      'Service to CPT Map'!$B$2:$B$1017,"High",
      'Service to CPT Map'!$D$2:$D$1017,"Anesthesia"
    )&gt;0,
    SUMPRODUCT(
      ('Service to CPT Map'!$A$2:$A$1017=$A15)*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Map'!$A$2:$A$1017=$A15)*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Map'!$A$2:$A$1017=$A15)*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Map'!$A$2:$A$1017=$A15)*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15" s="203" t="str">
        <f t="shared" si="15"/>
        <v>$0.00</v>
      </c>
      <c r="H15" s="161"/>
      <c r="I15" s="204"/>
      <c r="J15" s="204"/>
      <c r="K15" s="204"/>
      <c r="L15" s="134" t="str">
        <f t="shared" si="16"/>
        <v>lifetime</v>
      </c>
      <c r="M15" s="177" t="str">
        <f>IF(L15="lifetime",
    IF(I15&lt;&gt;"", H15 &amp; "-" &amp; I15 &amp; "x/lifetime", H15 &amp; "x/lifetime"),
    IF(D15='Master Data'!$B$8, AD15 &amp; AE15, AD15 &amp; AE15 &amp; AC15))</f>
        <v>x/lifetime</v>
      </c>
      <c r="N15" s="131">
        <f t="shared" si="17"/>
        <v>0</v>
      </c>
      <c r="O15" s="131">
        <f t="shared" si="18"/>
        <v>0</v>
      </c>
      <c r="P15" s="188" t="str">
        <f t="shared" si="19"/>
        <v>$0.00</v>
      </c>
      <c r="Q15" s="131">
        <f t="shared" si="20"/>
        <v>0</v>
      </c>
      <c r="R15" s="131">
        <f t="shared" si="21"/>
        <v>0</v>
      </c>
      <c r="S15" s="189" t="str">
        <f t="shared" si="22"/>
        <v>$0.00</v>
      </c>
      <c r="AA15" s="166" t="str">
        <f>IF(L15="lifetime", "one-time cost", IF(D15='Master Data'!$B$8, AD15 &amp; AE15, AD15 &amp; AE15 &amp; AC15))</f>
        <v>one-time cost</v>
      </c>
      <c r="AB15" s="208" t="str">
        <f t="shared" si="12"/>
        <v>x/lifetime</v>
      </c>
      <c r="AC15" s="166" t="str">
        <f ca="1">IF(Table14[[#This Row],[Duration (Years):]]&lt;&gt;'Master Data'!$B$8,CONCATENATE(",",CHAR(10),"for ",Table14[[#This Row],[Duration (Years):]]," years"),"lifelong")</f>
        <v>lifelong</v>
      </c>
      <c r="AD15" s="166" t="str">
        <f t="shared" si="13"/>
        <v>one-time cost</v>
      </c>
      <c r="AE15" s="166" t="str">
        <f t="shared" si="14"/>
        <v>one-time cost</v>
      </c>
    </row>
    <row r="16" spans="1:31" ht="45" customHeight="1" x14ac:dyDescent="0.2">
      <c r="A16" s="137"/>
      <c r="B16" s="209">
        <f ca="1">'Master Data'!$B$6</f>
        <v>126.3</v>
      </c>
      <c r="C16" s="210">
        <f ca="1">'Master Data'!$B$7</f>
        <v>136.30000000000001</v>
      </c>
      <c r="D16" s="129">
        <f t="shared" ca="1" si="3"/>
        <v>10</v>
      </c>
      <c r="E16" s="211" cm="1">
        <f t="array" ref="E16">IF(
  $A16="Single Lung Transplant",
  _xlfn.XLOOKUP(1,'Cost Data Sheet'!$A$2:$A$1003,'Cost Data Sheet'!$F$2:$F$1003),
  IF(
    $A16="Double Lung Transplant",
    _xlfn.XLOOKUP(2,'Cost Data Sheet'!$A$2:$A$1003,'Cost Data Sheet'!$F$2:$F$1003),
    SUMPRODUCT(
      ('Service to CPT Map'!$A$2:$A$1017=$A16)*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Map'!$A$2:$A$1017,$A16,
        'Service to CPT Map'!$B$2:$B$1017,"Low",
        'Service to CPT Map'!$D$2:$D$1017,"Anesthesia"
      )&gt;0,
      SUMPRODUCT(
        ('Service to CPT Map'!$A$2:$A$1017=$A16)*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Map'!$A$2:$A$1017=$A16)*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Map'!$A$2:$A$1017=$A16)*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Map'!$A$2:$A$1017=$A16)*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16" s="212" cm="1">
        <f t="array" ref="F16">IF(
  OR($A16="Single Lung Transplant",$A16="Double Lung Transplant"),
  E16,
  SUMPRODUCT(
    ('Service to CPT Map'!$A$2:$A$1017=$A16)*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Map'!$A$2:$A$1017,$A16,
      'Service to CPT Map'!$B$2:$B$1017,"High",
      'Service to CPT Map'!$D$2:$D$1017,"Anesthesia"
    )&gt;0,
    SUMPRODUCT(
      ('Service to CPT Map'!$A$2:$A$1017=$A16)*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Map'!$A$2:$A$1017=$A16)*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Map'!$A$2:$A$1017=$A16)*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Map'!$A$2:$A$1017=$A16)*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16" s="213" t="str">
        <f t="shared" si="15"/>
        <v>$0.00</v>
      </c>
      <c r="H16" s="214"/>
      <c r="I16" s="215"/>
      <c r="J16" s="215"/>
      <c r="K16" s="215"/>
      <c r="L16" s="216" t="str">
        <f t="shared" si="16"/>
        <v>lifetime</v>
      </c>
      <c r="M16" s="217" t="str">
        <f>IF(L16="lifetime",
    IF(I16&lt;&gt;"", H16 &amp; "-" &amp; I16 &amp; "x/lifetime", H16 &amp; "x/lifetime"),
    IF(D16='Master Data'!$B$8, AD16 &amp; AE16, AD16 &amp; AE16 &amp; AC16))</f>
        <v>x/lifetime</v>
      </c>
      <c r="N16" s="212">
        <f t="shared" si="17"/>
        <v>0</v>
      </c>
      <c r="O16" s="212">
        <f t="shared" si="18"/>
        <v>0</v>
      </c>
      <c r="P16" s="218" t="str">
        <f t="shared" si="19"/>
        <v>$0.00</v>
      </c>
      <c r="Q16" s="212">
        <f t="shared" si="20"/>
        <v>0</v>
      </c>
      <c r="R16" s="212">
        <f t="shared" si="21"/>
        <v>0</v>
      </c>
      <c r="S16" s="219" t="str">
        <f t="shared" si="22"/>
        <v>$0.00</v>
      </c>
      <c r="AA16" s="166" t="str">
        <f>IF(L16="lifetime", "one-time cost", IF(D16='Master Data'!$B$8, AD16 &amp; AE16, AD16 &amp; AE16 &amp; AC16))</f>
        <v>one-time cost</v>
      </c>
      <c r="AB16" s="208" t="str">
        <f t="shared" si="12"/>
        <v>x/lifetime</v>
      </c>
      <c r="AC16" s="166" t="str">
        <f ca="1">IF(Table14[[#This Row],[Duration (Years):]]&lt;&gt;'Master Data'!$B$8,CONCATENATE(",",CHAR(10),"for ",Table14[[#This Row],[Duration (Years):]]," years"),"lifelong")</f>
        <v>lifelong</v>
      </c>
      <c r="AD16" s="166" t="str">
        <f t="shared" si="13"/>
        <v>one-time cost</v>
      </c>
      <c r="AE16" s="166" t="str">
        <f t="shared" si="14"/>
        <v>one-time cost</v>
      </c>
    </row>
    <row r="17" spans="1:31" ht="42.75" x14ac:dyDescent="0.2">
      <c r="A17" s="274"/>
      <c r="B17" s="275">
        <f ca="1">'Master Data'!$B$6</f>
        <v>126.3</v>
      </c>
      <c r="C17" s="276">
        <f ca="1">'Master Data'!$B$7</f>
        <v>136.30000000000001</v>
      </c>
      <c r="D17" s="276">
        <f>ROUND(C26-B26,1)</f>
        <v>0</v>
      </c>
      <c r="E17" s="277" cm="1">
        <f t="array" ref="E17">IF(
  $A17="Single Lung Transplant",
  _xlfn.XLOOKUP(1,'Cost Data Sheet'!$A$2:$A$1003,'Cost Data Sheet'!$F$2:$F$1003),
  IF(
    $A17="Double Lung Transplant",
    _xlfn.XLOOKUP(2,'Cost Data Sheet'!$A$2:$A$1003,'Cost Data Sheet'!$F$2:$F$1003),
    SUMPRODUCT(
      ('Service to CPT Map'!$A$2:$A$1017=$A17)*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Map'!$A$2:$A$1017,$A17,
        'Service to CPT Map'!$B$2:$B$1017,"Low",
        'Service to CPT Map'!$D$2:$D$1017,"Anesthesia"
      )&gt;0,
      SUMPRODUCT(
        ('Service to CPT Map'!$A$2:$A$1017=$A17)*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Map'!$A$2:$A$1017=$A17)*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Map'!$A$2:$A$1017=$A17)*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Map'!$A$2:$A$1017=$A17)*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17" s="278" cm="1">
        <f t="array" ref="F17">IF(
  OR($A17="Single Lung Transplant",$A17="Double Lung Transplant"),
  E17,
  SUMPRODUCT(
    ('Service to CPT Map'!$A$2:$A$1017=$A17)*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Map'!$A$2:$A$1017,$A17,
      'Service to CPT Map'!$B$2:$B$1017,"High",
      'Service to CPT Map'!$D$2:$D$1017,"Anesthesia"
    )&gt;0,
    SUMPRODUCT(
      ('Service to CPT Map'!$A$2:$A$1017=$A17)*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Map'!$A$2:$A$1017=$A17)*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Map'!$A$2:$A$1017=$A17)*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Map'!$A$2:$A$1017=$A17)*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17" s="279" t="str">
        <f t="shared" si="15"/>
        <v>$0.00</v>
      </c>
      <c r="H17" s="280"/>
      <c r="I17" s="281"/>
      <c r="J17" s="281"/>
      <c r="K17" s="281"/>
      <c r="L17" s="282" t="str">
        <f t="shared" si="16"/>
        <v>lifetime</v>
      </c>
      <c r="M17" s="283" t="str">
        <f>IF(L17="lifetime",
    IF(I17&lt;&gt;"", H17 &amp; "-" &amp; I17 &amp; "x/lifetime", H17 &amp; "x/lifetime"),
    IF(D17='Master Data'!$B$8, AD17 &amp; AE17, AD17 &amp; AE17 &amp; AC17))</f>
        <v>x/lifetime</v>
      </c>
      <c r="N17" s="278">
        <f t="shared" si="17"/>
        <v>0</v>
      </c>
      <c r="O17" s="278">
        <f t="shared" si="18"/>
        <v>0</v>
      </c>
      <c r="P17" s="284" t="str">
        <f t="shared" si="19"/>
        <v>$0.00</v>
      </c>
      <c r="Q17" s="278">
        <f t="shared" si="20"/>
        <v>0</v>
      </c>
      <c r="R17" s="278">
        <f t="shared" si="21"/>
        <v>0</v>
      </c>
      <c r="S17" s="285" t="str">
        <f t="shared" si="22"/>
        <v>$0.00</v>
      </c>
      <c r="AA17" s="166" t="str">
        <f>IF(L17="lifetime", "one-time cost", IF(D17='Master Data'!$B$8, AD17 &amp; AE17, AD17 &amp; AE17 &amp; AC17))</f>
        <v>one-time cost</v>
      </c>
      <c r="AB17" s="208" t="str">
        <f t="shared" si="12"/>
        <v>x/lifetime</v>
      </c>
      <c r="AC17" s="166" t="str">
        <f>IF(Table14[[#This Row],[Duration (Years):]]&lt;&gt;'Master Data'!$B$8,CONCATENATE(",",CHAR(10),"for ",Table14[[#This Row],[Duration (Years):]]," years"),"lifelong")</f>
        <v>,
for 0 years</v>
      </c>
      <c r="AD17" s="166" t="str">
        <f t="shared" si="13"/>
        <v>one-time cost</v>
      </c>
      <c r="AE17" s="166" t="str">
        <f t="shared" si="14"/>
        <v>one-time cost</v>
      </c>
    </row>
    <row r="18" spans="1:31" ht="42.75" x14ac:dyDescent="0.2">
      <c r="A18" s="274"/>
      <c r="B18" s="275">
        <f ca="1">'Master Data'!$B$6</f>
        <v>126.3</v>
      </c>
      <c r="C18" s="276">
        <f ca="1">'Master Data'!$B$7</f>
        <v>136.30000000000001</v>
      </c>
      <c r="D18" s="276">
        <f>ROUND(C26-B26,1)</f>
        <v>0</v>
      </c>
      <c r="E18" s="277" cm="1">
        <f t="array" ref="E18">IF(
  $A18="Single Lung Transplant",
  _xlfn.XLOOKUP(1,'Cost Data Sheet'!$A$2:$A$1003,'Cost Data Sheet'!$F$2:$F$1003),
  IF(
    $A18="Double Lung Transplant",
    _xlfn.XLOOKUP(2,'Cost Data Sheet'!$A$2:$A$1003,'Cost Data Sheet'!$F$2:$F$1003),
    SUMPRODUCT(
      ('Service to CPT Map'!$A$2:$A$1017=$A18)*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Map'!$A$2:$A$1017,$A18,
        'Service to CPT Map'!$B$2:$B$1017,"Low",
        'Service to CPT Map'!$D$2:$D$1017,"Anesthesia"
      )&gt;0,
      SUMPRODUCT(
        ('Service to CPT Map'!$A$2:$A$1017=$A18)*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Map'!$A$2:$A$1017=$A18)*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Map'!$A$2:$A$1017=$A18)*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Map'!$A$2:$A$1017=$A18)*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18" s="278" cm="1">
        <f t="array" ref="F18">IF(
  OR($A18="Single Lung Transplant",$A18="Double Lung Transplant"),
  E18,
  SUMPRODUCT(
    ('Service to CPT Map'!$A$2:$A$1017=$A18)*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Map'!$A$2:$A$1017,$A18,
      'Service to CPT Map'!$B$2:$B$1017,"High",
      'Service to CPT Map'!$D$2:$D$1017,"Anesthesia"
    )&gt;0,
    SUMPRODUCT(
      ('Service to CPT Map'!$A$2:$A$1017=$A18)*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Map'!$A$2:$A$1017=$A18)*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Map'!$A$2:$A$1017=$A18)*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Map'!$A$2:$A$1017=$A18)*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18" s="279" t="str">
        <f t="shared" si="15"/>
        <v>$0.00</v>
      </c>
      <c r="H18" s="280"/>
      <c r="I18" s="281"/>
      <c r="J18" s="281"/>
      <c r="K18" s="281"/>
      <c r="L18" s="282" t="str">
        <f t="shared" si="16"/>
        <v>lifetime</v>
      </c>
      <c r="M18" s="283" t="str">
        <f>IF(L18="lifetime",
    IF(I18&lt;&gt;"", H18 &amp; "-" &amp; I18 &amp; "x/lifetime", H18 &amp; "x/lifetime"),
    IF(D18='Master Data'!$B$8, AD18 &amp; AE18, AD18 &amp; AE18 &amp; AC18))</f>
        <v>x/lifetime</v>
      </c>
      <c r="N18" s="278">
        <f t="shared" si="17"/>
        <v>0</v>
      </c>
      <c r="O18" s="278">
        <f t="shared" si="18"/>
        <v>0</v>
      </c>
      <c r="P18" s="284" t="str">
        <f t="shared" si="19"/>
        <v>$0.00</v>
      </c>
      <c r="Q18" s="278">
        <f t="shared" si="20"/>
        <v>0</v>
      </c>
      <c r="R18" s="278">
        <f t="shared" si="21"/>
        <v>0</v>
      </c>
      <c r="S18" s="285" t="str">
        <f t="shared" si="22"/>
        <v>$0.00</v>
      </c>
      <c r="AA18" s="166" t="str">
        <f>IF(L18="lifetime", "one-time cost", IF(D18='Master Data'!$B$8, AD18 &amp; AE18, AD18 &amp; AE18 &amp; AC18))</f>
        <v>one-time cost</v>
      </c>
      <c r="AB18" s="208" t="str">
        <f t="shared" si="12"/>
        <v>x/lifetime</v>
      </c>
      <c r="AC18" s="166" t="str">
        <f>IF(Table14[[#This Row],[Duration (Years):]]&lt;&gt;'Master Data'!$B$8,CONCATENATE(",",CHAR(10),"for ",Table14[[#This Row],[Duration (Years):]]," years"),"lifelong")</f>
        <v>,
for 0 years</v>
      </c>
      <c r="AD18" s="166" t="str">
        <f t="shared" si="13"/>
        <v>one-time cost</v>
      </c>
      <c r="AE18" s="166" t="str">
        <f t="shared" si="14"/>
        <v>one-time cost</v>
      </c>
    </row>
    <row r="19" spans="1:31" ht="42.75" x14ac:dyDescent="0.2">
      <c r="A19" s="274"/>
      <c r="B19" s="275">
        <f ca="1">'Master Data'!$B$6</f>
        <v>126.3</v>
      </c>
      <c r="C19" s="276">
        <f ca="1">'Master Data'!$B$7</f>
        <v>136.30000000000001</v>
      </c>
      <c r="D19" s="276">
        <f>ROUND(C26-B26,1)</f>
        <v>0</v>
      </c>
      <c r="E19" s="277" cm="1">
        <f t="array" ref="E19">IF(
  $A19="Single Lung Transplant",
  _xlfn.XLOOKUP(1,'Cost Data Sheet'!$A$2:$A$1003,'Cost Data Sheet'!$F$2:$F$1003),
  IF(
    $A19="Double Lung Transplant",
    _xlfn.XLOOKUP(2,'Cost Data Sheet'!$A$2:$A$1003,'Cost Data Sheet'!$F$2:$F$1003),
    SUMPRODUCT(
      ('Service to CPT Map'!$A$2:$A$1017=$A19)*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Map'!$A$2:$A$1017,$A19,
        'Service to CPT Map'!$B$2:$B$1017,"Low",
        'Service to CPT Map'!$D$2:$D$1017,"Anesthesia"
      )&gt;0,
      SUMPRODUCT(
        ('Service to CPT Map'!$A$2:$A$1017=$A19)*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Map'!$A$2:$A$1017=$A19)*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Map'!$A$2:$A$1017=$A19)*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Map'!$A$2:$A$1017=$A19)*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19" s="278" cm="1">
        <f t="array" ref="F19">IF(
  OR($A19="Single Lung Transplant",$A19="Double Lung Transplant"),
  E19,
  SUMPRODUCT(
    ('Service to CPT Map'!$A$2:$A$1017=$A19)*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Map'!$A$2:$A$1017,$A19,
      'Service to CPT Map'!$B$2:$B$1017,"High",
      'Service to CPT Map'!$D$2:$D$1017,"Anesthesia"
    )&gt;0,
    SUMPRODUCT(
      ('Service to CPT Map'!$A$2:$A$1017=$A19)*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Map'!$A$2:$A$1017=$A19)*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Map'!$A$2:$A$1017=$A19)*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Map'!$A$2:$A$1017=$A19)*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19" s="279" t="str">
        <f t="shared" si="15"/>
        <v>$0.00</v>
      </c>
      <c r="H19" s="280"/>
      <c r="I19" s="281"/>
      <c r="J19" s="281"/>
      <c r="K19" s="281"/>
      <c r="L19" s="282" t="str">
        <f t="shared" si="16"/>
        <v>lifetime</v>
      </c>
      <c r="M19" s="283" t="str">
        <f>IF(L19="lifetime",
    IF(I19&lt;&gt;"", H19 &amp; "-" &amp; I19 &amp; "x/lifetime", H19 &amp; "x/lifetime"),
    IF(D19='Master Data'!$B$8, AD19 &amp; AE19, AD19 &amp; AE19 &amp; AC19))</f>
        <v>x/lifetime</v>
      </c>
      <c r="N19" s="278">
        <f t="shared" si="17"/>
        <v>0</v>
      </c>
      <c r="O19" s="278">
        <f t="shared" si="18"/>
        <v>0</v>
      </c>
      <c r="P19" s="284" t="str">
        <f t="shared" si="19"/>
        <v>$0.00</v>
      </c>
      <c r="Q19" s="278">
        <f t="shared" si="20"/>
        <v>0</v>
      </c>
      <c r="R19" s="278">
        <f t="shared" si="21"/>
        <v>0</v>
      </c>
      <c r="S19" s="285" t="str">
        <f t="shared" si="22"/>
        <v>$0.00</v>
      </c>
      <c r="AA19" s="166" t="str">
        <f>IF(L19="lifetime", "one-time cost", IF(D19='Master Data'!$B$8, AD19 &amp; AE19, AD19 &amp; AE19 &amp; AC19))</f>
        <v>one-time cost</v>
      </c>
      <c r="AB19" s="208" t="str">
        <f t="shared" si="12"/>
        <v>x/lifetime</v>
      </c>
      <c r="AC19" s="166" t="str">
        <f>IF(Table14[[#This Row],[Duration (Years):]]&lt;&gt;'Master Data'!$B$8,CONCATENATE(",",CHAR(10),"for ",Table14[[#This Row],[Duration (Years):]]," years"),"lifelong")</f>
        <v>,
for 0 years</v>
      </c>
      <c r="AD19" s="166" t="str">
        <f t="shared" si="13"/>
        <v>one-time cost</v>
      </c>
      <c r="AE19" s="166" t="str">
        <f t="shared" si="14"/>
        <v>one-time cost</v>
      </c>
    </row>
    <row r="20" spans="1:31" ht="42.75" x14ac:dyDescent="0.2">
      <c r="A20" s="274"/>
      <c r="B20" s="275">
        <f ca="1">'Master Data'!$B$6</f>
        <v>126.3</v>
      </c>
      <c r="C20" s="276">
        <f ca="1">'Master Data'!$B$7</f>
        <v>136.30000000000001</v>
      </c>
      <c r="D20" s="276">
        <f>ROUND(C26-B26,1)</f>
        <v>0</v>
      </c>
      <c r="E20" s="277" cm="1">
        <f t="array" ref="E20">IF(
  $A20="Single Lung Transplant",
  _xlfn.XLOOKUP(1,'Cost Data Sheet'!$A$2:$A$1003,'Cost Data Sheet'!$F$2:$F$1003),
  IF(
    $A20="Double Lung Transplant",
    _xlfn.XLOOKUP(2,'Cost Data Sheet'!$A$2:$A$1003,'Cost Data Sheet'!$F$2:$F$1003),
    SUMPRODUCT(
      ('Service to CPT Map'!$A$2:$A$1017=$A20)*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Map'!$A$2:$A$1017,$A20,
        'Service to CPT Map'!$B$2:$B$1017,"Low",
        'Service to CPT Map'!$D$2:$D$1017,"Anesthesia"
      )&gt;0,
      SUMPRODUCT(
        ('Service to CPT Map'!$A$2:$A$1017=$A20)*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Map'!$A$2:$A$1017=$A20)*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Map'!$A$2:$A$1017=$A20)*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Map'!$A$2:$A$1017=$A20)*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20" s="278" cm="1">
        <f t="array" ref="F20">IF(
  OR($A20="Single Lung Transplant",$A20="Double Lung Transplant"),
  E20,
  SUMPRODUCT(
    ('Service to CPT Map'!$A$2:$A$1017=$A20)*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Map'!$A$2:$A$1017,$A20,
      'Service to CPT Map'!$B$2:$B$1017,"High",
      'Service to CPT Map'!$D$2:$D$1017,"Anesthesia"
    )&gt;0,
    SUMPRODUCT(
      ('Service to CPT Map'!$A$2:$A$1017=$A20)*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Map'!$A$2:$A$1017=$A20)*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Map'!$A$2:$A$1017=$A20)*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Map'!$A$2:$A$1017=$A20)*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20" s="279" t="str">
        <f t="shared" si="15"/>
        <v>$0.00</v>
      </c>
      <c r="H20" s="280"/>
      <c r="I20" s="281"/>
      <c r="J20" s="281"/>
      <c r="K20" s="281"/>
      <c r="L20" s="282" t="str">
        <f t="shared" si="16"/>
        <v>lifetime</v>
      </c>
      <c r="M20" s="283" t="str">
        <f>IF(L20="lifetime",
    IF(I20&lt;&gt;"", H20 &amp; "-" &amp; I20 &amp; "x/lifetime", H20 &amp; "x/lifetime"),
    IF(D20='Master Data'!$B$8, AD20 &amp; AE20, AD20 &amp; AE20 &amp; AC20))</f>
        <v>x/lifetime</v>
      </c>
      <c r="N20" s="278">
        <f t="shared" si="17"/>
        <v>0</v>
      </c>
      <c r="O20" s="278">
        <f t="shared" si="18"/>
        <v>0</v>
      </c>
      <c r="P20" s="284" t="str">
        <f t="shared" si="19"/>
        <v>$0.00</v>
      </c>
      <c r="Q20" s="278">
        <f t="shared" si="20"/>
        <v>0</v>
      </c>
      <c r="R20" s="278">
        <f t="shared" si="21"/>
        <v>0</v>
      </c>
      <c r="S20" s="285" t="str">
        <f t="shared" si="22"/>
        <v>$0.00</v>
      </c>
      <c r="AA20" s="166" t="str">
        <f>IF(L20="lifetime", "one-time cost", IF(D20='Master Data'!$B$8, AD20 &amp; AE20, AD20 &amp; AE20 &amp; AC20))</f>
        <v>one-time cost</v>
      </c>
      <c r="AB20" s="208" t="str">
        <f t="shared" si="12"/>
        <v>x/lifetime</v>
      </c>
      <c r="AC20" s="166" t="str">
        <f>IF(Table14[[#This Row],[Duration (Years):]]&lt;&gt;'Master Data'!$B$8,CONCATENATE(",",CHAR(10),"for ",Table14[[#This Row],[Duration (Years):]]," years"),"lifelong")</f>
        <v>,
for 0 years</v>
      </c>
      <c r="AD20" s="166" t="str">
        <f t="shared" si="13"/>
        <v>one-time cost</v>
      </c>
      <c r="AE20" s="166" t="str">
        <f t="shared" si="14"/>
        <v>one-time cost</v>
      </c>
    </row>
    <row r="21" spans="1:31" ht="42.75" x14ac:dyDescent="0.2">
      <c r="A21" s="274"/>
      <c r="B21" s="275">
        <f ca="1">'Master Data'!$B$6</f>
        <v>126.3</v>
      </c>
      <c r="C21" s="276">
        <f ca="1">'Master Data'!$B$7</f>
        <v>136.30000000000001</v>
      </c>
      <c r="D21" s="276">
        <f>ROUND(C26-B26,1)</f>
        <v>0</v>
      </c>
      <c r="E21" s="277" cm="1">
        <f t="array" ref="E21">IF(
  $A21="Single Lung Transplant",
  _xlfn.XLOOKUP(1,'Cost Data Sheet'!$A$2:$A$1003,'Cost Data Sheet'!$F$2:$F$1003),
  IF(
    $A21="Double Lung Transplant",
    _xlfn.XLOOKUP(2,'Cost Data Sheet'!$A$2:$A$1003,'Cost Data Sheet'!$F$2:$F$1003),
    SUMPRODUCT(
      ('Service to CPT Map'!$A$2:$A$1017=$A21)*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Map'!$A$2:$A$1017,$A21,
        'Service to CPT Map'!$B$2:$B$1017,"Low",
        'Service to CPT Map'!$D$2:$D$1017,"Anesthesia"
      )&gt;0,
      SUMPRODUCT(
        ('Service to CPT Map'!$A$2:$A$1017=$A21)*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Map'!$A$2:$A$1017=$A21)*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Map'!$A$2:$A$1017=$A21)*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Map'!$A$2:$A$1017=$A21)*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21" s="278" cm="1">
        <f t="array" ref="F21">IF(
  OR($A21="Single Lung Transplant",$A21="Double Lung Transplant"),
  E21,
  SUMPRODUCT(
    ('Service to CPT Map'!$A$2:$A$1017=$A21)*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Map'!$A$2:$A$1017,$A21,
      'Service to CPT Map'!$B$2:$B$1017,"High",
      'Service to CPT Map'!$D$2:$D$1017,"Anesthesia"
    )&gt;0,
    SUMPRODUCT(
      ('Service to CPT Map'!$A$2:$A$1017=$A21)*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Map'!$A$2:$A$1017=$A21)*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Map'!$A$2:$A$1017=$A21)*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Map'!$A$2:$A$1017=$A21)*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21" s="279" t="str">
        <f t="shared" si="15"/>
        <v>$0.00</v>
      </c>
      <c r="H21" s="280"/>
      <c r="I21" s="281"/>
      <c r="J21" s="281"/>
      <c r="K21" s="281"/>
      <c r="L21" s="282" t="str">
        <f t="shared" si="16"/>
        <v>lifetime</v>
      </c>
      <c r="M21" s="283" t="str">
        <f>IF(L21="lifetime",
    IF(I21&lt;&gt;"", H21 &amp; "-" &amp; I21 &amp; "x/lifetime", H21 &amp; "x/lifetime"),
    IF(D21='Master Data'!$B$8, AD21 &amp; AE21, AD21 &amp; AE21 &amp; AC21))</f>
        <v>x/lifetime</v>
      </c>
      <c r="N21" s="278">
        <f t="shared" si="17"/>
        <v>0</v>
      </c>
      <c r="O21" s="278">
        <f t="shared" si="18"/>
        <v>0</v>
      </c>
      <c r="P21" s="284" t="str">
        <f t="shared" si="19"/>
        <v>$0.00</v>
      </c>
      <c r="Q21" s="278">
        <f t="shared" si="20"/>
        <v>0</v>
      </c>
      <c r="R21" s="278">
        <f t="shared" si="21"/>
        <v>0</v>
      </c>
      <c r="S21" s="285" t="str">
        <f t="shared" si="22"/>
        <v>$0.00</v>
      </c>
      <c r="AA21" s="166" t="str">
        <f>IF(L21="lifetime", "one-time cost", IF(D21='Master Data'!$B$8, AD21 &amp; AE21, AD21 &amp; AE21 &amp; AC21))</f>
        <v>one-time cost</v>
      </c>
      <c r="AB21" s="208" t="str">
        <f t="shared" si="12"/>
        <v>x/lifetime</v>
      </c>
      <c r="AC21" s="166" t="str">
        <f>IF(Table14[[#This Row],[Duration (Years):]]&lt;&gt;'Master Data'!$B$8,CONCATENATE(",",CHAR(10),"for ",Table14[[#This Row],[Duration (Years):]]," years"),"lifelong")</f>
        <v>,
for 0 years</v>
      </c>
      <c r="AD21" s="166" t="str">
        <f t="shared" si="13"/>
        <v>one-time cost</v>
      </c>
      <c r="AE21" s="166" t="str">
        <f t="shared" si="14"/>
        <v>one-time cost</v>
      </c>
    </row>
    <row r="22" spans="1:31" ht="42.75" x14ac:dyDescent="0.2">
      <c r="A22" s="274"/>
      <c r="B22" s="275">
        <f ca="1">'Master Data'!$B$6</f>
        <v>126.3</v>
      </c>
      <c r="C22" s="276">
        <f ca="1">'Master Data'!$B$7</f>
        <v>136.30000000000001</v>
      </c>
      <c r="D22" s="276">
        <f>ROUND(C26-B26,1)</f>
        <v>0</v>
      </c>
      <c r="E22" s="277" cm="1">
        <f t="array" ref="E22">IF(
  $A22="Single Lung Transplant",
  _xlfn.XLOOKUP(1,'Cost Data Sheet'!$A$2:$A$1003,'Cost Data Sheet'!$F$2:$F$1003),
  IF(
    $A22="Double Lung Transplant",
    _xlfn.XLOOKUP(2,'Cost Data Sheet'!$A$2:$A$1003,'Cost Data Sheet'!$F$2:$F$1003),
    SUMPRODUCT(
      ('Service to CPT Map'!$A$2:$A$1017=$A22)*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Map'!$A$2:$A$1017,$A22,
        'Service to CPT Map'!$B$2:$B$1017,"Low",
        'Service to CPT Map'!$D$2:$D$1017,"Anesthesia"
      )&gt;0,
      SUMPRODUCT(
        ('Service to CPT Map'!$A$2:$A$1017=$A22)*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Map'!$A$2:$A$1017=$A22)*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Map'!$A$2:$A$1017=$A22)*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Map'!$A$2:$A$1017=$A22)*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22" s="278" cm="1">
        <f t="array" ref="F22">IF(
  OR($A22="Single Lung Transplant",$A22="Double Lung Transplant"),
  E22,
  SUMPRODUCT(
    ('Service to CPT Map'!$A$2:$A$1017=$A22)*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Map'!$A$2:$A$1017,$A22,
      'Service to CPT Map'!$B$2:$B$1017,"High",
      'Service to CPT Map'!$D$2:$D$1017,"Anesthesia"
    )&gt;0,
    SUMPRODUCT(
      ('Service to CPT Map'!$A$2:$A$1017=$A22)*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Map'!$A$2:$A$1017=$A22)*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Map'!$A$2:$A$1017=$A22)*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Map'!$A$2:$A$1017=$A22)*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22" s="279" t="str">
        <f t="shared" si="15"/>
        <v>$0.00</v>
      </c>
      <c r="H22" s="280"/>
      <c r="I22" s="281"/>
      <c r="J22" s="281"/>
      <c r="K22" s="281"/>
      <c r="L22" s="282" t="str">
        <f t="shared" si="16"/>
        <v>lifetime</v>
      </c>
      <c r="M22" s="283" t="str">
        <f>IF(L22="lifetime",
    IF(I22&lt;&gt;"", H22 &amp; "-" &amp; I22 &amp; "x/lifetime", H22 &amp; "x/lifetime"),
    IF(D22='Master Data'!$B$8, AD22 &amp; AE22, AD22 &amp; AE22 &amp; AC22))</f>
        <v>x/lifetime</v>
      </c>
      <c r="N22" s="278">
        <f t="shared" si="17"/>
        <v>0</v>
      </c>
      <c r="O22" s="278">
        <f t="shared" si="18"/>
        <v>0</v>
      </c>
      <c r="P22" s="284" t="str">
        <f t="shared" si="19"/>
        <v>$0.00</v>
      </c>
      <c r="Q22" s="278">
        <f t="shared" si="20"/>
        <v>0</v>
      </c>
      <c r="R22" s="278">
        <f t="shared" si="21"/>
        <v>0</v>
      </c>
      <c r="S22" s="285" t="str">
        <f t="shared" si="22"/>
        <v>$0.00</v>
      </c>
      <c r="AA22" s="166" t="str">
        <f>IF(L22="lifetime", "one-time cost", IF(D22='Master Data'!$B$8, AD22 &amp; AE22, AD22 &amp; AE22 &amp; AC22))</f>
        <v>one-time cost</v>
      </c>
      <c r="AB22" s="208" t="str">
        <f t="shared" si="12"/>
        <v>x/lifetime</v>
      </c>
      <c r="AC22" s="166" t="str">
        <f>IF(Table14[[#This Row],[Duration (Years):]]&lt;&gt;'Master Data'!$B$8,CONCATENATE(",",CHAR(10),"for ",Table14[[#This Row],[Duration (Years):]]," years"),"lifelong")</f>
        <v>,
for 0 years</v>
      </c>
      <c r="AD22" s="166" t="str">
        <f t="shared" si="13"/>
        <v>one-time cost</v>
      </c>
      <c r="AE22" s="166" t="str">
        <f t="shared" si="14"/>
        <v>one-time cost</v>
      </c>
    </row>
    <row r="23" spans="1:31" ht="42.75" x14ac:dyDescent="0.2">
      <c r="A23" s="137"/>
      <c r="B23" s="143">
        <f ca="1">'Master Data'!$B$6</f>
        <v>126.3</v>
      </c>
      <c r="C23" s="158">
        <f ca="1">'Master Data'!$B$7</f>
        <v>136.30000000000001</v>
      </c>
      <c r="D23" s="158">
        <f>ROUND(C26-B26,1)</f>
        <v>0</v>
      </c>
      <c r="E23" s="202" cm="1">
        <f t="array" ref="E23">IF(
  $A23="Single Lung Transplant",
  _xlfn.XLOOKUP(1,'Cost Data Sheet'!$A$2:$A$1003,'Cost Data Sheet'!$F$2:$F$1003),
  IF(
    $A23="Double Lung Transplant",
    _xlfn.XLOOKUP(2,'Cost Data Sheet'!$A$2:$A$1003,'Cost Data Sheet'!$F$2:$F$1003),
    SUMPRODUCT(
      ('Service to CPT Map'!$A$2:$A$1017=$A23)*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Map'!$A$2:$A$1017,$A23,
        'Service to CPT Map'!$B$2:$B$1017,"Low",
        'Service to CPT Map'!$D$2:$D$1017,"Anesthesia"
      )&gt;0,
      SUMPRODUCT(
        ('Service to CPT Map'!$A$2:$A$1017=$A23)*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Map'!$A$2:$A$1017=$A23)*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Map'!$A$2:$A$1017=$A23)*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Map'!$A$2:$A$1017=$A23)*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23" s="131" cm="1">
        <f t="array" ref="F23">IF(
  OR($A23="Single Lung Transplant",$A23="Double Lung Transplant"),
  E23,
  SUMPRODUCT(
    ('Service to CPT Map'!$A$2:$A$1017=$A23)*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Map'!$A$2:$A$1017,$A23,
      'Service to CPT Map'!$B$2:$B$1017,"High",
      'Service to CPT Map'!$D$2:$D$1017,"Anesthesia"
    )&gt;0,
    SUMPRODUCT(
      ('Service to CPT Map'!$A$2:$A$1017=$A23)*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Map'!$A$2:$A$1017=$A23)*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Map'!$A$2:$A$1017=$A23)*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Map'!$A$2:$A$1017=$A23)*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23" s="203" t="str">
        <f>IF(E23&lt;F23,CONCATENATE(TEXT(E23,"$#,##0.00"),CHAR(10)," - ",CHAR(10),TEXT(F23,"$#,##0.00")),TEXT(E23,"$#,##0.00"))</f>
        <v>$0.00</v>
      </c>
      <c r="H23" s="161"/>
      <c r="I23" s="204"/>
      <c r="J23" s="204"/>
      <c r="K23" s="204"/>
      <c r="L23" s="134" t="str">
        <f>IF(LEN(K23)=0,IF(LEN(J23)=0,"lifetime",IF(J23=1,"year","years")),"years")</f>
        <v>lifetime</v>
      </c>
      <c r="M23" s="177" t="str">
        <f>IF(L23="lifetime",
    IF(I23&lt;&gt;"", H23 &amp; "-" &amp; I23 &amp; "x/lifetime", H23 &amp; "x/lifetime"),
    IF(D23='Master Data'!$B$8, AD23 &amp; AE23, AD23 &amp; AE23 &amp; AC23))</f>
        <v>x/lifetime</v>
      </c>
      <c r="N23" s="131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23" s="131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23" s="188" t="str">
        <f>IF(N23&lt;O23,CONCATENATE(TEXT(N23,"$#,###.00"),CHAR(10)," - ",CHAR(10),TEXT(O23,"$#,####.00")),TEXT(N23,"$0.00"))</f>
        <v>$0.00</v>
      </c>
      <c r="Q23" s="131">
        <f>ROUND(IF(TimeValue="lifetime",MinCost*MinFreq,0),2)</f>
        <v>0</v>
      </c>
      <c r="R23" s="131">
        <f>ROUND(IF(AND(TimeValue="lifetime",MaxFreq&lt;1),MinFreq*MaxCost,IF(AND(TimeValue="lifetime",MaxFreq&gt;=1),MaxFreq*MaxCost,0)),2)</f>
        <v>0</v>
      </c>
      <c r="S23" s="189" t="str">
        <f>IF(Q23&lt;R23,CONCATENATE(TEXT(Q23,"$#,##0.00"),CHAR(10)," - ",CHAR(10),TEXT(R23,"$#,##0.00")),TEXT(Q23,"$#,##0.00"))</f>
        <v>$0.00</v>
      </c>
      <c r="AA23" s="166" t="str">
        <f>IF(L23="lifetime", "one-time cost", IF(D23='Master Data'!$B$8, AD23 &amp; AE23, AD23 &amp; AE23 &amp; AC23))</f>
        <v>one-time cost</v>
      </c>
      <c r="AB23" s="208" t="str">
        <f t="shared" si="12"/>
        <v>x/lifetime</v>
      </c>
      <c r="AC23" s="166" t="str">
        <f>IF(Table14[[#This Row],[Duration (Years):]]&lt;&gt;'Master Data'!$B$8,CONCATENATE(",",CHAR(10),"for ",Table14[[#This Row],[Duration (Years):]]," years"),"lifelong")</f>
        <v>,
for 0 years</v>
      </c>
      <c r="AD23" s="166" t="str">
        <f t="shared" si="13"/>
        <v>one-time cost</v>
      </c>
      <c r="AE23" s="166" t="str">
        <f t="shared" si="14"/>
        <v>one-time cost</v>
      </c>
    </row>
    <row r="24" spans="1:31" ht="42.75" x14ac:dyDescent="0.2">
      <c r="A24" s="137"/>
      <c r="B24" s="143">
        <f ca="1">'Master Data'!$B$6</f>
        <v>126.3</v>
      </c>
      <c r="C24" s="158">
        <f ca="1">'Master Data'!$B$7</f>
        <v>136.30000000000001</v>
      </c>
      <c r="D24" s="158">
        <f>ROUND(C26-B26,1)</f>
        <v>0</v>
      </c>
      <c r="E24" s="202" cm="1">
        <f t="array" ref="E24">IF(
  $A24="Single Lung Transplant",
  _xlfn.XLOOKUP(1,'Cost Data Sheet'!$A$2:$A$1003,'Cost Data Sheet'!$F$2:$F$1003),
  IF(
    $A24="Double Lung Transplant",
    _xlfn.XLOOKUP(2,'Cost Data Sheet'!$A$2:$A$1003,'Cost Data Sheet'!$F$2:$F$1003),
    SUMPRODUCT(
      ('Service to CPT Map'!$A$2:$A$1017=$A24)*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Map'!$A$2:$A$1017,$A24,
        'Service to CPT Map'!$B$2:$B$1017,"Low",
        'Service to CPT Map'!$D$2:$D$1017,"Anesthesia"
      )&gt;0,
      SUMPRODUCT(
        ('Service to CPT Map'!$A$2:$A$1017=$A24)*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Map'!$A$2:$A$1017=$A24)*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Map'!$A$2:$A$1017=$A24)*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Map'!$A$2:$A$1017=$A24)*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24" s="131" cm="1">
        <f t="array" ref="F24">IF(
  OR($A24="Single Lung Transplant",$A24="Double Lung Transplant"),
  E24,
  SUMPRODUCT(
    ('Service to CPT Map'!$A$2:$A$1017=$A24)*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Map'!$A$2:$A$1017,$A24,
      'Service to CPT Map'!$B$2:$B$1017,"High",
      'Service to CPT Map'!$D$2:$D$1017,"Anesthesia"
    )&gt;0,
    SUMPRODUCT(
      ('Service to CPT Map'!$A$2:$A$1017=$A24)*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Map'!$A$2:$A$1017=$A24)*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Map'!$A$2:$A$1017=$A24)*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Map'!$A$2:$A$1017=$A24)*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24" s="203" t="str">
        <f>IF(E24&lt;F24,CONCATENATE(TEXT(E24,"$#,##0.00"),CHAR(10)," - ",CHAR(10),TEXT(F24,"$#,##0.00")),TEXT(E24,"$#,##0.00"))</f>
        <v>$0.00</v>
      </c>
      <c r="H24" s="161"/>
      <c r="I24" s="204"/>
      <c r="J24" s="204"/>
      <c r="K24" s="204"/>
      <c r="L24" s="134" t="str">
        <f>IF(LEN(K24)=0,IF(LEN(J24)=0,"lifetime",IF(J24=1,"year","years")),"years")</f>
        <v>lifetime</v>
      </c>
      <c r="M24" s="177" t="str">
        <f>IF(L24="lifetime",
    IF(I24&lt;&gt;"", H24 &amp; "-" &amp; I24 &amp; "x/lifetime", H24 &amp; "x/lifetime"),
    IF(D24='Master Data'!$B$8, AD24 &amp; AE24, AD24 &amp; AE24 &amp; AC24))</f>
        <v>x/lifetime</v>
      </c>
      <c r="N24" s="131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24" s="131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24" s="188" t="str">
        <f>IF(N24&lt;O24,CONCATENATE(TEXT(N24,"$#,###.00"),CHAR(10)," - ",CHAR(10),TEXT(O24,"$#,####.00")),TEXT(N24,"$0.00"))</f>
        <v>$0.00</v>
      </c>
      <c r="Q24" s="131">
        <f>ROUND(IF(TimeValue="lifetime",MinCost*MinFreq,0),2)</f>
        <v>0</v>
      </c>
      <c r="R24" s="131">
        <f>ROUND(IF(AND(TimeValue="lifetime",MaxFreq&lt;1),MinFreq*MaxCost,IF(AND(TimeValue="lifetime",MaxFreq&gt;=1),MaxFreq*MaxCost,0)),2)</f>
        <v>0</v>
      </c>
      <c r="S24" s="189" t="str">
        <f>IF(Q24&lt;R24,CONCATENATE(TEXT(Q24,"$#,##0.00"),CHAR(10)," - ",CHAR(10),TEXT(R24,"$#,##0.00")),TEXT(Q24,"$#,##0.00"))</f>
        <v>$0.00</v>
      </c>
      <c r="AA24" s="166" t="str">
        <f>IF(L24="lifetime", "one-time cost", IF(D24='Master Data'!$B$8, AD24 &amp; AE24, AD24 &amp; AE24 &amp; AC24))</f>
        <v>one-time cost</v>
      </c>
      <c r="AB24" s="208" t="str">
        <f t="shared" si="12"/>
        <v>x/lifetime</v>
      </c>
      <c r="AC24" s="166" t="str">
        <f>IF(Table14[[#This Row],[Duration (Years):]]&lt;&gt;'Master Data'!$B$8,CONCATENATE(",",CHAR(10),"for ",Table14[[#This Row],[Duration (Years):]]," years"),"lifelong")</f>
        <v>,
for 0 years</v>
      </c>
      <c r="AD24" s="166" t="str">
        <f t="shared" si="13"/>
        <v>one-time cost</v>
      </c>
      <c r="AE24" s="166" t="str">
        <f t="shared" si="14"/>
        <v>one-time cost</v>
      </c>
    </row>
    <row r="25" spans="1:31" ht="43.5" thickBot="1" x14ac:dyDescent="0.25">
      <c r="A25" s="137"/>
      <c r="B25" s="143">
        <f ca="1">'Master Data'!$B$6</f>
        <v>126.3</v>
      </c>
      <c r="C25" s="158">
        <f ca="1">'Master Data'!$B$7</f>
        <v>136.30000000000001</v>
      </c>
      <c r="D25" s="158">
        <f>ROUND(C26-B26,1)</f>
        <v>0</v>
      </c>
      <c r="E25" s="202" cm="1">
        <f t="array" ref="E25">IF(
  $A25="Single Lung Transplant",
  _xlfn.XLOOKUP(1,'Cost Data Sheet'!$A$2:$A$1003,'Cost Data Sheet'!$F$2:$F$1003),
  IF(
    $A25="Double Lung Transplant",
    _xlfn.XLOOKUP(2,'Cost Data Sheet'!$A$2:$A$1003,'Cost Data Sheet'!$F$2:$F$1003),
    SUMPRODUCT(
      ('Service to CPT Map'!$A$2:$A$1017=$A25)*
      ('Service to CPT Map'!$B$2:$B$1017="Low")*
      ('Service to CPT Map'!$D$2:$D$1017="Medical")*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  +
    IF(
      COUNTIFS(
        'Service to CPT Map'!$A$2:$A$1017,$A25,
        'Service to CPT Map'!$B$2:$B$1017,"Low",
        'Service to CPT Map'!$D$2:$D$1017,"Anesthesia"
      )&gt;0,
      SUMPRODUCT(
        ('Service to CPT Map'!$A$2:$A$1017=$A25)*
        ('Service to CPT Map'!$B$2:$B$1017="Low")*
        ('Service to CPT Map'!$D$2:$D$1017="Anesthesia")*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Map'!$A$2:$A$1017=$A25)*
        ('Service to CPT Map'!$B$2:$B$1017="Low")*
        ('Service to CPT Map'!$D$2:$D$1017="Medical - Sedation")*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  +
    MIN(
      SUMPRODUCT(
        ('Service to CPT Map'!$A$2:$A$1017=$A25)*
        ('Service to CPT Map'!$B$2:$B$1017="Low")*
        ('Service to CPT Map'!$D$2:$D$1017="ASC")*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),
      SUMPRODUCT(
        ('Service to CPT Map'!$A$2:$A$1017=$A25)*
        ('Service to CPT Map'!$B$2:$B$1017="Low")*
        ('Service to CPT Map'!$D$2:$D$1017="Outpatient")*
        IFERROR(
          _xlfn.XLOOKUP(
            'Service to CPT Map'!$C$2:$C$1017,
            'Cost Data Sheet'!$A$2:$A$1003,
            CHOOSE(
              MATCH('Master Data'!$B$19,
                {"Los Angeles","San Diego","San Francisco","Palo Alto"},0),
              'Cost Data Sheet'!$B$2:$B$1003,
              'Cost Data Sheet'!$C$2:$C$1003,
              'Cost Data Sheet'!$D$2:$D$1003,
              'Cost Data Sheet'!$E$2:$E$1003
            )
          ),
          0
        )
      )
    )
  )
)</f>
        <v>0</v>
      </c>
      <c r="F25" s="131" cm="1">
        <f t="array" ref="F25">IF(
  OR($A25="Single Lung Transplant",$A25="Double Lung Transplant"),
  E25,
  SUMPRODUCT(
    ('Service to CPT Map'!$A$2:$A$1017=$A25)*
    ('Service to CPT Map'!$B$2:$B$1017="High")*
    ('Service to CPT Map'!$D$2:$D$1017="Medical")*
    IFERROR(
      _xlfn.XLOOKUP(
        'Service to CPT Map'!$C$2:$C$1017,
        'Cost Data Sheet'!$A$2:$A$1003,
        CHOOSE(
          MATCH('Master Data'!$B$19,
            {"Los Angeles","San Diego","San Francisco","Palo Alto"},0),
          'Cost Data Sheet'!$B$2:$B$1003,
          'Cost Data Sheet'!$C$2:$C$1003,
          'Cost Data Sheet'!$D$2:$D$1003,
          'Cost Data Sheet'!$E$2:$E$1003
        )
      ),
      0
    )
  )
  +
  IF(
    COUNTIFS(
      'Service to CPT Map'!$A$2:$A$1017,$A25,
      'Service to CPT Map'!$B$2:$B$1017,"High",
      'Service to CPT Map'!$D$2:$D$1017,"Anesthesia"
    )&gt;0,
    SUMPRODUCT(
      ('Service to CPT Map'!$A$2:$A$1017=$A25)*
      ('Service to CPT Map'!$B$2:$B$1017="High")*
      ('Service to CPT Map'!$D$2:$D$1017="Anesthesia")*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Map'!$A$2:$A$1017=$A25)*
      ('Service to CPT Map'!$B$2:$B$1017="High")*
      ('Service to CPT Map'!$D$2:$D$1017="Medical - Sedation")*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  +
  MAX(
    SUMPRODUCT(
      ('Service to CPT Map'!$A$2:$A$1017=$A25)*
      ('Service to CPT Map'!$B$2:$B$1017="High")*
      ('Service to CPT Map'!$D$2:$D$1017="ASC")*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),
    SUMPRODUCT(
      ('Service to CPT Map'!$A$2:$A$1017=$A25)*
      ('Service to CPT Map'!$B$2:$B$1017="High")*
      ('Service to CPT Map'!$D$2:$D$1017="Outpatient")*
      IFERROR(
        _xlfn.XLOOKUP(
          'Service to CPT Map'!$C$2:$C$1017,
          'Cost Data Sheet'!$A$2:$A$1003,
          CHOOSE(
            MATCH('Master Data'!$B$19,
              {"Los Angeles","San Diego","San Francisco","Palo Alto"},0),
            'Cost Data Sheet'!$B$2:$B$1003,
            'Cost Data Sheet'!$C$2:$C$1003,
            'Cost Data Sheet'!$D$2:$D$1003,
            'Cost Data Sheet'!$E$2:$E$1003
          )
        ),
        0
      )
    )
  )
)</f>
        <v>0</v>
      </c>
      <c r="G25" s="203" t="str">
        <f>IF(E25&lt;F25,CONCATENATE(TEXT(E25,"$#,##0.00"),CHAR(10)," - ",CHAR(10),TEXT(F25,"$#,##0.00")),TEXT(E25,"$#,##0.00"))</f>
        <v>$0.00</v>
      </c>
      <c r="H25" s="161"/>
      <c r="I25" s="204"/>
      <c r="J25" s="204"/>
      <c r="K25" s="204"/>
      <c r="L25" s="134" t="str">
        <f>IF(LEN(K25)=0,IF(LEN(J25)=0,"lifetime",IF(J25=1,"year","years")),"years")</f>
        <v>lifetime</v>
      </c>
      <c r="M25" s="177" t="str">
        <f>IF(L25="lifetime",
    IF(I25&lt;&gt;"", H25 &amp; "-" &amp; I25 &amp; "x/lifetime", H25 &amp; "x/lifetime"),
    IF(D25='Master Data'!$B$8, AD25 &amp; AE25, AD25 &amp; AE25 &amp; AC25))</f>
        <v>x/lifetime</v>
      </c>
      <c r="N25" s="131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25" s="131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25" s="188" t="str">
        <f>IF(N25&lt;O25,CONCATENATE(TEXT(N25,"$#,###.00"),CHAR(10)," - ",CHAR(10),TEXT(O25,"$#,####.00")),TEXT(N25,"$0.00"))</f>
        <v>$0.00</v>
      </c>
      <c r="Q25" s="131">
        <f>ROUND(IF(TimeValue="lifetime",MinCost*MinFreq,0),2)</f>
        <v>0</v>
      </c>
      <c r="R25" s="131">
        <f>ROUND(IF(AND(TimeValue="lifetime",MaxFreq&lt;1),MinFreq*MaxCost,IF(AND(TimeValue="lifetime",MaxFreq&gt;=1),MaxFreq*MaxCost,0)),2)</f>
        <v>0</v>
      </c>
      <c r="S25" s="189" t="str">
        <f>IF(Q25&lt;R25,CONCATENATE(TEXT(Q25,"$#,##0.00"),CHAR(10)," - ",CHAR(10),TEXT(R25,"$#,##0.00")),TEXT(Q25,"$#,##0.00"))</f>
        <v>$0.00</v>
      </c>
      <c r="AA25" s="166" t="str">
        <f>IF(L25="lifetime", "one-time cost", IF(D25='Master Data'!$B$8, AD25 &amp; AE25, AD25 &amp; AE25 &amp; AC25))</f>
        <v>one-time cost</v>
      </c>
      <c r="AB25" s="208" t="str">
        <f t="shared" si="12"/>
        <v>x/lifetime</v>
      </c>
      <c r="AC25" s="166" t="str">
        <f>IF(Table14[[#This Row],[Duration (Years):]]&lt;&gt;'Master Data'!$B$8,CONCATENATE(",",CHAR(10),"for ",Table14[[#This Row],[Duration (Years):]]," years"),"lifelong")</f>
        <v>,
for 0 years</v>
      </c>
      <c r="AD25" s="166" t="str">
        <f t="shared" si="13"/>
        <v>one-time cost</v>
      </c>
      <c r="AE25" s="166" t="str">
        <f t="shared" si="14"/>
        <v>one-time cost</v>
      </c>
    </row>
    <row r="26" spans="1:31" ht="39.75" thickTop="1" thickBot="1" x14ac:dyDescent="0.25">
      <c r="A26" s="168"/>
      <c r="B26" s="163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73" t="s">
        <v>32</v>
      </c>
      <c r="N26" s="178"/>
      <c r="O26" s="178"/>
      <c r="P26" s="179" t="str">
        <f ca="1">IF(U3="same",IF(SUM(Table14[Annual Cost Max:])=0,"$0.00",CONCATENATE(TEXT(SUM(AnnMin),"$#,##0.00"),CHAR(10)," - ",CHAR(10),TEXT(SUM(AnnMax),"$#,##0.00"))),"Variable by year")</f>
        <v>Variable by year</v>
      </c>
      <c r="Q26" s="178"/>
      <c r="R26" s="178"/>
      <c r="S26" s="180" t="str">
        <f>IF(SUM(OneTimeMax)=0,"$0.00",CONCATENATE(TEXT(SUM(OneTimeMin),"$#,##0.00"),CHAR(10)," - ",CHAR(10),TEXT(SUM(OneTimeMax),"$#,##0.00")))</f>
        <v>$2,435,068.00
 - 
$2,473,365.00</v>
      </c>
      <c r="AA26" s="166" t="e">
        <f>IF(L26="lifetime", "one-time cost", IF(D26='Master Data'!$B$8, AD26 &amp; AE26, AD26 &amp; AE26 &amp; AC26))</f>
        <v>#VALUE!</v>
      </c>
      <c r="AB26" s="208" t="str">
        <f t="shared" si="12"/>
        <v>ongoing cost</v>
      </c>
      <c r="AC26" s="166" t="e">
        <f>IF(Table14[[#This Row],[Duration (Years):]]&lt;&gt;'Master Data'!$B$8,CONCATENATE(",",CHAR(10),"for ",Table14[[#This Row],[Duration (Years):]]," years"),"lifelong")</f>
        <v>#VALUE!</v>
      </c>
      <c r="AD26" s="166" t="str">
        <f t="shared" si="13"/>
        <v>x/</v>
      </c>
      <c r="AE26" s="166">
        <f t="shared" si="14"/>
        <v>0</v>
      </c>
    </row>
    <row r="27" spans="1:31" ht="15" thickTop="1" x14ac:dyDescent="0.2">
      <c r="AA27" s="166" t="e">
        <f>IF(L27="lifetime", "one-time cost", IF(D27='Master Data'!$B$8, AD27 &amp; AE27, AD27 &amp; AE27 &amp; AC27))</f>
        <v>#VALUE!</v>
      </c>
      <c r="AB27" s="208" t="str">
        <f t="shared" si="12"/>
        <v>ongoing cost</v>
      </c>
      <c r="AC27" s="166" t="e">
        <f>IF(Table14[[#This Row],[Duration (Years):]]&lt;&gt;'Master Data'!$B$8,CONCATENATE(",",CHAR(10),"for ",Table14[[#This Row],[Duration (Years):]]," years"),"lifelong")</f>
        <v>#VALUE!</v>
      </c>
      <c r="AD27" s="166" t="str">
        <f t="shared" si="13"/>
        <v>x/</v>
      </c>
      <c r="AE27" s="166">
        <f t="shared" si="14"/>
        <v>0</v>
      </c>
    </row>
    <row r="28" spans="1:31" x14ac:dyDescent="0.2">
      <c r="A28" s="171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AA28" s="166" t="e">
        <f>IF(L28="lifetime", "one-time cost", IF(D28='Master Data'!$B$8, AD28 &amp; AE28, AD28 &amp; AE28 &amp; AC28))</f>
        <v>#VALUE!</v>
      </c>
      <c r="AB28" s="208" t="str">
        <f t="shared" si="12"/>
        <v>ongoing cost</v>
      </c>
      <c r="AC28" s="166" t="e">
        <f>IF(Table14[[#This Row],[Duration (Years):]]&lt;&gt;'Master Data'!$B$8,CONCATENATE(",",CHAR(10),"for ",Table14[[#This Row],[Duration (Years):]]," years"),"lifelong")</f>
        <v>#VALUE!</v>
      </c>
      <c r="AD28" s="166" t="str">
        <f t="shared" si="13"/>
        <v>x/</v>
      </c>
      <c r="AE28" s="166">
        <f t="shared" si="14"/>
        <v>0</v>
      </c>
    </row>
    <row r="29" spans="1:31" x14ac:dyDescent="0.2">
      <c r="A29" s="172"/>
      <c r="AA29" s="166" t="e">
        <f>IF(L29="lifetime", "one-time cost", IF(D29='Master Data'!$B$8, AD29 &amp; AE29, AD29 &amp; AE29 &amp; AC29))</f>
        <v>#VALUE!</v>
      </c>
      <c r="AB29" s="208" t="str">
        <f t="shared" si="12"/>
        <v>ongoing cost</v>
      </c>
      <c r="AC29" s="166" t="e">
        <f>IF(Table14[[#This Row],[Duration (Years):]]&lt;&gt;'Master Data'!$B$8,CONCATENATE(",",CHAR(10),"for ",Table14[[#This Row],[Duration (Years):]]," years"),"lifelong")</f>
        <v>#VALUE!</v>
      </c>
      <c r="AD29" s="166" t="str">
        <f t="shared" si="13"/>
        <v>x/</v>
      </c>
      <c r="AE29" s="166">
        <f t="shared" si="14"/>
        <v>0</v>
      </c>
    </row>
    <row r="30" spans="1:31" x14ac:dyDescent="0.2">
      <c r="AA30" s="166" t="e">
        <f>IF(L30="lifetime", "one-time cost", IF(D30='Master Data'!$B$8, AD30 &amp; AE30, AD30 &amp; AE30 &amp; AC30))</f>
        <v>#VALUE!</v>
      </c>
      <c r="AB30" s="208" t="str">
        <f t="shared" si="12"/>
        <v>ongoing cost</v>
      </c>
      <c r="AC30" s="166" t="e">
        <f>IF(Table14[[#This Row],[Duration (Years):]]&lt;&gt;'Master Data'!$B$8,CONCATENATE(",",CHAR(10),"for ",Table14[[#This Row],[Duration (Years):]]," years"),"lifelong")</f>
        <v>#VALUE!</v>
      </c>
      <c r="AD30" s="166" t="str">
        <f t="shared" si="13"/>
        <v>x/</v>
      </c>
      <c r="AE30" s="166">
        <f t="shared" si="14"/>
        <v>0</v>
      </c>
    </row>
    <row r="31" spans="1:31" x14ac:dyDescent="0.2">
      <c r="AA31" s="166" t="e">
        <f>IF(L31="lifetime", "one-time cost", IF(D31='Master Data'!$B$8, AD31 &amp; AE31, AD31 &amp; AE31 &amp; AC31))</f>
        <v>#VALUE!</v>
      </c>
      <c r="AB31" s="208" t="str">
        <f t="shared" si="12"/>
        <v>ongoing cost</v>
      </c>
      <c r="AC31" s="166" t="e">
        <f>IF(Table14[[#This Row],[Duration (Years):]]&lt;&gt;'Master Data'!$B$8,CONCATENATE(",",CHAR(10),"for ",Table14[[#This Row],[Duration (Years):]]," years"),"lifelong")</f>
        <v>#VALUE!</v>
      </c>
      <c r="AD31" s="166" t="str">
        <f t="shared" si="13"/>
        <v>x/</v>
      </c>
      <c r="AE31" s="166">
        <f t="shared" si="14"/>
        <v>0</v>
      </c>
    </row>
    <row r="32" spans="1:31" x14ac:dyDescent="0.2">
      <c r="AA32" s="166" t="e">
        <f>IF(L32="lifetime", "one-time cost", IF(D32='Master Data'!$B$8, AD32 &amp; AE32, AD32 &amp; AE32 &amp; AC32))</f>
        <v>#VALUE!</v>
      </c>
      <c r="AB32" s="208" t="str">
        <f t="shared" si="12"/>
        <v>ongoing cost</v>
      </c>
      <c r="AC32" s="166" t="e">
        <f>IF(Table14[[#This Row],[Duration (Years):]]&lt;&gt;'Master Data'!$B$8,CONCATENATE(",",CHAR(10),"for ",Table14[[#This Row],[Duration (Years):]]," years"),"lifelong")</f>
        <v>#VALUE!</v>
      </c>
      <c r="AD32" s="166" t="str">
        <f t="shared" si="13"/>
        <v>x/</v>
      </c>
      <c r="AE32" s="166">
        <f t="shared" si="14"/>
        <v>0</v>
      </c>
    </row>
    <row r="33" spans="27:31" x14ac:dyDescent="0.2">
      <c r="AA33" s="166" t="e">
        <f>IF(L33="lifetime", "one-time cost", IF(D33='Master Data'!$B$8, AD33 &amp; AE33, AD33 &amp; AE33 &amp; AC33))</f>
        <v>#VALUE!</v>
      </c>
      <c r="AB33" s="208" t="str">
        <f t="shared" si="12"/>
        <v>ongoing cost</v>
      </c>
      <c r="AC33" s="166" t="e">
        <f>IF(Table14[[#This Row],[Duration (Years):]]&lt;&gt;'Master Data'!$B$8,CONCATENATE(",",CHAR(10),"for ",Table14[[#This Row],[Duration (Years):]]," years"),"lifelong")</f>
        <v>#VALUE!</v>
      </c>
      <c r="AD33" s="166" t="str">
        <f t="shared" si="13"/>
        <v>x/</v>
      </c>
      <c r="AE33" s="166">
        <f t="shared" si="14"/>
        <v>0</v>
      </c>
    </row>
    <row r="34" spans="27:31" x14ac:dyDescent="0.2">
      <c r="AA34" s="166" t="e">
        <f>IF(L34="lifetime", "one-time cost", IF(D34='Master Data'!$B$8, AD34 &amp; AE34, AD34 &amp; AE34 &amp; AC34))</f>
        <v>#VALUE!</v>
      </c>
      <c r="AB34" s="208" t="str">
        <f t="shared" si="12"/>
        <v>ongoing cost</v>
      </c>
      <c r="AC34" s="166" t="e">
        <f>IF(Table14[[#This Row],[Duration (Years):]]&lt;&gt;'Master Data'!$B$8,CONCATENATE(",",CHAR(10),"for ",Table14[[#This Row],[Duration (Years):]]," years"),"lifelong")</f>
        <v>#VALUE!</v>
      </c>
      <c r="AD34" s="166" t="str">
        <f t="shared" si="13"/>
        <v>x/</v>
      </c>
      <c r="AE34" s="166">
        <f t="shared" si="14"/>
        <v>0</v>
      </c>
    </row>
    <row r="35" spans="27:31" x14ac:dyDescent="0.2">
      <c r="AA35" s="166" t="e">
        <f>IF(L35="lifetime", "one-time cost", IF(D35='Master Data'!$B$8, AD35 &amp; AE35, AD35 &amp; AE35 &amp; AC35))</f>
        <v>#VALUE!</v>
      </c>
      <c r="AB35" s="208" t="str">
        <f t="shared" si="12"/>
        <v>ongoing cost</v>
      </c>
      <c r="AC35" s="166" t="e">
        <f>IF(Table14[[#This Row],[Duration (Years):]]&lt;&gt;'Master Data'!$B$8,CONCATENATE(",",CHAR(10),"for ",Table14[[#This Row],[Duration (Years):]]," years"),"lifelong")</f>
        <v>#VALUE!</v>
      </c>
      <c r="AD35" s="166" t="str">
        <f t="shared" si="13"/>
        <v>x/</v>
      </c>
      <c r="AE35" s="166">
        <f t="shared" si="14"/>
        <v>0</v>
      </c>
    </row>
    <row r="36" spans="27:31" x14ac:dyDescent="0.2">
      <c r="AA36" s="166" t="e">
        <f>IF(L36="lifetime", "one-time cost", IF(D36='Master Data'!$B$8, AD36 &amp; AE36, AD36 &amp; AE36 &amp; AC36))</f>
        <v>#VALUE!</v>
      </c>
      <c r="AB36" s="208" t="str">
        <f t="shared" si="12"/>
        <v>ongoing cost</v>
      </c>
      <c r="AC36" s="166" t="e">
        <f>IF(Table14[[#This Row],[Duration (Years):]]&lt;&gt;'Master Data'!$B$8,CONCATENATE(",",CHAR(10),"for ",Table14[[#This Row],[Duration (Years):]]," years"),"lifelong")</f>
        <v>#VALUE!</v>
      </c>
      <c r="AD36" s="166" t="str">
        <f t="shared" si="13"/>
        <v>x/</v>
      </c>
      <c r="AE36" s="166">
        <f t="shared" si="14"/>
        <v>0</v>
      </c>
    </row>
    <row r="37" spans="27:31" x14ac:dyDescent="0.2">
      <c r="AA37" s="166" t="e">
        <f>IF(L37="lifetime", "one-time cost", IF(D37='Master Data'!$B$8, AD37 &amp; AE37, AD37 &amp; AE37 &amp; AC37))</f>
        <v>#VALUE!</v>
      </c>
      <c r="AB37" s="208" t="str">
        <f t="shared" si="12"/>
        <v>ongoing cost</v>
      </c>
      <c r="AC37" s="166" t="e">
        <f>IF(Table14[[#This Row],[Duration (Years):]]&lt;&gt;'Master Data'!$B$8,CONCATENATE(",",CHAR(10),"for ",Table14[[#This Row],[Duration (Years):]]," years"),"lifelong")</f>
        <v>#VALUE!</v>
      </c>
      <c r="AD37" s="166" t="str">
        <f t="shared" si="13"/>
        <v>x/</v>
      </c>
      <c r="AE37" s="166">
        <f t="shared" si="14"/>
        <v>0</v>
      </c>
    </row>
    <row r="38" spans="27:31" x14ac:dyDescent="0.2">
      <c r="AA38" s="166" t="e">
        <f>IF(L38="lifetime", "one-time cost", IF(D38='Master Data'!$B$8, AD38 &amp; AE38, AD38 &amp; AE38 &amp; AC38))</f>
        <v>#VALUE!</v>
      </c>
      <c r="AB38" s="208" t="str">
        <f t="shared" si="12"/>
        <v>ongoing cost</v>
      </c>
      <c r="AC38" s="166" t="e">
        <f>IF(Table14[[#This Row],[Duration (Years):]]&lt;&gt;'Master Data'!$B$8,CONCATENATE(",",CHAR(10),"for ",Table14[[#This Row],[Duration (Years):]]," years"),"lifelong")</f>
        <v>#VALUE!</v>
      </c>
      <c r="AD38" s="166" t="str">
        <f t="shared" si="13"/>
        <v>x/</v>
      </c>
      <c r="AE38" s="166">
        <f t="shared" si="14"/>
        <v>0</v>
      </c>
    </row>
    <row r="39" spans="27:31" x14ac:dyDescent="0.2">
      <c r="AA39" s="166" t="e">
        <f>IF(L39="lifetime", "one-time cost", IF(D39='Master Data'!$B$8, AD39 &amp; AE39, AD39 &amp; AE39 &amp; AC39))</f>
        <v>#VALUE!</v>
      </c>
      <c r="AB39" s="208" t="str">
        <f t="shared" si="12"/>
        <v>ongoing cost</v>
      </c>
      <c r="AC39" s="166" t="e">
        <f>IF(Table14[[#This Row],[Duration (Years):]]&lt;&gt;'Master Data'!$B$8,CONCATENATE(",",CHAR(10),"for ",Table14[[#This Row],[Duration (Years):]]," years"),"lifelong")</f>
        <v>#VALUE!</v>
      </c>
      <c r="AD39" s="166" t="str">
        <f t="shared" si="13"/>
        <v>x/</v>
      </c>
      <c r="AE39" s="166">
        <f t="shared" si="14"/>
        <v>0</v>
      </c>
    </row>
  </sheetData>
  <sheetProtection formatCells="0" formatRows="0" insertRows="0" deleteRows="0"/>
  <sortState xmlns:xlrd2="http://schemas.microsoft.com/office/spreadsheetml/2017/richdata2" ref="A3:S4">
    <sortCondition ref="D3"/>
    <sortCondition ref="A3"/>
  </sortState>
  <mergeCells count="2">
    <mergeCell ref="V3:W3"/>
    <mergeCell ref="A1:S1"/>
  </mergeCells>
  <dataValidations count="10">
    <dataValidation allowBlank="1" showInputMessage="1" showErrorMessage="1" prompt="Cost per unit._x000a__x000a_This column holds the low end of the range." sqref="E3:E25" xr:uid="{127A8C12-F55D-471B-A947-0201AF569283}"/>
    <dataValidation allowBlank="1" showInputMessage="1" showErrorMessage="1" prompt="Cost per unit._x000a__x000a_This column holds the high end of the range." sqref="F3:F25" xr:uid="{D33ED2EE-F034-4F9C-A71C-150E39174E74}"/>
    <dataValidation allowBlank="1" showInputMessage="1" showErrorMessage="1" prompt="Frequency of occurrence._x000a__x000a_Column H holds the low end of the frequency of occurrence (e.g., the &quot;1&quot; part of something occurring 1 to 3 times)._x000a__x000a_This column can never be blank.  " sqref="H3:H25" xr:uid="{0368F0BF-8B10-4594-B34D-7E35CE4AA0E0}"/>
    <dataValidation allowBlank="1" showInputMessage="1" showErrorMessage="1" prompt="Frequency of occurrence._x000a__x000a_Column I holds the high end of the frequency of occurrence (e.g., the &quot;3&quot; part of something occurring 1 to 3 times)._x000a__x000a_This column may be blank if there's no ranged frequency." sqref="I3:I25" xr:uid="{ED99CE16-9086-4169-84F8-A1A689492519}"/>
    <dataValidation allowBlank="1" showInputMessage="1" showErrorMessage="1" prompt="Time period of occurrence._x000a__x000a_Column J holds the low end of the time period of occurrence.  For something happening X times every 5 to 7 years, this column holds the &quot;5&quot; part._x000a__x000a_This column will be blank if the service isn't recurring." sqref="J3:J25" xr:uid="{31AF03E1-39F3-4B3C-81AC-5AE9E941CDF8}"/>
    <dataValidation allowBlank="1" showInputMessage="1" showErrorMessage="1" prompt="Time period of occurrence._x000a__x000a_Column K holds the high end of the time period of occurrence.  For something happening X times every 5 to 7 years, this column holds the &quot;7&quot; part. _x000a__x000a_This column will be blank if there's no ranged recurrence." sqref="K3:K25" xr:uid="{ECA89A78-FDC7-4625-BD39-533D776AFECA}"/>
    <dataValidation allowBlank="1" showInputMessage="1" showErrorMessage="1" prompt="You can change duration for things recurring over a period less than life expectancy.  It always has to be in tenths of a year." sqref="D3:D25" xr:uid="{1594E645-09FB-43C1-A46D-D339F365D013}"/>
    <dataValidation allowBlank="1" showInputMessage="1" showErrorMessage="1" prompt="Column L contains the actual period of recurrence.  Something may occur once a day, every X days, once per month, every X months, etc.  _x000a__x000a_Type in the value.  Day, days, week, weeks, month, months, year, years. _x000a__x000a_If non-recurring, leave &quot;lifetime&quot; here._x000a__x000a_" sqref="L3:L25" xr:uid="{E3D069AC-E89F-464C-9979-E6123983B47D}"/>
    <dataValidation allowBlank="1" showInputMessage="1" showErrorMessage="1" prompt="Don't mess with this." sqref="M3:M25" xr:uid="{FBCD5601-74DB-4F2B-89C2-37347753CBD8}"/>
    <dataValidation allowBlank="1" showInputMessage="1" showErrorMessage="1" prompt="Or this." sqref="P3:P25 S3:S25" xr:uid="{92BDC2FC-B427-4B48-A76E-B89D3FE5A9B1}"/>
  </dataValidations>
  <hyperlinks>
    <hyperlink ref="V3" location="Procedure1!A1" display="Link to copy/paste table here" xr:uid="{B70CFB7E-0556-464A-A97D-142A7B3EE221}"/>
  </hyperlinks>
  <pageMargins left="0.25" right="0.25" top="0.75" bottom="0.75" header="0.3" footer="0.3"/>
  <pageSetup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F9A40F-040C-415A-BA6E-15EA408704DD}">
          <x14:formula1>
            <xm:f>'Service to CPT Map'!$A$2:$A$3</xm:f>
          </x14:formula1>
          <xm:sqref>A3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39"/>
  <sheetViews>
    <sheetView workbookViewId="0">
      <selection sqref="A1:S1"/>
    </sheetView>
  </sheetViews>
  <sheetFormatPr defaultColWidth="9.140625" defaultRowHeight="12.75" x14ac:dyDescent="0.2"/>
  <cols>
    <col min="1" max="1" width="19.7109375" style="157" customWidth="1"/>
    <col min="2" max="3" width="9.7109375" style="11" hidden="1" customWidth="1"/>
    <col min="4" max="4" width="13.42578125" style="158" customWidth="1"/>
    <col min="5" max="6" width="13.28515625" style="159" customWidth="1"/>
    <col min="7" max="7" width="15.7109375" style="160" hidden="1" customWidth="1"/>
    <col min="8" max="11" width="8.7109375" style="161" customWidth="1"/>
    <col min="12" max="12" width="10.85546875" style="157" customWidth="1"/>
    <col min="13" max="13" width="17.7109375" style="14" customWidth="1"/>
    <col min="14" max="15" width="12.28515625" style="9" hidden="1" customWidth="1"/>
    <col min="16" max="16" width="14.7109375" style="15" customWidth="1"/>
    <col min="17" max="18" width="12.28515625" style="9" hidden="1" customWidth="1"/>
    <col min="19" max="19" width="14.7109375" style="15" customWidth="1"/>
    <col min="20" max="20" width="9.140625" style="155"/>
    <col min="21" max="21" width="9.140625" style="155" hidden="1" customWidth="1"/>
    <col min="22" max="26" width="9.140625" style="155"/>
    <col min="27" max="31" width="9.140625" style="155" hidden="1" customWidth="1"/>
    <col min="32" max="32" width="9.140625" style="155" customWidth="1"/>
    <col min="33" max="16384" width="9.140625" style="155"/>
  </cols>
  <sheetData>
    <row r="1" spans="1:31" s="148" customFormat="1" ht="30" customHeight="1" thickTop="1" x14ac:dyDescent="0.25">
      <c r="A1" s="337" t="s">
        <v>132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9"/>
    </row>
    <row r="2" spans="1:31" s="148" customFormat="1" ht="57.75" thickBot="1" x14ac:dyDescent="0.3">
      <c r="A2" s="149" t="s">
        <v>33</v>
      </c>
      <c r="B2" s="106" t="s">
        <v>15</v>
      </c>
      <c r="C2" s="106" t="s">
        <v>16</v>
      </c>
      <c r="D2" s="150" t="s">
        <v>17</v>
      </c>
      <c r="E2" s="151" t="s">
        <v>18</v>
      </c>
      <c r="F2" s="151" t="s">
        <v>19</v>
      </c>
      <c r="G2" s="151" t="s">
        <v>29</v>
      </c>
      <c r="H2" s="152" t="s">
        <v>20</v>
      </c>
      <c r="I2" s="152" t="s">
        <v>21</v>
      </c>
      <c r="J2" s="152" t="s">
        <v>22</v>
      </c>
      <c r="K2" s="152" t="s">
        <v>23</v>
      </c>
      <c r="L2" s="153" t="s">
        <v>24</v>
      </c>
      <c r="M2" s="109" t="s">
        <v>30</v>
      </c>
      <c r="N2" s="107" t="s">
        <v>25</v>
      </c>
      <c r="O2" s="107" t="s">
        <v>26</v>
      </c>
      <c r="P2" s="109" t="s">
        <v>31</v>
      </c>
      <c r="Q2" s="107" t="s">
        <v>27</v>
      </c>
      <c r="R2" s="107" t="s">
        <v>28</v>
      </c>
      <c r="S2" s="110" t="s">
        <v>34</v>
      </c>
      <c r="U2" s="154" t="s">
        <v>48</v>
      </c>
      <c r="AA2" s="207" t="s">
        <v>148</v>
      </c>
      <c r="AB2" s="207" t="s">
        <v>144</v>
      </c>
      <c r="AC2" s="207" t="s">
        <v>145</v>
      </c>
      <c r="AD2" s="207" t="s">
        <v>146</v>
      </c>
      <c r="AE2" s="207" t="s">
        <v>147</v>
      </c>
    </row>
    <row r="3" spans="1:31" ht="42.6" customHeight="1" thickTop="1" x14ac:dyDescent="0.25">
      <c r="A3" s="132"/>
      <c r="B3" s="35">
        <f ca="1">'Master Data'!$B$6</f>
        <v>126.3</v>
      </c>
      <c r="C3" s="35">
        <f ca="1">'Master Data'!$B$7</f>
        <v>136.30000000000001</v>
      </c>
      <c r="D3" s="129">
        <f ca="1">ROUND(C3-B3,1)</f>
        <v>10</v>
      </c>
      <c r="E3" s="128" cm="1">
        <f t="array" ref="E3">IF(
  $A3="Single Lung Transplant",
  _xlfn.XLOOKUP(1,'Cost Data Sheet'!$A$2:$A$1006,'Cost Data Sheet'!$F$2:$F$1006),
  IF(
    $A3="Double Lung Transplant",
    _xlfn.XLOOKUP(2,'Cost Data Sheet'!$A$2:$A$1006,'Cost Data Sheet'!$F$2:$F$1006),
    SUMPRODUCT(
      ('Service to CPT Map'!$A$2:$A$1017=$A3) *
      ('Service to CPT Map'!$B$2:$B$1017="Low") *
      _xlfn.XLOOKUP(
        'Service to CPT Map'!$C$2:$C$1017,
        'Cost Data Sheet'!$A$2:$A$1006,
        'Cost Data Sheet'!$B$2:$B$1006,
        0
      )
    )
  )
)</f>
        <v>0</v>
      </c>
      <c r="F3" s="128" cm="1">
        <f t="array" ref="F3">IF(
  OR($A3="Single Lung Transplant",$A3="Double Lung Transplant"),
  E3,
  SUMPRODUCT(
    ('Service to CPT Map'!$A$2:$A$1017=$A3)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Map'!$A$2:$A$1017=$A3)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Map'!$A$2:$A$1017=$A3)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3" s="144" t="str">
        <f t="shared" ref="G3:G12" si="0">IF(E3&lt;F3,CONCATENATE(TEXT(E3,"$#,##0.00"),CHAR(10)," - ",CHAR(10),TEXT(F3,"$#,##0.00")),TEXT(E3,"$#,##0.00"))</f>
        <v>$0.00</v>
      </c>
      <c r="H3" s="133"/>
      <c r="I3" s="133"/>
      <c r="J3" s="133"/>
      <c r="K3" s="133"/>
      <c r="L3" s="139" t="str">
        <f t="shared" ref="L3:L12" si="1">IF(LEN(K3)=0,IF(LEN(J3)=0,"lifetime",IF(J3=1,"year","years")),"years")</f>
        <v>lifetime</v>
      </c>
      <c r="M3" s="39" t="str">
        <f>IF(L3="lifetime",
    IF(I3&lt;&gt;"", H3 &amp; "-" &amp; I3 &amp; "x/lifetime", H3 &amp; "x/lifetime"),
    IF(D3='Master Data'!$B$8, AD3 &amp; AE3, AD3 &amp; AE3 &amp; AC3))</f>
        <v>x/lifetime</v>
      </c>
      <c r="N3" s="36">
        <f t="shared" ref="N3:N12" si="2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3" s="36">
        <f t="shared" ref="O3:O12" si="3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3" s="49" t="str">
        <f t="shared" ref="P3:P15" si="4">IF(N3&lt;O3,CONCATENATE(TEXT(N3,"$#,##0.00"),CHAR(10)," - ",CHAR(10),TEXT(O3,"$#,##0.00")),TEXT(N3,"$0.00"))</f>
        <v>$0.00</v>
      </c>
      <c r="Q3" s="36">
        <f t="shared" ref="Q3:Q12" si="5">ROUND(IF(TimeValue="lifetime",MinCost*MinFreq,0),2)</f>
        <v>0</v>
      </c>
      <c r="R3" s="36">
        <f t="shared" ref="R3:R12" si="6">ROUND(IF(AND(TimeValue="lifetime",MaxFreq&lt;1),MinFreq*MaxCost,IF(AND(TimeValue="lifetime",MaxFreq&gt;=1),MaxFreq*MaxCost,0)),2)</f>
        <v>0</v>
      </c>
      <c r="S3" s="50" t="str">
        <f t="shared" ref="S3:S12" si="7">IF(Q3&lt;R3,CONCATENATE(TEXT(Q3,"$#,##0.00"),CHAR(10)," - ",CHAR(10),TEXT(R3,"$#,##0.00")),TEXT(Q3,"$0.00"))</f>
        <v>$0.00</v>
      </c>
      <c r="U3" s="155" t="str">
        <f t="array" aca="1" ref="U3" ca="1">IF(AND(ROUND(Table6[Duration (Years):],1)='Master Data'!$B$8),"same","different")</f>
        <v>same</v>
      </c>
      <c r="V3" s="330" t="s">
        <v>133</v>
      </c>
      <c r="W3" s="330"/>
      <c r="AA3" s="166" t="str">
        <f>IF(L3="lifetime", "one-time cost", IF(D3='Master Data'!$B$8, AD3 &amp; AE3, AD3 &amp; AE3 &amp; AC3))</f>
        <v>one-time cost</v>
      </c>
      <c r="AB3" s="208" t="str">
        <f>IF(L3="lifetime", IF(I3&lt;&gt;"", H3 &amp; "-" &amp; I3 &amp; "x/lifetime", H3 &amp; "x/lifetime"), "ongoing cost")</f>
        <v>x/lifetime</v>
      </c>
      <c r="AC3" s="166" t="str">
        <f ca="1">IF(Table6[[#This Row],[Duration (Years):]]&lt;&gt;'Master Data'!$B$8,CONCATENATE(",",CHAR(10),"for ",Table6[[#This Row],[Duration (Years):]]," years"),"lifelong")</f>
        <v>lifelong</v>
      </c>
      <c r="AD3" s="166" t="str">
        <f>IF(L3="lifetime", "one-time cost", IF(I3&lt;&gt;"", H3 &amp; "-" &amp; I3 &amp; "x/", H3 &amp; "x/"))</f>
        <v>one-time cost</v>
      </c>
      <c r="AE3" s="166" t="str">
        <f>IF(L3="lifetime", "one-time cost", IF(K3&lt;&gt;"", J3 &amp; "-" &amp; K3 &amp; " " &amp; L3, IF(J3&gt;1, J3 &amp; " " &amp; L3, L3)))</f>
        <v>one-time cost</v>
      </c>
    </row>
    <row r="4" spans="1:31" ht="42.6" customHeight="1" x14ac:dyDescent="0.2">
      <c r="A4" s="135"/>
      <c r="B4" s="29">
        <f ca="1">'Master Data'!$B$6</f>
        <v>126.3</v>
      </c>
      <c r="C4" s="29">
        <f ca="1">'Master Data'!$B$7</f>
        <v>136.30000000000001</v>
      </c>
      <c r="D4" s="129">
        <f ca="1">ROUND(C4-B4,1)</f>
        <v>10</v>
      </c>
      <c r="E4" s="130" cm="1">
        <f t="array" ref="E4">IF(
  $A4="Single Lung Transplant",
  _xlfn.XLOOKUP(1,'Cost Data Sheet'!$A$2:$A$1006,'Cost Data Sheet'!$F$2:$F$1006),
  IF(
    $A4="Double Lung Transplant",
    _xlfn.XLOOKUP(2,'Cost Data Sheet'!$A$2:$A$1006,'Cost Data Sheet'!$F$2:$F$1006),
    SUMPRODUCT(
      ('Service to CPT Map'!$A$2:$A$1017=$A4) *
      ('Service to CPT Map'!$B$2:$B$1017="Low") *
      _xlfn.XLOOKUP(
        'Service to CPT Map'!$C$2:$C$1017,
        'Cost Data Sheet'!$A$2:$A$1006,
        'Cost Data Sheet'!$B$2:$B$1006,
        0
      )
    )
  )
)</f>
        <v>0</v>
      </c>
      <c r="F4" s="130" cm="1">
        <f t="array" ref="F4">IF(
  OR($A4="Single Lung Transplant",$A4="Double Lung Transplant"),
  E4,
  SUMPRODUCT(
    ('Service to CPT Map'!$A$2:$A$1017=$A4)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Map'!$A$2:$A$1017=$A4)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Map'!$A$2:$A$1017=$A4)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4" s="145" t="str">
        <f t="shared" si="0"/>
        <v>$0.00</v>
      </c>
      <c r="H4" s="136"/>
      <c r="I4" s="136"/>
      <c r="J4" s="136"/>
      <c r="K4" s="136"/>
      <c r="L4" s="139" t="str">
        <f t="shared" si="1"/>
        <v>lifetime</v>
      </c>
      <c r="M4" s="33" t="str">
        <f>IF(L4="lifetime",
    IF(I4&lt;&gt;"", H4 &amp; "-" &amp; I4 &amp; "x/lifetime", H4 &amp; "x/lifetime"),
    IF(D4='Master Data'!$B$8, AD4 &amp; AE4, AD4 &amp; AE4 &amp; AC4))</f>
        <v>x/lifetime</v>
      </c>
      <c r="N4" s="30">
        <f t="shared" si="2"/>
        <v>0</v>
      </c>
      <c r="O4" s="30">
        <f t="shared" si="3"/>
        <v>0</v>
      </c>
      <c r="P4" s="52" t="str">
        <f t="shared" si="4"/>
        <v>$0.00</v>
      </c>
      <c r="Q4" s="30">
        <f t="shared" si="5"/>
        <v>0</v>
      </c>
      <c r="R4" s="30">
        <f t="shared" si="6"/>
        <v>0</v>
      </c>
      <c r="S4" s="53" t="str">
        <f t="shared" si="7"/>
        <v>$0.00</v>
      </c>
      <c r="AA4" s="166" t="str">
        <f>IF(L4="lifetime", "one-time cost", IF(D4='Master Data'!$B$8, AD4 &amp; AE4, AD4 &amp; AE4 &amp; AC4))</f>
        <v>one-time cost</v>
      </c>
      <c r="AB4" s="208" t="str">
        <f t="shared" ref="AB4:AB12" si="8">IF(L4="lifetime", IF(I4&lt;&gt;"", H4 &amp; "-" &amp; I4 &amp; "x/lifetime", H4 &amp; "x/lifetime"), "ongoing cost")</f>
        <v>x/lifetime</v>
      </c>
      <c r="AC4" s="166" t="str">
        <f ca="1">IF(Table6[[#This Row],[Duration (Years):]]&lt;&gt;'Master Data'!$B$8,CONCATENATE(",",CHAR(10),"for ",Table6[[#This Row],[Duration (Years):]]," years"),"lifelong")</f>
        <v>lifelong</v>
      </c>
      <c r="AD4" s="166" t="str">
        <f t="shared" ref="AD4:AD12" si="9">IF(L4="lifetime", "one-time cost", IF(I4&lt;&gt;"", H4 &amp; "-" &amp; I4 &amp; "x/", H4 &amp; "x/"))</f>
        <v>one-time cost</v>
      </c>
      <c r="AE4" s="166" t="str">
        <f t="shared" ref="AE4:AE12" si="10">IF(L4="lifetime", "one-time cost", IF(K4&lt;&gt;"", J4 &amp; "-" &amp; K4 &amp; " " &amp; L4, IF(J4&gt;1, J4 &amp; " " &amp; L4, L4)))</f>
        <v>one-time cost</v>
      </c>
    </row>
    <row r="5" spans="1:31" ht="42.6" customHeight="1" x14ac:dyDescent="0.2">
      <c r="A5" s="137"/>
      <c r="B5" s="29">
        <f ca="1">'Master Data'!$B$6</f>
        <v>126.3</v>
      </c>
      <c r="C5" s="29">
        <f ca="1">'Master Data'!$B$7</f>
        <v>136.30000000000001</v>
      </c>
      <c r="D5" s="129">
        <f ca="1">ROUND(C5-B5,1)</f>
        <v>10</v>
      </c>
      <c r="E5" s="130" cm="1">
        <f t="array" ref="E5">IF(
  $A5="Single Lung Transplant",
  _xlfn.XLOOKUP(1,'Cost Data Sheet'!$A$2:$A$1006,'Cost Data Sheet'!$F$2:$F$1006),
  IF(
    $A5="Double Lung Transplant",
    _xlfn.XLOOKUP(2,'Cost Data Sheet'!$A$2:$A$1006,'Cost Data Sheet'!$F$2:$F$1006),
    SUMPRODUCT(
      ('Service to CPT Map'!$A$2:$A$1017=$A5) *
      ('Service to CPT Map'!$B$2:$B$1017="Low") *
      _xlfn.XLOOKUP(
        'Service to CPT Map'!$C$2:$C$1017,
        'Cost Data Sheet'!$A$2:$A$1006,
        'Cost Data Sheet'!$B$2:$B$1006,
        0
      )
    )
  )
)</f>
        <v>0</v>
      </c>
      <c r="F5" s="130" cm="1">
        <f t="array" ref="F5">IF(
  OR($A5="Single Lung Transplant",$A5="Double Lung Transplant"),
  E5,
  SUMPRODUCT(
    ('Service to CPT Map'!$A$2:$A$1017=$A5)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Map'!$A$2:$A$1017=$A5)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Map'!$A$2:$A$1017=$A5)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5" s="145" t="str">
        <f t="shared" si="0"/>
        <v>$0.00</v>
      </c>
      <c r="H5" s="136"/>
      <c r="I5" s="136"/>
      <c r="J5" s="136"/>
      <c r="K5" s="136"/>
      <c r="L5" s="139" t="str">
        <f t="shared" si="1"/>
        <v>lifetime</v>
      </c>
      <c r="M5" s="33" t="str">
        <f>IF(L5="lifetime",
    IF(I5&lt;&gt;"", H5 &amp; "-" &amp; I5 &amp; "x/lifetime", H5 &amp; "x/lifetime"),
    IF(D5='Master Data'!$B$8, AD5 &amp; AE5, AD5 &amp; AE5 &amp; AC5))</f>
        <v>x/lifetime</v>
      </c>
      <c r="N5" s="30">
        <f t="shared" si="2"/>
        <v>0</v>
      </c>
      <c r="O5" s="30">
        <f t="shared" si="3"/>
        <v>0</v>
      </c>
      <c r="P5" s="52" t="str">
        <f t="shared" si="4"/>
        <v>$0.00</v>
      </c>
      <c r="Q5" s="30">
        <f t="shared" si="5"/>
        <v>0</v>
      </c>
      <c r="R5" s="30">
        <f t="shared" si="6"/>
        <v>0</v>
      </c>
      <c r="S5" s="53" t="str">
        <f t="shared" si="7"/>
        <v>$0.00</v>
      </c>
      <c r="AA5" s="166" t="str">
        <f>IF(L5="lifetime", "one-time cost", IF(D5='Master Data'!$B$8, AD5 &amp; AE5, AD5 &amp; AE5 &amp; AC5))</f>
        <v>one-time cost</v>
      </c>
      <c r="AB5" s="208" t="str">
        <f t="shared" si="8"/>
        <v>x/lifetime</v>
      </c>
      <c r="AC5" s="166" t="str">
        <f ca="1">IF(Table6[[#This Row],[Duration (Years):]]&lt;&gt;'Master Data'!$B$8,CONCATENATE(",",CHAR(10),"for ",Table6[[#This Row],[Duration (Years):]]," years"),"lifelong")</f>
        <v>lifelong</v>
      </c>
      <c r="AD5" s="166" t="str">
        <f t="shared" si="9"/>
        <v>one-time cost</v>
      </c>
      <c r="AE5" s="166" t="str">
        <f t="shared" si="10"/>
        <v>one-time cost</v>
      </c>
    </row>
    <row r="6" spans="1:31" ht="42.6" customHeight="1" x14ac:dyDescent="0.2">
      <c r="A6" s="135"/>
      <c r="B6" s="29">
        <f ca="1">'Master Data'!$B$6</f>
        <v>126.3</v>
      </c>
      <c r="C6" s="29">
        <f ca="1">'Master Data'!$B$7</f>
        <v>136.30000000000001</v>
      </c>
      <c r="D6" s="129">
        <f t="shared" ref="D6:D12" ca="1" si="11">ROUND(C6-B6,1)</f>
        <v>10</v>
      </c>
      <c r="E6" s="130" cm="1">
        <f t="array" ref="E6">IF(
  $A6="Single Lung Transplant",
  _xlfn.XLOOKUP(1,'Cost Data Sheet'!$A$2:$A$1006,'Cost Data Sheet'!$F$2:$F$1006),
  IF(
    $A6="Double Lung Transplant",
    _xlfn.XLOOKUP(2,'Cost Data Sheet'!$A$2:$A$1006,'Cost Data Sheet'!$F$2:$F$1006),
    SUMPRODUCT(
      ('Service to CPT Map'!$A$2:$A$1017=$A6) *
      ('Service to CPT Map'!$B$2:$B$1017="Low") *
      _xlfn.XLOOKUP(
        'Service to CPT Map'!$C$2:$C$1017,
        'Cost Data Sheet'!$A$2:$A$1006,
        'Cost Data Sheet'!$B$2:$B$1006,
        0
      )
    )
  )
)</f>
        <v>0</v>
      </c>
      <c r="F6" s="130" cm="1">
        <f t="array" ref="F6">IF(
  OR($A6="Single Lung Transplant",$A6="Double Lung Transplant"),
  E6,
  SUMPRODUCT(
    ('Service to CPT Map'!$A$2:$A$1017=$A6)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Map'!$A$2:$A$1017=$A6)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Map'!$A$2:$A$1017=$A6)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6" s="145" t="str">
        <f t="shared" si="0"/>
        <v>$0.00</v>
      </c>
      <c r="H6" s="136"/>
      <c r="I6" s="136"/>
      <c r="J6" s="136"/>
      <c r="K6" s="136"/>
      <c r="L6" s="139" t="str">
        <f t="shared" si="1"/>
        <v>lifetime</v>
      </c>
      <c r="M6" s="33" t="str">
        <f>IF(L6="lifetime",
    IF(I6&lt;&gt;"", H6 &amp; "-" &amp; I6 &amp; "x/lifetime", H6 &amp; "x/lifetime"),
    IF(D6='Master Data'!$B$8, AD6 &amp; AE6, AD6 &amp; AE6 &amp; AC6))</f>
        <v>x/lifetime</v>
      </c>
      <c r="N6" s="30">
        <f t="shared" si="2"/>
        <v>0</v>
      </c>
      <c r="O6" s="30">
        <f t="shared" si="3"/>
        <v>0</v>
      </c>
      <c r="P6" s="52" t="str">
        <f t="shared" si="4"/>
        <v>$0.00</v>
      </c>
      <c r="Q6" s="30">
        <f t="shared" si="5"/>
        <v>0</v>
      </c>
      <c r="R6" s="30">
        <f t="shared" si="6"/>
        <v>0</v>
      </c>
      <c r="S6" s="53" t="str">
        <f t="shared" si="7"/>
        <v>$0.00</v>
      </c>
      <c r="AA6" s="166" t="str">
        <f>IF(L6="lifetime", "one-time cost", IF(D6='Master Data'!$B$8, AD6 &amp; AE6, AD6 &amp; AE6 &amp; AC6))</f>
        <v>one-time cost</v>
      </c>
      <c r="AB6" s="208" t="str">
        <f t="shared" si="8"/>
        <v>x/lifetime</v>
      </c>
      <c r="AC6" s="166" t="str">
        <f ca="1">IF(Table6[[#This Row],[Duration (Years):]]&lt;&gt;'Master Data'!$B$8,CONCATENATE(",",CHAR(10),"for ",Table6[[#This Row],[Duration (Years):]]," years"),"lifelong")</f>
        <v>lifelong</v>
      </c>
      <c r="AD6" s="166" t="str">
        <f t="shared" si="9"/>
        <v>one-time cost</v>
      </c>
      <c r="AE6" s="166" t="str">
        <f t="shared" si="10"/>
        <v>one-time cost</v>
      </c>
    </row>
    <row r="7" spans="1:31" ht="42.6" customHeight="1" x14ac:dyDescent="0.2">
      <c r="A7" s="135"/>
      <c r="B7" s="29">
        <f ca="1">'Master Data'!$B$6</f>
        <v>126.3</v>
      </c>
      <c r="C7" s="29">
        <f ca="1">'Master Data'!$B$7</f>
        <v>136.30000000000001</v>
      </c>
      <c r="D7" s="129">
        <f t="shared" ca="1" si="11"/>
        <v>10</v>
      </c>
      <c r="E7" s="130" cm="1">
        <f t="array" ref="E7">IF(
  $A7="Single Lung Transplant",
  _xlfn.XLOOKUP(1,'Cost Data Sheet'!$A$2:$A$1006,'Cost Data Sheet'!$F$2:$F$1006),
  IF(
    $A7="Double Lung Transplant",
    _xlfn.XLOOKUP(2,'Cost Data Sheet'!$A$2:$A$1006,'Cost Data Sheet'!$F$2:$F$1006),
    SUMPRODUCT(
      ('Service to CPT Map'!$A$2:$A$1017=$A7) *
      ('Service to CPT Map'!$B$2:$B$1017="Low") *
      _xlfn.XLOOKUP(
        'Service to CPT Map'!$C$2:$C$1017,
        'Cost Data Sheet'!$A$2:$A$1006,
        'Cost Data Sheet'!$B$2:$B$1006,
        0
      )
    )
  )
)</f>
        <v>0</v>
      </c>
      <c r="F7" s="130" cm="1">
        <f t="array" ref="F7">IF(
  OR($A7="Single Lung Transplant",$A7="Double Lung Transplant"),
  E7,
  SUMPRODUCT(
    ('Service to CPT Map'!$A$2:$A$1017=$A7)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Map'!$A$2:$A$1017=$A7)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Map'!$A$2:$A$1017=$A7)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7" s="145" t="str">
        <f t="shared" si="0"/>
        <v>$0.00</v>
      </c>
      <c r="H7" s="136"/>
      <c r="I7" s="136"/>
      <c r="J7" s="136"/>
      <c r="K7" s="136"/>
      <c r="L7" s="139" t="str">
        <f t="shared" si="1"/>
        <v>lifetime</v>
      </c>
      <c r="M7" s="33" t="str">
        <f>IF(L7="lifetime",
    IF(I7&lt;&gt;"", H7 &amp; "-" &amp; I7 &amp; "x/lifetime", H7 &amp; "x/lifetime"),
    IF(D7='Master Data'!$B$8, AD7 &amp; AE7, AD7 &amp; AE7 &amp; AC7))</f>
        <v>x/lifetime</v>
      </c>
      <c r="N7" s="30">
        <f t="shared" si="2"/>
        <v>0</v>
      </c>
      <c r="O7" s="30">
        <f t="shared" si="3"/>
        <v>0</v>
      </c>
      <c r="P7" s="52" t="str">
        <f t="shared" si="4"/>
        <v>$0.00</v>
      </c>
      <c r="Q7" s="30">
        <f t="shared" si="5"/>
        <v>0</v>
      </c>
      <c r="R7" s="30">
        <f t="shared" si="6"/>
        <v>0</v>
      </c>
      <c r="S7" s="53" t="str">
        <f t="shared" si="7"/>
        <v>$0.00</v>
      </c>
      <c r="AA7" s="166" t="str">
        <f>IF(L7="lifetime", "one-time cost", IF(D7='Master Data'!$B$8, AD7 &amp; AE7, AD7 &amp; AE7 &amp; AC7))</f>
        <v>one-time cost</v>
      </c>
      <c r="AB7" s="208" t="str">
        <f t="shared" si="8"/>
        <v>x/lifetime</v>
      </c>
      <c r="AC7" s="166" t="str">
        <f ca="1">IF(Table6[[#This Row],[Duration (Years):]]&lt;&gt;'Master Data'!$B$8,CONCATENATE(",",CHAR(10),"for ",Table6[[#This Row],[Duration (Years):]]," years"),"lifelong")</f>
        <v>lifelong</v>
      </c>
      <c r="AD7" s="166" t="str">
        <f t="shared" si="9"/>
        <v>one-time cost</v>
      </c>
      <c r="AE7" s="166" t="str">
        <f t="shared" si="10"/>
        <v>one-time cost</v>
      </c>
    </row>
    <row r="8" spans="1:31" ht="42.6" customHeight="1" x14ac:dyDescent="0.2">
      <c r="A8" s="135"/>
      <c r="B8" s="29">
        <f ca="1">'Master Data'!$B$6</f>
        <v>126.3</v>
      </c>
      <c r="C8" s="29">
        <f ca="1">'Master Data'!$B$7</f>
        <v>136.30000000000001</v>
      </c>
      <c r="D8" s="129">
        <f t="shared" ca="1" si="11"/>
        <v>10</v>
      </c>
      <c r="E8" s="130" cm="1">
        <f t="array" ref="E8">IF(
  $A8="Single Lung Transplant",
  _xlfn.XLOOKUP(1,'Cost Data Sheet'!$A$2:$A$1006,'Cost Data Sheet'!$F$2:$F$1006),
  IF(
    $A8="Double Lung Transplant",
    _xlfn.XLOOKUP(2,'Cost Data Sheet'!$A$2:$A$1006,'Cost Data Sheet'!$F$2:$F$1006),
    SUMPRODUCT(
      ('Service to CPT Map'!$A$2:$A$1017=$A8) *
      ('Service to CPT Map'!$B$2:$B$1017="Low") *
      _xlfn.XLOOKUP(
        'Service to CPT Map'!$C$2:$C$1017,
        'Cost Data Sheet'!$A$2:$A$1006,
        'Cost Data Sheet'!$B$2:$B$1006,
        0
      )
    )
  )
)</f>
        <v>0</v>
      </c>
      <c r="F8" s="130" cm="1">
        <f t="array" ref="F8">IF(
  OR($A8="Single Lung Transplant",$A8="Double Lung Transplant"),
  E8,
  SUMPRODUCT(
    ('Service to CPT Map'!$A$2:$A$1017=$A8)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Map'!$A$2:$A$1017=$A8)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Map'!$A$2:$A$1017=$A8)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8" s="145" t="str">
        <f t="shared" si="0"/>
        <v>$0.00</v>
      </c>
      <c r="H8" s="136"/>
      <c r="I8" s="136"/>
      <c r="J8" s="136"/>
      <c r="K8" s="136"/>
      <c r="L8" s="139" t="str">
        <f t="shared" si="1"/>
        <v>lifetime</v>
      </c>
      <c r="M8" s="33" t="str">
        <f>IF(L8="lifetime",
    IF(I8&lt;&gt;"", H8 &amp; "-" &amp; I8 &amp; "x/lifetime", H8 &amp; "x/lifetime"),
    IF(D8='Master Data'!$B$8, AD8 &amp; AE8, AD8 &amp; AE8 &amp; AC8))</f>
        <v>x/lifetime</v>
      </c>
      <c r="N8" s="30">
        <f t="shared" si="2"/>
        <v>0</v>
      </c>
      <c r="O8" s="30">
        <f t="shared" si="3"/>
        <v>0</v>
      </c>
      <c r="P8" s="52" t="str">
        <f t="shared" si="4"/>
        <v>$0.00</v>
      </c>
      <c r="Q8" s="30">
        <f t="shared" si="5"/>
        <v>0</v>
      </c>
      <c r="R8" s="30">
        <f t="shared" si="6"/>
        <v>0</v>
      </c>
      <c r="S8" s="53" t="str">
        <f t="shared" si="7"/>
        <v>$0.00</v>
      </c>
      <c r="AA8" s="166" t="str">
        <f>IF(L8="lifetime", "one-time cost", IF(D8='Master Data'!$B$8, AD8 &amp; AE8, AD8 &amp; AE8 &amp; AC8))</f>
        <v>one-time cost</v>
      </c>
      <c r="AB8" s="208" t="str">
        <f t="shared" si="8"/>
        <v>x/lifetime</v>
      </c>
      <c r="AC8" s="166" t="str">
        <f ca="1">IF(Table6[[#This Row],[Duration (Years):]]&lt;&gt;'Master Data'!$B$8,CONCATENATE(",",CHAR(10),"for ",Table6[[#This Row],[Duration (Years):]]," years"),"lifelong")</f>
        <v>lifelong</v>
      </c>
      <c r="AD8" s="166" t="str">
        <f t="shared" si="9"/>
        <v>one-time cost</v>
      </c>
      <c r="AE8" s="166" t="str">
        <f t="shared" si="10"/>
        <v>one-time cost</v>
      </c>
    </row>
    <row r="9" spans="1:31" ht="42.6" customHeight="1" x14ac:dyDescent="0.2">
      <c r="A9" s="135"/>
      <c r="B9" s="29">
        <f ca="1">'Master Data'!$B$6</f>
        <v>126.3</v>
      </c>
      <c r="C9" s="29">
        <f ca="1">'Master Data'!$B$7</f>
        <v>136.30000000000001</v>
      </c>
      <c r="D9" s="129">
        <f ca="1">ROUND(C9-B9,1)</f>
        <v>10</v>
      </c>
      <c r="E9" s="130" cm="1">
        <f t="array" ref="E9">IF(
  $A9="Single Lung Transplant",
  _xlfn.XLOOKUP(1,'Cost Data Sheet'!$A$2:$A$1006,'Cost Data Sheet'!$F$2:$F$1006),
  IF(
    $A9="Double Lung Transplant",
    _xlfn.XLOOKUP(2,'Cost Data Sheet'!$A$2:$A$1006,'Cost Data Sheet'!$F$2:$F$1006),
    SUMPRODUCT(
      ('Service to CPT Map'!$A$2:$A$1017=$A9) *
      ('Service to CPT Map'!$B$2:$B$1017="Low") *
      _xlfn.XLOOKUP(
        'Service to CPT Map'!$C$2:$C$1017,
        'Cost Data Sheet'!$A$2:$A$1006,
        'Cost Data Sheet'!$B$2:$B$1006,
        0
      )
    )
  )
)</f>
        <v>0</v>
      </c>
      <c r="F9" s="130" cm="1">
        <f t="array" ref="F9">IF(
  OR($A9="Single Lung Transplant",$A9="Double Lung Transplant"),
  E9,
  SUMPRODUCT(
    ('Service to CPT Map'!$A$2:$A$1017=$A9)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Map'!$A$2:$A$1017=$A9)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Map'!$A$2:$A$1017=$A9)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9" s="145" t="str">
        <f>IF(E9&lt;F9,CONCATENATE(TEXT(E9,"$#,##0.00"),CHAR(10)," - ",CHAR(10),TEXT(F9,"$#,##0.00")),TEXT(E9,"$#,##0.00"))</f>
        <v>$0.00</v>
      </c>
      <c r="H9" s="136"/>
      <c r="I9" s="136"/>
      <c r="J9" s="136"/>
      <c r="K9" s="136"/>
      <c r="L9" s="139" t="str">
        <f>IF(LEN(K9)=0,IF(LEN(J9)=0,"lifetime",IF(J9=1,"year","years")),"years")</f>
        <v>lifetime</v>
      </c>
      <c r="M9" s="33" t="str">
        <f>IF(L9="lifetime",
    IF(I9&lt;&gt;"", H9 &amp; "-" &amp; I9 &amp; "x/lifetime", H9 &amp; "x/lifetime"),
    IF(D9='Master Data'!$B$8, AD9 &amp; AE9, AD9 &amp; AE9 &amp; AC9))</f>
        <v>x/lifetime</v>
      </c>
      <c r="N9" s="30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9" s="30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9" s="52" t="str">
        <f t="shared" si="4"/>
        <v>$0.00</v>
      </c>
      <c r="Q9" s="30">
        <f>ROUND(IF(TimeValue="lifetime",MinCost*MinFreq,0),2)</f>
        <v>0</v>
      </c>
      <c r="R9" s="30">
        <f>ROUND(IF(AND(TimeValue="lifetime",MaxFreq&lt;1),MinFreq*MaxCost,IF(AND(TimeValue="lifetime",MaxFreq&gt;=1),MaxFreq*MaxCost,0)),2)</f>
        <v>0</v>
      </c>
      <c r="S9" s="53" t="str">
        <f>IF(Q9&lt;R9,CONCATENATE(TEXT(Q9,"$#,##0.00"),CHAR(10)," - ",CHAR(10),TEXT(R9,"$#,##0.00")),TEXT(Q9,"$0.00"))</f>
        <v>$0.00</v>
      </c>
      <c r="AA9" s="166" t="str">
        <f>IF(L9="lifetime", "one-time cost", IF(D9='Master Data'!$B$8, AD9 &amp; AE9, AD9 &amp; AE9 &amp; AC9))</f>
        <v>one-time cost</v>
      </c>
      <c r="AB9" s="208" t="str">
        <f t="shared" si="8"/>
        <v>x/lifetime</v>
      </c>
      <c r="AC9" s="166" t="str">
        <f ca="1">IF(Table6[[#This Row],[Duration (Years):]]&lt;&gt;'Master Data'!$B$8,CONCATENATE(",",CHAR(10),"for ",Table6[[#This Row],[Duration (Years):]]," years"),"lifelong")</f>
        <v>lifelong</v>
      </c>
      <c r="AD9" s="166" t="str">
        <f t="shared" si="9"/>
        <v>one-time cost</v>
      </c>
      <c r="AE9" s="166" t="str">
        <f t="shared" si="10"/>
        <v>one-time cost</v>
      </c>
    </row>
    <row r="10" spans="1:31" ht="42.6" customHeight="1" x14ac:dyDescent="0.2">
      <c r="A10" s="135"/>
      <c r="B10" s="29">
        <f ca="1">'Master Data'!$B$6</f>
        <v>126.3</v>
      </c>
      <c r="C10" s="29">
        <f ca="1">'Master Data'!$B$7</f>
        <v>136.30000000000001</v>
      </c>
      <c r="D10" s="129">
        <f t="shared" ca="1" si="11"/>
        <v>10</v>
      </c>
      <c r="E10" s="130" cm="1">
        <f t="array" ref="E10">IF(
  $A10="Single Lung Transplant",
  _xlfn.XLOOKUP(1,'Cost Data Sheet'!$A$2:$A$1006,'Cost Data Sheet'!$F$2:$F$1006),
  IF(
    $A10="Double Lung Transplant",
    _xlfn.XLOOKUP(2,'Cost Data Sheet'!$A$2:$A$1006,'Cost Data Sheet'!$F$2:$F$1006),
    SUMPRODUCT(
      ('Service to CPT Map'!$A$2:$A$1017=$A10) *
      ('Service to CPT Map'!$B$2:$B$1017="Low") *
      _xlfn.XLOOKUP(
        'Service to CPT Map'!$C$2:$C$1017,
        'Cost Data Sheet'!$A$2:$A$1006,
        'Cost Data Sheet'!$B$2:$B$1006,
        0
      )
    )
  )
)</f>
        <v>0</v>
      </c>
      <c r="F10" s="130" cm="1">
        <f t="array" ref="F10">IF(
  OR($A10="Single Lung Transplant",$A10="Double Lung Transplant"),
  E10,
  SUMPRODUCT(
    ('Service to CPT Map'!$A$2:$A$1017=$A10)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Map'!$A$2:$A$1017=$A10)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Map'!$A$2:$A$1017=$A10)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0" s="145" t="str">
        <f t="shared" si="0"/>
        <v>$0.00</v>
      </c>
      <c r="H10" s="136"/>
      <c r="I10" s="136"/>
      <c r="J10" s="136"/>
      <c r="K10" s="136"/>
      <c r="L10" s="139" t="str">
        <f t="shared" si="1"/>
        <v>lifetime</v>
      </c>
      <c r="M10" s="33" t="str">
        <f>IF(L10="lifetime",
    IF(I10&lt;&gt;"", H10 &amp; "-" &amp; I10 &amp; "x/lifetime", H10 &amp; "x/lifetime"),
    IF(D10='Master Data'!$B$8, AD10 &amp; AE10, AD10 &amp; AE10 &amp; AC10))</f>
        <v>x/lifetime</v>
      </c>
      <c r="N10" s="30">
        <f t="shared" si="2"/>
        <v>0</v>
      </c>
      <c r="O10" s="30">
        <f t="shared" si="3"/>
        <v>0</v>
      </c>
      <c r="P10" s="52" t="str">
        <f t="shared" si="4"/>
        <v>$0.00</v>
      </c>
      <c r="Q10" s="30">
        <f t="shared" si="5"/>
        <v>0</v>
      </c>
      <c r="R10" s="30">
        <f t="shared" si="6"/>
        <v>0</v>
      </c>
      <c r="S10" s="53" t="str">
        <f t="shared" si="7"/>
        <v>$0.00</v>
      </c>
      <c r="T10" s="156"/>
      <c r="U10" s="156"/>
      <c r="V10" s="156"/>
      <c r="AA10" s="166" t="str">
        <f>IF(L10="lifetime", "one-time cost", IF(D10='Master Data'!$B$8, AD10 &amp; AE10, AD10 &amp; AE10 &amp; AC10))</f>
        <v>one-time cost</v>
      </c>
      <c r="AB10" s="208" t="str">
        <f t="shared" si="8"/>
        <v>x/lifetime</v>
      </c>
      <c r="AC10" s="166" t="str">
        <f ca="1">IF(Table6[[#This Row],[Duration (Years):]]&lt;&gt;'Master Data'!$B$8,CONCATENATE(",",CHAR(10),"for ",Table6[[#This Row],[Duration (Years):]]," years"),"lifelong")</f>
        <v>lifelong</v>
      </c>
      <c r="AD10" s="166" t="str">
        <f t="shared" si="9"/>
        <v>one-time cost</v>
      </c>
      <c r="AE10" s="166" t="str">
        <f t="shared" si="10"/>
        <v>one-time cost</v>
      </c>
    </row>
    <row r="11" spans="1:31" ht="42.6" customHeight="1" x14ac:dyDescent="0.2">
      <c r="A11" s="135"/>
      <c r="B11" s="29">
        <f ca="1">'Master Data'!$B$6</f>
        <v>126.3</v>
      </c>
      <c r="C11" s="29">
        <f ca="1">'Master Data'!$B$7</f>
        <v>136.30000000000001</v>
      </c>
      <c r="D11" s="129">
        <f t="shared" ca="1" si="11"/>
        <v>10</v>
      </c>
      <c r="E11" s="130" cm="1">
        <f t="array" ref="E11">IF(
  $A11="Single Lung Transplant",
  _xlfn.XLOOKUP(1,'Cost Data Sheet'!$A$2:$A$1006,'Cost Data Sheet'!$F$2:$F$1006),
  IF(
    $A11="Double Lung Transplant",
    _xlfn.XLOOKUP(2,'Cost Data Sheet'!$A$2:$A$1006,'Cost Data Sheet'!$F$2:$F$1006),
    SUMPRODUCT(
      ('Service to CPT Map'!$A$2:$A$1017=$A11) *
      ('Service to CPT Map'!$B$2:$B$1017="Low") *
      _xlfn.XLOOKUP(
        'Service to CPT Map'!$C$2:$C$1017,
        'Cost Data Sheet'!$A$2:$A$1006,
        'Cost Data Sheet'!$B$2:$B$1006,
        0
      )
    )
  )
)</f>
        <v>0</v>
      </c>
      <c r="F11" s="130" cm="1">
        <f t="array" ref="F11">IF(
  OR($A11="Single Lung Transplant",$A11="Double Lung Transplant"),
  E11,
  SUMPRODUCT(
    ('Service to CPT Map'!$A$2:$A$1017=$A11)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Map'!$A$2:$A$1017=$A11)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Map'!$A$2:$A$1017=$A11)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1" s="145" t="str">
        <f t="shared" si="0"/>
        <v>$0.00</v>
      </c>
      <c r="H11" s="136"/>
      <c r="I11" s="136"/>
      <c r="J11" s="136"/>
      <c r="K11" s="136"/>
      <c r="L11" s="139" t="str">
        <f t="shared" si="1"/>
        <v>lifetime</v>
      </c>
      <c r="M11" s="33" t="str">
        <f>IF(L11="lifetime",
    IF(I11&lt;&gt;"", H11 &amp; "-" &amp; I11 &amp; "x/lifetime", H11 &amp; "x/lifetime"),
    IF(D11='Master Data'!$B$8, AD11 &amp; AE11, AD11 &amp; AE11 &amp; AC11))</f>
        <v>x/lifetime</v>
      </c>
      <c r="N11" s="30">
        <f t="shared" si="2"/>
        <v>0</v>
      </c>
      <c r="O11" s="30">
        <f t="shared" si="3"/>
        <v>0</v>
      </c>
      <c r="P11" s="52" t="str">
        <f t="shared" si="4"/>
        <v>$0.00</v>
      </c>
      <c r="Q11" s="30">
        <f t="shared" si="5"/>
        <v>0</v>
      </c>
      <c r="R11" s="30">
        <f t="shared" si="6"/>
        <v>0</v>
      </c>
      <c r="S11" s="53" t="str">
        <f t="shared" si="7"/>
        <v>$0.00</v>
      </c>
      <c r="AA11" s="166" t="str">
        <f>IF(L11="lifetime", "one-time cost", IF(D11='Master Data'!$B$8, AD11 &amp; AE11, AD11 &amp; AE11 &amp; AC11))</f>
        <v>one-time cost</v>
      </c>
      <c r="AB11" s="208" t="str">
        <f t="shared" si="8"/>
        <v>x/lifetime</v>
      </c>
      <c r="AC11" s="166" t="str">
        <f ca="1">IF(Table6[[#This Row],[Duration (Years):]]&lt;&gt;'Master Data'!$B$8,CONCATENATE(",",CHAR(10),"for ",Table6[[#This Row],[Duration (Years):]]," years"),"lifelong")</f>
        <v>lifelong</v>
      </c>
      <c r="AD11" s="166" t="str">
        <f t="shared" si="9"/>
        <v>one-time cost</v>
      </c>
      <c r="AE11" s="166" t="str">
        <f t="shared" si="10"/>
        <v>one-time cost</v>
      </c>
    </row>
    <row r="12" spans="1:31" ht="42.6" customHeight="1" x14ac:dyDescent="0.2">
      <c r="A12" s="135"/>
      <c r="B12" s="29">
        <f ca="1">'Master Data'!$B$6</f>
        <v>126.3</v>
      </c>
      <c r="C12" s="29">
        <f ca="1">'Master Data'!$B$7</f>
        <v>136.30000000000001</v>
      </c>
      <c r="D12" s="129">
        <f t="shared" ca="1" si="11"/>
        <v>10</v>
      </c>
      <c r="E12" s="130" cm="1">
        <f t="array" ref="E12">IF(
  $A12="Single Lung Transplant",
  _xlfn.XLOOKUP(1,'Cost Data Sheet'!$A$2:$A$1006,'Cost Data Sheet'!$F$2:$F$1006),
  IF(
    $A12="Double Lung Transplant",
    _xlfn.XLOOKUP(2,'Cost Data Sheet'!$A$2:$A$1006,'Cost Data Sheet'!$F$2:$F$1006),
    SUMPRODUCT(
      ('Service to CPT Map'!$A$2:$A$1017=$A12) *
      ('Service to CPT Map'!$B$2:$B$1017="Low") *
      _xlfn.XLOOKUP(
        'Service to CPT Map'!$C$2:$C$1017,
        'Cost Data Sheet'!$A$2:$A$1006,
        'Cost Data Sheet'!$B$2:$B$1006,
        0
      )
    )
  )
)</f>
        <v>0</v>
      </c>
      <c r="F12" s="130" cm="1">
        <f t="array" ref="F12">IF(
  OR($A12="Single Lung Transplant",$A12="Double Lung Transplant"),
  E12,
  SUMPRODUCT(
    ('Service to CPT Map'!$A$2:$A$1017=$A12)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Map'!$A$2:$A$1017=$A12)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Map'!$A$2:$A$1017=$A12)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2" s="145" t="str">
        <f t="shared" si="0"/>
        <v>$0.00</v>
      </c>
      <c r="H12" s="136"/>
      <c r="I12" s="136"/>
      <c r="J12" s="136"/>
      <c r="K12" s="136"/>
      <c r="L12" s="139" t="str">
        <f t="shared" si="1"/>
        <v>lifetime</v>
      </c>
      <c r="M12" s="33" t="str">
        <f>IF(L12="lifetime",
    IF(I12&lt;&gt;"", H12 &amp; "-" &amp; I12 &amp; "x/lifetime", H12 &amp; "x/lifetime"),
    IF(D12='Master Data'!$B$8, AD12 &amp; AE12, AD12 &amp; AE12 &amp; AC12))</f>
        <v>x/lifetime</v>
      </c>
      <c r="N12" s="30">
        <f t="shared" si="2"/>
        <v>0</v>
      </c>
      <c r="O12" s="30">
        <f t="shared" si="3"/>
        <v>0</v>
      </c>
      <c r="P12" s="52" t="str">
        <f t="shared" si="4"/>
        <v>$0.00</v>
      </c>
      <c r="Q12" s="30">
        <f t="shared" si="5"/>
        <v>0</v>
      </c>
      <c r="R12" s="30">
        <f t="shared" si="6"/>
        <v>0</v>
      </c>
      <c r="S12" s="53" t="str">
        <f t="shared" si="7"/>
        <v>$0.00</v>
      </c>
      <c r="AA12" s="166" t="str">
        <f>IF(L12="lifetime", "one-time cost", IF(D12='Master Data'!$B$8, AD12 &amp; AE12, AD12 &amp; AE12 &amp; AC12))</f>
        <v>one-time cost</v>
      </c>
      <c r="AB12" s="208" t="str">
        <f t="shared" si="8"/>
        <v>x/lifetime</v>
      </c>
      <c r="AC12" s="166" t="str">
        <f ca="1">IF(Table6[[#This Row],[Duration (Years):]]&lt;&gt;'Master Data'!$B$8,CONCATENATE(",",CHAR(10),"for ",Table6[[#This Row],[Duration (Years):]]," years"),"lifelong")</f>
        <v>lifelong</v>
      </c>
      <c r="AD12" s="166" t="str">
        <f t="shared" si="9"/>
        <v>one-time cost</v>
      </c>
      <c r="AE12" s="166" t="str">
        <f t="shared" si="10"/>
        <v>one-time cost</v>
      </c>
    </row>
    <row r="13" spans="1:31" ht="45.75" customHeight="1" x14ac:dyDescent="0.2">
      <c r="A13" s="135"/>
      <c r="B13" s="29">
        <f ca="1">'Master Data'!$B$6</f>
        <v>126.3</v>
      </c>
      <c r="C13" s="29">
        <f ca="1">'Master Data'!$B$7</f>
        <v>136.30000000000001</v>
      </c>
      <c r="D13" s="129">
        <f ca="1">ROUND(C13-B13,1)</f>
        <v>10</v>
      </c>
      <c r="E13" s="130" cm="1">
        <f t="array" ref="E13">IF(
  $A13="Single Lung Transplant",
  _xlfn.XLOOKUP(1,'Cost Data Sheet'!$A$2:$A$1006,'Cost Data Sheet'!$F$2:$F$1006),
  IF(
    $A13="Double Lung Transplant",
    _xlfn.XLOOKUP(2,'Cost Data Sheet'!$A$2:$A$1006,'Cost Data Sheet'!$F$2:$F$1006),
    SUMPRODUCT(
      ('Service to CPT Map'!$A$2:$A$1017=$A13) *
      ('Service to CPT Map'!$B$2:$B$1017="Low") *
      _xlfn.XLOOKUP(
        'Service to CPT Map'!$C$2:$C$1017,
        'Cost Data Sheet'!$A$2:$A$1006,
        'Cost Data Sheet'!$B$2:$B$1006,
        0
      )
    )
  )
)</f>
        <v>0</v>
      </c>
      <c r="F13" s="130" cm="1">
        <f t="array" ref="F13">IF(
  OR($A13="Single Lung Transplant",$A13="Double Lung Transplant"),
  E13,
  SUMPRODUCT(
    ('Service to CPT Map'!$A$2:$A$1017=$A13)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Map'!$A$2:$A$1017=$A13)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Map'!$A$2:$A$1017=$A13)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3" s="145" t="str">
        <f>IF(E13&lt;F13,CONCATENATE(TEXT(E13,"$#,##0.00"),CHAR(10)," - ",CHAR(10),TEXT(F13,"$#,##0.00")),TEXT(E13,"$#,##0.00"))</f>
        <v>$0.00</v>
      </c>
      <c r="H13" s="136"/>
      <c r="I13" s="136"/>
      <c r="J13" s="136"/>
      <c r="K13" s="136"/>
      <c r="L13" s="139" t="str">
        <f>IF(LEN(K13)=0,IF(LEN(J13)=0,"lifetime",IF(J13=1,"year","years")),"years")</f>
        <v>lifetime</v>
      </c>
      <c r="M13" s="33" t="str">
        <f>IF(L13="lifetime",
    IF(I13&lt;&gt;"", H13 &amp; "-" &amp; I13 &amp; "x/lifetime", H13 &amp; "x/lifetime"),
    IF(D13='Master Data'!$B$8, AD13 &amp; AE13, AD13 &amp; AE13 &amp; AC13))</f>
        <v>x/lifetime</v>
      </c>
      <c r="N13" s="30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3" s="30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3" s="52" t="str">
        <f t="shared" si="4"/>
        <v>$0.00</v>
      </c>
      <c r="Q13" s="30">
        <f>ROUND(IF(TimeValue="lifetime",MinCost*MinFreq,0),2)</f>
        <v>0</v>
      </c>
      <c r="R13" s="30">
        <f>ROUND(IF(AND(TimeValue="lifetime",MaxFreq&lt;1),MinFreq*MaxCost,IF(AND(TimeValue="lifetime",MaxFreq&gt;=1),MaxFreq*MaxCost,0)),2)</f>
        <v>0</v>
      </c>
      <c r="S13" s="53" t="str">
        <f>IF(Q13&lt;R13,CONCATENATE(TEXT(Q13,"$#,##0.00"),CHAR(10)," - ",CHAR(10),TEXT(R13,"$#,##0.00")),TEXT(Q13,"$0.00"))</f>
        <v>$0.00</v>
      </c>
      <c r="AA13" s="166" t="str">
        <f>IF(L13="lifetime", "one-time cost", IF(D13='Master Data'!$B$8, AD13 &amp; AE13, AD13 &amp; AE13 &amp; AC13))</f>
        <v>one-time cost</v>
      </c>
      <c r="AB13" s="208" t="str">
        <f>IF(L13="lifetime", IF(I13&lt;&gt;"", H13 &amp; "-" &amp; I13 &amp; "x/lifetime", H13 &amp; "x/lifetime"), "ongoing cost")</f>
        <v>x/lifetime</v>
      </c>
      <c r="AC13" s="166" t="str">
        <f ca="1">IF(Table6[[#This Row],[Duration (Years):]]&lt;&gt;'Master Data'!$B$8,CONCATENATE(",",CHAR(10),"for ",Table6[[#This Row],[Duration (Years):]]," years"),"lifelong")</f>
        <v>lifelong</v>
      </c>
      <c r="AD13" s="166" t="str">
        <f>IF(L13="lifetime", "one-time cost", IF(I13&lt;&gt;"", H13 &amp; "-" &amp; I13 &amp; "x/", H13 &amp; "x/"))</f>
        <v>one-time cost</v>
      </c>
      <c r="AE13" s="166" t="str">
        <f>IF(L13="lifetime", "one-time cost", IF(K13&lt;&gt;"", J13 &amp; "-" &amp; K13 &amp; " " &amp; L13, IF(J13&gt;1, J13 &amp; " " &amp; L13, L13)))</f>
        <v>one-time cost</v>
      </c>
    </row>
    <row r="14" spans="1:31" ht="16.5" customHeight="1" x14ac:dyDescent="0.2">
      <c r="A14" s="223"/>
      <c r="B14" s="224">
        <f ca="1">'Master Data'!$B$6</f>
        <v>126.3</v>
      </c>
      <c r="C14" s="224">
        <f ca="1">'Master Data'!$B$7</f>
        <v>136.30000000000001</v>
      </c>
      <c r="D14" s="225">
        <f ca="1">ROUND(C14-B14,1)</f>
        <v>10</v>
      </c>
      <c r="E14" s="226" cm="1">
        <f t="array" ref="E14">IF(
  $A14="Single Lung Transplant",
  _xlfn.XLOOKUP(1,'Cost Data Sheet'!$A$2:$A$1006,'Cost Data Sheet'!$F$2:$F$1006),
  IF(
    $A14="Double Lung Transplant",
    _xlfn.XLOOKUP(2,'Cost Data Sheet'!$A$2:$A$1006,'Cost Data Sheet'!$F$2:$F$1006),
    SUMPRODUCT(
      ('Service to CPT Map'!$A$2:$A$1017=$A14) *
      ('Service to CPT Map'!$B$2:$B$1017="Low") *
      _xlfn.XLOOKUP(
        'Service to CPT Map'!$C$2:$C$1017,
        'Cost Data Sheet'!$A$2:$A$1006,
        'Cost Data Sheet'!$B$2:$B$1006,
        0
      )
    )
  )
)</f>
        <v>0</v>
      </c>
      <c r="F14" s="226" cm="1">
        <f t="array" ref="F14">IF(
  OR($A14="Single Lung Transplant",$A14="Double Lung Transplant"),
  E14,
  SUMPRODUCT(
    ('Service to CPT Map'!$A$2:$A$1017=$A14)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Map'!$A$2:$A$1017=$A14)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Map'!$A$2:$A$1017=$A14)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4" s="227" t="str">
        <f>IF(E14&lt;F14,CONCATENATE(TEXT(E14,"$#,##0.00"),CHAR(10)," - ",CHAR(10),TEXT(F14,"$#,##0.00")),TEXT(E14,"$#,##0.00"))</f>
        <v>$0.00</v>
      </c>
      <c r="H14" s="228"/>
      <c r="I14" s="228"/>
      <c r="J14" s="228"/>
      <c r="K14" s="228"/>
      <c r="L14" s="229" t="str">
        <f>IF(LEN(K14)=0,IF(LEN(J14)=0,"lifetime",IF(J14=1,"year","years")),"years")</f>
        <v>lifetime</v>
      </c>
      <c r="M14" s="230" t="str">
        <f>IF(L14="lifetime",
    IF(I14&lt;&gt;"", H14 &amp; "-" &amp; I14 &amp; "x/lifetime", H14 &amp; "x/lifetime"),
    IF(D14='Master Data'!$B$8, AD14 &amp; AE14, AD14 &amp; AE14 &amp; AC14))</f>
        <v>x/lifetime</v>
      </c>
      <c r="N14" s="231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4" s="231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4" s="232" t="str">
        <f t="shared" si="4"/>
        <v>$0.00</v>
      </c>
      <c r="Q14" s="231">
        <f>ROUND(IF(TimeValue="lifetime",MinCost*MinFreq,0),2)</f>
        <v>0</v>
      </c>
      <c r="R14" s="231">
        <f>ROUND(IF(AND(TimeValue="lifetime",MaxFreq&lt;1),MinFreq*MaxCost,IF(AND(TimeValue="lifetime",MaxFreq&gt;=1),MaxFreq*MaxCost,0)),2)</f>
        <v>0</v>
      </c>
      <c r="S14" s="233" t="str">
        <f>IF(Q14&lt;R14,CONCATENATE(TEXT(Q14,"$#,##0.00"),CHAR(10)," - ",CHAR(10),TEXT(R14,"$#,##0.00")),TEXT(Q14,"$0.00"))</f>
        <v>$0.00</v>
      </c>
      <c r="AA14" s="166" t="str">
        <f>IF(L14="lifetime", "one-time cost", IF(D14='Master Data'!$B$8, AD14 &amp; AE14, AD14 &amp; AE14 &amp; AC14))</f>
        <v>one-time cost</v>
      </c>
      <c r="AB14" s="208" t="str">
        <f>IF(L14="lifetime", IF(I14&lt;&gt;"", H14 &amp; "-" &amp; I14 &amp; "x/lifetime", H14 &amp; "x/lifetime"), "ongoing cost")</f>
        <v>x/lifetime</v>
      </c>
      <c r="AC14" s="166" t="str">
        <f ca="1">IF(Table6[[#This Row],[Duration (Years):]]&lt;&gt;'Master Data'!$B$8,CONCATENATE(",",CHAR(10),"for ",Table6[[#This Row],[Duration (Years):]]," years"),"lifelong")</f>
        <v>lifelong</v>
      </c>
      <c r="AD14" s="166" t="str">
        <f>IF(L14="lifetime", "one-time cost", IF(I14&lt;&gt;"", H14 &amp; "-" &amp; I14 &amp; "x/", H14 &amp; "x/"))</f>
        <v>one-time cost</v>
      </c>
      <c r="AE14" s="166" t="str">
        <f>IF(L14="lifetime", "one-time cost", IF(K14&lt;&gt;"", J14 &amp; "-" &amp; K14 &amp; " " &amp; L14, IF(J14&gt;1, J14 &amp; " " &amp; L14, L14)))</f>
        <v>one-time cost</v>
      </c>
    </row>
    <row r="15" spans="1:31" ht="29.25" thickBot="1" x14ac:dyDescent="0.25">
      <c r="A15" s="223"/>
      <c r="B15" s="224">
        <f ca="1">'Master Data'!$B$6</f>
        <v>126.3</v>
      </c>
      <c r="C15" s="224">
        <f ca="1">'Master Data'!$B$7</f>
        <v>136.30000000000001</v>
      </c>
      <c r="D15" s="225">
        <f ca="1">ROUND(C15-B15,1)</f>
        <v>10</v>
      </c>
      <c r="E15" s="226" cm="1">
        <f t="array" ref="E15">IF(
  $A15="Single Lung Transplant",
  _xlfn.XLOOKUP(1,'Cost Data Sheet'!$A$2:$A$1006,'Cost Data Sheet'!$F$2:$F$1006),
  IF(
    $A15="Double Lung Transplant",
    _xlfn.XLOOKUP(2,'Cost Data Sheet'!$A$2:$A$1006,'Cost Data Sheet'!$F$2:$F$1006),
    SUMPRODUCT(
      ('Service to CPT Map'!$A$2:$A$1017=$A15) *
      ('Service to CPT Map'!$B$2:$B$1017="Low") *
      _xlfn.XLOOKUP(
        'Service to CPT Map'!$C$2:$C$1017,
        'Cost Data Sheet'!$A$2:$A$1006,
        'Cost Data Sheet'!$B$2:$B$1006,
        0
      )
    )
  )
)</f>
        <v>0</v>
      </c>
      <c r="F15" s="226" cm="1">
        <f t="array" ref="F15">IF(
  OR($A15="Single Lung Transplant",$A15="Double Lung Transplant"),
  E15,
  SUMPRODUCT(
    ('Service to CPT Map'!$A$2:$A$1017=$A15)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Map'!$A$2:$A$1017=$A15)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Map'!$A$2:$A$1017=$A15)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5" s="227" t="str">
        <f>IF(E15&lt;F15,CONCATENATE(TEXT(E15,"$#,##0.00"),CHAR(10)," - ",CHAR(10),TEXT(F15,"$#,##0.00")),TEXT(E15,"$#,##0.00"))</f>
        <v>$0.00</v>
      </c>
      <c r="H15" s="228"/>
      <c r="I15" s="228"/>
      <c r="J15" s="228"/>
      <c r="K15" s="228"/>
      <c r="L15" s="229" t="str">
        <f>IF(LEN(K15)=0,IF(LEN(J15)=0,"lifetime",IF(J15=1,"year","years")),"years")</f>
        <v>lifetime</v>
      </c>
      <c r="M15" s="230" t="str">
        <f>IF(L15="lifetime",
    IF(I15&lt;&gt;"", H15 &amp; "-" &amp; I15 &amp; "x/lifetime", H15 &amp; "x/lifetime"),
    IF(D15='Master Data'!$B$8, AD15 &amp; AE15, AD15 &amp; AE15 &amp; AC15))</f>
        <v>x/lifetime</v>
      </c>
      <c r="N15" s="231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5" s="231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5" s="232" t="str">
        <f t="shared" si="4"/>
        <v>$0.00</v>
      </c>
      <c r="Q15" s="231">
        <f>ROUND(IF(TimeValue="lifetime",MinCost*MinFreq,0),2)</f>
        <v>0</v>
      </c>
      <c r="R15" s="231">
        <f>ROUND(IF(AND(TimeValue="lifetime",MaxFreq&lt;1),MinFreq*MaxCost,IF(AND(TimeValue="lifetime",MaxFreq&gt;=1),MaxFreq*MaxCost,0)),2)</f>
        <v>0</v>
      </c>
      <c r="S15" s="233" t="str">
        <f>IF(Q15&lt;R15,CONCATENATE(TEXT(Q15,"$#,##0.00"),CHAR(10)," - ",CHAR(10),TEXT(R15,"$#,##0.00")),TEXT(Q15,"$0.00"))</f>
        <v>$0.00</v>
      </c>
      <c r="AA15" s="166" t="str">
        <f>IF(L15="lifetime", "one-time cost", IF(D15='Master Data'!$B$8, AD15 &amp; AE15, AD15 &amp; AE15 &amp; AC15))</f>
        <v>one-time cost</v>
      </c>
      <c r="AB15" s="208" t="str">
        <f>IF(L15="lifetime", IF(I15&lt;&gt;"", H15 &amp; "-" &amp; I15 &amp; "x/lifetime", H15 &amp; "x/lifetime"), "ongoing cost")</f>
        <v>x/lifetime</v>
      </c>
      <c r="AC15" s="166" t="str">
        <f ca="1">IF(Table6[[#This Row],[Duration (Years):]]&lt;&gt;'Master Data'!$B$8,CONCATENATE(",",CHAR(10),"for ",Table6[[#This Row],[Duration (Years):]]," years"),"lifelong")</f>
        <v>lifelong</v>
      </c>
      <c r="AD15" s="166" t="str">
        <f>IF(L15="lifetime", "one-time cost", IF(I15&lt;&gt;"", H15 &amp; "-" &amp; I15 &amp; "x/", H15 &amp; "x/"))</f>
        <v>one-time cost</v>
      </c>
      <c r="AE15" s="166" t="str">
        <f>IF(L15="lifetime", "one-time cost", IF(K15&lt;&gt;"", J15 &amp; "-" &amp; K15 &amp; " " &amp; L15, IF(J15&gt;1, J15 &amp; " " &amp; L15, L15)))</f>
        <v>one-time cost</v>
      </c>
    </row>
    <row r="16" spans="1:31" ht="15.75" thickTop="1" thickBot="1" x14ac:dyDescent="0.25">
      <c r="A16" s="334" t="s">
        <v>32</v>
      </c>
      <c r="B16" s="335"/>
      <c r="C16" s="335"/>
      <c r="D16" s="335"/>
      <c r="E16" s="335"/>
      <c r="F16" s="335"/>
      <c r="G16" s="335"/>
      <c r="H16" s="335"/>
      <c r="I16" s="335"/>
      <c r="J16" s="335"/>
      <c r="K16" s="335"/>
      <c r="L16" s="335"/>
      <c r="M16" s="336"/>
      <c r="N16" s="69"/>
      <c r="O16" s="69"/>
      <c r="P16" s="70" t="str">
        <f ca="1">IF(U3="same",IF(SUM(Table6[Annual Cost Max:])=0,"$0.00",CONCATENATE(TEXT(SUM(AnnMin),"$#,##0.00"),CHAR(10)," - ",CHAR(10),TEXT(SUM(AnnMax),"$#,##0.00"))),"Variable by year")</f>
        <v>$0.00</v>
      </c>
      <c r="Q16" s="69"/>
      <c r="R16" s="69"/>
      <c r="S16" s="71" t="str">
        <f>IF(SUM(OneTimeMax)=0,"$0.00",CONCATENATE(TEXT(SUM(OneTimeMin),"$#,##0.00"),CHAR(10)," - ",CHAR(10),TEXT(SUM(OneTimeMax),"$#,##0.00")))</f>
        <v>$0.00</v>
      </c>
      <c r="AA16" s="166" t="e">
        <f>IF(L18="lifetime", "one-time cost", IF(D18='Master Data'!$B$8, AD16 &amp; AE16, AD16 &amp; AE16 &amp; AC16))</f>
        <v>#VALUE!</v>
      </c>
      <c r="AB16" s="208" t="str">
        <f t="shared" ref="AB16:AB39" si="12">IF(L18="lifetime", IF(I18&lt;&gt;"", H18 &amp; "-" &amp; I18 &amp; "x/lifetime", H18 &amp; "x/lifetime"), "ongoing cost")</f>
        <v>ongoing cost</v>
      </c>
      <c r="AC16" s="166" t="e">
        <f>IF(Table6[[#This Row],[Duration (Years):]]&lt;&gt;'Master Data'!$B$8,CONCATENATE(",",CHAR(10),"for ",Table6[[#This Row],[Duration (Years):]]," years"),"lifelong")</f>
        <v>#VALUE!</v>
      </c>
      <c r="AD16" s="166" t="str">
        <f t="shared" ref="AD16:AD39" si="13">IF(L18="lifetime", "one-time cost", IF(I18&lt;&gt;"", H18 &amp; "-" &amp; I18 &amp; "x/", H18 &amp; "x/"))</f>
        <v>x/</v>
      </c>
      <c r="AE16" s="166">
        <f t="shared" ref="AE16:AE39" si="14">IF(L18="lifetime", "one-time cost", IF(K18&lt;&gt;"", J18 &amp; "-" &amp; K18 &amp; " " &amp; L18, IF(J18&gt;1, J18 &amp; " " &amp; L18, L18)))</f>
        <v>0</v>
      </c>
    </row>
    <row r="17" spans="1:31" ht="15" thickTop="1" x14ac:dyDescent="0.2">
      <c r="AA17" s="166" t="e">
        <f>IF(L19="lifetime", "one-time cost", IF(D19='Master Data'!$B$8, AD17 &amp; AE17, AD17 &amp; AE17 &amp; AC17))</f>
        <v>#VALUE!</v>
      </c>
      <c r="AB17" s="208" t="str">
        <f t="shared" si="12"/>
        <v>ongoing cost</v>
      </c>
      <c r="AC17" s="166" t="e">
        <f>IF(Table6[[#This Row],[Duration (Years):]]&lt;&gt;'Master Data'!$B$8,CONCATENATE(",",CHAR(10),"for ",Table6[[#This Row],[Duration (Years):]]," years"),"lifelong")</f>
        <v>#VALUE!</v>
      </c>
      <c r="AD17" s="166" t="str">
        <f t="shared" si="13"/>
        <v>x/</v>
      </c>
      <c r="AE17" s="166">
        <f t="shared" si="14"/>
        <v>0</v>
      </c>
    </row>
    <row r="18" spans="1:31" ht="14.25" x14ac:dyDescent="0.2">
      <c r="A18" s="156"/>
      <c r="B18" s="94"/>
      <c r="C18" s="94"/>
      <c r="D18" s="156"/>
      <c r="E18" s="156"/>
      <c r="F18" s="156"/>
      <c r="G18" s="156"/>
      <c r="H18" s="156"/>
      <c r="I18" s="156"/>
      <c r="J18" s="156"/>
      <c r="K18" s="156"/>
      <c r="L18" s="156"/>
      <c r="M18" s="94"/>
      <c r="N18" s="94"/>
      <c r="O18" s="94"/>
      <c r="P18" s="94"/>
      <c r="Q18" s="94"/>
      <c r="R18" s="94"/>
      <c r="S18" s="94"/>
      <c r="AA18" s="166" t="e">
        <f>IF(L20="lifetime", "one-time cost", IF(D20='Master Data'!$B$8, AD18 &amp; AE18, AD18 &amp; AE18 &amp; AC18))</f>
        <v>#VALUE!</v>
      </c>
      <c r="AB18" s="208" t="str">
        <f t="shared" si="12"/>
        <v>ongoing cost</v>
      </c>
      <c r="AC18" s="166" t="e">
        <f>IF(Table6[[#This Row],[Duration (Years):]]&lt;&gt;'Master Data'!$B$8,CONCATENATE(",",CHAR(10),"for ",Table6[[#This Row],[Duration (Years):]]," years"),"lifelong")</f>
        <v>#VALUE!</v>
      </c>
      <c r="AD18" s="166" t="str">
        <f t="shared" si="13"/>
        <v>x/</v>
      </c>
      <c r="AE18" s="166">
        <f t="shared" si="14"/>
        <v>0</v>
      </c>
    </row>
    <row r="19" spans="1:31" ht="14.25" x14ac:dyDescent="0.2">
      <c r="AA19" s="166" t="e">
        <f>IF(L21="lifetime", "one-time cost", IF(D21='Master Data'!$B$8, AD19 &amp; AE19, AD19 &amp; AE19 &amp; AC19))</f>
        <v>#VALUE!</v>
      </c>
      <c r="AB19" s="208" t="str">
        <f t="shared" si="12"/>
        <v>ongoing cost</v>
      </c>
      <c r="AC19" s="166" t="e">
        <f>IF(Table6[[#This Row],[Duration (Years):]]&lt;&gt;'Master Data'!$B$8,CONCATENATE(",",CHAR(10),"for ",Table6[[#This Row],[Duration (Years):]]," years"),"lifelong")</f>
        <v>#VALUE!</v>
      </c>
      <c r="AD19" s="166" t="str">
        <f t="shared" si="13"/>
        <v>x/</v>
      </c>
      <c r="AE19" s="166">
        <f t="shared" si="14"/>
        <v>0</v>
      </c>
    </row>
    <row r="20" spans="1:31" ht="14.25" x14ac:dyDescent="0.2">
      <c r="AA20" s="166" t="e">
        <f>IF(L22="lifetime", "one-time cost", IF(D22='Master Data'!$B$8, AD20 &amp; AE20, AD20 &amp; AE20 &amp; AC20))</f>
        <v>#VALUE!</v>
      </c>
      <c r="AB20" s="208" t="str">
        <f t="shared" si="12"/>
        <v>ongoing cost</v>
      </c>
      <c r="AC20" s="166" t="e">
        <f>IF(Table6[[#This Row],[Duration (Years):]]&lt;&gt;'Master Data'!$B$8,CONCATENATE(",",CHAR(10),"for ",Table6[[#This Row],[Duration (Years):]]," years"),"lifelong")</f>
        <v>#VALUE!</v>
      </c>
      <c r="AD20" s="166" t="str">
        <f t="shared" si="13"/>
        <v>x/</v>
      </c>
      <c r="AE20" s="166">
        <f t="shared" si="14"/>
        <v>0</v>
      </c>
    </row>
    <row r="21" spans="1:31" ht="14.25" x14ac:dyDescent="0.2">
      <c r="AA21" s="166" t="e">
        <f>IF(L23="lifetime", "one-time cost", IF(D23='Master Data'!$B$8, AD21 &amp; AE21, AD21 &amp; AE21 &amp; AC21))</f>
        <v>#VALUE!</v>
      </c>
      <c r="AB21" s="208" t="str">
        <f t="shared" si="12"/>
        <v>ongoing cost</v>
      </c>
      <c r="AC21" s="166" t="e">
        <f>IF(Table6[[#This Row],[Duration (Years):]]&lt;&gt;'Master Data'!$B$8,CONCATENATE(",",CHAR(10),"for ",Table6[[#This Row],[Duration (Years):]]," years"),"lifelong")</f>
        <v>#VALUE!</v>
      </c>
      <c r="AD21" s="166" t="str">
        <f t="shared" si="13"/>
        <v>x/</v>
      </c>
      <c r="AE21" s="166">
        <f t="shared" si="14"/>
        <v>0</v>
      </c>
    </row>
    <row r="22" spans="1:31" ht="14.25" x14ac:dyDescent="0.2">
      <c r="AA22" s="166" t="e">
        <f>IF(L24="lifetime", "one-time cost", IF(D24='Master Data'!$B$8, AD22 &amp; AE22, AD22 &amp; AE22 &amp; AC22))</f>
        <v>#VALUE!</v>
      </c>
      <c r="AB22" s="208" t="str">
        <f t="shared" si="12"/>
        <v>ongoing cost</v>
      </c>
      <c r="AC22" s="166" t="e">
        <f>IF(Table6[[#This Row],[Duration (Years):]]&lt;&gt;'Master Data'!$B$8,CONCATENATE(",",CHAR(10),"for ",Table6[[#This Row],[Duration (Years):]]," years"),"lifelong")</f>
        <v>#VALUE!</v>
      </c>
      <c r="AD22" s="166" t="str">
        <f t="shared" si="13"/>
        <v>x/</v>
      </c>
      <c r="AE22" s="166">
        <f t="shared" si="14"/>
        <v>0</v>
      </c>
    </row>
    <row r="23" spans="1:31" ht="14.25" x14ac:dyDescent="0.2">
      <c r="AA23" s="166" t="e">
        <f>IF(L25="lifetime", "one-time cost", IF(D25='Master Data'!$B$8, AD23 &amp; AE23, AD23 &amp; AE23 &amp; AC23))</f>
        <v>#VALUE!</v>
      </c>
      <c r="AB23" s="208" t="str">
        <f t="shared" si="12"/>
        <v>ongoing cost</v>
      </c>
      <c r="AC23" s="166" t="e">
        <f>IF(Table6[[#This Row],[Duration (Years):]]&lt;&gt;'Master Data'!$B$8,CONCATENATE(",",CHAR(10),"for ",Table6[[#This Row],[Duration (Years):]]," years"),"lifelong")</f>
        <v>#VALUE!</v>
      </c>
      <c r="AD23" s="166" t="str">
        <f t="shared" si="13"/>
        <v>x/</v>
      </c>
      <c r="AE23" s="166">
        <f t="shared" si="14"/>
        <v>0</v>
      </c>
    </row>
    <row r="24" spans="1:31" ht="14.25" x14ac:dyDescent="0.2">
      <c r="AA24" s="166" t="e">
        <f>IF(L26="lifetime", "one-time cost", IF(D26='Master Data'!$B$8, AD24 &amp; AE24, AD24 &amp; AE24 &amp; AC24))</f>
        <v>#VALUE!</v>
      </c>
      <c r="AB24" s="208" t="str">
        <f t="shared" si="12"/>
        <v>ongoing cost</v>
      </c>
      <c r="AC24" s="166" t="e">
        <f>IF(Table6[[#This Row],[Duration (Years):]]&lt;&gt;'Master Data'!$B$8,CONCATENATE(",",CHAR(10),"for ",Table6[[#This Row],[Duration (Years):]]," years"),"lifelong")</f>
        <v>#VALUE!</v>
      </c>
      <c r="AD24" s="166" t="str">
        <f t="shared" si="13"/>
        <v>x/</v>
      </c>
      <c r="AE24" s="166">
        <f t="shared" si="14"/>
        <v>0</v>
      </c>
    </row>
    <row r="25" spans="1:31" ht="14.25" x14ac:dyDescent="0.2">
      <c r="AA25" s="166" t="e">
        <f>IF(L27="lifetime", "one-time cost", IF(D27='Master Data'!$B$8, AD25 &amp; AE25, AD25 &amp; AE25 &amp; AC25))</f>
        <v>#VALUE!</v>
      </c>
      <c r="AB25" s="208" t="str">
        <f t="shared" si="12"/>
        <v>ongoing cost</v>
      </c>
      <c r="AC25" s="166" t="e">
        <f>IF(Table6[[#This Row],[Duration (Years):]]&lt;&gt;'Master Data'!$B$8,CONCATENATE(",",CHAR(10),"for ",Table6[[#This Row],[Duration (Years):]]," years"),"lifelong")</f>
        <v>#VALUE!</v>
      </c>
      <c r="AD25" s="166" t="str">
        <f t="shared" si="13"/>
        <v>x/</v>
      </c>
      <c r="AE25" s="166">
        <f t="shared" si="14"/>
        <v>0</v>
      </c>
    </row>
    <row r="26" spans="1:31" ht="14.25" x14ac:dyDescent="0.2">
      <c r="H26" s="162"/>
      <c r="I26" s="162"/>
      <c r="AA26" s="166" t="e">
        <f>IF(L28="lifetime", "one-time cost", IF(D28='Master Data'!$B$8, AD26 &amp; AE26, AD26 &amp; AE26 &amp; AC26))</f>
        <v>#VALUE!</v>
      </c>
      <c r="AB26" s="208" t="str">
        <f t="shared" si="12"/>
        <v>ongoing cost</v>
      </c>
      <c r="AC26" s="166" t="e">
        <f>IF(Table6[[#This Row],[Duration (Years):]]&lt;&gt;'Master Data'!$B$8,CONCATENATE(",",CHAR(10),"for ",Table6[[#This Row],[Duration (Years):]]," years"),"lifelong")</f>
        <v>#VALUE!</v>
      </c>
      <c r="AD26" s="166" t="str">
        <f t="shared" si="13"/>
        <v>x/</v>
      </c>
      <c r="AE26" s="166">
        <f t="shared" si="14"/>
        <v>0</v>
      </c>
    </row>
    <row r="27" spans="1:31" ht="14.25" x14ac:dyDescent="0.2">
      <c r="H27" s="162"/>
      <c r="I27" s="162"/>
      <c r="AA27" s="166" t="e">
        <f>IF(L29="lifetime", "one-time cost", IF(D29='Master Data'!$B$8, AD27 &amp; AE27, AD27 &amp; AE27 &amp; AC27))</f>
        <v>#VALUE!</v>
      </c>
      <c r="AB27" s="208" t="str">
        <f t="shared" si="12"/>
        <v>ongoing cost</v>
      </c>
      <c r="AC27" s="166" t="e">
        <f>IF(Table6[[#This Row],[Duration (Years):]]&lt;&gt;'Master Data'!$B$8,CONCATENATE(",",CHAR(10),"for ",Table6[[#This Row],[Duration (Years):]]," years"),"lifelong")</f>
        <v>#VALUE!</v>
      </c>
      <c r="AD27" s="166" t="str">
        <f t="shared" si="13"/>
        <v>x/</v>
      </c>
      <c r="AE27" s="166">
        <f t="shared" si="14"/>
        <v>0</v>
      </c>
    </row>
    <row r="28" spans="1:31" ht="14.25" x14ac:dyDescent="0.2">
      <c r="AA28" s="166" t="e">
        <f>IF(L30="lifetime", "one-time cost", IF(D30='Master Data'!$B$8, AD28 &amp; AE28, AD28 &amp; AE28 &amp; AC28))</f>
        <v>#VALUE!</v>
      </c>
      <c r="AB28" s="208" t="str">
        <f t="shared" si="12"/>
        <v>ongoing cost</v>
      </c>
      <c r="AC28" s="166" t="e">
        <f>IF(Table6[[#This Row],[Duration (Years):]]&lt;&gt;'Master Data'!$B$8,CONCATENATE(",",CHAR(10),"for ",Table6[[#This Row],[Duration (Years):]]," years"),"lifelong")</f>
        <v>#VALUE!</v>
      </c>
      <c r="AD28" s="166" t="str">
        <f t="shared" si="13"/>
        <v>x/</v>
      </c>
      <c r="AE28" s="166">
        <f t="shared" si="14"/>
        <v>0</v>
      </c>
    </row>
    <row r="29" spans="1:31" ht="14.25" x14ac:dyDescent="0.2">
      <c r="AA29" s="166" t="e">
        <f>IF(L31="lifetime", "one-time cost", IF(D31='Master Data'!$B$8, AD29 &amp; AE29, AD29 &amp; AE29 &amp; AC29))</f>
        <v>#VALUE!</v>
      </c>
      <c r="AB29" s="208" t="str">
        <f t="shared" si="12"/>
        <v>ongoing cost</v>
      </c>
      <c r="AC29" s="166" t="e">
        <f>IF(Table6[[#This Row],[Duration (Years):]]&lt;&gt;'Master Data'!$B$8,CONCATENATE(",",CHAR(10),"for ",Table6[[#This Row],[Duration (Years):]]," years"),"lifelong")</f>
        <v>#VALUE!</v>
      </c>
      <c r="AD29" s="166" t="str">
        <f t="shared" si="13"/>
        <v>x/</v>
      </c>
      <c r="AE29" s="166">
        <f t="shared" si="14"/>
        <v>0</v>
      </c>
    </row>
    <row r="30" spans="1:31" ht="14.25" x14ac:dyDescent="0.2">
      <c r="AA30" s="166" t="e">
        <f>IF(L32="lifetime", "one-time cost", IF(D32='Master Data'!$B$8, AD30 &amp; AE30, AD30 &amp; AE30 &amp; AC30))</f>
        <v>#VALUE!</v>
      </c>
      <c r="AB30" s="208" t="str">
        <f t="shared" si="12"/>
        <v>ongoing cost</v>
      </c>
      <c r="AC30" s="166" t="e">
        <f>IF(Table6[[#This Row],[Duration (Years):]]&lt;&gt;'Master Data'!$B$8,CONCATENATE(",",CHAR(10),"for ",Table6[[#This Row],[Duration (Years):]]," years"),"lifelong")</f>
        <v>#VALUE!</v>
      </c>
      <c r="AD30" s="166" t="str">
        <f t="shared" si="13"/>
        <v>x/</v>
      </c>
      <c r="AE30" s="166">
        <f t="shared" si="14"/>
        <v>0</v>
      </c>
    </row>
    <row r="31" spans="1:31" ht="14.25" x14ac:dyDescent="0.2">
      <c r="AA31" s="166" t="e">
        <f>IF(L33="lifetime", "one-time cost", IF(D33='Master Data'!$B$8, AD31 &amp; AE31, AD31 &amp; AE31 &amp; AC31))</f>
        <v>#VALUE!</v>
      </c>
      <c r="AB31" s="208" t="str">
        <f t="shared" si="12"/>
        <v>ongoing cost</v>
      </c>
      <c r="AC31" s="166" t="e">
        <f>IF(Table6[[#This Row],[Duration (Years):]]&lt;&gt;'Master Data'!$B$8,CONCATENATE(",",CHAR(10),"for ",Table6[[#This Row],[Duration (Years):]]," years"),"lifelong")</f>
        <v>#VALUE!</v>
      </c>
      <c r="AD31" s="166" t="str">
        <f t="shared" si="13"/>
        <v>x/</v>
      </c>
      <c r="AE31" s="166">
        <f t="shared" si="14"/>
        <v>0</v>
      </c>
    </row>
    <row r="32" spans="1:31" ht="14.25" x14ac:dyDescent="0.2">
      <c r="AA32" s="166" t="e">
        <f>IF(L34="lifetime", "one-time cost", IF(D34='Master Data'!$B$8, AD32 &amp; AE32, AD32 &amp; AE32 &amp; AC32))</f>
        <v>#VALUE!</v>
      </c>
      <c r="AB32" s="208" t="str">
        <f t="shared" si="12"/>
        <v>ongoing cost</v>
      </c>
      <c r="AC32" s="166" t="e">
        <f>IF(Table6[[#This Row],[Duration (Years):]]&lt;&gt;'Master Data'!$B$8,CONCATENATE(",",CHAR(10),"for ",Table6[[#This Row],[Duration (Years):]]," years"),"lifelong")</f>
        <v>#VALUE!</v>
      </c>
      <c r="AD32" s="166" t="str">
        <f t="shared" si="13"/>
        <v>x/</v>
      </c>
      <c r="AE32" s="166">
        <f t="shared" si="14"/>
        <v>0</v>
      </c>
    </row>
    <row r="33" spans="27:31" ht="14.25" x14ac:dyDescent="0.2">
      <c r="AA33" s="166" t="e">
        <f>IF(L35="lifetime", "one-time cost", IF(D35='Master Data'!$B$8, AD33 &amp; AE33, AD33 &amp; AE33 &amp; AC33))</f>
        <v>#VALUE!</v>
      </c>
      <c r="AB33" s="208" t="str">
        <f t="shared" si="12"/>
        <v>ongoing cost</v>
      </c>
      <c r="AC33" s="166" t="e">
        <f>IF(Table6[[#This Row],[Duration (Years):]]&lt;&gt;'Master Data'!$B$8,CONCATENATE(",",CHAR(10),"for ",Table6[[#This Row],[Duration (Years):]]," years"),"lifelong")</f>
        <v>#VALUE!</v>
      </c>
      <c r="AD33" s="166" t="str">
        <f t="shared" si="13"/>
        <v>x/</v>
      </c>
      <c r="AE33" s="166">
        <f t="shared" si="14"/>
        <v>0</v>
      </c>
    </row>
    <row r="34" spans="27:31" ht="14.25" x14ac:dyDescent="0.2">
      <c r="AA34" s="166" t="e">
        <f>IF(L36="lifetime", "one-time cost", IF(D36='Master Data'!$B$8, AD34 &amp; AE34, AD34 &amp; AE34 &amp; AC34))</f>
        <v>#VALUE!</v>
      </c>
      <c r="AB34" s="208" t="str">
        <f t="shared" si="12"/>
        <v>ongoing cost</v>
      </c>
      <c r="AC34" s="166" t="e">
        <f>IF(Table6[[#This Row],[Duration (Years):]]&lt;&gt;'Master Data'!$B$8,CONCATENATE(",",CHAR(10),"for ",Table6[[#This Row],[Duration (Years):]]," years"),"lifelong")</f>
        <v>#VALUE!</v>
      </c>
      <c r="AD34" s="166" t="str">
        <f t="shared" si="13"/>
        <v>x/</v>
      </c>
      <c r="AE34" s="166">
        <f t="shared" si="14"/>
        <v>0</v>
      </c>
    </row>
    <row r="35" spans="27:31" ht="14.25" x14ac:dyDescent="0.2">
      <c r="AA35" s="166" t="e">
        <f>IF(L37="lifetime", "one-time cost", IF(D37='Master Data'!$B$8, AD35 &amp; AE35, AD35 &amp; AE35 &amp; AC35))</f>
        <v>#VALUE!</v>
      </c>
      <c r="AB35" s="208" t="str">
        <f t="shared" si="12"/>
        <v>ongoing cost</v>
      </c>
      <c r="AC35" s="166" t="e">
        <f>IF(Table6[[#This Row],[Duration (Years):]]&lt;&gt;'Master Data'!$B$8,CONCATENATE(",",CHAR(10),"for ",Table6[[#This Row],[Duration (Years):]]," years"),"lifelong")</f>
        <v>#VALUE!</v>
      </c>
      <c r="AD35" s="166" t="str">
        <f t="shared" si="13"/>
        <v>x/</v>
      </c>
      <c r="AE35" s="166">
        <f t="shared" si="14"/>
        <v>0</v>
      </c>
    </row>
    <row r="36" spans="27:31" ht="14.25" x14ac:dyDescent="0.2">
      <c r="AA36" s="166" t="e">
        <f>IF(L38="lifetime", "one-time cost", IF(D38='Master Data'!$B$8, AD36 &amp; AE36, AD36 &amp; AE36 &amp; AC36))</f>
        <v>#VALUE!</v>
      </c>
      <c r="AB36" s="208" t="str">
        <f t="shared" si="12"/>
        <v>ongoing cost</v>
      </c>
      <c r="AC36" s="166" t="e">
        <f>IF(Table6[[#This Row],[Duration (Years):]]&lt;&gt;'Master Data'!$B$8,CONCATENATE(",",CHAR(10),"for ",Table6[[#This Row],[Duration (Years):]]," years"),"lifelong")</f>
        <v>#VALUE!</v>
      </c>
      <c r="AD36" s="166" t="str">
        <f t="shared" si="13"/>
        <v>x/</v>
      </c>
      <c r="AE36" s="166">
        <f t="shared" si="14"/>
        <v>0</v>
      </c>
    </row>
    <row r="37" spans="27:31" ht="14.25" x14ac:dyDescent="0.2">
      <c r="AA37" s="166" t="e">
        <f>IF(L39="lifetime", "one-time cost", IF(D39='Master Data'!$B$8, AD37 &amp; AE37, AD37 &amp; AE37 &amp; AC37))</f>
        <v>#VALUE!</v>
      </c>
      <c r="AB37" s="208" t="str">
        <f t="shared" si="12"/>
        <v>ongoing cost</v>
      </c>
      <c r="AC37" s="166" t="e">
        <f>IF(Table6[[#This Row],[Duration (Years):]]&lt;&gt;'Master Data'!$B$8,CONCATENATE(",",CHAR(10),"for ",Table6[[#This Row],[Duration (Years):]]," years"),"lifelong")</f>
        <v>#VALUE!</v>
      </c>
      <c r="AD37" s="166" t="str">
        <f t="shared" si="13"/>
        <v>x/</v>
      </c>
      <c r="AE37" s="166">
        <f t="shared" si="14"/>
        <v>0</v>
      </c>
    </row>
    <row r="38" spans="27:31" ht="14.25" x14ac:dyDescent="0.2">
      <c r="AA38" s="166" t="e">
        <f>IF(L40="lifetime", "one-time cost", IF(D40='Master Data'!$B$8, AD38 &amp; AE38, AD38 &amp; AE38 &amp; AC38))</f>
        <v>#VALUE!</v>
      </c>
      <c r="AB38" s="208" t="str">
        <f t="shared" si="12"/>
        <v>ongoing cost</v>
      </c>
      <c r="AC38" s="166" t="e">
        <f>IF(Table6[[#This Row],[Duration (Years):]]&lt;&gt;'Master Data'!$B$8,CONCATENATE(",",CHAR(10),"for ",Table6[[#This Row],[Duration (Years):]]," years"),"lifelong")</f>
        <v>#VALUE!</v>
      </c>
      <c r="AD38" s="166" t="str">
        <f t="shared" si="13"/>
        <v>x/</v>
      </c>
      <c r="AE38" s="166">
        <f t="shared" si="14"/>
        <v>0</v>
      </c>
    </row>
    <row r="39" spans="27:31" ht="14.25" x14ac:dyDescent="0.2">
      <c r="AA39" s="166" t="e">
        <f>IF(L41="lifetime", "one-time cost", IF(D41='Master Data'!$B$8, AD39 &amp; AE39, AD39 &amp; AE39 &amp; AC39))</f>
        <v>#VALUE!</v>
      </c>
      <c r="AB39" s="208" t="str">
        <f t="shared" si="12"/>
        <v>ongoing cost</v>
      </c>
      <c r="AC39" s="166" t="e">
        <f>IF(Table6[[#This Row],[Duration (Years):]]&lt;&gt;'Master Data'!$B$8,CONCATENATE(",",CHAR(10),"for ",Table6[[#This Row],[Duration (Years):]]," years"),"lifelong")</f>
        <v>#VALUE!</v>
      </c>
      <c r="AD39" s="166" t="str">
        <f t="shared" si="13"/>
        <v>x/</v>
      </c>
      <c r="AE39" s="166">
        <f t="shared" si="14"/>
        <v>0</v>
      </c>
    </row>
  </sheetData>
  <sortState xmlns:xlrd2="http://schemas.microsoft.com/office/spreadsheetml/2017/richdata2" ref="A3:S4">
    <sortCondition ref="D3"/>
    <sortCondition ref="A3"/>
  </sortState>
  <mergeCells count="3">
    <mergeCell ref="A16:M16"/>
    <mergeCell ref="A1:S1"/>
    <mergeCell ref="V3:W3"/>
  </mergeCells>
  <dataValidations count="2">
    <dataValidation allowBlank="1" showInputMessage="1" showErrorMessage="1" prompt="Cost per unit._x000a__x000a_This column holds the low end of the range." sqref="E3" xr:uid="{0E07F7EA-E2CD-4D71-8082-21F1810B2052}"/>
    <dataValidation allowBlank="1" showInputMessage="1" showErrorMessage="1" prompt="Cost per unit._x000a__x000a_This column holds the high end of the range." sqref="F3" xr:uid="{2314293B-E8A1-4478-9995-62E954BDCC2D}"/>
  </dataValidations>
  <hyperlinks>
    <hyperlink ref="V3" location="Procedure1!A1" display="Link to copy/paste table here" xr:uid="{00F8CD2B-0B87-4DE1-A339-7BA0DEA1CDDF}"/>
    <hyperlink ref="V3:W3" location="Procedure2!A1" display="Link to copy/paste table here" xr:uid="{B2B7E3D1-52EA-4E4B-9D98-89644C5E2B7E}"/>
  </hyperlinks>
  <pageMargins left="0.25" right="0.25" top="0.75" bottom="0.75" header="0.3" footer="0.3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52"/>
  <sheetViews>
    <sheetView workbookViewId="0">
      <selection sqref="A1:S1"/>
    </sheetView>
  </sheetViews>
  <sheetFormatPr defaultColWidth="9.140625" defaultRowHeight="12.75" x14ac:dyDescent="0.2"/>
  <cols>
    <col min="1" max="1" width="19.7109375" style="157" customWidth="1"/>
    <col min="2" max="3" width="9.7109375" style="11" hidden="1" customWidth="1"/>
    <col min="4" max="4" width="13.42578125" style="158" customWidth="1"/>
    <col min="5" max="6" width="13.28515625" style="159" customWidth="1"/>
    <col min="7" max="7" width="15.7109375" style="160" hidden="1" customWidth="1"/>
    <col min="8" max="11" width="8.7109375" style="161" customWidth="1"/>
    <col min="12" max="12" width="10.85546875" style="157" customWidth="1"/>
    <col min="13" max="13" width="17.7109375" style="14" customWidth="1"/>
    <col min="14" max="15" width="12.28515625" style="9" hidden="1" customWidth="1"/>
    <col min="16" max="16" width="14.7109375" style="15" customWidth="1"/>
    <col min="17" max="18" width="12.28515625" style="9" hidden="1" customWidth="1"/>
    <col min="19" max="19" width="14.7109375" style="15" customWidth="1"/>
    <col min="20" max="20" width="9.140625" style="155"/>
    <col min="21" max="21" width="9.140625" style="8" hidden="1" customWidth="1"/>
    <col min="22" max="26" width="9.140625" style="155"/>
    <col min="27" max="31" width="9.140625" style="155" hidden="1" customWidth="1"/>
    <col min="32" max="16384" width="9.140625" style="155"/>
  </cols>
  <sheetData>
    <row r="1" spans="1:31" ht="30" customHeight="1" thickTop="1" x14ac:dyDescent="0.2">
      <c r="A1" s="337" t="s">
        <v>114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9"/>
    </row>
    <row r="2" spans="1:31" s="148" customFormat="1" ht="57.75" thickBot="1" x14ac:dyDescent="0.3">
      <c r="A2" s="149" t="s">
        <v>33</v>
      </c>
      <c r="B2" s="106" t="s">
        <v>15</v>
      </c>
      <c r="C2" s="106" t="s">
        <v>16</v>
      </c>
      <c r="D2" s="150" t="s">
        <v>17</v>
      </c>
      <c r="E2" s="151" t="s">
        <v>18</v>
      </c>
      <c r="F2" s="151" t="s">
        <v>19</v>
      </c>
      <c r="G2" s="151" t="s">
        <v>29</v>
      </c>
      <c r="H2" s="152" t="s">
        <v>20</v>
      </c>
      <c r="I2" s="152" t="s">
        <v>21</v>
      </c>
      <c r="J2" s="152" t="s">
        <v>22</v>
      </c>
      <c r="K2" s="152" t="s">
        <v>23</v>
      </c>
      <c r="L2" s="153" t="s">
        <v>24</v>
      </c>
      <c r="M2" s="109" t="s">
        <v>30</v>
      </c>
      <c r="N2" s="107" t="s">
        <v>25</v>
      </c>
      <c r="O2" s="107" t="s">
        <v>26</v>
      </c>
      <c r="P2" s="109" t="s">
        <v>31</v>
      </c>
      <c r="Q2" s="107" t="s">
        <v>27</v>
      </c>
      <c r="R2" s="107" t="s">
        <v>28</v>
      </c>
      <c r="S2" s="110" t="s">
        <v>34</v>
      </c>
      <c r="U2" s="7" t="s">
        <v>48</v>
      </c>
      <c r="AA2" s="207" t="s">
        <v>148</v>
      </c>
      <c r="AB2" s="207" t="s">
        <v>144</v>
      </c>
      <c r="AC2" s="207" t="s">
        <v>145</v>
      </c>
      <c r="AD2" s="207" t="s">
        <v>146</v>
      </c>
      <c r="AE2" s="207" t="s">
        <v>147</v>
      </c>
    </row>
    <row r="3" spans="1:31" ht="40.15" customHeight="1" thickTop="1" x14ac:dyDescent="0.25">
      <c r="A3" s="132"/>
      <c r="B3" s="35">
        <f ca="1">'Master Data'!$B$6</f>
        <v>126.3</v>
      </c>
      <c r="C3" s="35">
        <f ca="1">'Master Data'!$B$7</f>
        <v>136.30000000000001</v>
      </c>
      <c r="D3" s="127">
        <f ca="1">ROUND(C3-B3,1)</f>
        <v>10</v>
      </c>
      <c r="E3" s="128" cm="1">
        <f t="array" ref="E3">IF(
  $A3="Single Lung Transplant",
  _xlfn.XLOOKUP(1,'Cost Data Sheet'!$A$2:$A$1006,'Cost Data Sheet'!$F$2:$F$1006),
  IF(
    $A3="Double Lung Transplant",
    _xlfn.XLOOKUP(2,'Cost Data Sheet'!$A$2:$A$1006,'Cost Data Sheet'!$F$2:$F$1006),
    SUMPRODUCT(
      ('Service to CPT Map'!$A$2:$A$1017=$A3) *
      ('Service to CPT Map'!$B$2:$B$1017="Low") *
      _xlfn.XLOOKUP(
        'Service to CPT Map'!$C$2:$C$1017,
        'Cost Data Sheet'!$A$2:$A$1006,
        'Cost Data Sheet'!$B$2:$B$1006,
        0
      )
    )
  )
)</f>
        <v>0</v>
      </c>
      <c r="F3" s="128" cm="1">
        <f t="array" ref="F3">IF(
  OR($A3="Single Lung Transplant",$A3="Double Lung Transplant"),
  E3,
  SUMPRODUCT(
    ('Service to CPT Map'!$A$2:$A$1017=$A3)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Map'!$A$2:$A$1017=$A3)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Map'!$A$2:$A$1017=$A3)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3" s="144" t="str">
        <f t="shared" ref="G3:G12" si="0">IF(E3&lt;F3,CONCATENATE(TEXT(E3,"$#,##0.00"),CHAR(10)," - ",CHAR(10),TEXT(F3,"$#,##0.00")),TEXT(E3,"$#,##0.00"))</f>
        <v>$0.00</v>
      </c>
      <c r="H3" s="133"/>
      <c r="I3" s="133"/>
      <c r="J3" s="133"/>
      <c r="K3" s="133"/>
      <c r="L3" s="139" t="str">
        <f t="shared" ref="L3:L12" si="1">IF(LEN(K3)=0,IF(LEN(J3)=0,"lifetime",IF(J3=1,"year","years")),"years")</f>
        <v>lifetime</v>
      </c>
      <c r="M3" s="39" t="str">
        <f>IF(L3="lifetime",
    IF(I3&lt;&gt;"", H3 &amp; "-" &amp; I3 &amp; "x/lifetime", H3 &amp; "x/lifetime"),
    IF(D3='Master Data'!$B$8, AD3 &amp; AE3, AD3 &amp; AE3 &amp; AC3))</f>
        <v>x/lifetime</v>
      </c>
      <c r="N3" s="36">
        <f t="shared" ref="N3:N12" si="2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3" s="36">
        <f t="shared" ref="O3:O12" si="3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3" s="49" t="str">
        <f t="shared" ref="P3:P12" si="4">IF(N3&lt;O3,CONCATENATE(TEXT(N3,"$#,##0.00"),CHAR(10)," - ",CHAR(10),TEXT(O3,"$#,##0.00")),TEXT(N3,"$0.00"))</f>
        <v>$0.00</v>
      </c>
      <c r="Q3" s="36">
        <f t="shared" ref="Q3:Q12" si="5">ROUND(IF(TimeValue="lifetime",MinCost*MinFreq,0),2)</f>
        <v>0</v>
      </c>
      <c r="R3" s="36">
        <f t="shared" ref="R3:R12" si="6">ROUND(IF(AND(TimeValue="lifetime",MaxFreq&lt;1),MinFreq*MaxCost,IF(AND(TimeValue="lifetime",MaxFreq&gt;=1),MaxFreq*MaxCost,0)),2)</f>
        <v>0</v>
      </c>
      <c r="S3" s="50" t="str">
        <f t="shared" ref="S3:S12" si="7">IF(Q3&lt;R3,CONCATENATE(TEXT(Q3,"$#,##0.00"),CHAR(10)," - ",CHAR(10),TEXT(R3,"$#,##0.00")),TEXT(Q3,"$0.00"))</f>
        <v>$0.00</v>
      </c>
      <c r="U3" s="8" t="str">
        <f t="array" aca="1" ref="U3" ca="1">IF(AND(ROUND(Table9[Duration (Years):],1)='Master Data'!$B$8),"same","different")</f>
        <v>same</v>
      </c>
      <c r="V3" s="330" t="s">
        <v>133</v>
      </c>
      <c r="W3" s="330"/>
      <c r="AA3" s="166" t="str">
        <f>IF(L3="lifetime", "one-time cost", IF(D3='Master Data'!$B$8, AD3 &amp; AE3, AD3 &amp; AE3 &amp; AC3))</f>
        <v>one-time cost</v>
      </c>
      <c r="AB3" s="208" t="str">
        <f>IF(L3="lifetime", IF(I3&lt;&gt;"", H3 &amp; "-" &amp; I3 &amp; "x/lifetime", H3 &amp; "x/lifetime"), "ongoing cost")</f>
        <v>x/lifetime</v>
      </c>
      <c r="AC3" s="166" t="str">
        <f ca="1">IF(Table9[[#This Row],[Duration (Years):]]&lt;&gt;'Master Data'!$B$8,CONCATENATE(",",CHAR(10),"for ",Table9[[#This Row],[Duration (Years):]]," years"),"lifelong")</f>
        <v>lifelong</v>
      </c>
      <c r="AD3" s="166" t="str">
        <f>IF(L3="lifetime", "one-time cost", IF(I3&lt;&gt;"", H3 &amp; "-" &amp; I3 &amp; "x/", H3 &amp; "x/"))</f>
        <v>one-time cost</v>
      </c>
      <c r="AE3" s="166" t="str">
        <f>IF(L3="lifetime", "one-time cost", IF(K3&lt;&gt;"", J3 &amp; "-" &amp; K3 &amp; " " &amp; L3, IF(J3&gt;1, J3 &amp; " " &amp; L3, L3)))</f>
        <v>one-time cost</v>
      </c>
    </row>
    <row r="4" spans="1:31" ht="40.15" customHeight="1" x14ac:dyDescent="0.2">
      <c r="A4" s="135"/>
      <c r="B4" s="29">
        <f ca="1">'Master Data'!$B$6</f>
        <v>126.3</v>
      </c>
      <c r="C4" s="29">
        <f ca="1">'Master Data'!$B$7</f>
        <v>136.30000000000001</v>
      </c>
      <c r="D4" s="129">
        <f ca="1">ROUND(C4-B4,1)</f>
        <v>10</v>
      </c>
      <c r="E4" s="130" cm="1">
        <f t="array" ref="E4">IF(
  $A4="Single Lung Transplant",
  _xlfn.XLOOKUP(1,'Cost Data Sheet'!$A$2:$A$1006,'Cost Data Sheet'!$F$2:$F$1006),
  IF(
    $A4="Double Lung Transplant",
    _xlfn.XLOOKUP(2,'Cost Data Sheet'!$A$2:$A$1006,'Cost Data Sheet'!$F$2:$F$1006),
    SUMPRODUCT(
      ('Service to CPT Map'!$A$2:$A$1017=$A4) *
      ('Service to CPT Map'!$B$2:$B$1017="Low") *
      _xlfn.XLOOKUP(
        'Service to CPT Map'!$C$2:$C$1017,
        'Cost Data Sheet'!$A$2:$A$1006,
        'Cost Data Sheet'!$B$2:$B$1006,
        0
      )
    )
  )
)</f>
        <v>0</v>
      </c>
      <c r="F4" s="130" cm="1">
        <f t="array" ref="F4">IF(
  OR($A4="Single Lung Transplant",$A4="Double Lung Transplant"),
  E4,
  SUMPRODUCT(
    ('Service to CPT Map'!$A$2:$A$1017=$A4)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Map'!$A$2:$A$1017=$A4)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Map'!$A$2:$A$1017=$A4)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4" s="145" t="str">
        <f t="shared" si="0"/>
        <v>$0.00</v>
      </c>
      <c r="H4" s="136"/>
      <c r="I4" s="136"/>
      <c r="J4" s="136"/>
      <c r="K4" s="136"/>
      <c r="L4" s="139" t="str">
        <f t="shared" si="1"/>
        <v>lifetime</v>
      </c>
      <c r="M4" s="33" t="str">
        <f>IF(L4="lifetime",
    IF(I4&lt;&gt;"", H4 &amp; "-" &amp; I4 &amp; "x/lifetime", H4 &amp; "x/lifetime"),
    IF(D4='Master Data'!$B$8, AD4 &amp; AE4, AD4 &amp; AE4 &amp; AC4))</f>
        <v>x/lifetime</v>
      </c>
      <c r="N4" s="30">
        <f t="shared" si="2"/>
        <v>0</v>
      </c>
      <c r="O4" s="30">
        <f t="shared" si="3"/>
        <v>0</v>
      </c>
      <c r="P4" s="52" t="str">
        <f t="shared" si="4"/>
        <v>$0.00</v>
      </c>
      <c r="Q4" s="30">
        <f t="shared" si="5"/>
        <v>0</v>
      </c>
      <c r="R4" s="30">
        <f t="shared" si="6"/>
        <v>0</v>
      </c>
      <c r="S4" s="53" t="str">
        <f t="shared" si="7"/>
        <v>$0.00</v>
      </c>
      <c r="AA4" s="166" t="str">
        <f>IF(L4="lifetime", "one-time cost", IF(D4='Master Data'!$B$8, AD4 &amp; AE4, AD4 &amp; AE4 &amp; AC4))</f>
        <v>one-time cost</v>
      </c>
      <c r="AB4" s="208" t="str">
        <f t="shared" ref="AB4:AB12" si="8">IF(L4="lifetime", IF(I4&lt;&gt;"", H4 &amp; "-" &amp; I4 &amp; "x/lifetime", H4 &amp; "x/lifetime"), "ongoing cost")</f>
        <v>x/lifetime</v>
      </c>
      <c r="AC4" s="166" t="str">
        <f ca="1">IF(Table9[[#This Row],[Duration (Years):]]&lt;&gt;'Master Data'!$B$8,CONCATENATE(",",CHAR(10),"for ",Table9[[#This Row],[Duration (Years):]]," years"),"lifelong")</f>
        <v>lifelong</v>
      </c>
      <c r="AD4" s="166" t="str">
        <f t="shared" ref="AD4:AD12" si="9">IF(L4="lifetime", "one-time cost", IF(I4&lt;&gt;"", H4 &amp; "-" &amp; I4 &amp; "x/", H4 &amp; "x/"))</f>
        <v>one-time cost</v>
      </c>
      <c r="AE4" s="166" t="str">
        <f t="shared" ref="AE4:AE12" si="10">IF(L4="lifetime", "one-time cost", IF(K4&lt;&gt;"", J4 &amp; "-" &amp; K4 &amp; " " &amp; L4, IF(J4&gt;1, J4 &amp; " " &amp; L4, L4)))</f>
        <v>one-time cost</v>
      </c>
    </row>
    <row r="5" spans="1:31" ht="40.15" customHeight="1" x14ac:dyDescent="0.2">
      <c r="A5" s="137"/>
      <c r="B5" s="41">
        <f ca="1">'Master Data'!$B$6</f>
        <v>126.3</v>
      </c>
      <c r="C5" s="41">
        <f ca="1">'Master Data'!$B$7</f>
        <v>136.30000000000001</v>
      </c>
      <c r="D5" s="129">
        <f ca="1">ROUND(C5-B5,1)</f>
        <v>10</v>
      </c>
      <c r="E5" s="140" cm="1">
        <f t="array" ref="E5">IF(
  $A5="Single Lung Transplant",
  _xlfn.XLOOKUP(1,'Cost Data Sheet'!$A$2:$A$1006,'Cost Data Sheet'!$F$2:$F$1006),
  IF(
    $A5="Double Lung Transplant",
    _xlfn.XLOOKUP(2,'Cost Data Sheet'!$A$2:$A$1006,'Cost Data Sheet'!$F$2:$F$1006),
    SUMPRODUCT(
      ('Service to CPT Map'!$A$2:$A$1017=$A5) *
      ('Service to CPT Map'!$B$2:$B$1017="Low") *
      _xlfn.XLOOKUP(
        'Service to CPT Map'!$C$2:$C$1017,
        'Cost Data Sheet'!$A$2:$A$1006,
        'Cost Data Sheet'!$B$2:$B$1006,
        0
      )
    )
  )
)</f>
        <v>0</v>
      </c>
      <c r="F5" s="140" cm="1">
        <f t="array" ref="F5">IF(
  OR($A5="Single Lung Transplant",$A5="Double Lung Transplant"),
  E5,
  SUMPRODUCT(
    ('Service to CPT Map'!$A$2:$A$1017=$A5)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Map'!$A$2:$A$1017=$A5)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Map'!$A$2:$A$1017=$A5)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5" s="147" t="str">
        <f t="shared" si="0"/>
        <v>$0.00</v>
      </c>
      <c r="H5" s="141"/>
      <c r="I5" s="141"/>
      <c r="J5" s="141"/>
      <c r="K5" s="141"/>
      <c r="L5" s="142" t="str">
        <f t="shared" si="1"/>
        <v>lifetime</v>
      </c>
      <c r="M5" s="45" t="str">
        <f>IF(L5="lifetime",
    IF(I5&lt;&gt;"", H5 &amp; "-" &amp; I5 &amp; "x/lifetime", H5 &amp; "x/lifetime"),
    IF(D5='Master Data'!$B$8, AD5 &amp; AE5, AD5 &amp; AE5 &amp; AC5))</f>
        <v>x/lifetime</v>
      </c>
      <c r="N5" s="42">
        <f t="shared" si="2"/>
        <v>0</v>
      </c>
      <c r="O5" s="42">
        <f t="shared" si="3"/>
        <v>0</v>
      </c>
      <c r="P5" s="65" t="str">
        <f t="shared" si="4"/>
        <v>$0.00</v>
      </c>
      <c r="Q5" s="42">
        <f t="shared" si="5"/>
        <v>0</v>
      </c>
      <c r="R5" s="42">
        <f t="shared" si="6"/>
        <v>0</v>
      </c>
      <c r="S5" s="66" t="str">
        <f t="shared" si="7"/>
        <v>$0.00</v>
      </c>
      <c r="AA5" s="166" t="str">
        <f>IF(L5="lifetime", "one-time cost", IF(D5='Master Data'!$B$8, AD5 &amp; AE5, AD5 &amp; AE5 &amp; AC5))</f>
        <v>one-time cost</v>
      </c>
      <c r="AB5" s="208" t="str">
        <f t="shared" si="8"/>
        <v>x/lifetime</v>
      </c>
      <c r="AC5" s="166" t="str">
        <f ca="1">IF(Table9[[#This Row],[Duration (Years):]]&lt;&gt;'Master Data'!$B$8,CONCATENATE(",",CHAR(10),"for ",Table9[[#This Row],[Duration (Years):]]," years"),"lifelong")</f>
        <v>lifelong</v>
      </c>
      <c r="AD5" s="166" t="str">
        <f t="shared" si="9"/>
        <v>one-time cost</v>
      </c>
      <c r="AE5" s="166" t="str">
        <f t="shared" si="10"/>
        <v>one-time cost</v>
      </c>
    </row>
    <row r="6" spans="1:31" ht="40.15" customHeight="1" x14ac:dyDescent="0.2">
      <c r="A6" s="137"/>
      <c r="B6" s="82">
        <f ca="1">'Master Data'!$B$6</f>
        <v>126.3</v>
      </c>
      <c r="C6" s="82">
        <f ca="1">'Master Data'!$B$7</f>
        <v>136.30000000000001</v>
      </c>
      <c r="D6" s="143">
        <f t="shared" ref="D6:D12" ca="1" si="11">ROUND(C6-B6,1)</f>
        <v>10</v>
      </c>
      <c r="E6" s="131" cm="1">
        <f t="array" ref="E6">IF(
  $A6="Single Lung Transplant",
  _xlfn.XLOOKUP(1,'Cost Data Sheet'!$A$2:$A$1006,'Cost Data Sheet'!$F$2:$F$1006),
  IF(
    $A6="Double Lung Transplant",
    _xlfn.XLOOKUP(2,'Cost Data Sheet'!$A$2:$A$1006,'Cost Data Sheet'!$F$2:$F$1006),
    SUMPRODUCT(
      ('Service to CPT Map'!$A$2:$A$1017=$A6) *
      ('Service to CPT Map'!$B$2:$B$1017="Low") *
      _xlfn.XLOOKUP(
        'Service to CPT Map'!$C$2:$C$1017,
        'Cost Data Sheet'!$A$2:$A$1006,
        'Cost Data Sheet'!$B$2:$B$1006,
        0
      )
    )
  )
)</f>
        <v>0</v>
      </c>
      <c r="F6" s="131" cm="1">
        <f t="array" ref="F6">IF(
  OR($A6="Single Lung Transplant",$A6="Double Lung Transplant"),
  E6,
  SUMPRODUCT(
    ('Service to CPT Map'!$A$2:$A$1017=$A6)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Map'!$A$2:$A$1017=$A6)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Map'!$A$2:$A$1017=$A6)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6" s="146" t="str">
        <f t="shared" si="0"/>
        <v>$0.00</v>
      </c>
      <c r="H6" s="138"/>
      <c r="I6" s="138"/>
      <c r="J6" s="138"/>
      <c r="K6" s="138"/>
      <c r="L6" s="134" t="str">
        <f t="shared" si="1"/>
        <v>lifetime</v>
      </c>
      <c r="M6" s="86" t="str">
        <f>IF(L6="lifetime",
    IF(I6&lt;&gt;"", H6 &amp; "-" &amp; I6 &amp; "x/lifetime", H6 &amp; "x/lifetime"),
    IF(D6='Master Data'!$B$8, AD6 &amp; AE6, AD6 &amp; AE6 &amp; AC6))</f>
        <v>x/lifetime</v>
      </c>
      <c r="N6" s="83">
        <f t="shared" si="2"/>
        <v>0</v>
      </c>
      <c r="O6" s="83">
        <f t="shared" si="3"/>
        <v>0</v>
      </c>
      <c r="P6" s="87" t="str">
        <f t="shared" si="4"/>
        <v>$0.00</v>
      </c>
      <c r="Q6" s="83">
        <f t="shared" si="5"/>
        <v>0</v>
      </c>
      <c r="R6" s="83">
        <f t="shared" si="6"/>
        <v>0</v>
      </c>
      <c r="S6" s="88" t="str">
        <f t="shared" si="7"/>
        <v>$0.00</v>
      </c>
      <c r="AA6" s="166" t="str">
        <f>IF(L6="lifetime", "one-time cost", IF(D6='Master Data'!$B$8, AD6 &amp; AE6, AD6 &amp; AE6 &amp; AC6))</f>
        <v>one-time cost</v>
      </c>
      <c r="AB6" s="208" t="str">
        <f t="shared" si="8"/>
        <v>x/lifetime</v>
      </c>
      <c r="AC6" s="166" t="str">
        <f ca="1">IF(Table9[[#This Row],[Duration (Years):]]&lt;&gt;'Master Data'!$B$8,CONCATENATE(",",CHAR(10),"for ",Table9[[#This Row],[Duration (Years):]]," years"),"lifelong")</f>
        <v>lifelong</v>
      </c>
      <c r="AD6" s="166" t="str">
        <f t="shared" si="9"/>
        <v>one-time cost</v>
      </c>
      <c r="AE6" s="166" t="str">
        <f t="shared" si="10"/>
        <v>one-time cost</v>
      </c>
    </row>
    <row r="7" spans="1:31" ht="40.15" customHeight="1" x14ac:dyDescent="0.2">
      <c r="A7" s="137"/>
      <c r="B7" s="82">
        <f ca="1">'Master Data'!$B$6</f>
        <v>126.3</v>
      </c>
      <c r="C7" s="82">
        <f ca="1">'Master Data'!$B$7</f>
        <v>136.30000000000001</v>
      </c>
      <c r="D7" s="143">
        <f t="shared" ca="1" si="11"/>
        <v>10</v>
      </c>
      <c r="E7" s="131" cm="1">
        <f t="array" ref="E7">IF(
  $A7="Single Lung Transplant",
  _xlfn.XLOOKUP(1,'Cost Data Sheet'!$A$2:$A$1006,'Cost Data Sheet'!$F$2:$F$1006),
  IF(
    $A7="Double Lung Transplant",
    _xlfn.XLOOKUP(2,'Cost Data Sheet'!$A$2:$A$1006,'Cost Data Sheet'!$F$2:$F$1006),
    SUMPRODUCT(
      ('Service to CPT Map'!$A$2:$A$1017=$A7) *
      ('Service to CPT Map'!$B$2:$B$1017="Low") *
      _xlfn.XLOOKUP(
        'Service to CPT Map'!$C$2:$C$1017,
        'Cost Data Sheet'!$A$2:$A$1006,
        'Cost Data Sheet'!$B$2:$B$1006,
        0
      )
    )
  )
)</f>
        <v>0</v>
      </c>
      <c r="F7" s="131" cm="1">
        <f t="array" ref="F7">IF(
  OR($A7="Single Lung Transplant",$A7="Double Lung Transplant"),
  E7,
  SUMPRODUCT(
    ('Service to CPT Map'!$A$2:$A$1017=$A7)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Map'!$A$2:$A$1017=$A7)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Map'!$A$2:$A$1017=$A7)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7" s="146" t="str">
        <f t="shared" si="0"/>
        <v>$0.00</v>
      </c>
      <c r="H7" s="138"/>
      <c r="I7" s="138"/>
      <c r="J7" s="138"/>
      <c r="K7" s="138"/>
      <c r="L7" s="134" t="str">
        <f t="shared" si="1"/>
        <v>lifetime</v>
      </c>
      <c r="M7" s="86" t="str">
        <f>IF(L7="lifetime",
    IF(I7&lt;&gt;"", H7 &amp; "-" &amp; I7 &amp; "x/lifetime", H7 &amp; "x/lifetime"),
    IF(D7='Master Data'!$B$8, AD7 &amp; AE7, AD7 &amp; AE7 &amp; AC7))</f>
        <v>x/lifetime</v>
      </c>
      <c r="N7" s="83">
        <f t="shared" si="2"/>
        <v>0</v>
      </c>
      <c r="O7" s="83">
        <f t="shared" si="3"/>
        <v>0</v>
      </c>
      <c r="P7" s="87" t="str">
        <f t="shared" si="4"/>
        <v>$0.00</v>
      </c>
      <c r="Q7" s="83">
        <f t="shared" si="5"/>
        <v>0</v>
      </c>
      <c r="R7" s="83">
        <f t="shared" si="6"/>
        <v>0</v>
      </c>
      <c r="S7" s="88" t="str">
        <f t="shared" si="7"/>
        <v>$0.00</v>
      </c>
      <c r="AA7" s="166" t="str">
        <f>IF(L7="lifetime", "one-time cost", IF(D7='Master Data'!$B$8, AD7 &amp; AE7, AD7 &amp; AE7 &amp; AC7))</f>
        <v>one-time cost</v>
      </c>
      <c r="AB7" s="208" t="str">
        <f t="shared" si="8"/>
        <v>x/lifetime</v>
      </c>
      <c r="AC7" s="166" t="str">
        <f ca="1">IF(Table9[[#This Row],[Duration (Years):]]&lt;&gt;'Master Data'!$B$8,CONCATENATE(",",CHAR(10),"for ",Table9[[#This Row],[Duration (Years):]]," years"),"lifelong")</f>
        <v>lifelong</v>
      </c>
      <c r="AD7" s="166" t="str">
        <f t="shared" si="9"/>
        <v>one-time cost</v>
      </c>
      <c r="AE7" s="166" t="str">
        <f t="shared" si="10"/>
        <v>one-time cost</v>
      </c>
    </row>
    <row r="8" spans="1:31" ht="40.15" customHeight="1" x14ac:dyDescent="0.2">
      <c r="A8" s="137"/>
      <c r="B8" s="82">
        <f ca="1">'Master Data'!$B$6</f>
        <v>126.3</v>
      </c>
      <c r="C8" s="82">
        <f ca="1">'Master Data'!$B$7</f>
        <v>136.30000000000001</v>
      </c>
      <c r="D8" s="143">
        <f t="shared" ca="1" si="11"/>
        <v>10</v>
      </c>
      <c r="E8" s="131" cm="1">
        <f t="array" ref="E8">IF(
  $A8="Single Lung Transplant",
  _xlfn.XLOOKUP(1,'Cost Data Sheet'!$A$2:$A$1006,'Cost Data Sheet'!$F$2:$F$1006),
  IF(
    $A8="Double Lung Transplant",
    _xlfn.XLOOKUP(2,'Cost Data Sheet'!$A$2:$A$1006,'Cost Data Sheet'!$F$2:$F$1006),
    SUMPRODUCT(
      ('Service to CPT Map'!$A$2:$A$1017=$A8) *
      ('Service to CPT Map'!$B$2:$B$1017="Low") *
      _xlfn.XLOOKUP(
        'Service to CPT Map'!$C$2:$C$1017,
        'Cost Data Sheet'!$A$2:$A$1006,
        'Cost Data Sheet'!$B$2:$B$1006,
        0
      )
    )
  )
)</f>
        <v>0</v>
      </c>
      <c r="F8" s="131" cm="1">
        <f t="array" ref="F8">IF(
  OR($A8="Single Lung Transplant",$A8="Double Lung Transplant"),
  E8,
  SUMPRODUCT(
    ('Service to CPT Map'!$A$2:$A$1017=$A8)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Map'!$A$2:$A$1017=$A8)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Map'!$A$2:$A$1017=$A8)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8" s="146" t="str">
        <f t="shared" si="0"/>
        <v>$0.00</v>
      </c>
      <c r="H8" s="138"/>
      <c r="I8" s="138"/>
      <c r="J8" s="138"/>
      <c r="K8" s="138"/>
      <c r="L8" s="134" t="str">
        <f t="shared" si="1"/>
        <v>lifetime</v>
      </c>
      <c r="M8" s="86" t="str">
        <f>IF(L8="lifetime",
    IF(I8&lt;&gt;"", H8 &amp; "-" &amp; I8 &amp; "x/lifetime", H8 &amp; "x/lifetime"),
    IF(D8='Master Data'!$B$8, AD8 &amp; AE8, AD8 &amp; AE8 &amp; AC8))</f>
        <v>x/lifetime</v>
      </c>
      <c r="N8" s="83">
        <f t="shared" si="2"/>
        <v>0</v>
      </c>
      <c r="O8" s="83">
        <f t="shared" si="3"/>
        <v>0</v>
      </c>
      <c r="P8" s="87" t="str">
        <f t="shared" si="4"/>
        <v>$0.00</v>
      </c>
      <c r="Q8" s="83">
        <f t="shared" si="5"/>
        <v>0</v>
      </c>
      <c r="R8" s="83">
        <f t="shared" si="6"/>
        <v>0</v>
      </c>
      <c r="S8" s="88" t="str">
        <f t="shared" si="7"/>
        <v>$0.00</v>
      </c>
      <c r="AA8" s="166" t="str">
        <f>IF(L8="lifetime", "one-time cost", IF(D8='Master Data'!$B$8, AD8 &amp; AE8, AD8 &amp; AE8 &amp; AC8))</f>
        <v>one-time cost</v>
      </c>
      <c r="AB8" s="208" t="str">
        <f t="shared" si="8"/>
        <v>x/lifetime</v>
      </c>
      <c r="AC8" s="166" t="str">
        <f ca="1">IF(Table9[[#This Row],[Duration (Years):]]&lt;&gt;'Master Data'!$B$8,CONCATENATE(",",CHAR(10),"for ",Table9[[#This Row],[Duration (Years):]]," years"),"lifelong")</f>
        <v>lifelong</v>
      </c>
      <c r="AD8" s="166" t="str">
        <f t="shared" si="9"/>
        <v>one-time cost</v>
      </c>
      <c r="AE8" s="166" t="str">
        <f t="shared" si="10"/>
        <v>one-time cost</v>
      </c>
    </row>
    <row r="9" spans="1:31" ht="40.15" customHeight="1" x14ac:dyDescent="0.2">
      <c r="A9" s="137"/>
      <c r="B9" s="82">
        <f ca="1">'Master Data'!$B$6</f>
        <v>126.3</v>
      </c>
      <c r="C9" s="82">
        <f ca="1">'Master Data'!$B$7</f>
        <v>136.30000000000001</v>
      </c>
      <c r="D9" s="143">
        <f t="shared" ca="1" si="11"/>
        <v>10</v>
      </c>
      <c r="E9" s="131" cm="1">
        <f t="array" ref="E9">IF(
  $A9="Single Lung Transplant",
  _xlfn.XLOOKUP(1,'Cost Data Sheet'!$A$2:$A$1006,'Cost Data Sheet'!$F$2:$F$1006),
  IF(
    $A9="Double Lung Transplant",
    _xlfn.XLOOKUP(2,'Cost Data Sheet'!$A$2:$A$1006,'Cost Data Sheet'!$F$2:$F$1006),
    SUMPRODUCT(
      ('Service to CPT Map'!$A$2:$A$1017=$A9) *
      ('Service to CPT Map'!$B$2:$B$1017="Low") *
      _xlfn.XLOOKUP(
        'Service to CPT Map'!$C$2:$C$1017,
        'Cost Data Sheet'!$A$2:$A$1006,
        'Cost Data Sheet'!$B$2:$B$1006,
        0
      )
    )
  )
)</f>
        <v>0</v>
      </c>
      <c r="F9" s="131" cm="1">
        <f t="array" ref="F9">IF(
  OR($A9="Single Lung Transplant",$A9="Double Lung Transplant"),
  E9,
  SUMPRODUCT(
    ('Service to CPT Map'!$A$2:$A$1017=$A9)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Map'!$A$2:$A$1017=$A9)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Map'!$A$2:$A$1017=$A9)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9" s="146" t="str">
        <f t="shared" si="0"/>
        <v>$0.00</v>
      </c>
      <c r="H9" s="138"/>
      <c r="I9" s="138"/>
      <c r="J9" s="138"/>
      <c r="K9" s="138"/>
      <c r="L9" s="134" t="str">
        <f t="shared" si="1"/>
        <v>lifetime</v>
      </c>
      <c r="M9" s="86" t="str">
        <f>IF(L9="lifetime",
    IF(I9&lt;&gt;"", H9 &amp; "-" &amp; I9 &amp; "x/lifetime", H9 &amp; "x/lifetime"),
    IF(D9='Master Data'!$B$8, AD9 &amp; AE9, AD9 &amp; AE9 &amp; AC9))</f>
        <v>x/lifetime</v>
      </c>
      <c r="N9" s="83">
        <f t="shared" si="2"/>
        <v>0</v>
      </c>
      <c r="O9" s="83">
        <f t="shared" si="3"/>
        <v>0</v>
      </c>
      <c r="P9" s="87" t="str">
        <f t="shared" si="4"/>
        <v>$0.00</v>
      </c>
      <c r="Q9" s="83">
        <f t="shared" si="5"/>
        <v>0</v>
      </c>
      <c r="R9" s="83">
        <f t="shared" si="6"/>
        <v>0</v>
      </c>
      <c r="S9" s="88" t="str">
        <f t="shared" si="7"/>
        <v>$0.00</v>
      </c>
      <c r="AA9" s="166" t="str">
        <f>IF(L9="lifetime", "one-time cost", IF(D9='Master Data'!$B$8, AD9 &amp; AE9, AD9 &amp; AE9 &amp; AC9))</f>
        <v>one-time cost</v>
      </c>
      <c r="AB9" s="208" t="str">
        <f t="shared" si="8"/>
        <v>x/lifetime</v>
      </c>
      <c r="AC9" s="166" t="str">
        <f ca="1">IF(Table9[[#This Row],[Duration (Years):]]&lt;&gt;'Master Data'!$B$8,CONCATENATE(",",CHAR(10),"for ",Table9[[#This Row],[Duration (Years):]]," years"),"lifelong")</f>
        <v>lifelong</v>
      </c>
      <c r="AD9" s="166" t="str">
        <f t="shared" si="9"/>
        <v>one-time cost</v>
      </c>
      <c r="AE9" s="166" t="str">
        <f t="shared" si="10"/>
        <v>one-time cost</v>
      </c>
    </row>
    <row r="10" spans="1:31" ht="40.15" customHeight="1" x14ac:dyDescent="0.2">
      <c r="A10" s="137"/>
      <c r="B10" s="82">
        <f ca="1">'Master Data'!$B$6</f>
        <v>126.3</v>
      </c>
      <c r="C10" s="82">
        <f ca="1">'Master Data'!$B$7</f>
        <v>136.30000000000001</v>
      </c>
      <c r="D10" s="143">
        <f t="shared" ca="1" si="11"/>
        <v>10</v>
      </c>
      <c r="E10" s="131" cm="1">
        <f t="array" ref="E10">IF(
  $A10="Single Lung Transplant",
  _xlfn.XLOOKUP(1,'Cost Data Sheet'!$A$2:$A$1006,'Cost Data Sheet'!$F$2:$F$1006),
  IF(
    $A10="Double Lung Transplant",
    _xlfn.XLOOKUP(2,'Cost Data Sheet'!$A$2:$A$1006,'Cost Data Sheet'!$F$2:$F$1006),
    SUMPRODUCT(
      ('Service to CPT Map'!$A$2:$A$1017=$A10) *
      ('Service to CPT Map'!$B$2:$B$1017="Low") *
      _xlfn.XLOOKUP(
        'Service to CPT Map'!$C$2:$C$1017,
        'Cost Data Sheet'!$A$2:$A$1006,
        'Cost Data Sheet'!$B$2:$B$1006,
        0
      )
    )
  )
)</f>
        <v>0</v>
      </c>
      <c r="F10" s="131" cm="1">
        <f t="array" ref="F10">IF(
  OR($A10="Single Lung Transplant",$A10="Double Lung Transplant"),
  E10,
  SUMPRODUCT(
    ('Service to CPT Map'!$A$2:$A$1017=$A10)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Map'!$A$2:$A$1017=$A10)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Map'!$A$2:$A$1017=$A10)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0" s="146" t="str">
        <f t="shared" si="0"/>
        <v>$0.00</v>
      </c>
      <c r="H10" s="138"/>
      <c r="I10" s="138"/>
      <c r="J10" s="138"/>
      <c r="K10" s="138"/>
      <c r="L10" s="134" t="str">
        <f t="shared" si="1"/>
        <v>lifetime</v>
      </c>
      <c r="M10" s="86" t="str">
        <f>IF(L10="lifetime",
    IF(I10&lt;&gt;"", H10 &amp; "-" &amp; I10 &amp; "x/lifetime", H10 &amp; "x/lifetime"),
    IF(D10='Master Data'!$B$8, AD10 &amp; AE10, AD10 &amp; AE10 &amp; AC10))</f>
        <v>x/lifetime</v>
      </c>
      <c r="N10" s="83">
        <f t="shared" si="2"/>
        <v>0</v>
      </c>
      <c r="O10" s="83">
        <f t="shared" si="3"/>
        <v>0</v>
      </c>
      <c r="P10" s="87" t="str">
        <f t="shared" si="4"/>
        <v>$0.00</v>
      </c>
      <c r="Q10" s="83">
        <f t="shared" si="5"/>
        <v>0</v>
      </c>
      <c r="R10" s="83">
        <f t="shared" si="6"/>
        <v>0</v>
      </c>
      <c r="S10" s="88" t="str">
        <f t="shared" si="7"/>
        <v>$0.00</v>
      </c>
      <c r="AA10" s="166" t="str">
        <f>IF(L10="lifetime", "one-time cost", IF(D10='Master Data'!$B$8, AD10 &amp; AE10, AD10 &amp; AE10 &amp; AC10))</f>
        <v>one-time cost</v>
      </c>
      <c r="AB10" s="208" t="str">
        <f t="shared" si="8"/>
        <v>x/lifetime</v>
      </c>
      <c r="AC10" s="166" t="str">
        <f ca="1">IF(Table9[[#This Row],[Duration (Years):]]&lt;&gt;'Master Data'!$B$8,CONCATENATE(",",CHAR(10),"for ",Table9[[#This Row],[Duration (Years):]]," years"),"lifelong")</f>
        <v>lifelong</v>
      </c>
      <c r="AD10" s="166" t="str">
        <f t="shared" si="9"/>
        <v>one-time cost</v>
      </c>
      <c r="AE10" s="166" t="str">
        <f t="shared" si="10"/>
        <v>one-time cost</v>
      </c>
    </row>
    <row r="11" spans="1:31" ht="40.15" customHeight="1" x14ac:dyDescent="0.2">
      <c r="A11" s="137"/>
      <c r="B11" s="82">
        <f ca="1">'Master Data'!$B$6</f>
        <v>126.3</v>
      </c>
      <c r="C11" s="82">
        <f ca="1">'Master Data'!$B$7</f>
        <v>136.30000000000001</v>
      </c>
      <c r="D11" s="143">
        <f t="shared" ca="1" si="11"/>
        <v>10</v>
      </c>
      <c r="E11" s="131" cm="1">
        <f t="array" ref="E11">IF(
  $A11="Single Lung Transplant",
  _xlfn.XLOOKUP(1,'Cost Data Sheet'!$A$2:$A$1006,'Cost Data Sheet'!$F$2:$F$1006),
  IF(
    $A11="Double Lung Transplant",
    _xlfn.XLOOKUP(2,'Cost Data Sheet'!$A$2:$A$1006,'Cost Data Sheet'!$F$2:$F$1006),
    SUMPRODUCT(
      ('Service to CPT Map'!$A$2:$A$1017=$A11) *
      ('Service to CPT Map'!$B$2:$B$1017="Low") *
      _xlfn.XLOOKUP(
        'Service to CPT Map'!$C$2:$C$1017,
        'Cost Data Sheet'!$A$2:$A$1006,
        'Cost Data Sheet'!$B$2:$B$1006,
        0
      )
    )
  )
)</f>
        <v>0</v>
      </c>
      <c r="F11" s="131" cm="1">
        <f t="array" ref="F11">IF(
  OR($A11="Single Lung Transplant",$A11="Double Lung Transplant"),
  E11,
  SUMPRODUCT(
    ('Service to CPT Map'!$A$2:$A$1017=$A11)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Map'!$A$2:$A$1017=$A11)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Map'!$A$2:$A$1017=$A11)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1" s="146" t="str">
        <f t="shared" si="0"/>
        <v>$0.00</v>
      </c>
      <c r="H11" s="138"/>
      <c r="I11" s="138"/>
      <c r="J11" s="138"/>
      <c r="K11" s="138"/>
      <c r="L11" s="134" t="str">
        <f t="shared" si="1"/>
        <v>lifetime</v>
      </c>
      <c r="M11" s="86" t="str">
        <f>IF(L11="lifetime",
    IF(I11&lt;&gt;"", H11 &amp; "-" &amp; I11 &amp; "x/lifetime", H11 &amp; "x/lifetime"),
    IF(D11='Master Data'!$B$8, AD11 &amp; AE11, AD11 &amp; AE11 &amp; AC11))</f>
        <v>x/lifetime</v>
      </c>
      <c r="N11" s="83">
        <f t="shared" si="2"/>
        <v>0</v>
      </c>
      <c r="O11" s="83">
        <f t="shared" si="3"/>
        <v>0</v>
      </c>
      <c r="P11" s="87" t="str">
        <f t="shared" si="4"/>
        <v>$0.00</v>
      </c>
      <c r="Q11" s="83">
        <f t="shared" si="5"/>
        <v>0</v>
      </c>
      <c r="R11" s="83">
        <f t="shared" si="6"/>
        <v>0</v>
      </c>
      <c r="S11" s="88" t="str">
        <f t="shared" si="7"/>
        <v>$0.00</v>
      </c>
      <c r="AA11" s="166" t="str">
        <f>IF(L11="lifetime", "one-time cost", IF(D11='Master Data'!$B$8, AD11 &amp; AE11, AD11 &amp; AE11 &amp; AC11))</f>
        <v>one-time cost</v>
      </c>
      <c r="AB11" s="208" t="str">
        <f t="shared" si="8"/>
        <v>x/lifetime</v>
      </c>
      <c r="AC11" s="166" t="str">
        <f ca="1">IF(Table9[[#This Row],[Duration (Years):]]&lt;&gt;'Master Data'!$B$8,CONCATENATE(",",CHAR(10),"for ",Table9[[#This Row],[Duration (Years):]]," years"),"lifelong")</f>
        <v>lifelong</v>
      </c>
      <c r="AD11" s="166" t="str">
        <f t="shared" si="9"/>
        <v>one-time cost</v>
      </c>
      <c r="AE11" s="166" t="str">
        <f t="shared" si="10"/>
        <v>one-time cost</v>
      </c>
    </row>
    <row r="12" spans="1:31" ht="40.15" customHeight="1" x14ac:dyDescent="0.2">
      <c r="A12" s="137"/>
      <c r="B12" s="82">
        <f ca="1">'Master Data'!$B$6</f>
        <v>126.3</v>
      </c>
      <c r="C12" s="82">
        <f ca="1">'Master Data'!$B$7</f>
        <v>136.30000000000001</v>
      </c>
      <c r="D12" s="143">
        <f t="shared" ca="1" si="11"/>
        <v>10</v>
      </c>
      <c r="E12" s="131" cm="1">
        <f t="array" ref="E12">IF(
  $A12="Single Lung Transplant",
  _xlfn.XLOOKUP(1,'Cost Data Sheet'!$A$2:$A$1006,'Cost Data Sheet'!$F$2:$F$1006),
  IF(
    $A12="Double Lung Transplant",
    _xlfn.XLOOKUP(2,'Cost Data Sheet'!$A$2:$A$1006,'Cost Data Sheet'!$F$2:$F$1006),
    SUMPRODUCT(
      ('Service to CPT Map'!$A$2:$A$1017=$A12) *
      ('Service to CPT Map'!$B$2:$B$1017="Low") *
      _xlfn.XLOOKUP(
        'Service to CPT Map'!$C$2:$C$1017,
        'Cost Data Sheet'!$A$2:$A$1006,
        'Cost Data Sheet'!$B$2:$B$1006,
        0
      )
    )
  )
)</f>
        <v>0</v>
      </c>
      <c r="F12" s="131" cm="1">
        <f t="array" ref="F12">IF(
  OR($A12="Single Lung Transplant",$A12="Double Lung Transplant"),
  E12,
  SUMPRODUCT(
    ('Service to CPT Map'!$A$2:$A$1017=$A12)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Map'!$A$2:$A$1017=$A12)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Map'!$A$2:$A$1017=$A12)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2" s="146" t="str">
        <f t="shared" si="0"/>
        <v>$0.00</v>
      </c>
      <c r="H12" s="138"/>
      <c r="I12" s="138"/>
      <c r="J12" s="138"/>
      <c r="K12" s="138"/>
      <c r="L12" s="134" t="str">
        <f t="shared" si="1"/>
        <v>lifetime</v>
      </c>
      <c r="M12" s="86" t="str">
        <f>IF(L12="lifetime",
    IF(I12&lt;&gt;"", H12 &amp; "-" &amp; I12 &amp; "x/lifetime", H12 &amp; "x/lifetime"),
    IF(D12='Master Data'!$B$8, AD12 &amp; AE12, AD12 &amp; AE12 &amp; AC12))</f>
        <v>x/lifetime</v>
      </c>
      <c r="N12" s="83">
        <f t="shared" si="2"/>
        <v>0</v>
      </c>
      <c r="O12" s="83">
        <f t="shared" si="3"/>
        <v>0</v>
      </c>
      <c r="P12" s="87" t="str">
        <f t="shared" si="4"/>
        <v>$0.00</v>
      </c>
      <c r="Q12" s="83">
        <f t="shared" si="5"/>
        <v>0</v>
      </c>
      <c r="R12" s="83">
        <f t="shared" si="6"/>
        <v>0</v>
      </c>
      <c r="S12" s="88" t="str">
        <f t="shared" si="7"/>
        <v>$0.00</v>
      </c>
      <c r="AA12" s="166" t="str">
        <f>IF(L12="lifetime", "one-time cost", IF(D12='Master Data'!$B$8, AD12 &amp; AE12, AD12 &amp; AE12 &amp; AC12))</f>
        <v>one-time cost</v>
      </c>
      <c r="AB12" s="208" t="str">
        <f t="shared" si="8"/>
        <v>x/lifetime</v>
      </c>
      <c r="AC12" s="166" t="str">
        <f ca="1">IF(Table9[[#This Row],[Duration (Years):]]&lt;&gt;'Master Data'!$B$8,CONCATENATE(",",CHAR(10),"for ",Table9[[#This Row],[Duration (Years):]]," years"),"lifelong")</f>
        <v>lifelong</v>
      </c>
      <c r="AD12" s="166" t="str">
        <f t="shared" si="9"/>
        <v>one-time cost</v>
      </c>
      <c r="AE12" s="166" t="str">
        <f t="shared" si="10"/>
        <v>one-time cost</v>
      </c>
    </row>
    <row r="13" spans="1:31" ht="40.15" customHeight="1" x14ac:dyDescent="0.2">
      <c r="A13" s="234"/>
      <c r="B13" s="235">
        <f ca="1">'Master Data'!$B$6</f>
        <v>126.3</v>
      </c>
      <c r="C13" s="235">
        <f ca="1">'Master Data'!$B$7</f>
        <v>136.30000000000001</v>
      </c>
      <c r="D13" s="210">
        <f ca="1">ROUND(C13-B13,1)</f>
        <v>10</v>
      </c>
      <c r="E13" s="220" cm="1">
        <f t="array" ref="E13">IF(
  $A13="Single Lung Transplant",
  _xlfn.XLOOKUP(1,'Cost Data Sheet'!$A$2:$A$1006,'Cost Data Sheet'!$F$2:$F$1006),
  IF(
    $A13="Double Lung Transplant",
    _xlfn.XLOOKUP(2,'Cost Data Sheet'!$A$2:$A$1006,'Cost Data Sheet'!$F$2:$F$1006),
    SUMPRODUCT(
      ('Service to CPT Map'!$A$2:$A$1017=$A13) *
      ('Service to CPT Map'!$B$2:$B$1017="Low") *
      _xlfn.XLOOKUP(
        'Service to CPT Map'!$C$2:$C$1017,
        'Cost Data Sheet'!$A$2:$A$1006,
        'Cost Data Sheet'!$B$2:$B$1006,
        0
      )
    )
  )
)</f>
        <v>0</v>
      </c>
      <c r="F13" s="220" cm="1">
        <f t="array" ref="F13">IF(
  OR($A13="Single Lung Transplant",$A13="Double Lung Transplant"),
  E13,
  SUMPRODUCT(
    ('Service to CPT Map'!$A$2:$A$1017=$A13)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Map'!$A$2:$A$1017=$A13)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Map'!$A$2:$A$1017=$A13)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3" s="221" t="str">
        <f>IF(E13&lt;F13,CONCATENATE(TEXT(E13,"$#,##0.00"),CHAR(10)," - ",CHAR(10),TEXT(F13,"$#,##0.00")),TEXT(E13,"$#,##0.00"))</f>
        <v>$0.00</v>
      </c>
      <c r="H13" s="214"/>
      <c r="I13" s="214"/>
      <c r="J13" s="214"/>
      <c r="K13" s="214"/>
      <c r="L13" s="222" t="str">
        <f>IF(LEN(K13)=0,IF(LEN(J13)=0,"lifetime",IF(J13=1,"year","years")),"years")</f>
        <v>lifetime</v>
      </c>
      <c r="M13" s="236" t="str">
        <f>IF(L13="lifetime",
    IF(I13&lt;&gt;"", H13 &amp; "-" &amp; I13 &amp; "x/lifetime", H13 &amp; "x/lifetime"),
    IF(D13='Master Data'!$B$8, AD13 &amp; AE13, AD13 &amp; AE13 &amp; AC13))</f>
        <v>x/lifetime</v>
      </c>
      <c r="N13" s="237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3" s="237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3" s="238" t="str">
        <f>IF(N13&lt;O13,CONCATENATE(TEXT(N13,"$#,##0.00"),CHAR(10)," - ",CHAR(10),TEXT(O13,"$#,##0.00")),TEXT(N13,"$0.00"))</f>
        <v>$0.00</v>
      </c>
      <c r="Q13" s="237">
        <f>ROUND(IF(TimeValue="lifetime",MinCost*MinFreq,0),2)</f>
        <v>0</v>
      </c>
      <c r="R13" s="237">
        <f>ROUND(IF(AND(TimeValue="lifetime",MaxFreq&lt;1),MinFreq*MaxCost,IF(AND(TimeValue="lifetime",MaxFreq&gt;=1),MaxFreq*MaxCost,0)),2)</f>
        <v>0</v>
      </c>
      <c r="S13" s="239" t="str">
        <f>IF(Q13&lt;R13,CONCATENATE(TEXT(Q13,"$#,##0.00"),CHAR(10)," - ",CHAR(10),TEXT(R13,"$#,##0.00")),TEXT(Q13,"$0.00"))</f>
        <v>$0.00</v>
      </c>
      <c r="AA13" s="166" t="str">
        <f>IF(L13="lifetime", "one-time cost", IF(D13='Master Data'!$B$8, AD13 &amp; AE13, AD13 &amp; AE13 &amp; AC13))</f>
        <v>one-time cost</v>
      </c>
      <c r="AB13" s="208" t="str">
        <f>IF(L13="lifetime", IF(I13&lt;&gt;"", H13 &amp; "-" &amp; I13 &amp; "x/lifetime", H13 &amp; "x/lifetime"), "ongoing cost")</f>
        <v>x/lifetime</v>
      </c>
      <c r="AC13" s="166" t="str">
        <f ca="1">IF(Table9[[#This Row],[Duration (Years):]]&lt;&gt;'Master Data'!$B$8,CONCATENATE(",",CHAR(10),"for ",Table9[[#This Row],[Duration (Years):]]," years"),"lifelong")</f>
        <v>lifelong</v>
      </c>
      <c r="AD13" s="166" t="str">
        <f>IF(L13="lifetime", "one-time cost", IF(I13&lt;&gt;"", H13 &amp; "-" &amp; I13 &amp; "x/", H13 &amp; "x/"))</f>
        <v>one-time cost</v>
      </c>
      <c r="AE13" s="166" t="str">
        <f>IF(L13="lifetime", "one-time cost", IF(K13&lt;&gt;"", J13 &amp; "-" &amp; K13 &amp; " " &amp; L13, IF(J13&gt;1, J13 &amp; " " &amp; L13, L13)))</f>
        <v>one-time cost</v>
      </c>
    </row>
    <row r="14" spans="1:31" ht="28.5" x14ac:dyDescent="0.2">
      <c r="A14" s="234"/>
      <c r="B14" s="235">
        <f ca="1">'Master Data'!$B$6</f>
        <v>126.3</v>
      </c>
      <c r="C14" s="235">
        <f ca="1">'Master Data'!$B$7</f>
        <v>136.30000000000001</v>
      </c>
      <c r="D14" s="210">
        <f ca="1">ROUND(C14-B14,1)</f>
        <v>10</v>
      </c>
      <c r="E14" s="220" cm="1">
        <f t="array" ref="E14">IF(
  $A14="Single Lung Transplant",
  _xlfn.XLOOKUP(1,'Cost Data Sheet'!$A$2:$A$1006,'Cost Data Sheet'!$F$2:$F$1006),
  IF(
    $A14="Double Lung Transplant",
    _xlfn.XLOOKUP(2,'Cost Data Sheet'!$A$2:$A$1006,'Cost Data Sheet'!$F$2:$F$1006),
    SUMPRODUCT(
      ('Service to CPT Map'!$A$2:$A$1017=$A14) *
      ('Service to CPT Map'!$B$2:$B$1017="Low") *
      _xlfn.XLOOKUP(
        'Service to CPT Map'!$C$2:$C$1017,
        'Cost Data Sheet'!$A$2:$A$1006,
        'Cost Data Sheet'!$B$2:$B$1006,
        0
      )
    )
  )
)</f>
        <v>0</v>
      </c>
      <c r="F14" s="220" cm="1">
        <f t="array" ref="F14">IF(
  OR($A14="Single Lung Transplant",$A14="Double Lung Transplant"),
  E14,
  SUMPRODUCT(
    ('Service to CPT Map'!$A$2:$A$1017=$A14)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Map'!$A$2:$A$1017=$A14)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Map'!$A$2:$A$1017=$A14)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4" s="221" t="str">
        <f>IF(E14&lt;F14,CONCATENATE(TEXT(E14,"$#,##0.00"),CHAR(10)," - ",CHAR(10),TEXT(F14,"$#,##0.00")),TEXT(E14,"$#,##0.00"))</f>
        <v>$0.00</v>
      </c>
      <c r="H14" s="214"/>
      <c r="I14" s="214"/>
      <c r="J14" s="214"/>
      <c r="K14" s="214"/>
      <c r="L14" s="222" t="str">
        <f>IF(LEN(K14)=0,IF(LEN(J14)=0,"lifetime",IF(J14=1,"year","years")),"years")</f>
        <v>lifetime</v>
      </c>
      <c r="M14" s="236" t="str">
        <f>IF(L14="lifetime",
    IF(I14&lt;&gt;"", H14 &amp; "-" &amp; I14 &amp; "x/lifetime", H14 &amp; "x/lifetime"),
    IF(D14='Master Data'!$B$8, AD14 &amp; AE14, AD14 &amp; AE14 &amp; AC14))</f>
        <v>x/lifetime</v>
      </c>
      <c r="N14" s="237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4" s="237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4" s="238" t="str">
        <f>IF(N14&lt;O14,CONCATENATE(TEXT(N14,"$#,##0.00"),CHAR(10)," - ",CHAR(10),TEXT(O14,"$#,##0.00")),TEXT(N14,"$0.00"))</f>
        <v>$0.00</v>
      </c>
      <c r="Q14" s="237">
        <f>ROUND(IF(TimeValue="lifetime",MinCost*MinFreq,0),2)</f>
        <v>0</v>
      </c>
      <c r="R14" s="237">
        <f>ROUND(IF(AND(TimeValue="lifetime",MaxFreq&lt;1),MinFreq*MaxCost,IF(AND(TimeValue="lifetime",MaxFreq&gt;=1),MaxFreq*MaxCost,0)),2)</f>
        <v>0</v>
      </c>
      <c r="S14" s="239" t="str">
        <f>IF(Q14&lt;R14,CONCATENATE(TEXT(Q14,"$#,##0.00"),CHAR(10)," - ",CHAR(10),TEXT(R14,"$#,##0.00")),TEXT(Q14,"$0.00"))</f>
        <v>$0.00</v>
      </c>
      <c r="AA14" s="166" t="str">
        <f>IF(L14="lifetime", "one-time cost", IF(D14='Master Data'!$B$8, AD14 &amp; AE14, AD14 &amp; AE14 &amp; AC14))</f>
        <v>one-time cost</v>
      </c>
      <c r="AB14" s="208" t="str">
        <f>IF(L14="lifetime", IF(I14&lt;&gt;"", H14 &amp; "-" &amp; I14 &amp; "x/lifetime", H14 &amp; "x/lifetime"), "ongoing cost")</f>
        <v>x/lifetime</v>
      </c>
      <c r="AC14" s="166" t="str">
        <f ca="1">IF(Table9[[#This Row],[Duration (Years):]]&lt;&gt;'Master Data'!$B$8,CONCATENATE(",",CHAR(10),"for ",Table9[[#This Row],[Duration (Years):]]," years"),"lifelong")</f>
        <v>lifelong</v>
      </c>
      <c r="AD14" s="166" t="str">
        <f>IF(L14="lifetime", "one-time cost", IF(I14&lt;&gt;"", H14 &amp; "-" &amp; I14 &amp; "x/", H14 &amp; "x/"))</f>
        <v>one-time cost</v>
      </c>
      <c r="AE14" s="166" t="str">
        <f>IF(L14="lifetime", "one-time cost", IF(K14&lt;&gt;"", J14 &amp; "-" &amp; K14 &amp; " " &amp; L14, IF(J14&gt;1, J14 &amp; " " &amp; L14, L14)))</f>
        <v>one-time cost</v>
      </c>
    </row>
    <row r="15" spans="1:31" ht="29.25" thickBot="1" x14ac:dyDescent="0.25">
      <c r="A15" s="234"/>
      <c r="B15" s="235">
        <f ca="1">'Master Data'!$B$6</f>
        <v>126.3</v>
      </c>
      <c r="C15" s="235">
        <f ca="1">'Master Data'!$B$7</f>
        <v>136.30000000000001</v>
      </c>
      <c r="D15" s="210">
        <f ca="1">ROUND(C15-B15,1)</f>
        <v>10</v>
      </c>
      <c r="E15" s="220" cm="1">
        <f t="array" ref="E15">IF(
  $A15="Single Lung Transplant",
  _xlfn.XLOOKUP(1,'Cost Data Sheet'!$A$2:$A$1006,'Cost Data Sheet'!$F$2:$F$1006),
  IF(
    $A15="Double Lung Transplant",
    _xlfn.XLOOKUP(2,'Cost Data Sheet'!$A$2:$A$1006,'Cost Data Sheet'!$F$2:$F$1006),
    SUMPRODUCT(
      ('Service to CPT Map'!$A$2:$A$1017=$A15) *
      ('Service to CPT Map'!$B$2:$B$1017="Low") *
      _xlfn.XLOOKUP(
        'Service to CPT Map'!$C$2:$C$1017,
        'Cost Data Sheet'!$A$2:$A$1006,
        'Cost Data Sheet'!$B$2:$B$1006,
        0
      )
    )
  )
)</f>
        <v>0</v>
      </c>
      <c r="F15" s="220" cm="1">
        <f t="array" ref="F15">IF(
  OR($A15="Single Lung Transplant",$A15="Double Lung Transplant"),
  E15,
  SUMPRODUCT(
    ('Service to CPT Map'!$A$2:$A$1017=$A15)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Map'!$A$2:$A$1017=$A15)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Map'!$A$2:$A$1017=$A15)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5" s="221" t="str">
        <f>IF(E15&lt;F15,CONCATENATE(TEXT(E15,"$#,##0.00"),CHAR(10)," - ",CHAR(10),TEXT(F15,"$#,##0.00")),TEXT(E15,"$#,##0.00"))</f>
        <v>$0.00</v>
      </c>
      <c r="H15" s="214"/>
      <c r="I15" s="214"/>
      <c r="J15" s="214"/>
      <c r="K15" s="214"/>
      <c r="L15" s="222" t="str">
        <f>IF(LEN(K15)=0,IF(LEN(J15)=0,"lifetime",IF(J15=1,"year","years")),"years")</f>
        <v>lifetime</v>
      </c>
      <c r="M15" s="236" t="str">
        <f>IF(L15="lifetime",
    IF(I15&lt;&gt;"", H15 &amp; "-" &amp; I15 &amp; "x/lifetime", H15 &amp; "x/lifetime"),
    IF(D15='Master Data'!$B$8, AD15 &amp; AE15, AD15 &amp; AE15 &amp; AC15))</f>
        <v>x/lifetime</v>
      </c>
      <c r="N15" s="237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5" s="237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5" s="238" t="str">
        <f>IF(N15&lt;O15,CONCATENATE(TEXT(N15,"$#,##0.00"),CHAR(10)," - ",CHAR(10),TEXT(O15,"$#,##0.00")),TEXT(N15,"$0.00"))</f>
        <v>$0.00</v>
      </c>
      <c r="Q15" s="237">
        <f>ROUND(IF(TimeValue="lifetime",MinCost*MinFreq,0),2)</f>
        <v>0</v>
      </c>
      <c r="R15" s="237">
        <f>ROUND(IF(AND(TimeValue="lifetime",MaxFreq&lt;1),MinFreq*MaxCost,IF(AND(TimeValue="lifetime",MaxFreq&gt;=1),MaxFreq*MaxCost,0)),2)</f>
        <v>0</v>
      </c>
      <c r="S15" s="239" t="str">
        <f>IF(Q15&lt;R15,CONCATENATE(TEXT(Q15,"$#,##0.00"),CHAR(10)," - ",CHAR(10),TEXT(R15,"$#,##0.00")),TEXT(Q15,"$0.00"))</f>
        <v>$0.00</v>
      </c>
      <c r="AA15" s="166" t="str">
        <f>IF(L15="lifetime", "one-time cost", IF(D15='Master Data'!$B$8, AD15 &amp; AE15, AD15 &amp; AE15 &amp; AC15))</f>
        <v>one-time cost</v>
      </c>
      <c r="AB15" s="208" t="str">
        <f>IF(L15="lifetime", IF(I15&lt;&gt;"", H15 &amp; "-" &amp; I15 &amp; "x/lifetime", H15 &amp; "x/lifetime"), "ongoing cost")</f>
        <v>x/lifetime</v>
      </c>
      <c r="AC15" s="166" t="str">
        <f ca="1">IF(Table9[[#This Row],[Duration (Years):]]&lt;&gt;'Master Data'!$B$8,CONCATENATE(",",CHAR(10),"for ",Table9[[#This Row],[Duration (Years):]]," years"),"lifelong")</f>
        <v>lifelong</v>
      </c>
      <c r="AD15" s="166" t="str">
        <f>IF(L15="lifetime", "one-time cost", IF(I15&lt;&gt;"", H15 &amp; "-" &amp; I15 &amp; "x/", H15 &amp; "x/"))</f>
        <v>one-time cost</v>
      </c>
      <c r="AE15" s="166" t="str">
        <f>IF(L15="lifetime", "one-time cost", IF(K15&lt;&gt;"", J15 &amp; "-" &amp; K15 &amp; " " &amp; L15, IF(J15&gt;1, J15 &amp; " " &amp; L15, L15)))</f>
        <v>one-time cost</v>
      </c>
    </row>
    <row r="16" spans="1:31" ht="15.75" thickTop="1" thickBot="1" x14ac:dyDescent="0.25">
      <c r="A16" s="334" t="s">
        <v>32</v>
      </c>
      <c r="B16" s="335"/>
      <c r="C16" s="335"/>
      <c r="D16" s="335"/>
      <c r="E16" s="335"/>
      <c r="F16" s="335"/>
      <c r="G16" s="335"/>
      <c r="H16" s="335"/>
      <c r="I16" s="335"/>
      <c r="J16" s="335"/>
      <c r="K16" s="335"/>
      <c r="L16" s="335"/>
      <c r="M16" s="336"/>
      <c r="N16" s="69"/>
      <c r="O16" s="69"/>
      <c r="P16" s="70" t="str">
        <f ca="1">IF(U3="same",IF(SUM(Table9[Annual Cost Max:])=0,"$0.00",CONCATENATE(TEXT(SUM(AnnMin),"$#,##0.00"),CHAR(10)," - ",CHAR(10),TEXT(SUM(AnnMax),"$#,##0.00"))),"Variable by year")</f>
        <v>$0.00</v>
      </c>
      <c r="Q16" s="69"/>
      <c r="R16" s="69"/>
      <c r="S16" s="71" t="str">
        <f>IF(SUM(OneTimeMax)=0,"$0.00",CONCATENATE(TEXT(SUM(OneTimeMin),"$#,##0.00"),CHAR(10)," - ",CHAR(10),TEXT(SUM(OneTimeMax),"$#,##0.00")))</f>
        <v>$0.00</v>
      </c>
      <c r="AA16" s="166" t="e">
        <f>IF(L19="lifetime", "one-time cost", IF(D19='Master Data'!$B$8, AD16 &amp; AE16, AD16 &amp; AE16 &amp; AC16))</f>
        <v>#VALUE!</v>
      </c>
      <c r="AB16" s="208" t="str">
        <f t="shared" ref="AB16:AB52" si="12">IF(L19="lifetime", IF(I19&lt;&gt;"", H19 &amp; "-" &amp; I19 &amp; "x/lifetime", H19 &amp; "x/lifetime"), "ongoing cost")</f>
        <v>ongoing cost</v>
      </c>
      <c r="AC16" s="166" t="e">
        <f>IF(Table9[[#This Row],[Duration (Years):]]&lt;&gt;'Master Data'!$B$8,CONCATENATE(",",CHAR(10),"for ",Table9[[#This Row],[Duration (Years):]]," years"),"lifelong")</f>
        <v>#VALUE!</v>
      </c>
      <c r="AD16" s="166" t="str">
        <f t="shared" ref="AD16:AD52" si="13">IF(L19="lifetime", "one-time cost", IF(I19&lt;&gt;"", H19 &amp; "-" &amp; I19 &amp; "x/", H19 &amp; "x/"))</f>
        <v>x/</v>
      </c>
      <c r="AE16" s="166">
        <f t="shared" ref="AE16:AE52" si="14">IF(L19="lifetime", "one-time cost", IF(K19&lt;&gt;"", J19 &amp; "-" &amp; K19 &amp; " " &amp; L19, IF(J19&gt;1, J19 &amp; " " &amp; L19, L19)))</f>
        <v>0</v>
      </c>
    </row>
    <row r="17" spans="1:31" ht="15" thickTop="1" x14ac:dyDescent="0.2">
      <c r="AA17" s="166" t="e">
        <f>IF(L20="lifetime", "one-time cost", IF(D20='Master Data'!$B$8, AD17 &amp; AE17, AD17 &amp; AE17 &amp; AC17))</f>
        <v>#VALUE!</v>
      </c>
      <c r="AB17" s="208" t="str">
        <f t="shared" si="12"/>
        <v>ongoing cost</v>
      </c>
      <c r="AC17" s="166" t="e">
        <f>IF(Table9[[#This Row],[Duration (Years):]]&lt;&gt;'Master Data'!$B$8,CONCATENATE(",",CHAR(10),"for ",Table9[[#This Row],[Duration (Years):]]," years"),"lifelong")</f>
        <v>#VALUE!</v>
      </c>
      <c r="AD17" s="166" t="str">
        <f t="shared" si="13"/>
        <v>x/</v>
      </c>
      <c r="AE17" s="166">
        <f t="shared" si="14"/>
        <v>0</v>
      </c>
    </row>
    <row r="18" spans="1:31" ht="14.25" x14ac:dyDescent="0.2">
      <c r="A18" s="156"/>
      <c r="B18" s="8"/>
      <c r="C18" s="8"/>
      <c r="D18" s="155"/>
      <c r="E18" s="155"/>
      <c r="F18" s="155"/>
      <c r="G18" s="155"/>
      <c r="H18" s="155"/>
      <c r="I18" s="155"/>
      <c r="J18" s="155"/>
      <c r="K18" s="155"/>
      <c r="L18" s="155"/>
      <c r="M18" s="8"/>
      <c r="N18" s="8"/>
      <c r="O18" s="8"/>
      <c r="P18" s="8"/>
      <c r="Q18" s="8"/>
      <c r="R18" s="8"/>
      <c r="S18" s="8"/>
      <c r="AA18" s="166" t="e">
        <f>IF(L21="lifetime", "one-time cost", IF(D21='Master Data'!$B$8, AD18 &amp; AE18, AD18 &amp; AE18 &amp; AC18))</f>
        <v>#VALUE!</v>
      </c>
      <c r="AB18" s="208" t="str">
        <f t="shared" si="12"/>
        <v>ongoing cost</v>
      </c>
      <c r="AC18" s="166" t="e">
        <f>IF(Table9[[#This Row],[Duration (Years):]]&lt;&gt;'Master Data'!$B$8,CONCATENATE(",",CHAR(10),"for ",Table9[[#This Row],[Duration (Years):]]," years"),"lifelong")</f>
        <v>#VALUE!</v>
      </c>
      <c r="AD18" s="166" t="str">
        <f t="shared" si="13"/>
        <v>x/</v>
      </c>
      <c r="AE18" s="166">
        <f t="shared" si="14"/>
        <v>0</v>
      </c>
    </row>
    <row r="19" spans="1:31" ht="14.25" x14ac:dyDescent="0.2">
      <c r="AA19" s="166" t="e">
        <f>IF(L22="lifetime", "one-time cost", IF(D22='Master Data'!$B$8, AD19 &amp; AE19, AD19 &amp; AE19 &amp; AC19))</f>
        <v>#VALUE!</v>
      </c>
      <c r="AB19" s="208" t="str">
        <f t="shared" si="12"/>
        <v>ongoing cost</v>
      </c>
      <c r="AC19" s="166" t="e">
        <f>IF(Table9[[#This Row],[Duration (Years):]]&lt;&gt;'Master Data'!$B$8,CONCATENATE(",",CHAR(10),"for ",Table9[[#This Row],[Duration (Years):]]," years"),"lifelong")</f>
        <v>#VALUE!</v>
      </c>
      <c r="AD19" s="166" t="str">
        <f t="shared" si="13"/>
        <v>x/</v>
      </c>
      <c r="AE19" s="166">
        <f t="shared" si="14"/>
        <v>0</v>
      </c>
    </row>
    <row r="20" spans="1:31" ht="14.25" x14ac:dyDescent="0.2">
      <c r="AA20" s="166" t="e">
        <f>IF(L23="lifetime", "one-time cost", IF(D23='Master Data'!$B$8, AD20 &amp; AE20, AD20 &amp; AE20 &amp; AC20))</f>
        <v>#VALUE!</v>
      </c>
      <c r="AB20" s="208" t="str">
        <f t="shared" si="12"/>
        <v>ongoing cost</v>
      </c>
      <c r="AC20" s="166" t="e">
        <f>IF(Table9[[#This Row],[Duration (Years):]]&lt;&gt;'Master Data'!$B$8,CONCATENATE(",",CHAR(10),"for ",Table9[[#This Row],[Duration (Years):]]," years"),"lifelong")</f>
        <v>#VALUE!</v>
      </c>
      <c r="AD20" s="166" t="str">
        <f t="shared" si="13"/>
        <v>x/</v>
      </c>
      <c r="AE20" s="166">
        <f t="shared" si="14"/>
        <v>0</v>
      </c>
    </row>
    <row r="21" spans="1:31" ht="14.25" x14ac:dyDescent="0.2">
      <c r="AA21" s="166" t="e">
        <f>IF(L24="lifetime", "one-time cost", IF(D24='Master Data'!$B$8, AD21 &amp; AE21, AD21 &amp; AE21 &amp; AC21))</f>
        <v>#VALUE!</v>
      </c>
      <c r="AB21" s="208" t="str">
        <f t="shared" si="12"/>
        <v>ongoing cost</v>
      </c>
      <c r="AC21" s="166" t="e">
        <f>IF(Table9[[#This Row],[Duration (Years):]]&lt;&gt;'Master Data'!$B$8,CONCATENATE(",",CHAR(10),"for ",Table9[[#This Row],[Duration (Years):]]," years"),"lifelong")</f>
        <v>#VALUE!</v>
      </c>
      <c r="AD21" s="166" t="str">
        <f t="shared" si="13"/>
        <v>x/</v>
      </c>
      <c r="AE21" s="166">
        <f t="shared" si="14"/>
        <v>0</v>
      </c>
    </row>
    <row r="22" spans="1:31" ht="14.25" x14ac:dyDescent="0.2">
      <c r="AA22" s="166" t="e">
        <f>IF(L25="lifetime", "one-time cost", IF(D25='Master Data'!$B$8, AD22 &amp; AE22, AD22 &amp; AE22 &amp; AC22))</f>
        <v>#VALUE!</v>
      </c>
      <c r="AB22" s="208" t="str">
        <f t="shared" si="12"/>
        <v>ongoing cost</v>
      </c>
      <c r="AC22" s="166" t="e">
        <f>IF(Table9[[#This Row],[Duration (Years):]]&lt;&gt;'Master Data'!$B$8,CONCATENATE(",",CHAR(10),"for ",Table9[[#This Row],[Duration (Years):]]," years"),"lifelong")</f>
        <v>#VALUE!</v>
      </c>
      <c r="AD22" s="166" t="str">
        <f t="shared" si="13"/>
        <v>x/</v>
      </c>
      <c r="AE22" s="166">
        <f t="shared" si="14"/>
        <v>0</v>
      </c>
    </row>
    <row r="23" spans="1:31" ht="14.25" x14ac:dyDescent="0.2">
      <c r="AA23" s="166" t="e">
        <f>IF(L26="lifetime", "one-time cost", IF(D26='Master Data'!$B$8, AD23 &amp; AE23, AD23 &amp; AE23 &amp; AC23))</f>
        <v>#VALUE!</v>
      </c>
      <c r="AB23" s="208" t="str">
        <f t="shared" si="12"/>
        <v>ongoing cost</v>
      </c>
      <c r="AC23" s="166" t="e">
        <f>IF(Table9[[#This Row],[Duration (Years):]]&lt;&gt;'Master Data'!$B$8,CONCATENATE(",",CHAR(10),"for ",Table9[[#This Row],[Duration (Years):]]," years"),"lifelong")</f>
        <v>#VALUE!</v>
      </c>
      <c r="AD23" s="166" t="str">
        <f t="shared" si="13"/>
        <v>x/</v>
      </c>
      <c r="AE23" s="166">
        <f t="shared" si="14"/>
        <v>0</v>
      </c>
    </row>
    <row r="24" spans="1:31" ht="14.25" x14ac:dyDescent="0.2">
      <c r="AA24" s="166" t="e">
        <f>IF(L27="lifetime", "one-time cost", IF(D27='Master Data'!$B$8, AD24 &amp; AE24, AD24 &amp; AE24 &amp; AC24))</f>
        <v>#VALUE!</v>
      </c>
      <c r="AB24" s="208" t="str">
        <f t="shared" si="12"/>
        <v>ongoing cost</v>
      </c>
      <c r="AC24" s="166" t="e">
        <f>IF(Table9[[#This Row],[Duration (Years):]]&lt;&gt;'Master Data'!$B$8,CONCATENATE(",",CHAR(10),"for ",Table9[[#This Row],[Duration (Years):]]," years"),"lifelong")</f>
        <v>#VALUE!</v>
      </c>
      <c r="AD24" s="166" t="str">
        <f t="shared" si="13"/>
        <v>x/</v>
      </c>
      <c r="AE24" s="166">
        <f t="shared" si="14"/>
        <v>0</v>
      </c>
    </row>
    <row r="25" spans="1:31" ht="14.25" x14ac:dyDescent="0.2">
      <c r="AA25" s="166" t="e">
        <f>IF(L28="lifetime", "one-time cost", IF(D28='Master Data'!$B$8, AD25 &amp; AE25, AD25 &amp; AE25 &amp; AC25))</f>
        <v>#VALUE!</v>
      </c>
      <c r="AB25" s="208" t="str">
        <f t="shared" si="12"/>
        <v>ongoing cost</v>
      </c>
      <c r="AC25" s="166" t="e">
        <f>IF(Table9[[#This Row],[Duration (Years):]]&lt;&gt;'Master Data'!$B$8,CONCATENATE(",",CHAR(10),"for ",Table9[[#This Row],[Duration (Years):]]," years"),"lifelong")</f>
        <v>#VALUE!</v>
      </c>
      <c r="AD25" s="166" t="str">
        <f t="shared" si="13"/>
        <v>x/</v>
      </c>
      <c r="AE25" s="166">
        <f t="shared" si="14"/>
        <v>0</v>
      </c>
    </row>
    <row r="26" spans="1:31" ht="14.25" x14ac:dyDescent="0.2">
      <c r="AA26" s="166" t="e">
        <f>IF(L29="lifetime", "one-time cost", IF(D29='Master Data'!$B$8, AD26 &amp; AE26, AD26 &amp; AE26 &amp; AC26))</f>
        <v>#VALUE!</v>
      </c>
      <c r="AB26" s="208" t="str">
        <f t="shared" si="12"/>
        <v>ongoing cost</v>
      </c>
      <c r="AC26" s="166" t="e">
        <f>IF(Table9[[#This Row],[Duration (Years):]]&lt;&gt;'Master Data'!$B$8,CONCATENATE(",",CHAR(10),"for ",Table9[[#This Row],[Duration (Years):]]," years"),"lifelong")</f>
        <v>#VALUE!</v>
      </c>
      <c r="AD26" s="166" t="str">
        <f t="shared" si="13"/>
        <v>x/</v>
      </c>
      <c r="AE26" s="166">
        <f t="shared" si="14"/>
        <v>0</v>
      </c>
    </row>
    <row r="27" spans="1:31" ht="14.25" x14ac:dyDescent="0.2">
      <c r="AA27" s="166" t="e">
        <f>IF(L30="lifetime", "one-time cost", IF(D30='Master Data'!$B$8, AD27 &amp; AE27, AD27 &amp; AE27 &amp; AC27))</f>
        <v>#VALUE!</v>
      </c>
      <c r="AB27" s="208" t="str">
        <f t="shared" si="12"/>
        <v>ongoing cost</v>
      </c>
      <c r="AC27" s="166" t="e">
        <f>IF(Table9[[#This Row],[Duration (Years):]]&lt;&gt;'Master Data'!$B$8,CONCATENATE(",",CHAR(10),"for ",Table9[[#This Row],[Duration (Years):]]," years"),"lifelong")</f>
        <v>#VALUE!</v>
      </c>
      <c r="AD27" s="166" t="str">
        <f t="shared" si="13"/>
        <v>x/</v>
      </c>
      <c r="AE27" s="166">
        <f t="shared" si="14"/>
        <v>0</v>
      </c>
    </row>
    <row r="28" spans="1:31" ht="14.25" x14ac:dyDescent="0.2">
      <c r="AA28" s="166" t="e">
        <f>IF(L31="lifetime", "one-time cost", IF(D31='Master Data'!$B$8, AD28 &amp; AE28, AD28 &amp; AE28 &amp; AC28))</f>
        <v>#VALUE!</v>
      </c>
      <c r="AB28" s="208" t="str">
        <f t="shared" si="12"/>
        <v>ongoing cost</v>
      </c>
      <c r="AC28" s="166" t="e">
        <f>IF(Table9[[#This Row],[Duration (Years):]]&lt;&gt;'Master Data'!$B$8,CONCATENATE(",",CHAR(10),"for ",Table9[[#This Row],[Duration (Years):]]," years"),"lifelong")</f>
        <v>#VALUE!</v>
      </c>
      <c r="AD28" s="166" t="str">
        <f t="shared" si="13"/>
        <v>x/</v>
      </c>
      <c r="AE28" s="166">
        <f t="shared" si="14"/>
        <v>0</v>
      </c>
    </row>
    <row r="29" spans="1:31" ht="14.25" x14ac:dyDescent="0.2">
      <c r="AA29" s="166" t="e">
        <f>IF(L32="lifetime", "one-time cost", IF(D32='Master Data'!$B$8, AD29 &amp; AE29, AD29 &amp; AE29 &amp; AC29))</f>
        <v>#VALUE!</v>
      </c>
      <c r="AB29" s="208" t="str">
        <f t="shared" si="12"/>
        <v>ongoing cost</v>
      </c>
      <c r="AC29" s="166" t="e">
        <f>IF(Table9[[#This Row],[Duration (Years):]]&lt;&gt;'Master Data'!$B$8,CONCATENATE(",",CHAR(10),"for ",Table9[[#This Row],[Duration (Years):]]," years"),"lifelong")</f>
        <v>#VALUE!</v>
      </c>
      <c r="AD29" s="166" t="str">
        <f t="shared" si="13"/>
        <v>x/</v>
      </c>
      <c r="AE29" s="166">
        <f t="shared" si="14"/>
        <v>0</v>
      </c>
    </row>
    <row r="30" spans="1:31" ht="14.25" x14ac:dyDescent="0.2">
      <c r="AA30" s="166" t="e">
        <f>IF(L33="lifetime", "one-time cost", IF(D33='Master Data'!$B$8, AD30 &amp; AE30, AD30 &amp; AE30 &amp; AC30))</f>
        <v>#VALUE!</v>
      </c>
      <c r="AB30" s="208" t="str">
        <f t="shared" si="12"/>
        <v>ongoing cost</v>
      </c>
      <c r="AC30" s="166" t="e">
        <f>IF(Table9[[#This Row],[Duration (Years):]]&lt;&gt;'Master Data'!$B$8,CONCATENATE(",",CHAR(10),"for ",Table9[[#This Row],[Duration (Years):]]," years"),"lifelong")</f>
        <v>#VALUE!</v>
      </c>
      <c r="AD30" s="166" t="str">
        <f t="shared" si="13"/>
        <v>x/</v>
      </c>
      <c r="AE30" s="166">
        <f t="shared" si="14"/>
        <v>0</v>
      </c>
    </row>
    <row r="31" spans="1:31" ht="14.25" x14ac:dyDescent="0.2">
      <c r="AA31" s="166" t="e">
        <f>IF(L34="lifetime", "one-time cost", IF(D34='Master Data'!$B$8, AD31 &amp; AE31, AD31 &amp; AE31 &amp; AC31))</f>
        <v>#VALUE!</v>
      </c>
      <c r="AB31" s="208" t="str">
        <f t="shared" si="12"/>
        <v>ongoing cost</v>
      </c>
      <c r="AC31" s="166" t="e">
        <f>IF(Table9[[#This Row],[Duration (Years):]]&lt;&gt;'Master Data'!$B$8,CONCATENATE(",",CHAR(10),"for ",Table9[[#This Row],[Duration (Years):]]," years"),"lifelong")</f>
        <v>#VALUE!</v>
      </c>
      <c r="AD31" s="166" t="str">
        <f t="shared" si="13"/>
        <v>x/</v>
      </c>
      <c r="AE31" s="166">
        <f t="shared" si="14"/>
        <v>0</v>
      </c>
    </row>
    <row r="32" spans="1:31" ht="14.25" x14ac:dyDescent="0.2">
      <c r="AA32" s="166" t="e">
        <f>IF(L35="lifetime", "one-time cost", IF(D35='Master Data'!$B$8, AD32 &amp; AE32, AD32 &amp; AE32 &amp; AC32))</f>
        <v>#VALUE!</v>
      </c>
      <c r="AB32" s="208" t="str">
        <f t="shared" si="12"/>
        <v>ongoing cost</v>
      </c>
      <c r="AC32" s="166" t="e">
        <f>IF(Table9[[#This Row],[Duration (Years):]]&lt;&gt;'Master Data'!$B$8,CONCATENATE(",",CHAR(10),"for ",Table9[[#This Row],[Duration (Years):]]," years"),"lifelong")</f>
        <v>#VALUE!</v>
      </c>
      <c r="AD32" s="166" t="str">
        <f t="shared" si="13"/>
        <v>x/</v>
      </c>
      <c r="AE32" s="166">
        <f t="shared" si="14"/>
        <v>0</v>
      </c>
    </row>
    <row r="33" spans="27:31" ht="14.25" x14ac:dyDescent="0.2">
      <c r="AA33" s="166" t="e">
        <f>IF(L36="lifetime", "one-time cost", IF(D36='Master Data'!$B$8, AD33 &amp; AE33, AD33 &amp; AE33 &amp; AC33))</f>
        <v>#VALUE!</v>
      </c>
      <c r="AB33" s="208" t="str">
        <f t="shared" si="12"/>
        <v>ongoing cost</v>
      </c>
      <c r="AC33" s="166" t="e">
        <f>IF(Table9[[#This Row],[Duration (Years):]]&lt;&gt;'Master Data'!$B$8,CONCATENATE(",",CHAR(10),"for ",Table9[[#This Row],[Duration (Years):]]," years"),"lifelong")</f>
        <v>#VALUE!</v>
      </c>
      <c r="AD33" s="166" t="str">
        <f t="shared" si="13"/>
        <v>x/</v>
      </c>
      <c r="AE33" s="166">
        <f t="shared" si="14"/>
        <v>0</v>
      </c>
    </row>
    <row r="34" spans="27:31" ht="14.25" x14ac:dyDescent="0.2">
      <c r="AA34" s="166" t="e">
        <f>IF(L37="lifetime", "one-time cost", IF(D37='Master Data'!$B$8, AD34 &amp; AE34, AD34 &amp; AE34 &amp; AC34))</f>
        <v>#VALUE!</v>
      </c>
      <c r="AB34" s="208" t="str">
        <f t="shared" si="12"/>
        <v>ongoing cost</v>
      </c>
      <c r="AC34" s="166" t="e">
        <f>IF(Table9[[#This Row],[Duration (Years):]]&lt;&gt;'Master Data'!$B$8,CONCATENATE(",",CHAR(10),"for ",Table9[[#This Row],[Duration (Years):]]," years"),"lifelong")</f>
        <v>#VALUE!</v>
      </c>
      <c r="AD34" s="166" t="str">
        <f t="shared" si="13"/>
        <v>x/</v>
      </c>
      <c r="AE34" s="166">
        <f t="shared" si="14"/>
        <v>0</v>
      </c>
    </row>
    <row r="35" spans="27:31" ht="14.25" x14ac:dyDescent="0.2">
      <c r="AA35" s="166" t="e">
        <f>IF(L38="lifetime", "one-time cost", IF(D38='Master Data'!$B$8, AD35 &amp; AE35, AD35 &amp; AE35 &amp; AC35))</f>
        <v>#VALUE!</v>
      </c>
      <c r="AB35" s="208" t="str">
        <f t="shared" si="12"/>
        <v>ongoing cost</v>
      </c>
      <c r="AC35" s="166" t="e">
        <f>IF(Table9[[#This Row],[Duration (Years):]]&lt;&gt;'Master Data'!$B$8,CONCATENATE(",",CHAR(10),"for ",Table9[[#This Row],[Duration (Years):]]," years"),"lifelong")</f>
        <v>#VALUE!</v>
      </c>
      <c r="AD35" s="166" t="str">
        <f t="shared" si="13"/>
        <v>x/</v>
      </c>
      <c r="AE35" s="166">
        <f t="shared" si="14"/>
        <v>0</v>
      </c>
    </row>
    <row r="36" spans="27:31" ht="14.25" x14ac:dyDescent="0.2">
      <c r="AA36" s="166" t="e">
        <f>IF(L39="lifetime", "one-time cost", IF(D39='Master Data'!$B$8, AD36 &amp; AE36, AD36 &amp; AE36 &amp; AC36))</f>
        <v>#VALUE!</v>
      </c>
      <c r="AB36" s="208" t="str">
        <f t="shared" si="12"/>
        <v>ongoing cost</v>
      </c>
      <c r="AC36" s="166" t="e">
        <f>IF(Table9[[#This Row],[Duration (Years):]]&lt;&gt;'Master Data'!$B$8,CONCATENATE(",",CHAR(10),"for ",Table9[[#This Row],[Duration (Years):]]," years"),"lifelong")</f>
        <v>#VALUE!</v>
      </c>
      <c r="AD36" s="166" t="str">
        <f t="shared" si="13"/>
        <v>x/</v>
      </c>
      <c r="AE36" s="166">
        <f t="shared" si="14"/>
        <v>0</v>
      </c>
    </row>
    <row r="37" spans="27:31" ht="14.25" x14ac:dyDescent="0.2">
      <c r="AA37" s="166" t="e">
        <f>IF(L40="lifetime", "one-time cost", IF(D40='Master Data'!$B$8, AD37 &amp; AE37, AD37 &amp; AE37 &amp; AC37))</f>
        <v>#VALUE!</v>
      </c>
      <c r="AB37" s="208" t="str">
        <f t="shared" si="12"/>
        <v>ongoing cost</v>
      </c>
      <c r="AC37" s="166" t="e">
        <f>IF(Table9[[#This Row],[Duration (Years):]]&lt;&gt;'Master Data'!$B$8,CONCATENATE(",",CHAR(10),"for ",Table9[[#This Row],[Duration (Years):]]," years"),"lifelong")</f>
        <v>#VALUE!</v>
      </c>
      <c r="AD37" s="166" t="str">
        <f t="shared" si="13"/>
        <v>x/</v>
      </c>
      <c r="AE37" s="166">
        <f t="shared" si="14"/>
        <v>0</v>
      </c>
    </row>
    <row r="38" spans="27:31" ht="14.25" x14ac:dyDescent="0.2">
      <c r="AA38" s="166" t="e">
        <f>IF(L41="lifetime", "one-time cost", IF(D41='Master Data'!$B$8, AD38 &amp; AE38, AD38 &amp; AE38 &amp; AC38))</f>
        <v>#VALUE!</v>
      </c>
      <c r="AB38" s="208" t="str">
        <f t="shared" si="12"/>
        <v>ongoing cost</v>
      </c>
      <c r="AC38" s="166" t="e">
        <f>IF(Table9[[#This Row],[Duration (Years):]]&lt;&gt;'Master Data'!$B$8,CONCATENATE(",",CHAR(10),"for ",Table9[[#This Row],[Duration (Years):]]," years"),"lifelong")</f>
        <v>#VALUE!</v>
      </c>
      <c r="AD38" s="166" t="str">
        <f t="shared" si="13"/>
        <v>x/</v>
      </c>
      <c r="AE38" s="166">
        <f t="shared" si="14"/>
        <v>0</v>
      </c>
    </row>
    <row r="39" spans="27:31" ht="14.25" x14ac:dyDescent="0.2">
      <c r="AA39" s="166" t="e">
        <f>IF(L42="lifetime", "one-time cost", IF(D42='Master Data'!$B$8, AD39 &amp; AE39, AD39 &amp; AE39 &amp; AC39))</f>
        <v>#VALUE!</v>
      </c>
      <c r="AB39" s="208" t="str">
        <f t="shared" si="12"/>
        <v>ongoing cost</v>
      </c>
      <c r="AC39" s="166" t="e">
        <f>IF(Table9[[#This Row],[Duration (Years):]]&lt;&gt;'Master Data'!$B$8,CONCATENATE(",",CHAR(10),"for ",Table9[[#This Row],[Duration (Years):]]," years"),"lifelong")</f>
        <v>#VALUE!</v>
      </c>
      <c r="AD39" s="166" t="str">
        <f t="shared" si="13"/>
        <v>x/</v>
      </c>
      <c r="AE39" s="166">
        <f t="shared" si="14"/>
        <v>0</v>
      </c>
    </row>
    <row r="40" spans="27:31" ht="14.25" x14ac:dyDescent="0.2">
      <c r="AA40" s="166" t="e">
        <f>IF(L43="lifetime", "one-time cost", IF(D43='Master Data'!$B$8, AD40 &amp; AE40, AD40 &amp; AE40 &amp; AC40))</f>
        <v>#VALUE!</v>
      </c>
      <c r="AB40" s="208" t="str">
        <f t="shared" si="12"/>
        <v>ongoing cost</v>
      </c>
      <c r="AC40" s="166" t="e">
        <f>IF(Table9[[#This Row],[Duration (Years):]]&lt;&gt;'Master Data'!$B$8,CONCATENATE(",",CHAR(10),"for ",Table9[[#This Row],[Duration (Years):]]," years"),"lifelong")</f>
        <v>#VALUE!</v>
      </c>
      <c r="AD40" s="166" t="str">
        <f t="shared" si="13"/>
        <v>x/</v>
      </c>
      <c r="AE40" s="166">
        <f t="shared" si="14"/>
        <v>0</v>
      </c>
    </row>
    <row r="41" spans="27:31" ht="14.25" x14ac:dyDescent="0.2">
      <c r="AA41" s="166" t="e">
        <f>IF(L44="lifetime", "one-time cost", IF(D44='Master Data'!$B$8, AD41 &amp; AE41, AD41 &amp; AE41 &amp; AC41))</f>
        <v>#VALUE!</v>
      </c>
      <c r="AB41" s="208" t="str">
        <f t="shared" si="12"/>
        <v>ongoing cost</v>
      </c>
      <c r="AC41" s="166" t="e">
        <f>IF(Table9[[#This Row],[Duration (Years):]]&lt;&gt;'Master Data'!$B$8,CONCATENATE(",",CHAR(10),"for ",Table9[[#This Row],[Duration (Years):]]," years"),"lifelong")</f>
        <v>#VALUE!</v>
      </c>
      <c r="AD41" s="166" t="str">
        <f t="shared" si="13"/>
        <v>x/</v>
      </c>
      <c r="AE41" s="166">
        <f t="shared" si="14"/>
        <v>0</v>
      </c>
    </row>
    <row r="42" spans="27:31" ht="14.25" x14ac:dyDescent="0.2">
      <c r="AA42" s="166" t="e">
        <f>IF(L45="lifetime", "one-time cost", IF(D45='Master Data'!$B$8, AD42 &amp; AE42, AD42 &amp; AE42 &amp; AC42))</f>
        <v>#VALUE!</v>
      </c>
      <c r="AB42" s="208" t="str">
        <f t="shared" si="12"/>
        <v>ongoing cost</v>
      </c>
      <c r="AC42" s="166" t="e">
        <f>IF(Table9[[#This Row],[Duration (Years):]]&lt;&gt;'Master Data'!$B$8,CONCATENATE(",",CHAR(10),"for ",Table9[[#This Row],[Duration (Years):]]," years"),"lifelong")</f>
        <v>#VALUE!</v>
      </c>
      <c r="AD42" s="166" t="str">
        <f t="shared" si="13"/>
        <v>x/</v>
      </c>
      <c r="AE42" s="166">
        <f t="shared" si="14"/>
        <v>0</v>
      </c>
    </row>
    <row r="43" spans="27:31" ht="14.25" x14ac:dyDescent="0.2">
      <c r="AA43" s="166" t="e">
        <f>IF(L46="lifetime", "one-time cost", IF(D46='Master Data'!$B$8, AD43 &amp; AE43, AD43 &amp; AE43 &amp; AC43))</f>
        <v>#VALUE!</v>
      </c>
      <c r="AB43" s="208" t="str">
        <f t="shared" si="12"/>
        <v>ongoing cost</v>
      </c>
      <c r="AC43" s="166" t="e">
        <f>IF(Table9[[#This Row],[Duration (Years):]]&lt;&gt;'Master Data'!$B$8,CONCATENATE(",",CHAR(10),"for ",Table9[[#This Row],[Duration (Years):]]," years"),"lifelong")</f>
        <v>#VALUE!</v>
      </c>
      <c r="AD43" s="166" t="str">
        <f t="shared" si="13"/>
        <v>x/</v>
      </c>
      <c r="AE43" s="166">
        <f t="shared" si="14"/>
        <v>0</v>
      </c>
    </row>
    <row r="44" spans="27:31" ht="14.25" x14ac:dyDescent="0.2">
      <c r="AA44" s="166" t="e">
        <f>IF(L47="lifetime", "one-time cost", IF(D47='Master Data'!$B$8, AD44 &amp; AE44, AD44 &amp; AE44 &amp; AC44))</f>
        <v>#VALUE!</v>
      </c>
      <c r="AB44" s="208" t="str">
        <f t="shared" si="12"/>
        <v>ongoing cost</v>
      </c>
      <c r="AC44" s="166" t="e">
        <f>IF(Table9[[#This Row],[Duration (Years):]]&lt;&gt;'Master Data'!$B$8,CONCATENATE(",",CHAR(10),"for ",Table9[[#This Row],[Duration (Years):]]," years"),"lifelong")</f>
        <v>#VALUE!</v>
      </c>
      <c r="AD44" s="166" t="str">
        <f t="shared" si="13"/>
        <v>x/</v>
      </c>
      <c r="AE44" s="166">
        <f t="shared" si="14"/>
        <v>0</v>
      </c>
    </row>
    <row r="45" spans="27:31" ht="14.25" x14ac:dyDescent="0.2">
      <c r="AA45" s="166" t="e">
        <f>IF(L48="lifetime", "one-time cost", IF(D48='Master Data'!$B$8, AD45 &amp; AE45, AD45 &amp; AE45 &amp; AC45))</f>
        <v>#VALUE!</v>
      </c>
      <c r="AB45" s="208" t="str">
        <f t="shared" si="12"/>
        <v>ongoing cost</v>
      </c>
      <c r="AC45" s="166" t="e">
        <f>IF(Table9[[#This Row],[Duration (Years):]]&lt;&gt;'Master Data'!$B$8,CONCATENATE(",",CHAR(10),"for ",Table9[[#This Row],[Duration (Years):]]," years"),"lifelong")</f>
        <v>#VALUE!</v>
      </c>
      <c r="AD45" s="166" t="str">
        <f t="shared" si="13"/>
        <v>x/</v>
      </c>
      <c r="AE45" s="166">
        <f t="shared" si="14"/>
        <v>0</v>
      </c>
    </row>
    <row r="46" spans="27:31" ht="14.25" x14ac:dyDescent="0.2">
      <c r="AA46" s="166" t="e">
        <f>IF(L49="lifetime", "one-time cost", IF(D49='Master Data'!$B$8, AD46 &amp; AE46, AD46 &amp; AE46 &amp; AC46))</f>
        <v>#VALUE!</v>
      </c>
      <c r="AB46" s="208" t="str">
        <f t="shared" si="12"/>
        <v>ongoing cost</v>
      </c>
      <c r="AC46" s="166" t="e">
        <f>IF(Table9[[#This Row],[Duration (Years):]]&lt;&gt;'Master Data'!$B$8,CONCATENATE(",",CHAR(10),"for ",Table9[[#This Row],[Duration (Years):]]," years"),"lifelong")</f>
        <v>#VALUE!</v>
      </c>
      <c r="AD46" s="166" t="str">
        <f t="shared" si="13"/>
        <v>x/</v>
      </c>
      <c r="AE46" s="166">
        <f t="shared" si="14"/>
        <v>0</v>
      </c>
    </row>
    <row r="47" spans="27:31" ht="14.25" x14ac:dyDescent="0.2">
      <c r="AA47" s="166" t="e">
        <f>IF(L50="lifetime", "one-time cost", IF(D50='Master Data'!$B$8, AD47 &amp; AE47, AD47 &amp; AE47 &amp; AC47))</f>
        <v>#VALUE!</v>
      </c>
      <c r="AB47" s="208" t="str">
        <f t="shared" si="12"/>
        <v>ongoing cost</v>
      </c>
      <c r="AC47" s="166" t="e">
        <f>IF(Table9[[#This Row],[Duration (Years):]]&lt;&gt;'Master Data'!$B$8,CONCATENATE(",",CHAR(10),"for ",Table9[[#This Row],[Duration (Years):]]," years"),"lifelong")</f>
        <v>#VALUE!</v>
      </c>
      <c r="AD47" s="166" t="str">
        <f t="shared" si="13"/>
        <v>x/</v>
      </c>
      <c r="AE47" s="166">
        <f t="shared" si="14"/>
        <v>0</v>
      </c>
    </row>
    <row r="48" spans="27:31" ht="14.25" x14ac:dyDescent="0.2">
      <c r="AA48" s="166" t="e">
        <f>IF(L51="lifetime", "one-time cost", IF(D51='Master Data'!$B$8, AD48 &amp; AE48, AD48 &amp; AE48 &amp; AC48))</f>
        <v>#VALUE!</v>
      </c>
      <c r="AB48" s="208" t="str">
        <f t="shared" si="12"/>
        <v>ongoing cost</v>
      </c>
      <c r="AC48" s="166" t="e">
        <f>IF(Table9[[#This Row],[Duration (Years):]]&lt;&gt;'Master Data'!$B$8,CONCATENATE(",",CHAR(10),"for ",Table9[[#This Row],[Duration (Years):]]," years"),"lifelong")</f>
        <v>#VALUE!</v>
      </c>
      <c r="AD48" s="166" t="str">
        <f t="shared" si="13"/>
        <v>x/</v>
      </c>
      <c r="AE48" s="166">
        <f t="shared" si="14"/>
        <v>0</v>
      </c>
    </row>
    <row r="49" spans="27:31" ht="14.25" x14ac:dyDescent="0.2">
      <c r="AA49" s="166" t="e">
        <f>IF(L52="lifetime", "one-time cost", IF(D52='Master Data'!$B$8, AD49 &amp; AE49, AD49 &amp; AE49 &amp; AC49))</f>
        <v>#VALUE!</v>
      </c>
      <c r="AB49" s="208" t="str">
        <f t="shared" si="12"/>
        <v>ongoing cost</v>
      </c>
      <c r="AC49" s="166" t="e">
        <f>IF(Table9[[#This Row],[Duration (Years):]]&lt;&gt;'Master Data'!$B$8,CONCATENATE(",",CHAR(10),"for ",Table9[[#This Row],[Duration (Years):]]," years"),"lifelong")</f>
        <v>#VALUE!</v>
      </c>
      <c r="AD49" s="166" t="str">
        <f t="shared" si="13"/>
        <v>x/</v>
      </c>
      <c r="AE49" s="166">
        <f t="shared" si="14"/>
        <v>0</v>
      </c>
    </row>
    <row r="50" spans="27:31" ht="14.25" x14ac:dyDescent="0.2">
      <c r="AA50" s="166" t="e">
        <f>IF(L53="lifetime", "one-time cost", IF(D53='Master Data'!$B$8, AD50 &amp; AE50, AD50 &amp; AE50 &amp; AC50))</f>
        <v>#VALUE!</v>
      </c>
      <c r="AB50" s="208" t="str">
        <f t="shared" si="12"/>
        <v>ongoing cost</v>
      </c>
      <c r="AC50" s="166" t="e">
        <f>IF(Table9[[#This Row],[Duration (Years):]]&lt;&gt;'Master Data'!$B$8,CONCATENATE(",",CHAR(10),"for ",Table9[[#This Row],[Duration (Years):]]," years"),"lifelong")</f>
        <v>#VALUE!</v>
      </c>
      <c r="AD50" s="166" t="str">
        <f t="shared" si="13"/>
        <v>x/</v>
      </c>
      <c r="AE50" s="166">
        <f t="shared" si="14"/>
        <v>0</v>
      </c>
    </row>
    <row r="51" spans="27:31" ht="14.25" x14ac:dyDescent="0.2">
      <c r="AA51" s="166" t="e">
        <f>IF(L54="lifetime", "one-time cost", IF(D54='Master Data'!$B$8, AD51 &amp; AE51, AD51 &amp; AE51 &amp; AC51))</f>
        <v>#VALUE!</v>
      </c>
      <c r="AB51" s="208" t="str">
        <f t="shared" si="12"/>
        <v>ongoing cost</v>
      </c>
      <c r="AC51" s="166" t="e">
        <f>IF(Table9[[#This Row],[Duration (Years):]]&lt;&gt;'Master Data'!$B$8,CONCATENATE(",",CHAR(10),"for ",Table9[[#This Row],[Duration (Years):]]," years"),"lifelong")</f>
        <v>#VALUE!</v>
      </c>
      <c r="AD51" s="166" t="str">
        <f t="shared" si="13"/>
        <v>x/</v>
      </c>
      <c r="AE51" s="166">
        <f t="shared" si="14"/>
        <v>0</v>
      </c>
    </row>
    <row r="52" spans="27:31" ht="14.25" x14ac:dyDescent="0.2">
      <c r="AA52" s="166" t="e">
        <f>IF(L55="lifetime", "one-time cost", IF(D55='Master Data'!$B$8, AD52 &amp; AE52, AD52 &amp; AE52 &amp; AC52))</f>
        <v>#VALUE!</v>
      </c>
      <c r="AB52" s="208" t="str">
        <f t="shared" si="12"/>
        <v>ongoing cost</v>
      </c>
      <c r="AC52" s="166" t="e">
        <f>IF(Table9[[#This Row],[Duration (Years):]]&lt;&gt;'Master Data'!$B$8,CONCATENATE(",",CHAR(10),"for ",Table9[[#This Row],[Duration (Years):]]," years"),"lifelong")</f>
        <v>#VALUE!</v>
      </c>
      <c r="AD52" s="166" t="str">
        <f t="shared" si="13"/>
        <v>x/</v>
      </c>
      <c r="AE52" s="166">
        <f t="shared" si="14"/>
        <v>0</v>
      </c>
    </row>
  </sheetData>
  <sortState xmlns:xlrd2="http://schemas.microsoft.com/office/spreadsheetml/2017/richdata2" ref="A3:S5">
    <sortCondition ref="D3"/>
    <sortCondition ref="A3"/>
  </sortState>
  <mergeCells count="3">
    <mergeCell ref="A1:S1"/>
    <mergeCell ref="A16:M16"/>
    <mergeCell ref="V3:W3"/>
  </mergeCells>
  <dataValidations count="2">
    <dataValidation allowBlank="1" showInputMessage="1" showErrorMessage="1" prompt="Cost per unit._x000a__x000a_This column holds the low end of the range." sqref="E3" xr:uid="{86FCCFD1-A95A-49F3-9D6F-7FA65D475B7B}"/>
    <dataValidation allowBlank="1" showInputMessage="1" showErrorMessage="1" prompt="Cost per unit._x000a__x000a_This column holds the high end of the range." sqref="F3" xr:uid="{BA1F88BA-BDD6-404F-B28D-F9E5F6C8C817}"/>
  </dataValidations>
  <hyperlinks>
    <hyperlink ref="V3" location="Procedure1!A1" display="Link to copy/paste table here" xr:uid="{E75A26AB-BEBB-4F7F-B9FB-010E653D0FB3}"/>
    <hyperlink ref="V3:W3" location="Procedure3!A1" display="Link to copy/paste table here" xr:uid="{E1F7B357-996D-4FB7-ABFA-1547304BEE60}"/>
  </hyperlinks>
  <pageMargins left="0.25" right="0.25" top="0.75" bottom="0.75" header="0.3" footer="0.3"/>
  <pageSetup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50"/>
  <sheetViews>
    <sheetView workbookViewId="0">
      <selection sqref="A1:S1"/>
    </sheetView>
  </sheetViews>
  <sheetFormatPr defaultColWidth="9.140625" defaultRowHeight="12.75" x14ac:dyDescent="0.2"/>
  <cols>
    <col min="1" max="1" width="19.7109375" style="10" customWidth="1"/>
    <col min="2" max="3" width="9.7109375" style="11" hidden="1" customWidth="1"/>
    <col min="4" max="4" width="13.42578125" style="11" customWidth="1"/>
    <col min="5" max="6" width="13.28515625" style="9" customWidth="1"/>
    <col min="7" max="7" width="15.7109375" style="12" hidden="1" customWidth="1"/>
    <col min="8" max="11" width="8.7109375" style="13" customWidth="1"/>
    <col min="12" max="12" width="10.85546875" style="10" customWidth="1"/>
    <col min="13" max="13" width="17.7109375" style="14" customWidth="1"/>
    <col min="14" max="15" width="12.28515625" style="9" hidden="1" customWidth="1"/>
    <col min="16" max="16" width="14.7109375" style="15" customWidth="1"/>
    <col min="17" max="18" width="12.28515625" style="9" hidden="1" customWidth="1"/>
    <col min="19" max="19" width="14.7109375" style="15" customWidth="1"/>
    <col min="20" max="20" width="9.140625" style="8"/>
    <col min="21" max="21" width="9.140625" style="8" hidden="1" customWidth="1"/>
    <col min="22" max="26" width="9.140625" style="8"/>
    <col min="27" max="31" width="9.140625" style="8" hidden="1" customWidth="1"/>
    <col min="32" max="16384" width="9.140625" style="8"/>
  </cols>
  <sheetData>
    <row r="1" spans="1:31" ht="30" customHeight="1" thickTop="1" x14ac:dyDescent="0.2">
      <c r="A1" s="340" t="s">
        <v>126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2"/>
    </row>
    <row r="2" spans="1:31" s="72" customFormat="1" ht="57.75" thickBot="1" x14ac:dyDescent="0.3">
      <c r="A2" s="105" t="s">
        <v>33</v>
      </c>
      <c r="B2" s="106" t="s">
        <v>15</v>
      </c>
      <c r="C2" s="106" t="s">
        <v>16</v>
      </c>
      <c r="D2" s="106" t="s">
        <v>17</v>
      </c>
      <c r="E2" s="107" t="s">
        <v>18</v>
      </c>
      <c r="F2" s="107" t="s">
        <v>19</v>
      </c>
      <c r="G2" s="107" t="s">
        <v>29</v>
      </c>
      <c r="H2" s="108" t="s">
        <v>20</v>
      </c>
      <c r="I2" s="108" t="s">
        <v>21</v>
      </c>
      <c r="J2" s="108" t="s">
        <v>22</v>
      </c>
      <c r="K2" s="108" t="s">
        <v>23</v>
      </c>
      <c r="L2" s="109" t="s">
        <v>24</v>
      </c>
      <c r="M2" s="109" t="s">
        <v>30</v>
      </c>
      <c r="N2" s="107" t="s">
        <v>25</v>
      </c>
      <c r="O2" s="107" t="s">
        <v>26</v>
      </c>
      <c r="P2" s="109" t="s">
        <v>31</v>
      </c>
      <c r="Q2" s="107" t="s">
        <v>27</v>
      </c>
      <c r="R2" s="107" t="s">
        <v>28</v>
      </c>
      <c r="S2" s="110" t="s">
        <v>34</v>
      </c>
      <c r="U2" s="7" t="s">
        <v>48</v>
      </c>
      <c r="AA2" s="207" t="s">
        <v>148</v>
      </c>
      <c r="AB2" s="207" t="s">
        <v>144</v>
      </c>
      <c r="AC2" s="207" t="s">
        <v>145</v>
      </c>
      <c r="AD2" s="207" t="s">
        <v>146</v>
      </c>
      <c r="AE2" s="207" t="s">
        <v>147</v>
      </c>
    </row>
    <row r="3" spans="1:31" s="72" customFormat="1" ht="47.25" customHeight="1" thickTop="1" x14ac:dyDescent="0.25">
      <c r="A3" s="34"/>
      <c r="B3" s="35">
        <f ca="1">'Master Data'!$B$6</f>
        <v>126.3</v>
      </c>
      <c r="C3" s="35">
        <f ca="1">'Master Data'!$B$7</f>
        <v>136.30000000000001</v>
      </c>
      <c r="D3" s="35">
        <f ca="1">ROUND(C3-B3,1)</f>
        <v>10</v>
      </c>
      <c r="E3" s="128" cm="1">
        <f t="array" ref="E3">IF(
  $A3="Single Lung Transplant",
  _xlfn.XLOOKUP(1,'Cost Data Sheet'!$A$2:$A$1006,'Cost Data Sheet'!$F$2:$F$1006),
  IF(
    $A3="Double Lung Transplant",
    _xlfn.XLOOKUP(2,'Cost Data Sheet'!$A$2:$A$1006,'Cost Data Sheet'!$F$2:$F$1006),
    SUMPRODUCT(
      ('Service to CPT Map'!$A$2:$A$1017=$A3) *
      ('Service to CPT Map'!$B$2:$B$1017="Low") *
      _xlfn.XLOOKUP(
        'Service to CPT Map'!$C$2:$C$1017,
        'Cost Data Sheet'!$A$2:$A$1006,
        'Cost Data Sheet'!$B$2:$B$1006,
        0
      )
    )
  )
)</f>
        <v>0</v>
      </c>
      <c r="F3" s="128" cm="1">
        <f t="array" ref="F3">IF(
  OR($A3="Single Lung Transplant",$A3="Double Lung Transplant"),
  E3,
  SUMPRODUCT(
    ('Service to CPT Map'!$A$2:$A$1017=$A3)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Map'!$A$2:$A$1017=$A3)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Map'!$A$2:$A$1017=$A3)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3" s="37" t="str">
        <f t="shared" ref="G3:G12" si="0">IF(E3&lt;F3,CONCATENATE(TEXT(E3,"$#,##0.00"),CHAR(10)," - ",CHAR(10),TEXT(F3,"$#,##0.00")),TEXT(E3,"$#,##0.00"))</f>
        <v>$0.00</v>
      </c>
      <c r="H3" s="38"/>
      <c r="I3" s="38"/>
      <c r="J3" s="38"/>
      <c r="K3" s="38"/>
      <c r="L3" s="48" t="str">
        <f t="shared" ref="L3:L12" si="1">IF(LEN(K3)=0,IF(LEN(J3)=0,"lifetime",IF(J3=1,"year","years")),"years")</f>
        <v>lifetime</v>
      </c>
      <c r="M3" s="39" t="str">
        <f>IF(L3="lifetime",
    IF(I3&lt;&gt;"", H3 &amp; "-" &amp; I3 &amp; "x/lifetime", H3 &amp; "x/lifetime"),
    IF(D3='Master Data'!$B$8, AD3 &amp; AE3, AD3 &amp; AE3 &amp; AC3))</f>
        <v>x/lifetime</v>
      </c>
      <c r="N3" s="36">
        <f t="shared" ref="N3:N12" si="2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3" s="36">
        <f t="shared" ref="O3:O12" si="3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3" s="49" t="str">
        <f>IF(N3&lt;O3,CONCATENATE(TEXT(N3,"$#,##0.00"),CHAR(10)," - ",CHAR(10),TEXT(O3,"$#,##0.00")),TEXT(N3,"$0.00"))</f>
        <v>$0.00</v>
      </c>
      <c r="Q3" s="36">
        <f t="shared" ref="Q3:Q12" si="4">ROUND(IF(TimeValue="lifetime",MinCost*MinFreq,0),2)</f>
        <v>0</v>
      </c>
      <c r="R3" s="36">
        <f t="shared" ref="R3:R12" si="5">ROUND(IF(AND(TimeValue="lifetime",MaxFreq&lt;1),MinFreq*MaxCost,IF(AND(TimeValue="lifetime",MaxFreq&gt;=1),MaxFreq*MaxCost,0)),2)</f>
        <v>0</v>
      </c>
      <c r="S3" s="50" t="str">
        <f t="shared" ref="S3:S12" si="6">IF(Q3&lt;R3,CONCATENATE(TEXT(Q3,"$#,##0.00"),CHAR(10)," - ",CHAR(10),TEXT(R3,"$#,##0.00")),TEXT(Q3,"$0.00"))</f>
        <v>$0.00</v>
      </c>
      <c r="U3" s="7"/>
      <c r="V3" s="345" t="s">
        <v>133</v>
      </c>
      <c r="W3" s="345"/>
      <c r="AA3" s="166" t="str">
        <f>IF(L3="lifetime", "one-time cost", IF(D3='Master Data'!$B$8, AD3 &amp; AE3, AD3 &amp; AE3 &amp; AC3))</f>
        <v>one-time cost</v>
      </c>
      <c r="AB3" s="208" t="str">
        <f>IF(L3="lifetime", IF(I3&lt;&gt;"", H3 &amp; "-" &amp; I3 &amp; "x/lifetime", H3 &amp; "x/lifetime"), "ongoing cost")</f>
        <v>x/lifetime</v>
      </c>
      <c r="AC3" s="166" t="str">
        <f ca="1">IF(Table11[[#This Row],[Duration (Years):]]&lt;&gt;'Master Data'!$B$8,CONCATENATE(",",CHAR(10),"for ",Table11[[#This Row],[Duration (Years):]]," years"),"lifelong")</f>
        <v>lifelong</v>
      </c>
      <c r="AD3" s="166" t="str">
        <f>IF(L3="lifetime", "one-time cost", IF(I3&lt;&gt;"", H3 &amp; "-" &amp; I3 &amp; "x/", H3 &amp; "x/"))</f>
        <v>one-time cost</v>
      </c>
      <c r="AE3" s="166" t="str">
        <f>IF(L3="lifetime", "one-time cost", IF(K3&lt;&gt;"", J3 &amp; "-" &amp; K3 &amp; " " &amp; L3, IF(J3&gt;1, J3 &amp; " " &amp; L3, L3)))</f>
        <v>one-time cost</v>
      </c>
    </row>
    <row r="4" spans="1:31" ht="47.25" customHeight="1" x14ac:dyDescent="0.2">
      <c r="A4" s="28"/>
      <c r="B4" s="29">
        <f ca="1">'Master Data'!$B$6</f>
        <v>126.3</v>
      </c>
      <c r="C4" s="29">
        <f ca="1">'Master Data'!$B$7</f>
        <v>136.30000000000001</v>
      </c>
      <c r="D4" s="29">
        <f t="shared" ref="D4:D9" ca="1" si="7">ROUND(C4-B4,1)</f>
        <v>10</v>
      </c>
      <c r="E4" s="30" cm="1">
        <f t="array" ref="E4">IF(
  $A4="Single Lung Transplant",
  _xlfn.XLOOKUP(1,'Cost Data Sheet'!$A$2:$A$1006,'Cost Data Sheet'!$F$2:$F$1006),
  IF(
    $A4="Double Lung Transplant",
    _xlfn.XLOOKUP(2,'Cost Data Sheet'!$A$2:$A$1006,'Cost Data Sheet'!$F$2:$F$1006),
    SUMPRODUCT(
      ('Service to CPT Map'!$A$2:$A$1017=$A4) *
      ('Service to CPT Map'!$B$2:$B$1017="Low") *
      _xlfn.XLOOKUP(
        'Service to CPT Map'!$C$2:$C$1017,
        'Cost Data Sheet'!$A$2:$A$1006,
        'Cost Data Sheet'!$B$2:$B$1006,
        0
      )
    )
  )
)</f>
        <v>0</v>
      </c>
      <c r="F4" s="30" cm="1">
        <f t="array" ref="F4">IF(
  OR($A4="Single Lung Transplant",$A4="Double Lung Transplant"),
  E4,
  SUMPRODUCT(
    ('Service to CPT Map'!$A$2:$A$1017=$A4)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Map'!$A$2:$A$1017=$A4)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Map'!$A$2:$A$1017=$A4)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4" s="31" t="str">
        <f t="shared" si="0"/>
        <v>$0.00</v>
      </c>
      <c r="H4" s="32"/>
      <c r="I4" s="32"/>
      <c r="J4" s="32"/>
      <c r="K4" s="32"/>
      <c r="L4" s="51" t="str">
        <f t="shared" si="1"/>
        <v>lifetime</v>
      </c>
      <c r="M4" s="33" t="str">
        <f>IF(L4="lifetime",
    IF(I4&lt;&gt;"", H4 &amp; "-" &amp; I4 &amp; "x/lifetime", H4 &amp; "x/lifetime"),
    IF(D4='Master Data'!$B$8, AD4 &amp; AE4, AD4 &amp; AE4 &amp; AC4))</f>
        <v>x/lifetime</v>
      </c>
      <c r="N4" s="30">
        <f t="shared" si="2"/>
        <v>0</v>
      </c>
      <c r="O4" s="30">
        <f t="shared" si="3"/>
        <v>0</v>
      </c>
      <c r="P4" s="52" t="str">
        <f t="shared" ref="P4:P12" si="8">IF(N4&lt;O4,CONCATENATE(TEXT(N4,"$#,##0.00"),CHAR(10)," - ",CHAR(10),TEXT(O4,"$#,##0.00")),TEXT(N4,"$0.00"))</f>
        <v>$0.00</v>
      </c>
      <c r="Q4" s="30">
        <f t="shared" si="4"/>
        <v>0</v>
      </c>
      <c r="R4" s="30">
        <f t="shared" si="5"/>
        <v>0</v>
      </c>
      <c r="S4" s="53" t="str">
        <f t="shared" si="6"/>
        <v>$0.00</v>
      </c>
      <c r="U4" s="8" t="str">
        <f t="array" aca="1" ref="U4" ca="1">IF(AND(ROUND(Table11[Duration (Years):],1)='Master Data'!$B$8),"same","different")</f>
        <v>same</v>
      </c>
      <c r="AA4" s="166" t="str">
        <f>IF(L4="lifetime", "one-time cost", IF(D4='Master Data'!$B$8, AD4 &amp; AE4, AD4 &amp; AE4 &amp; AC4))</f>
        <v>one-time cost</v>
      </c>
      <c r="AB4" s="208" t="str">
        <f t="shared" ref="AB4:AB12" si="9">IF(L4="lifetime", IF(I4&lt;&gt;"", H4 &amp; "-" &amp; I4 &amp; "x/lifetime", H4 &amp; "x/lifetime"), "ongoing cost")</f>
        <v>x/lifetime</v>
      </c>
      <c r="AC4" s="166" t="str">
        <f ca="1">IF(Table11[[#This Row],[Duration (Years):]]&lt;&gt;'Master Data'!$B$8,CONCATENATE(",",CHAR(10),"for ",Table11[[#This Row],[Duration (Years):]]," years"),"lifelong")</f>
        <v>lifelong</v>
      </c>
      <c r="AD4" s="166" t="str">
        <f t="shared" ref="AD4:AD12" si="10">IF(L4="lifetime", "one-time cost", IF(I4&lt;&gt;"", H4 &amp; "-" &amp; I4 &amp; "x/", H4 &amp; "x/"))</f>
        <v>one-time cost</v>
      </c>
      <c r="AE4" s="166" t="str">
        <f t="shared" ref="AE4:AE12" si="11">IF(L4="lifetime", "one-time cost", IF(K4&lt;&gt;"", J4 &amp; "-" &amp; K4 &amp; " " &amp; L4, IF(J4&gt;1, J4 &amp; " " &amp; L4, L4)))</f>
        <v>one-time cost</v>
      </c>
    </row>
    <row r="5" spans="1:31" ht="47.25" customHeight="1" x14ac:dyDescent="0.2">
      <c r="A5" s="28"/>
      <c r="B5" s="29">
        <f ca="1">'Master Data'!$B$6</f>
        <v>126.3</v>
      </c>
      <c r="C5" s="29">
        <f ca="1">'Master Data'!$B$7</f>
        <v>136.30000000000001</v>
      </c>
      <c r="D5" s="29">
        <f t="shared" ca="1" si="7"/>
        <v>10</v>
      </c>
      <c r="E5" s="30" cm="1">
        <f t="array" ref="E5">IF(
  $A5="Single Lung Transplant",
  _xlfn.XLOOKUP(1,'Cost Data Sheet'!$A$2:$A$1006,'Cost Data Sheet'!$F$2:$F$1006),
  IF(
    $A5="Double Lung Transplant",
    _xlfn.XLOOKUP(2,'Cost Data Sheet'!$A$2:$A$1006,'Cost Data Sheet'!$F$2:$F$1006),
    SUMPRODUCT(
      ('Service to CPT Map'!$A$2:$A$1017=$A5) *
      ('Service to CPT Map'!$B$2:$B$1017="Low") *
      _xlfn.XLOOKUP(
        'Service to CPT Map'!$C$2:$C$1017,
        'Cost Data Sheet'!$A$2:$A$1006,
        'Cost Data Sheet'!$B$2:$B$1006,
        0
      )
    )
  )
)</f>
        <v>0</v>
      </c>
      <c r="F5" s="30" cm="1">
        <f t="array" ref="F5">IF(
  OR($A5="Single Lung Transplant",$A5="Double Lung Transplant"),
  E5,
  SUMPRODUCT(
    ('Service to CPT Map'!$A$2:$A$1017=$A5)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Map'!$A$2:$A$1017=$A5)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Map'!$A$2:$A$1017=$A5)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5" s="31" t="str">
        <f t="shared" si="0"/>
        <v>$0.00</v>
      </c>
      <c r="H5" s="32"/>
      <c r="I5" s="32"/>
      <c r="J5" s="32"/>
      <c r="K5" s="32"/>
      <c r="L5" s="51" t="str">
        <f t="shared" si="1"/>
        <v>lifetime</v>
      </c>
      <c r="M5" s="33" t="str">
        <f>IF(L5="lifetime",
    IF(I5&lt;&gt;"", H5 &amp; "-" &amp; I5 &amp; "x/lifetime", H5 &amp; "x/lifetime"),
    IF(D5='Master Data'!$B$8, AD5 &amp; AE5, AD5 &amp; AE5 &amp; AC5))</f>
        <v>x/lifetime</v>
      </c>
      <c r="N5" s="30">
        <f t="shared" si="2"/>
        <v>0</v>
      </c>
      <c r="O5" s="30">
        <f t="shared" si="3"/>
        <v>0</v>
      </c>
      <c r="P5" s="52" t="str">
        <f t="shared" si="8"/>
        <v>$0.00</v>
      </c>
      <c r="Q5" s="30">
        <f t="shared" si="4"/>
        <v>0</v>
      </c>
      <c r="R5" s="30">
        <f t="shared" si="5"/>
        <v>0</v>
      </c>
      <c r="S5" s="53" t="str">
        <f t="shared" si="6"/>
        <v>$0.00</v>
      </c>
      <c r="AA5" s="166" t="str">
        <f>IF(L5="lifetime", "one-time cost", IF(D5='Master Data'!$B$8, AD5 &amp; AE5, AD5 &amp; AE5 &amp; AC5))</f>
        <v>one-time cost</v>
      </c>
      <c r="AB5" s="208" t="str">
        <f t="shared" si="9"/>
        <v>x/lifetime</v>
      </c>
      <c r="AC5" s="166" t="str">
        <f ca="1">IF(Table11[[#This Row],[Duration (Years):]]&lt;&gt;'Master Data'!$B$8,CONCATENATE(",",CHAR(10),"for ",Table11[[#This Row],[Duration (Years):]]," years"),"lifelong")</f>
        <v>lifelong</v>
      </c>
      <c r="AD5" s="166" t="str">
        <f t="shared" si="10"/>
        <v>one-time cost</v>
      </c>
      <c r="AE5" s="166" t="str">
        <f t="shared" si="11"/>
        <v>one-time cost</v>
      </c>
    </row>
    <row r="6" spans="1:31" ht="47.25" customHeight="1" x14ac:dyDescent="0.2">
      <c r="A6" s="28"/>
      <c r="B6" s="29">
        <f ca="1">'Master Data'!$B$6</f>
        <v>126.3</v>
      </c>
      <c r="C6" s="29">
        <f ca="1">'Master Data'!$B$7</f>
        <v>136.30000000000001</v>
      </c>
      <c r="D6" s="29">
        <f t="shared" ca="1" si="7"/>
        <v>10</v>
      </c>
      <c r="E6" s="30" cm="1">
        <f t="array" ref="E6">IF(
  $A6="Single Lung Transplant",
  _xlfn.XLOOKUP(1,'Cost Data Sheet'!$A$2:$A$1006,'Cost Data Sheet'!$F$2:$F$1006),
  IF(
    $A6="Double Lung Transplant",
    _xlfn.XLOOKUP(2,'Cost Data Sheet'!$A$2:$A$1006,'Cost Data Sheet'!$F$2:$F$1006),
    SUMPRODUCT(
      ('Service to CPT Map'!$A$2:$A$1017=$A6) *
      ('Service to CPT Map'!$B$2:$B$1017="Low") *
      _xlfn.XLOOKUP(
        'Service to CPT Map'!$C$2:$C$1017,
        'Cost Data Sheet'!$A$2:$A$1006,
        'Cost Data Sheet'!$B$2:$B$1006,
        0
      )
    )
  )
)</f>
        <v>0</v>
      </c>
      <c r="F6" s="30" cm="1">
        <f t="array" ref="F6">IF(
  OR($A6="Single Lung Transplant",$A6="Double Lung Transplant"),
  E6,
  SUMPRODUCT(
    ('Service to CPT Map'!$A$2:$A$1017=$A6)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Map'!$A$2:$A$1017=$A6)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Map'!$A$2:$A$1017=$A6)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6" s="31" t="str">
        <f t="shared" si="0"/>
        <v>$0.00</v>
      </c>
      <c r="H6" s="32"/>
      <c r="I6" s="32"/>
      <c r="J6" s="32"/>
      <c r="K6" s="32"/>
      <c r="L6" s="51" t="str">
        <f t="shared" si="1"/>
        <v>lifetime</v>
      </c>
      <c r="M6" s="33" t="str">
        <f>IF(L6="lifetime",
    IF(I6&lt;&gt;"", H6 &amp; "-" &amp; I6 &amp; "x/lifetime", H6 &amp; "x/lifetime"),
    IF(D6='Master Data'!$B$8, AD6 &amp; AE6, AD6 &amp; AE6 &amp; AC6))</f>
        <v>x/lifetime</v>
      </c>
      <c r="N6" s="30">
        <f t="shared" si="2"/>
        <v>0</v>
      </c>
      <c r="O6" s="30">
        <f t="shared" si="3"/>
        <v>0</v>
      </c>
      <c r="P6" s="52" t="str">
        <f t="shared" si="8"/>
        <v>$0.00</v>
      </c>
      <c r="Q6" s="30">
        <f t="shared" si="4"/>
        <v>0</v>
      </c>
      <c r="R6" s="30">
        <f t="shared" si="5"/>
        <v>0</v>
      </c>
      <c r="S6" s="53" t="str">
        <f t="shared" si="6"/>
        <v>$0.00</v>
      </c>
      <c r="AA6" s="166" t="str">
        <f>IF(L6="lifetime", "one-time cost", IF(D6='Master Data'!$B$8, AD6 &amp; AE6, AD6 &amp; AE6 &amp; AC6))</f>
        <v>one-time cost</v>
      </c>
      <c r="AB6" s="208" t="str">
        <f t="shared" si="9"/>
        <v>x/lifetime</v>
      </c>
      <c r="AC6" s="166" t="str">
        <f ca="1">IF(Table11[[#This Row],[Duration (Years):]]&lt;&gt;'Master Data'!$B$8,CONCATENATE(",",CHAR(10),"for ",Table11[[#This Row],[Duration (Years):]]," years"),"lifelong")</f>
        <v>lifelong</v>
      </c>
      <c r="AD6" s="166" t="str">
        <f t="shared" si="10"/>
        <v>one-time cost</v>
      </c>
      <c r="AE6" s="166" t="str">
        <f t="shared" si="11"/>
        <v>one-time cost</v>
      </c>
    </row>
    <row r="7" spans="1:31" ht="47.25" customHeight="1" x14ac:dyDescent="0.2">
      <c r="A7" s="28"/>
      <c r="B7" s="29">
        <f ca="1">'Master Data'!$B$6</f>
        <v>126.3</v>
      </c>
      <c r="C7" s="29">
        <f ca="1">'Master Data'!$B$7</f>
        <v>136.30000000000001</v>
      </c>
      <c r="D7" s="29">
        <f t="shared" ca="1" si="7"/>
        <v>10</v>
      </c>
      <c r="E7" s="30" cm="1">
        <f t="array" ref="E7">IF(
  $A7="Single Lung Transplant",
  _xlfn.XLOOKUP(1,'Cost Data Sheet'!$A$2:$A$1006,'Cost Data Sheet'!$F$2:$F$1006),
  IF(
    $A7="Double Lung Transplant",
    _xlfn.XLOOKUP(2,'Cost Data Sheet'!$A$2:$A$1006,'Cost Data Sheet'!$F$2:$F$1006),
    SUMPRODUCT(
      ('Service to CPT Map'!$A$2:$A$1017=$A7) *
      ('Service to CPT Map'!$B$2:$B$1017="Low") *
      _xlfn.XLOOKUP(
        'Service to CPT Map'!$C$2:$C$1017,
        'Cost Data Sheet'!$A$2:$A$1006,
        'Cost Data Sheet'!$B$2:$B$1006,
        0
      )
    )
  )
)</f>
        <v>0</v>
      </c>
      <c r="F7" s="30" cm="1">
        <f t="array" ref="F7">IF(
  OR($A7="Single Lung Transplant",$A7="Double Lung Transplant"),
  E7,
  SUMPRODUCT(
    ('Service to CPT Map'!$A$2:$A$1017=$A7)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Map'!$A$2:$A$1017=$A7)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Map'!$A$2:$A$1017=$A7)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7" s="31" t="str">
        <f t="shared" si="0"/>
        <v>$0.00</v>
      </c>
      <c r="H7" s="32"/>
      <c r="I7" s="32"/>
      <c r="J7" s="32"/>
      <c r="K7" s="32"/>
      <c r="L7" s="51" t="str">
        <f t="shared" si="1"/>
        <v>lifetime</v>
      </c>
      <c r="M7" s="33" t="str">
        <f>IF(L7="lifetime",
    IF(I7&lt;&gt;"", H7 &amp; "-" &amp; I7 &amp; "x/lifetime", H7 &amp; "x/lifetime"),
    IF(D7='Master Data'!$B$8, AD7 &amp; AE7, AD7 &amp; AE7 &amp; AC7))</f>
        <v>x/lifetime</v>
      </c>
      <c r="N7" s="30">
        <f t="shared" si="2"/>
        <v>0</v>
      </c>
      <c r="O7" s="30">
        <f t="shared" si="3"/>
        <v>0</v>
      </c>
      <c r="P7" s="52" t="str">
        <f t="shared" si="8"/>
        <v>$0.00</v>
      </c>
      <c r="Q7" s="30">
        <f t="shared" si="4"/>
        <v>0</v>
      </c>
      <c r="R7" s="30">
        <f t="shared" si="5"/>
        <v>0</v>
      </c>
      <c r="S7" s="53" t="str">
        <f t="shared" si="6"/>
        <v>$0.00</v>
      </c>
      <c r="AA7" s="166" t="str">
        <f>IF(L7="lifetime", "one-time cost", IF(D7='Master Data'!$B$8, AD7 &amp; AE7, AD7 &amp; AE7 &amp; AC7))</f>
        <v>one-time cost</v>
      </c>
      <c r="AB7" s="208" t="str">
        <f t="shared" si="9"/>
        <v>x/lifetime</v>
      </c>
      <c r="AC7" s="166" t="str">
        <f ca="1">IF(Table11[[#This Row],[Duration (Years):]]&lt;&gt;'Master Data'!$B$8,CONCATENATE(",",CHAR(10),"for ",Table11[[#This Row],[Duration (Years):]]," years"),"lifelong")</f>
        <v>lifelong</v>
      </c>
      <c r="AD7" s="166" t="str">
        <f t="shared" si="10"/>
        <v>one-time cost</v>
      </c>
      <c r="AE7" s="166" t="str">
        <f t="shared" si="11"/>
        <v>one-time cost</v>
      </c>
    </row>
    <row r="8" spans="1:31" ht="47.25" customHeight="1" x14ac:dyDescent="0.2">
      <c r="A8" s="28"/>
      <c r="B8" s="29">
        <f ca="1">'Master Data'!$B$6</f>
        <v>126.3</v>
      </c>
      <c r="C8" s="29">
        <f ca="1">'Master Data'!$B$7</f>
        <v>136.30000000000001</v>
      </c>
      <c r="D8" s="29">
        <f t="shared" ca="1" si="7"/>
        <v>10</v>
      </c>
      <c r="E8" s="30" cm="1">
        <f t="array" ref="E8">IF(
  $A8="Single Lung Transplant",
  _xlfn.XLOOKUP(1,'Cost Data Sheet'!$A$2:$A$1006,'Cost Data Sheet'!$F$2:$F$1006),
  IF(
    $A8="Double Lung Transplant",
    _xlfn.XLOOKUP(2,'Cost Data Sheet'!$A$2:$A$1006,'Cost Data Sheet'!$F$2:$F$1006),
    SUMPRODUCT(
      ('Service to CPT Map'!$A$2:$A$1017=$A8) *
      ('Service to CPT Map'!$B$2:$B$1017="Low") *
      _xlfn.XLOOKUP(
        'Service to CPT Map'!$C$2:$C$1017,
        'Cost Data Sheet'!$A$2:$A$1006,
        'Cost Data Sheet'!$B$2:$B$1006,
        0
      )
    )
  )
)</f>
        <v>0</v>
      </c>
      <c r="F8" s="30" cm="1">
        <f t="array" ref="F8">IF(
  OR($A8="Single Lung Transplant",$A8="Double Lung Transplant"),
  E8,
  SUMPRODUCT(
    ('Service to CPT Map'!$A$2:$A$1017=$A8)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Map'!$A$2:$A$1017=$A8)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Map'!$A$2:$A$1017=$A8)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8" s="31" t="str">
        <f t="shared" si="0"/>
        <v>$0.00</v>
      </c>
      <c r="H8" s="32"/>
      <c r="I8" s="32"/>
      <c r="J8" s="32"/>
      <c r="K8" s="32"/>
      <c r="L8" s="51" t="str">
        <f t="shared" si="1"/>
        <v>lifetime</v>
      </c>
      <c r="M8" s="33" t="str">
        <f>IF(L8="lifetime",
    IF(I8&lt;&gt;"", H8 &amp; "-" &amp; I8 &amp; "x/lifetime", H8 &amp; "x/lifetime"),
    IF(D8='Master Data'!$B$8, AD8 &amp; AE8, AD8 &amp; AE8 &amp; AC8))</f>
        <v>x/lifetime</v>
      </c>
      <c r="N8" s="30">
        <f t="shared" si="2"/>
        <v>0</v>
      </c>
      <c r="O8" s="30">
        <f t="shared" si="3"/>
        <v>0</v>
      </c>
      <c r="P8" s="52" t="str">
        <f t="shared" si="8"/>
        <v>$0.00</v>
      </c>
      <c r="Q8" s="30">
        <f t="shared" si="4"/>
        <v>0</v>
      </c>
      <c r="R8" s="30">
        <f t="shared" si="5"/>
        <v>0</v>
      </c>
      <c r="S8" s="53" t="str">
        <f t="shared" si="6"/>
        <v>$0.00</v>
      </c>
      <c r="AA8" s="166" t="str">
        <f>IF(L8="lifetime", "one-time cost", IF(D8='Master Data'!$B$8, AD8 &amp; AE8, AD8 &amp; AE8 &amp; AC8))</f>
        <v>one-time cost</v>
      </c>
      <c r="AB8" s="208" t="str">
        <f t="shared" si="9"/>
        <v>x/lifetime</v>
      </c>
      <c r="AC8" s="166" t="str">
        <f ca="1">IF(Table11[[#This Row],[Duration (Years):]]&lt;&gt;'Master Data'!$B$8,CONCATENATE(",",CHAR(10),"for ",Table11[[#This Row],[Duration (Years):]]," years"),"lifelong")</f>
        <v>lifelong</v>
      </c>
      <c r="AD8" s="166" t="str">
        <f t="shared" si="10"/>
        <v>one-time cost</v>
      </c>
      <c r="AE8" s="166" t="str">
        <f t="shared" si="11"/>
        <v>one-time cost</v>
      </c>
    </row>
    <row r="9" spans="1:31" ht="47.25" customHeight="1" x14ac:dyDescent="0.2">
      <c r="A9" s="28"/>
      <c r="B9" s="29">
        <f ca="1">'Master Data'!$B$6</f>
        <v>126.3</v>
      </c>
      <c r="C9" s="29">
        <f ca="1">'Master Data'!$B$7</f>
        <v>136.30000000000001</v>
      </c>
      <c r="D9" s="29">
        <f t="shared" ca="1" si="7"/>
        <v>10</v>
      </c>
      <c r="E9" s="30" cm="1">
        <f t="array" ref="E9">IF(
  $A9="Single Lung Transplant",
  _xlfn.XLOOKUP(1,'Cost Data Sheet'!$A$2:$A$1006,'Cost Data Sheet'!$F$2:$F$1006),
  IF(
    $A9="Double Lung Transplant",
    _xlfn.XLOOKUP(2,'Cost Data Sheet'!$A$2:$A$1006,'Cost Data Sheet'!$F$2:$F$1006),
    SUMPRODUCT(
      ('Service to CPT Map'!$A$2:$A$1017=$A9) *
      ('Service to CPT Map'!$B$2:$B$1017="Low") *
      _xlfn.XLOOKUP(
        'Service to CPT Map'!$C$2:$C$1017,
        'Cost Data Sheet'!$A$2:$A$1006,
        'Cost Data Sheet'!$B$2:$B$1006,
        0
      )
    )
  )
)</f>
        <v>0</v>
      </c>
      <c r="F9" s="30" cm="1">
        <f t="array" ref="F9">IF(
  OR($A9="Single Lung Transplant",$A9="Double Lung Transplant"),
  E9,
  SUMPRODUCT(
    ('Service to CPT Map'!$A$2:$A$1017=$A9)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Map'!$A$2:$A$1017=$A9)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Map'!$A$2:$A$1017=$A9)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9" s="31" t="str">
        <f t="shared" si="0"/>
        <v>$0.00</v>
      </c>
      <c r="H9" s="32"/>
      <c r="I9" s="32"/>
      <c r="J9" s="32"/>
      <c r="K9" s="32"/>
      <c r="L9" s="51" t="str">
        <f t="shared" si="1"/>
        <v>lifetime</v>
      </c>
      <c r="M9" s="33" t="str">
        <f>IF(L9="lifetime",
    IF(I9&lt;&gt;"", H9 &amp; "-" &amp; I9 &amp; "x/lifetime", H9 &amp; "x/lifetime"),
    IF(D9='Master Data'!$B$8, AD9 &amp; AE9, AD9 &amp; AE9 &amp; AC9))</f>
        <v>x/lifetime</v>
      </c>
      <c r="N9" s="30">
        <f t="shared" si="2"/>
        <v>0</v>
      </c>
      <c r="O9" s="30">
        <f t="shared" si="3"/>
        <v>0</v>
      </c>
      <c r="P9" s="52" t="str">
        <f t="shared" si="8"/>
        <v>$0.00</v>
      </c>
      <c r="Q9" s="30">
        <f t="shared" si="4"/>
        <v>0</v>
      </c>
      <c r="R9" s="30">
        <f t="shared" si="5"/>
        <v>0</v>
      </c>
      <c r="S9" s="53" t="str">
        <f t="shared" si="6"/>
        <v>$0.00</v>
      </c>
      <c r="AA9" s="166" t="str">
        <f>IF(L9="lifetime", "one-time cost", IF(D9='Master Data'!$B$8, AD9 &amp; AE9, AD9 &amp; AE9 &amp; AC9))</f>
        <v>one-time cost</v>
      </c>
      <c r="AB9" s="208" t="str">
        <f t="shared" si="9"/>
        <v>x/lifetime</v>
      </c>
      <c r="AC9" s="166" t="str">
        <f ca="1">IF(Table11[[#This Row],[Duration (Years):]]&lt;&gt;'Master Data'!$B$8,CONCATENATE(",",CHAR(10),"for ",Table11[[#This Row],[Duration (Years):]]," years"),"lifelong")</f>
        <v>lifelong</v>
      </c>
      <c r="AD9" s="166" t="str">
        <f t="shared" si="10"/>
        <v>one-time cost</v>
      </c>
      <c r="AE9" s="166" t="str">
        <f t="shared" si="11"/>
        <v>one-time cost</v>
      </c>
    </row>
    <row r="10" spans="1:31" ht="47.25" customHeight="1" x14ac:dyDescent="0.2">
      <c r="A10" s="28"/>
      <c r="B10" s="29">
        <f ca="1">'Master Data'!$B$6</f>
        <v>126.3</v>
      </c>
      <c r="C10" s="29">
        <f ca="1">'Master Data'!$B$7</f>
        <v>136.30000000000001</v>
      </c>
      <c r="D10" s="29">
        <f t="shared" ref="D10:D15" ca="1" si="12">ROUND(C10-B10,1)</f>
        <v>10</v>
      </c>
      <c r="E10" s="30" cm="1">
        <f t="array" ref="E10">IF(
  $A10="Single Lung Transplant",
  _xlfn.XLOOKUP(1,'Cost Data Sheet'!$A$2:$A$1006,'Cost Data Sheet'!$F$2:$F$1006),
  IF(
    $A10="Double Lung Transplant",
    _xlfn.XLOOKUP(2,'Cost Data Sheet'!$A$2:$A$1006,'Cost Data Sheet'!$F$2:$F$1006),
    SUMPRODUCT(
      ('Service to CPT Map'!$A$2:$A$1017=$A10) *
      ('Service to CPT Map'!$B$2:$B$1017="Low") *
      _xlfn.XLOOKUP(
        'Service to CPT Map'!$C$2:$C$1017,
        'Cost Data Sheet'!$A$2:$A$1006,
        'Cost Data Sheet'!$B$2:$B$1006,
        0
      )
    )
  )
)</f>
        <v>0</v>
      </c>
      <c r="F10" s="30" cm="1">
        <f t="array" ref="F10">IF(
  OR($A10="Single Lung Transplant",$A10="Double Lung Transplant"),
  E10,
  SUMPRODUCT(
    ('Service to CPT Map'!$A$2:$A$1017=$A10)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Map'!$A$2:$A$1017=$A10)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Map'!$A$2:$A$1017=$A10)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0" s="31" t="str">
        <f t="shared" si="0"/>
        <v>$0.00</v>
      </c>
      <c r="H10" s="32"/>
      <c r="I10" s="32"/>
      <c r="J10" s="32"/>
      <c r="K10" s="32"/>
      <c r="L10" s="51" t="str">
        <f t="shared" si="1"/>
        <v>lifetime</v>
      </c>
      <c r="M10" s="33" t="str">
        <f>IF(L10="lifetime",
    IF(I10&lt;&gt;"", H10 &amp; "-" &amp; I10 &amp; "x/lifetime", H10 &amp; "x/lifetime"),
    IF(D10='Master Data'!$B$8, AD10 &amp; AE10, AD10 &amp; AE10 &amp; AC10))</f>
        <v>x/lifetime</v>
      </c>
      <c r="N10" s="30">
        <f t="shared" si="2"/>
        <v>0</v>
      </c>
      <c r="O10" s="30">
        <f t="shared" si="3"/>
        <v>0</v>
      </c>
      <c r="P10" s="52" t="str">
        <f t="shared" si="8"/>
        <v>$0.00</v>
      </c>
      <c r="Q10" s="30">
        <f t="shared" si="4"/>
        <v>0</v>
      </c>
      <c r="R10" s="30">
        <f t="shared" si="5"/>
        <v>0</v>
      </c>
      <c r="S10" s="53" t="str">
        <f t="shared" si="6"/>
        <v>$0.00</v>
      </c>
      <c r="AA10" s="166" t="str">
        <f>IF(L10="lifetime", "one-time cost", IF(D10='Master Data'!$B$8, AD10 &amp; AE10, AD10 &amp; AE10 &amp; AC10))</f>
        <v>one-time cost</v>
      </c>
      <c r="AB10" s="208" t="str">
        <f t="shared" si="9"/>
        <v>x/lifetime</v>
      </c>
      <c r="AC10" s="166" t="str">
        <f ca="1">IF(Table11[[#This Row],[Duration (Years):]]&lt;&gt;'Master Data'!$B$8,CONCATENATE(",",CHAR(10),"for ",Table11[[#This Row],[Duration (Years):]]," years"),"lifelong")</f>
        <v>lifelong</v>
      </c>
      <c r="AD10" s="166" t="str">
        <f t="shared" si="10"/>
        <v>one-time cost</v>
      </c>
      <c r="AE10" s="166" t="str">
        <f t="shared" si="11"/>
        <v>one-time cost</v>
      </c>
    </row>
    <row r="11" spans="1:31" ht="47.25" customHeight="1" x14ac:dyDescent="0.2">
      <c r="A11" s="28"/>
      <c r="B11" s="29">
        <f ca="1">'Master Data'!$B$6</f>
        <v>126.3</v>
      </c>
      <c r="C11" s="29">
        <f ca="1">'Master Data'!$B$7</f>
        <v>136.30000000000001</v>
      </c>
      <c r="D11" s="29">
        <f t="shared" ca="1" si="12"/>
        <v>10</v>
      </c>
      <c r="E11" s="30" cm="1">
        <f t="array" ref="E11">IF(
  $A11="Single Lung Transplant",
  _xlfn.XLOOKUP(1,'Cost Data Sheet'!$A$2:$A$1006,'Cost Data Sheet'!$F$2:$F$1006),
  IF(
    $A11="Double Lung Transplant",
    _xlfn.XLOOKUP(2,'Cost Data Sheet'!$A$2:$A$1006,'Cost Data Sheet'!$F$2:$F$1006),
    SUMPRODUCT(
      ('Service to CPT Map'!$A$2:$A$1017=$A11) *
      ('Service to CPT Map'!$B$2:$B$1017="Low") *
      _xlfn.XLOOKUP(
        'Service to CPT Map'!$C$2:$C$1017,
        'Cost Data Sheet'!$A$2:$A$1006,
        'Cost Data Sheet'!$B$2:$B$1006,
        0
      )
    )
  )
)</f>
        <v>0</v>
      </c>
      <c r="F11" s="30" cm="1">
        <f t="array" ref="F11">IF(
  OR($A11="Single Lung Transplant",$A11="Double Lung Transplant"),
  E11,
  SUMPRODUCT(
    ('Service to CPT Map'!$A$2:$A$1017=$A11)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Map'!$A$2:$A$1017=$A11)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Map'!$A$2:$A$1017=$A11)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1" s="31" t="str">
        <f t="shared" si="0"/>
        <v>$0.00</v>
      </c>
      <c r="H11" s="32"/>
      <c r="I11" s="32"/>
      <c r="J11" s="32"/>
      <c r="K11" s="32"/>
      <c r="L11" s="51" t="str">
        <f t="shared" si="1"/>
        <v>lifetime</v>
      </c>
      <c r="M11" s="33" t="str">
        <f>IF(L11="lifetime",
    IF(I11&lt;&gt;"", H11 &amp; "-" &amp; I11 &amp; "x/lifetime", H11 &amp; "x/lifetime"),
    IF(D11='Master Data'!$B$8, AD11 &amp; AE11, AD11 &amp; AE11 &amp; AC11))</f>
        <v>x/lifetime</v>
      </c>
      <c r="N11" s="30">
        <f t="shared" si="2"/>
        <v>0</v>
      </c>
      <c r="O11" s="30">
        <f t="shared" si="3"/>
        <v>0</v>
      </c>
      <c r="P11" s="52" t="str">
        <f t="shared" si="8"/>
        <v>$0.00</v>
      </c>
      <c r="Q11" s="30">
        <f t="shared" si="4"/>
        <v>0</v>
      </c>
      <c r="R11" s="30">
        <f t="shared" si="5"/>
        <v>0</v>
      </c>
      <c r="S11" s="53" t="str">
        <f t="shared" si="6"/>
        <v>$0.00</v>
      </c>
      <c r="AA11" s="166" t="str">
        <f>IF(L11="lifetime", "one-time cost", IF(D11='Master Data'!$B$8, AD11 &amp; AE11, AD11 &amp; AE11 &amp; AC11))</f>
        <v>one-time cost</v>
      </c>
      <c r="AB11" s="208" t="str">
        <f t="shared" si="9"/>
        <v>x/lifetime</v>
      </c>
      <c r="AC11" s="166" t="str">
        <f ca="1">IF(Table11[[#This Row],[Duration (Years):]]&lt;&gt;'Master Data'!$B$8,CONCATENATE(",",CHAR(10),"for ",Table11[[#This Row],[Duration (Years):]]," years"),"lifelong")</f>
        <v>lifelong</v>
      </c>
      <c r="AD11" s="166" t="str">
        <f t="shared" si="10"/>
        <v>one-time cost</v>
      </c>
      <c r="AE11" s="166" t="str">
        <f t="shared" si="11"/>
        <v>one-time cost</v>
      </c>
    </row>
    <row r="12" spans="1:31" ht="47.25" customHeight="1" x14ac:dyDescent="0.2">
      <c r="A12" s="28"/>
      <c r="B12" s="29">
        <f ca="1">'Master Data'!$B$6</f>
        <v>126.3</v>
      </c>
      <c r="C12" s="29">
        <f ca="1">'Master Data'!$B$7</f>
        <v>136.30000000000001</v>
      </c>
      <c r="D12" s="29">
        <f t="shared" ca="1" si="12"/>
        <v>10</v>
      </c>
      <c r="E12" s="30" cm="1">
        <f t="array" ref="E12">IF(
  $A12="Single Lung Transplant",
  _xlfn.XLOOKUP(1,'Cost Data Sheet'!$A$2:$A$1006,'Cost Data Sheet'!$F$2:$F$1006),
  IF(
    $A12="Double Lung Transplant",
    _xlfn.XLOOKUP(2,'Cost Data Sheet'!$A$2:$A$1006,'Cost Data Sheet'!$F$2:$F$1006),
    SUMPRODUCT(
      ('Service to CPT Map'!$A$2:$A$1017=$A12) *
      ('Service to CPT Map'!$B$2:$B$1017="Low") *
      _xlfn.XLOOKUP(
        'Service to CPT Map'!$C$2:$C$1017,
        'Cost Data Sheet'!$A$2:$A$1006,
        'Cost Data Sheet'!$B$2:$B$1006,
        0
      )
    )
  )
)</f>
        <v>0</v>
      </c>
      <c r="F12" s="30" cm="1">
        <f t="array" ref="F12">IF(
  OR($A12="Single Lung Transplant",$A12="Double Lung Transplant"),
  E12,
  SUMPRODUCT(
    ('Service to CPT Map'!$A$2:$A$1017=$A12)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Map'!$A$2:$A$1017=$A12)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Map'!$A$2:$A$1017=$A12)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2" s="31" t="str">
        <f t="shared" si="0"/>
        <v>$0.00</v>
      </c>
      <c r="H12" s="32"/>
      <c r="I12" s="32"/>
      <c r="J12" s="32"/>
      <c r="K12" s="32"/>
      <c r="L12" s="51" t="str">
        <f t="shared" si="1"/>
        <v>lifetime</v>
      </c>
      <c r="M12" s="33" t="str">
        <f>IF(L12="lifetime",
    IF(I12&lt;&gt;"", H12 &amp; "-" &amp; I12 &amp; "x/lifetime", H12 &amp; "x/lifetime"),
    IF(D12='Master Data'!$B$8, AD12 &amp; AE12, AD12 &amp; AE12 &amp; AC12))</f>
        <v>x/lifetime</v>
      </c>
      <c r="N12" s="30">
        <f t="shared" si="2"/>
        <v>0</v>
      </c>
      <c r="O12" s="30">
        <f t="shared" si="3"/>
        <v>0</v>
      </c>
      <c r="P12" s="52" t="str">
        <f t="shared" si="8"/>
        <v>$0.00</v>
      </c>
      <c r="Q12" s="30">
        <f t="shared" si="4"/>
        <v>0</v>
      </c>
      <c r="R12" s="30">
        <f t="shared" si="5"/>
        <v>0</v>
      </c>
      <c r="S12" s="53" t="str">
        <f t="shared" si="6"/>
        <v>$0.00</v>
      </c>
      <c r="AA12" s="166" t="str">
        <f>IF(L12="lifetime", "one-time cost", IF(D12='Master Data'!$B$8, AD12 &amp; AE12, AD12 &amp; AE12 &amp; AC12))</f>
        <v>one-time cost</v>
      </c>
      <c r="AB12" s="208" t="str">
        <f t="shared" si="9"/>
        <v>x/lifetime</v>
      </c>
      <c r="AC12" s="166" t="str">
        <f ca="1">IF(Table11[[#This Row],[Duration (Years):]]&lt;&gt;'Master Data'!$B$8,CONCATENATE(",",CHAR(10),"for ",Table11[[#This Row],[Duration (Years):]]," years"),"lifelong")</f>
        <v>lifelong</v>
      </c>
      <c r="AD12" s="166" t="str">
        <f t="shared" si="10"/>
        <v>one-time cost</v>
      </c>
      <c r="AE12" s="166" t="str">
        <f t="shared" si="11"/>
        <v>one-time cost</v>
      </c>
    </row>
    <row r="13" spans="1:31" ht="28.5" x14ac:dyDescent="0.2">
      <c r="A13" s="240"/>
      <c r="B13" s="224">
        <f ca="1">'Master Data'!$B$6</f>
        <v>126.3</v>
      </c>
      <c r="C13" s="224">
        <f ca="1">'Master Data'!$B$7</f>
        <v>136.30000000000001</v>
      </c>
      <c r="D13" s="224">
        <f t="shared" ca="1" si="12"/>
        <v>10</v>
      </c>
      <c r="E13" s="231" cm="1">
        <f t="array" ref="E13">IF(
  $A13="Single Lung Transplant",
  _xlfn.XLOOKUP(1,'Cost Data Sheet'!$A$2:$A$1006,'Cost Data Sheet'!$F$2:$F$1006),
  IF(
    $A13="Double Lung Transplant",
    _xlfn.XLOOKUP(2,'Cost Data Sheet'!$A$2:$A$1006,'Cost Data Sheet'!$F$2:$F$1006),
    SUMPRODUCT(
      ('Service to CPT Map'!$A$2:$A$1017=$A13) *
      ('Service to CPT Map'!$B$2:$B$1017="Low") *
      _xlfn.XLOOKUP(
        'Service to CPT Map'!$C$2:$C$1017,
        'Cost Data Sheet'!$A$2:$A$1006,
        'Cost Data Sheet'!$B$2:$B$1006,
        0
      )
    )
  )
)</f>
        <v>0</v>
      </c>
      <c r="F13" s="231" cm="1">
        <f t="array" ref="F13">IF(
  OR($A13="Single Lung Transplant",$A13="Double Lung Transplant"),
  E13,
  SUMPRODUCT(
    ('Service to CPT Map'!$A$2:$A$1017=$A13)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Map'!$A$2:$A$1017=$A13)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Map'!$A$2:$A$1017=$A13)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3" s="241" t="str">
        <f>IF(E13&lt;F13,CONCATENATE(TEXT(E13,"$#,##0.00"),CHAR(10)," - ",CHAR(10),TEXT(F13,"$#,##0.00")),TEXT(E13,"$#,##0.00"))</f>
        <v>$0.00</v>
      </c>
      <c r="H13" s="242"/>
      <c r="I13" s="242"/>
      <c r="J13" s="242"/>
      <c r="K13" s="242"/>
      <c r="L13" s="243" t="str">
        <f>IF(LEN(K13)=0,IF(LEN(J13)=0,"lifetime",IF(J13=1,"year","years")),"years")</f>
        <v>lifetime</v>
      </c>
      <c r="M13" s="230" t="str">
        <f>IF(L13="lifetime",
    IF(I13&lt;&gt;"", H13 &amp; "-" &amp; I13 &amp; "x/lifetime", H13 &amp; "x/lifetime"),
    IF(D13='Master Data'!$B$8, AD13 &amp; AE13, AD13 &amp; AE13 &amp; AC13))</f>
        <v>x/lifetime</v>
      </c>
      <c r="N13" s="231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3" s="231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3" s="232" t="str">
        <f>IF(N13&lt;O13,CONCATENATE(TEXT(N13,"$#,##0.00"),CHAR(10)," - ",CHAR(10),TEXT(O13,"$#,##0.00")),TEXT(N13,"$0.00"))</f>
        <v>$0.00</v>
      </c>
      <c r="Q13" s="231">
        <f>ROUND(IF(TimeValue="lifetime",MinCost*MinFreq,0),2)</f>
        <v>0</v>
      </c>
      <c r="R13" s="231">
        <f>ROUND(IF(AND(TimeValue="lifetime",MaxFreq&lt;1),MinFreq*MaxCost,IF(AND(TimeValue="lifetime",MaxFreq&gt;=1),MaxFreq*MaxCost,0)),2)</f>
        <v>0</v>
      </c>
      <c r="S13" s="233" t="str">
        <f>IF(Q13&lt;R13,CONCATENATE(TEXT(Q13,"$#,##0.00"),CHAR(10)," - ",CHAR(10),TEXT(R13,"$#,##0.00")),TEXT(Q13,"$0.00"))</f>
        <v>$0.00</v>
      </c>
      <c r="AA13" s="166" t="str">
        <f>IF(L13="lifetime", "one-time cost", IF(D13='Master Data'!$B$8, AD13 &amp; AE13, AD13 &amp; AE13 &amp; AC13))</f>
        <v>one-time cost</v>
      </c>
      <c r="AB13" s="208" t="str">
        <f>IF(L13="lifetime", IF(I13&lt;&gt;"", H13 &amp; "-" &amp; I13 &amp; "x/lifetime", H13 &amp; "x/lifetime"), "ongoing cost")</f>
        <v>x/lifetime</v>
      </c>
      <c r="AC13" s="166" t="str">
        <f ca="1">IF(Table11[[#This Row],[Duration (Years):]]&lt;&gt;'Master Data'!$B$8,CONCATENATE(",",CHAR(10),"for ",Table11[[#This Row],[Duration (Years):]]," years"),"lifelong")</f>
        <v>lifelong</v>
      </c>
      <c r="AD13" s="166" t="str">
        <f>IF(L13="lifetime", "one-time cost", IF(I13&lt;&gt;"", H13 &amp; "-" &amp; I13 &amp; "x/", H13 &amp; "x/"))</f>
        <v>one-time cost</v>
      </c>
      <c r="AE13" s="166" t="str">
        <f>IF(L13="lifetime", "one-time cost", IF(K13&lt;&gt;"", J13 &amp; "-" &amp; K13 &amp; " " &amp; L13, IF(J13&gt;1, J13 &amp; " " &amp; L13, L13)))</f>
        <v>one-time cost</v>
      </c>
    </row>
    <row r="14" spans="1:31" ht="28.5" x14ac:dyDescent="0.2">
      <c r="A14" s="240"/>
      <c r="B14" s="224">
        <f ca="1">'Master Data'!$B$6</f>
        <v>126.3</v>
      </c>
      <c r="C14" s="224">
        <f ca="1">'Master Data'!$B$7</f>
        <v>136.30000000000001</v>
      </c>
      <c r="D14" s="224">
        <f t="shared" ca="1" si="12"/>
        <v>10</v>
      </c>
      <c r="E14" s="231" cm="1">
        <f t="array" ref="E14">IF(
  $A14="Single Lung Transplant",
  _xlfn.XLOOKUP(1,'Cost Data Sheet'!$A$2:$A$1006,'Cost Data Sheet'!$F$2:$F$1006),
  IF(
    $A14="Double Lung Transplant",
    _xlfn.XLOOKUP(2,'Cost Data Sheet'!$A$2:$A$1006,'Cost Data Sheet'!$F$2:$F$1006),
    SUMPRODUCT(
      ('Service to CPT Map'!$A$2:$A$1017=$A14) *
      ('Service to CPT Map'!$B$2:$B$1017="Low") *
      _xlfn.XLOOKUP(
        'Service to CPT Map'!$C$2:$C$1017,
        'Cost Data Sheet'!$A$2:$A$1006,
        'Cost Data Sheet'!$B$2:$B$1006,
        0
      )
    )
  )
)</f>
        <v>0</v>
      </c>
      <c r="F14" s="231" cm="1">
        <f t="array" ref="F14">IF(
  OR($A14="Single Lung Transplant",$A14="Double Lung Transplant"),
  E14,
  SUMPRODUCT(
    ('Service to CPT Map'!$A$2:$A$1017=$A14)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Map'!$A$2:$A$1017=$A14)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Map'!$A$2:$A$1017=$A14)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4" s="241" t="str">
        <f>IF(E14&lt;F14,CONCATENATE(TEXT(E14,"$#,##0.00"),CHAR(10)," - ",CHAR(10),TEXT(F14,"$#,##0.00")),TEXT(E14,"$#,##0.00"))</f>
        <v>$0.00</v>
      </c>
      <c r="H14" s="242"/>
      <c r="I14" s="242"/>
      <c r="J14" s="242"/>
      <c r="K14" s="242"/>
      <c r="L14" s="243" t="str">
        <f>IF(LEN(K14)=0,IF(LEN(J14)=0,"lifetime",IF(J14=1,"year","years")),"years")</f>
        <v>lifetime</v>
      </c>
      <c r="M14" s="230" t="str">
        <f>IF(L14="lifetime",
    IF(I14&lt;&gt;"", H14 &amp; "-" &amp; I14 &amp; "x/lifetime", H14 &amp; "x/lifetime"),
    IF(D14='Master Data'!$B$8, AD14 &amp; AE14, AD14 &amp; AE14 &amp; AC14))</f>
        <v>x/lifetime</v>
      </c>
      <c r="N14" s="231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4" s="231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4" s="232" t="str">
        <f>IF(N14&lt;O14,CONCATENATE(TEXT(N14,"$#,##0.00"),CHAR(10)," - ",CHAR(10),TEXT(O14,"$#,##0.00")),TEXT(N14,"$0.00"))</f>
        <v>$0.00</v>
      </c>
      <c r="Q14" s="231">
        <f>ROUND(IF(TimeValue="lifetime",MinCost*MinFreq,0),2)</f>
        <v>0</v>
      </c>
      <c r="R14" s="231">
        <f>ROUND(IF(AND(TimeValue="lifetime",MaxFreq&lt;1),MinFreq*MaxCost,IF(AND(TimeValue="lifetime",MaxFreq&gt;=1),MaxFreq*MaxCost,0)),2)</f>
        <v>0</v>
      </c>
      <c r="S14" s="233" t="str">
        <f>IF(Q14&lt;R14,CONCATENATE(TEXT(Q14,"$#,##0.00"),CHAR(10)," - ",CHAR(10),TEXT(R14,"$#,##0.00")),TEXT(Q14,"$0.00"))</f>
        <v>$0.00</v>
      </c>
      <c r="AA14" s="166" t="str">
        <f>IF(L14="lifetime", "one-time cost", IF(D14='Master Data'!$B$8, AD14 &amp; AE14, AD14 &amp; AE14 &amp; AC14))</f>
        <v>one-time cost</v>
      </c>
      <c r="AB14" s="208" t="str">
        <f>IF(L14="lifetime", IF(I14&lt;&gt;"", H14 &amp; "-" &amp; I14 &amp; "x/lifetime", H14 &amp; "x/lifetime"), "ongoing cost")</f>
        <v>x/lifetime</v>
      </c>
      <c r="AC14" s="166" t="str">
        <f ca="1">IF(Table11[[#This Row],[Duration (Years):]]&lt;&gt;'Master Data'!$B$8,CONCATENATE(",",CHAR(10),"for ",Table11[[#This Row],[Duration (Years):]]," years"),"lifelong")</f>
        <v>lifelong</v>
      </c>
      <c r="AD14" s="166" t="str">
        <f>IF(L14="lifetime", "one-time cost", IF(I14&lt;&gt;"", H14 &amp; "-" &amp; I14 &amp; "x/", H14 &amp; "x/"))</f>
        <v>one-time cost</v>
      </c>
      <c r="AE14" s="166" t="str">
        <f>IF(L14="lifetime", "one-time cost", IF(K14&lt;&gt;"", J14 &amp; "-" &amp; K14 &amp; " " &amp; L14, IF(J14&gt;1, J14 &amp; " " &amp; L14, L14)))</f>
        <v>one-time cost</v>
      </c>
    </row>
    <row r="15" spans="1:31" ht="29.25" thickBot="1" x14ac:dyDescent="0.25">
      <c r="A15" s="244"/>
      <c r="B15" s="245">
        <f ca="1">'Master Data'!$B$6</f>
        <v>126.3</v>
      </c>
      <c r="C15" s="245">
        <f ca="1">'Master Data'!$B$7</f>
        <v>136.30000000000001</v>
      </c>
      <c r="D15" s="245">
        <f t="shared" ca="1" si="12"/>
        <v>10</v>
      </c>
      <c r="E15" s="246" cm="1">
        <f t="array" ref="E15">IF(
  $A15="Single Lung Transplant",
  _xlfn.XLOOKUP(1,'Cost Data Sheet'!$A$2:$A$1006,'Cost Data Sheet'!$F$2:$F$1006),
  IF(
    $A15="Double Lung Transplant",
    _xlfn.XLOOKUP(2,'Cost Data Sheet'!$A$2:$A$1006,'Cost Data Sheet'!$F$2:$F$1006),
    SUMPRODUCT(
      ('Service to CPT Map'!$A$2:$A$1017=$A15) *
      ('Service to CPT Map'!$B$2:$B$1017="Low") *
      _xlfn.XLOOKUP(
        'Service to CPT Map'!$C$2:$C$1017,
        'Cost Data Sheet'!$A$2:$A$1006,
        'Cost Data Sheet'!$B$2:$B$1006,
        0
      )
    )
  )
)</f>
        <v>0</v>
      </c>
      <c r="F15" s="246" cm="1">
        <f t="array" ref="F15">IF(
  OR($A15="Single Lung Transplant",$A15="Double Lung Transplant"),
  E15,
  SUMPRODUCT(
    ('Service to CPT Map'!$A$2:$A$1017=$A15) *
    ('Service to CPT Map'!$B$2:$B$1017="High") *
    ISNUMBER(MATCH(
      'Service to CPT Map'!$D$2:$D$1017,
      {"Medical","Medical - Sedation","Anesthesia"},
      0
    )) *
    _xlfn.XLOOKUP(
      'Service to CPT Map'!$C$2:$C$1017,
      'Cost Data Sheet'!$A$2:$A$1006,
      'Cost Data Sheet'!$B$2:$B$1006,
      0
    )
  )
  +
  MAX(
    SUMPRODUCT(
      ('Service to CPT Map'!$A$2:$A$1017=$A15) *
      ('Service to CPT Map'!$B$2:$B$1017="High") *
      ('Service to CPT Map'!$D$2:$D$1017="ASC") *
      _xlfn.XLOOKUP(
        'Service to CPT Map'!$C$2:$C$1017,
        'Cost Data Sheet'!$A$2:$A$1006,
        'Cost Data Sheet'!$B$2:$B$1006,
        0
      )
    ),
    SUMPRODUCT(
      ('Service to CPT Map'!$A$2:$A$1017=$A15) *
      ('Service to CPT Map'!$B$2:$B$1017="High") *
      ('Service to CPT Map'!$D$2:$D$1017="Outpatient") *
      _xlfn.XLOOKUP(
        'Service to CPT Map'!$C$2:$C$1017,
        'Cost Data Sheet'!$A$2:$A$1006,
        'Cost Data Sheet'!$B$2:$B$1006,
        0
      )
    )
  )
)</f>
        <v>0</v>
      </c>
      <c r="G15" s="247" t="str">
        <f>IF(E15&lt;F15,CONCATENATE(TEXT(E15,"$#,##0.00"),CHAR(10)," - ",CHAR(10),TEXT(F15,"$#,##0.00")),TEXT(E15,"$#,##0.00"))</f>
        <v>$0.00</v>
      </c>
      <c r="H15" s="248"/>
      <c r="I15" s="248"/>
      <c r="J15" s="248"/>
      <c r="K15" s="248"/>
      <c r="L15" s="249" t="str">
        <f>IF(LEN(K15)=0,IF(LEN(J15)=0,"lifetime",IF(J15=1,"year","years")),"years")</f>
        <v>lifetime</v>
      </c>
      <c r="M15" s="250" t="str">
        <f>IF(L15="lifetime",
    IF(I15&lt;&gt;"", H15 &amp; "-" &amp; I15 &amp; "x/lifetime", H15 &amp; "x/lifetime"),
    IF(D15='Master Data'!$B$8, AD15 &amp; AE15, AD15 &amp; AE15 &amp; AC15))</f>
        <v>x/lifetime</v>
      </c>
      <c r="N15" s="246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5" s="246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5" s="251" t="str">
        <f>IF(N15&lt;O15,CONCATENATE(TEXT(N15,"$#,##0.00"),CHAR(10)," - ",CHAR(10),TEXT(O15,"$#,##0.00")),TEXT(N15,"$0.00"))</f>
        <v>$0.00</v>
      </c>
      <c r="Q15" s="246">
        <f>ROUND(IF(TimeValue="lifetime",MinCost*MinFreq,0),2)</f>
        <v>0</v>
      </c>
      <c r="R15" s="246">
        <f>ROUND(IF(AND(TimeValue="lifetime",MaxFreq&lt;1),MinFreq*MaxCost,IF(AND(TimeValue="lifetime",MaxFreq&gt;=1),MaxFreq*MaxCost,0)),2)</f>
        <v>0</v>
      </c>
      <c r="S15" s="252" t="str">
        <f>IF(Q15&lt;R15,CONCATENATE(TEXT(Q15,"$#,##0.00"),CHAR(10)," - ",CHAR(10),TEXT(R15,"$#,##0.00")),TEXT(Q15,"$0.00"))</f>
        <v>$0.00</v>
      </c>
      <c r="AA15" s="166" t="str">
        <f>IF(L15="lifetime", "one-time cost", IF(D15='Master Data'!$B$8, AD15 &amp; AE15, AD15 &amp; AE15 &amp; AC15))</f>
        <v>one-time cost</v>
      </c>
      <c r="AB15" s="208" t="str">
        <f>IF(L15="lifetime", IF(I15&lt;&gt;"", H15 &amp; "-" &amp; I15 &amp; "x/lifetime", H15 &amp; "x/lifetime"), "ongoing cost")</f>
        <v>x/lifetime</v>
      </c>
      <c r="AC15" s="166" t="str">
        <f ca="1">IF(Table11[[#This Row],[Duration (Years):]]&lt;&gt;'Master Data'!$B$8,CONCATENATE(",",CHAR(10),"for ",Table11[[#This Row],[Duration (Years):]]," years"),"lifelong")</f>
        <v>lifelong</v>
      </c>
      <c r="AD15" s="166" t="str">
        <f>IF(L15="lifetime", "one-time cost", IF(I15&lt;&gt;"", H15 &amp; "-" &amp; I15 &amp; "x/", H15 &amp; "x/"))</f>
        <v>one-time cost</v>
      </c>
      <c r="AE15" s="166" t="str">
        <f>IF(L15="lifetime", "one-time cost", IF(K15&lt;&gt;"", J15 &amp; "-" &amp; K15 &amp; " " &amp; L15, IF(J15&gt;1, J15 &amp; " " &amp; L15, L15)))</f>
        <v>one-time cost</v>
      </c>
    </row>
    <row r="16" spans="1:31" ht="15.75" thickTop="1" thickBot="1" x14ac:dyDescent="0.25">
      <c r="A16" s="343" t="s">
        <v>32</v>
      </c>
      <c r="B16" s="344"/>
      <c r="C16" s="344"/>
      <c r="D16" s="344"/>
      <c r="E16" s="344"/>
      <c r="F16" s="344"/>
      <c r="G16" s="344"/>
      <c r="H16" s="344"/>
      <c r="I16" s="344"/>
      <c r="J16" s="344"/>
      <c r="K16" s="344"/>
      <c r="L16" s="344"/>
      <c r="M16" s="344"/>
      <c r="N16" s="69"/>
      <c r="O16" s="69"/>
      <c r="P16" s="70" t="str">
        <f ca="1">IF(U4="same",IF(SUM(Table11[Annual Cost Max:])=0,"$0.00",CONCATENATE(TEXT(SUM(AnnMin),"$#,##0.00"),CHAR(10)," - ",CHAR(10),TEXT(SUM(AnnMax),"$#,##0.00"))),"Variable by year")</f>
        <v>$0.00</v>
      </c>
      <c r="Q16" s="69"/>
      <c r="R16" s="69"/>
      <c r="S16" s="71" t="str">
        <f>IF(SUM(OneTimeMax)=0,"$0.00",CONCATENATE(TEXT(SUM(OneTimeMin),"$#,##0.00"),CHAR(10)," - ",CHAR(10),TEXT(SUM(OneTimeMax),"$#,##0.00")))</f>
        <v>$0.00</v>
      </c>
      <c r="AA16" s="166" t="e">
        <f>IF(L19="lifetime", "one-time cost", IF(D19='Master Data'!$B$8, AD16 &amp; AE16, AD16 &amp; AE16 &amp; AC16))</f>
        <v>#VALUE!</v>
      </c>
      <c r="AB16" s="208" t="str">
        <f t="shared" ref="AB16:AB50" si="13">IF(L19="lifetime", IF(I19&lt;&gt;"", H19 &amp; "-" &amp; I19 &amp; "x/lifetime", H19 &amp; "x/lifetime"), "ongoing cost")</f>
        <v>ongoing cost</v>
      </c>
      <c r="AC16" s="166" t="e">
        <f>IF(Table11[[#This Row],[Duration (Years):]]&lt;&gt;'Master Data'!$B$8,CONCATENATE(",",CHAR(10),"for ",Table11[[#This Row],[Duration (Years):]]," years"),"lifelong")</f>
        <v>#VALUE!</v>
      </c>
      <c r="AD16" s="166" t="str">
        <f t="shared" ref="AD16:AD50" si="14">IF(L19="lifetime", "one-time cost", IF(I19&lt;&gt;"", H19 &amp; "-" &amp; I19 &amp; "x/", H19 &amp; "x/"))</f>
        <v>x/</v>
      </c>
      <c r="AE16" s="166">
        <f t="shared" ref="AE16:AE50" si="15">IF(L19="lifetime", "one-time cost", IF(K19&lt;&gt;"", J19 &amp; "-" &amp; K19 &amp; " " &amp; L19, IF(J19&gt;1, J19 &amp; " " &amp; L19, L19)))</f>
        <v>0</v>
      </c>
    </row>
    <row r="17" spans="1:31" ht="15" thickTop="1" x14ac:dyDescent="0.2">
      <c r="AA17" s="166" t="e">
        <f>IF(L20="lifetime", "one-time cost", IF(D20='Master Data'!$B$8, AD17 &amp; AE17, AD17 &amp; AE17 &amp; AC17))</f>
        <v>#VALUE!</v>
      </c>
      <c r="AB17" s="208" t="str">
        <f t="shared" si="13"/>
        <v>ongoing cost</v>
      </c>
      <c r="AC17" s="166" t="e">
        <f>IF(Table11[[#This Row],[Duration (Years):]]&lt;&gt;'Master Data'!$B$8,CONCATENATE(",",CHAR(10),"for ",Table11[[#This Row],[Duration (Years):]]," years"),"lifelong")</f>
        <v>#VALUE!</v>
      </c>
      <c r="AD17" s="166" t="str">
        <f t="shared" si="14"/>
        <v>x/</v>
      </c>
      <c r="AE17" s="166">
        <f t="shared" si="15"/>
        <v>0</v>
      </c>
    </row>
    <row r="18" spans="1:31" ht="14.25" x14ac:dyDescent="0.2">
      <c r="A18" s="9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AA18" s="166" t="e">
        <f>IF(L21="lifetime", "one-time cost", IF(D21='Master Data'!$B$8, AD18 &amp; AE18, AD18 &amp; AE18 &amp; AC18))</f>
        <v>#VALUE!</v>
      </c>
      <c r="AB18" s="208" t="str">
        <f t="shared" si="13"/>
        <v>ongoing cost</v>
      </c>
      <c r="AC18" s="166" t="e">
        <f>IF(Table11[[#This Row],[Duration (Years):]]&lt;&gt;'Master Data'!$B$8,CONCATENATE(",",CHAR(10),"for ",Table11[[#This Row],[Duration (Years):]]," years"),"lifelong")</f>
        <v>#VALUE!</v>
      </c>
      <c r="AD18" s="166" t="str">
        <f t="shared" si="14"/>
        <v>x/</v>
      </c>
      <c r="AE18" s="166">
        <f t="shared" si="15"/>
        <v>0</v>
      </c>
    </row>
    <row r="19" spans="1:31" ht="14.25" x14ac:dyDescent="0.2">
      <c r="AA19" s="166" t="e">
        <f>IF(L22="lifetime", "one-time cost", IF(D22='Master Data'!$B$8, AD19 &amp; AE19, AD19 &amp; AE19 &amp; AC19))</f>
        <v>#VALUE!</v>
      </c>
      <c r="AB19" s="208" t="str">
        <f t="shared" si="13"/>
        <v>ongoing cost</v>
      </c>
      <c r="AC19" s="166" t="e">
        <f>IF(Table11[[#This Row],[Duration (Years):]]&lt;&gt;'Master Data'!$B$8,CONCATENATE(",",CHAR(10),"for ",Table11[[#This Row],[Duration (Years):]]," years"),"lifelong")</f>
        <v>#VALUE!</v>
      </c>
      <c r="AD19" s="166" t="str">
        <f t="shared" si="14"/>
        <v>x/</v>
      </c>
      <c r="AE19" s="166">
        <f t="shared" si="15"/>
        <v>0</v>
      </c>
    </row>
    <row r="20" spans="1:31" ht="14.25" x14ac:dyDescent="0.2">
      <c r="AA20" s="166" t="e">
        <f>IF(L23="lifetime", "one-time cost", IF(D23='Master Data'!$B$8, AD20 &amp; AE20, AD20 &amp; AE20 &amp; AC20))</f>
        <v>#VALUE!</v>
      </c>
      <c r="AB20" s="208" t="str">
        <f t="shared" si="13"/>
        <v>ongoing cost</v>
      </c>
      <c r="AC20" s="166" t="e">
        <f>IF(Table11[[#This Row],[Duration (Years):]]&lt;&gt;'Master Data'!$B$8,CONCATENATE(",",CHAR(10),"for ",Table11[[#This Row],[Duration (Years):]]," years"),"lifelong")</f>
        <v>#VALUE!</v>
      </c>
      <c r="AD20" s="166" t="str">
        <f t="shared" si="14"/>
        <v>x/</v>
      </c>
      <c r="AE20" s="166">
        <f t="shared" si="15"/>
        <v>0</v>
      </c>
    </row>
    <row r="21" spans="1:31" ht="14.25" x14ac:dyDescent="0.2">
      <c r="AA21" s="166" t="e">
        <f>IF(L24="lifetime", "one-time cost", IF(D24='Master Data'!$B$8, AD21 &amp; AE21, AD21 &amp; AE21 &amp; AC21))</f>
        <v>#VALUE!</v>
      </c>
      <c r="AB21" s="208" t="str">
        <f t="shared" si="13"/>
        <v>ongoing cost</v>
      </c>
      <c r="AC21" s="166" t="e">
        <f>IF(Table11[[#This Row],[Duration (Years):]]&lt;&gt;'Master Data'!$B$8,CONCATENATE(",",CHAR(10),"for ",Table11[[#This Row],[Duration (Years):]]," years"),"lifelong")</f>
        <v>#VALUE!</v>
      </c>
      <c r="AD21" s="166" t="str">
        <f t="shared" si="14"/>
        <v>x/</v>
      </c>
      <c r="AE21" s="166">
        <f t="shared" si="15"/>
        <v>0</v>
      </c>
    </row>
    <row r="22" spans="1:31" ht="14.25" x14ac:dyDescent="0.2">
      <c r="AA22" s="166" t="e">
        <f>IF(L25="lifetime", "one-time cost", IF(D25='Master Data'!$B$8, AD22 &amp; AE22, AD22 &amp; AE22 &amp; AC22))</f>
        <v>#VALUE!</v>
      </c>
      <c r="AB22" s="208" t="str">
        <f t="shared" si="13"/>
        <v>ongoing cost</v>
      </c>
      <c r="AC22" s="166" t="e">
        <f>IF(Table11[[#This Row],[Duration (Years):]]&lt;&gt;'Master Data'!$B$8,CONCATENATE(",",CHAR(10),"for ",Table11[[#This Row],[Duration (Years):]]," years"),"lifelong")</f>
        <v>#VALUE!</v>
      </c>
      <c r="AD22" s="166" t="str">
        <f t="shared" si="14"/>
        <v>x/</v>
      </c>
      <c r="AE22" s="166">
        <f t="shared" si="15"/>
        <v>0</v>
      </c>
    </row>
    <row r="23" spans="1:31" ht="14.25" x14ac:dyDescent="0.2">
      <c r="AA23" s="166" t="e">
        <f>IF(L26="lifetime", "one-time cost", IF(D26='Master Data'!$B$8, AD23 &amp; AE23, AD23 &amp; AE23 &amp; AC23))</f>
        <v>#VALUE!</v>
      </c>
      <c r="AB23" s="208" t="str">
        <f t="shared" si="13"/>
        <v>ongoing cost</v>
      </c>
      <c r="AC23" s="166" t="e">
        <f>IF(Table11[[#This Row],[Duration (Years):]]&lt;&gt;'Master Data'!$B$8,CONCATENATE(",",CHAR(10),"for ",Table11[[#This Row],[Duration (Years):]]," years"),"lifelong")</f>
        <v>#VALUE!</v>
      </c>
      <c r="AD23" s="166" t="str">
        <f t="shared" si="14"/>
        <v>x/</v>
      </c>
      <c r="AE23" s="166">
        <f t="shared" si="15"/>
        <v>0</v>
      </c>
    </row>
    <row r="24" spans="1:31" ht="14.25" x14ac:dyDescent="0.2">
      <c r="AA24" s="166" t="e">
        <f>IF(L27="lifetime", "one-time cost", IF(D27='Master Data'!$B$8, AD24 &amp; AE24, AD24 &amp; AE24 &amp; AC24))</f>
        <v>#VALUE!</v>
      </c>
      <c r="AB24" s="208" t="str">
        <f t="shared" si="13"/>
        <v>ongoing cost</v>
      </c>
      <c r="AC24" s="166" t="e">
        <f>IF(Table11[[#This Row],[Duration (Years):]]&lt;&gt;'Master Data'!$B$8,CONCATENATE(",",CHAR(10),"for ",Table11[[#This Row],[Duration (Years):]]," years"),"lifelong")</f>
        <v>#VALUE!</v>
      </c>
      <c r="AD24" s="166" t="str">
        <f t="shared" si="14"/>
        <v>x/</v>
      </c>
      <c r="AE24" s="166">
        <f t="shared" si="15"/>
        <v>0</v>
      </c>
    </row>
    <row r="25" spans="1:31" ht="14.25" x14ac:dyDescent="0.2">
      <c r="AA25" s="166" t="e">
        <f>IF(L28="lifetime", "one-time cost", IF(D28='Master Data'!$B$8, AD25 &amp; AE25, AD25 &amp; AE25 &amp; AC25))</f>
        <v>#VALUE!</v>
      </c>
      <c r="AB25" s="208" t="str">
        <f t="shared" si="13"/>
        <v>ongoing cost</v>
      </c>
      <c r="AC25" s="166" t="e">
        <f>IF(Table11[[#This Row],[Duration (Years):]]&lt;&gt;'Master Data'!$B$8,CONCATENATE(",",CHAR(10),"for ",Table11[[#This Row],[Duration (Years):]]," years"),"lifelong")</f>
        <v>#VALUE!</v>
      </c>
      <c r="AD25" s="166" t="str">
        <f t="shared" si="14"/>
        <v>x/</v>
      </c>
      <c r="AE25" s="166">
        <f t="shared" si="15"/>
        <v>0</v>
      </c>
    </row>
    <row r="26" spans="1:31" ht="14.25" x14ac:dyDescent="0.2">
      <c r="AA26" s="166" t="e">
        <f>IF(L29="lifetime", "one-time cost", IF(D29='Master Data'!$B$8, AD26 &amp; AE26, AD26 &amp; AE26 &amp; AC26))</f>
        <v>#VALUE!</v>
      </c>
      <c r="AB26" s="208" t="str">
        <f t="shared" si="13"/>
        <v>ongoing cost</v>
      </c>
      <c r="AC26" s="166" t="e">
        <f>IF(Table11[[#This Row],[Duration (Years):]]&lt;&gt;'Master Data'!$B$8,CONCATENATE(",",CHAR(10),"for ",Table11[[#This Row],[Duration (Years):]]," years"),"lifelong")</f>
        <v>#VALUE!</v>
      </c>
      <c r="AD26" s="166" t="str">
        <f t="shared" si="14"/>
        <v>x/</v>
      </c>
      <c r="AE26" s="166">
        <f t="shared" si="15"/>
        <v>0</v>
      </c>
    </row>
    <row r="27" spans="1:31" ht="14.25" x14ac:dyDescent="0.2">
      <c r="AA27" s="166" t="e">
        <f>IF(L30="lifetime", "one-time cost", IF(D30='Master Data'!$B$8, AD27 &amp; AE27, AD27 &amp; AE27 &amp; AC27))</f>
        <v>#VALUE!</v>
      </c>
      <c r="AB27" s="208" t="str">
        <f t="shared" si="13"/>
        <v>ongoing cost</v>
      </c>
      <c r="AC27" s="166" t="e">
        <f>IF(Table11[[#This Row],[Duration (Years):]]&lt;&gt;'Master Data'!$B$8,CONCATENATE(",",CHAR(10),"for ",Table11[[#This Row],[Duration (Years):]]," years"),"lifelong")</f>
        <v>#VALUE!</v>
      </c>
      <c r="AD27" s="166" t="str">
        <f t="shared" si="14"/>
        <v>x/</v>
      </c>
      <c r="AE27" s="166">
        <f t="shared" si="15"/>
        <v>0</v>
      </c>
    </row>
    <row r="28" spans="1:31" ht="14.25" x14ac:dyDescent="0.2">
      <c r="AA28" s="166" t="e">
        <f>IF(L31="lifetime", "one-time cost", IF(D31='Master Data'!$B$8, AD28 &amp; AE28, AD28 &amp; AE28 &amp; AC28))</f>
        <v>#VALUE!</v>
      </c>
      <c r="AB28" s="208" t="str">
        <f t="shared" si="13"/>
        <v>ongoing cost</v>
      </c>
      <c r="AC28" s="166" t="e">
        <f>IF(Table11[[#This Row],[Duration (Years):]]&lt;&gt;'Master Data'!$B$8,CONCATENATE(",",CHAR(10),"for ",Table11[[#This Row],[Duration (Years):]]," years"),"lifelong")</f>
        <v>#VALUE!</v>
      </c>
      <c r="AD28" s="166" t="str">
        <f t="shared" si="14"/>
        <v>x/</v>
      </c>
      <c r="AE28" s="166">
        <f t="shared" si="15"/>
        <v>0</v>
      </c>
    </row>
    <row r="29" spans="1:31" ht="14.25" x14ac:dyDescent="0.2">
      <c r="AA29" s="166" t="e">
        <f>IF(L32="lifetime", "one-time cost", IF(D32='Master Data'!$B$8, AD29 &amp; AE29, AD29 &amp; AE29 &amp; AC29))</f>
        <v>#VALUE!</v>
      </c>
      <c r="AB29" s="208" t="str">
        <f t="shared" si="13"/>
        <v>ongoing cost</v>
      </c>
      <c r="AC29" s="166" t="e">
        <f>IF(Table11[[#This Row],[Duration (Years):]]&lt;&gt;'Master Data'!$B$8,CONCATENATE(",",CHAR(10),"for ",Table11[[#This Row],[Duration (Years):]]," years"),"lifelong")</f>
        <v>#VALUE!</v>
      </c>
      <c r="AD29" s="166" t="str">
        <f t="shared" si="14"/>
        <v>x/</v>
      </c>
      <c r="AE29" s="166">
        <f t="shared" si="15"/>
        <v>0</v>
      </c>
    </row>
    <row r="30" spans="1:31" ht="14.25" x14ac:dyDescent="0.2">
      <c r="AA30" s="166" t="e">
        <f>IF(L33="lifetime", "one-time cost", IF(D33='Master Data'!$B$8, AD30 &amp; AE30, AD30 &amp; AE30 &amp; AC30))</f>
        <v>#VALUE!</v>
      </c>
      <c r="AB30" s="208" t="str">
        <f t="shared" si="13"/>
        <v>ongoing cost</v>
      </c>
      <c r="AC30" s="166" t="e">
        <f>IF(Table11[[#This Row],[Duration (Years):]]&lt;&gt;'Master Data'!$B$8,CONCATENATE(",",CHAR(10),"for ",Table11[[#This Row],[Duration (Years):]]," years"),"lifelong")</f>
        <v>#VALUE!</v>
      </c>
      <c r="AD30" s="166" t="str">
        <f t="shared" si="14"/>
        <v>x/</v>
      </c>
      <c r="AE30" s="166">
        <f t="shared" si="15"/>
        <v>0</v>
      </c>
    </row>
    <row r="31" spans="1:31" ht="14.25" x14ac:dyDescent="0.2">
      <c r="AA31" s="166" t="e">
        <f>IF(L34="lifetime", "one-time cost", IF(D34='Master Data'!$B$8, AD31 &amp; AE31, AD31 &amp; AE31 &amp; AC31))</f>
        <v>#VALUE!</v>
      </c>
      <c r="AB31" s="208" t="str">
        <f t="shared" si="13"/>
        <v>ongoing cost</v>
      </c>
      <c r="AC31" s="166" t="e">
        <f>IF(Table11[[#This Row],[Duration (Years):]]&lt;&gt;'Master Data'!$B$8,CONCATENATE(",",CHAR(10),"for ",Table11[[#This Row],[Duration (Years):]]," years"),"lifelong")</f>
        <v>#VALUE!</v>
      </c>
      <c r="AD31" s="166" t="str">
        <f t="shared" si="14"/>
        <v>x/</v>
      </c>
      <c r="AE31" s="166">
        <f t="shared" si="15"/>
        <v>0</v>
      </c>
    </row>
    <row r="32" spans="1:31" ht="14.25" x14ac:dyDescent="0.2">
      <c r="AA32" s="166" t="e">
        <f>IF(L35="lifetime", "one-time cost", IF(D35='Master Data'!$B$8, AD32 &amp; AE32, AD32 &amp; AE32 &amp; AC32))</f>
        <v>#VALUE!</v>
      </c>
      <c r="AB32" s="208" t="str">
        <f t="shared" si="13"/>
        <v>ongoing cost</v>
      </c>
      <c r="AC32" s="166" t="e">
        <f>IF(Table11[[#This Row],[Duration (Years):]]&lt;&gt;'Master Data'!$B$8,CONCATENATE(",",CHAR(10),"for ",Table11[[#This Row],[Duration (Years):]]," years"),"lifelong")</f>
        <v>#VALUE!</v>
      </c>
      <c r="AD32" s="166" t="str">
        <f t="shared" si="14"/>
        <v>x/</v>
      </c>
      <c r="AE32" s="166">
        <f t="shared" si="15"/>
        <v>0</v>
      </c>
    </row>
    <row r="33" spans="27:31" ht="14.25" x14ac:dyDescent="0.2">
      <c r="AA33" s="166" t="e">
        <f>IF(L36="lifetime", "one-time cost", IF(D36='Master Data'!$B$8, AD33 &amp; AE33, AD33 &amp; AE33 &amp; AC33))</f>
        <v>#VALUE!</v>
      </c>
      <c r="AB33" s="208" t="str">
        <f t="shared" si="13"/>
        <v>ongoing cost</v>
      </c>
      <c r="AC33" s="166" t="e">
        <f>IF(Table11[[#This Row],[Duration (Years):]]&lt;&gt;'Master Data'!$B$8,CONCATENATE(",",CHAR(10),"for ",Table11[[#This Row],[Duration (Years):]]," years"),"lifelong")</f>
        <v>#VALUE!</v>
      </c>
      <c r="AD33" s="166" t="str">
        <f t="shared" si="14"/>
        <v>x/</v>
      </c>
      <c r="AE33" s="166">
        <f t="shared" si="15"/>
        <v>0</v>
      </c>
    </row>
    <row r="34" spans="27:31" ht="14.25" x14ac:dyDescent="0.2">
      <c r="AA34" s="166" t="e">
        <f>IF(L37="lifetime", "one-time cost", IF(D37='Master Data'!$B$8, AD34 &amp; AE34, AD34 &amp; AE34 &amp; AC34))</f>
        <v>#VALUE!</v>
      </c>
      <c r="AB34" s="208" t="str">
        <f t="shared" si="13"/>
        <v>ongoing cost</v>
      </c>
      <c r="AC34" s="166" t="e">
        <f>IF(Table11[[#This Row],[Duration (Years):]]&lt;&gt;'Master Data'!$B$8,CONCATENATE(",",CHAR(10),"for ",Table11[[#This Row],[Duration (Years):]]," years"),"lifelong")</f>
        <v>#VALUE!</v>
      </c>
      <c r="AD34" s="166" t="str">
        <f t="shared" si="14"/>
        <v>x/</v>
      </c>
      <c r="AE34" s="166">
        <f t="shared" si="15"/>
        <v>0</v>
      </c>
    </row>
    <row r="35" spans="27:31" ht="14.25" x14ac:dyDescent="0.2">
      <c r="AA35" s="166" t="e">
        <f>IF(L38="lifetime", "one-time cost", IF(D38='Master Data'!$B$8, AD35 &amp; AE35, AD35 &amp; AE35 &amp; AC35))</f>
        <v>#VALUE!</v>
      </c>
      <c r="AB35" s="208" t="str">
        <f t="shared" si="13"/>
        <v>ongoing cost</v>
      </c>
      <c r="AC35" s="166" t="e">
        <f>IF(Table11[[#This Row],[Duration (Years):]]&lt;&gt;'Master Data'!$B$8,CONCATENATE(",",CHAR(10),"for ",Table11[[#This Row],[Duration (Years):]]," years"),"lifelong")</f>
        <v>#VALUE!</v>
      </c>
      <c r="AD35" s="166" t="str">
        <f t="shared" si="14"/>
        <v>x/</v>
      </c>
      <c r="AE35" s="166">
        <f t="shared" si="15"/>
        <v>0</v>
      </c>
    </row>
    <row r="36" spans="27:31" ht="14.25" x14ac:dyDescent="0.2">
      <c r="AA36" s="166" t="e">
        <f>IF(L39="lifetime", "one-time cost", IF(D39='Master Data'!$B$8, AD36 &amp; AE36, AD36 &amp; AE36 &amp; AC36))</f>
        <v>#VALUE!</v>
      </c>
      <c r="AB36" s="208" t="str">
        <f t="shared" si="13"/>
        <v>ongoing cost</v>
      </c>
      <c r="AC36" s="166" t="e">
        <f>IF(Table11[[#This Row],[Duration (Years):]]&lt;&gt;'Master Data'!$B$8,CONCATENATE(",",CHAR(10),"for ",Table11[[#This Row],[Duration (Years):]]," years"),"lifelong")</f>
        <v>#VALUE!</v>
      </c>
      <c r="AD36" s="166" t="str">
        <f t="shared" si="14"/>
        <v>x/</v>
      </c>
      <c r="AE36" s="166">
        <f t="shared" si="15"/>
        <v>0</v>
      </c>
    </row>
    <row r="37" spans="27:31" ht="14.25" x14ac:dyDescent="0.2">
      <c r="AA37" s="166" t="e">
        <f>IF(L40="lifetime", "one-time cost", IF(D40='Master Data'!$B$8, AD37 &amp; AE37, AD37 &amp; AE37 &amp; AC37))</f>
        <v>#VALUE!</v>
      </c>
      <c r="AB37" s="208" t="str">
        <f t="shared" si="13"/>
        <v>ongoing cost</v>
      </c>
      <c r="AC37" s="166" t="e">
        <f>IF(Table11[[#This Row],[Duration (Years):]]&lt;&gt;'Master Data'!$B$8,CONCATENATE(",",CHAR(10),"for ",Table11[[#This Row],[Duration (Years):]]," years"),"lifelong")</f>
        <v>#VALUE!</v>
      </c>
      <c r="AD37" s="166" t="str">
        <f t="shared" si="14"/>
        <v>x/</v>
      </c>
      <c r="AE37" s="166">
        <f t="shared" si="15"/>
        <v>0</v>
      </c>
    </row>
    <row r="38" spans="27:31" ht="14.25" x14ac:dyDescent="0.2">
      <c r="AA38" s="166" t="e">
        <f>IF(L41="lifetime", "one-time cost", IF(D41='Master Data'!$B$8, AD38 &amp; AE38, AD38 &amp; AE38 &amp; AC38))</f>
        <v>#VALUE!</v>
      </c>
      <c r="AB38" s="208" t="str">
        <f t="shared" si="13"/>
        <v>ongoing cost</v>
      </c>
      <c r="AC38" s="166" t="e">
        <f>IF(Table11[[#This Row],[Duration (Years):]]&lt;&gt;'Master Data'!$B$8,CONCATENATE(",",CHAR(10),"for ",Table11[[#This Row],[Duration (Years):]]," years"),"lifelong")</f>
        <v>#VALUE!</v>
      </c>
      <c r="AD38" s="166" t="str">
        <f t="shared" si="14"/>
        <v>x/</v>
      </c>
      <c r="AE38" s="166">
        <f t="shared" si="15"/>
        <v>0</v>
      </c>
    </row>
    <row r="39" spans="27:31" ht="14.25" x14ac:dyDescent="0.2">
      <c r="AA39" s="166" t="e">
        <f>IF(L42="lifetime", "one-time cost", IF(D42='Master Data'!$B$8, AD39 &amp; AE39, AD39 &amp; AE39 &amp; AC39))</f>
        <v>#VALUE!</v>
      </c>
      <c r="AB39" s="208" t="str">
        <f t="shared" si="13"/>
        <v>ongoing cost</v>
      </c>
      <c r="AC39" s="166" t="e">
        <f>IF(Table11[[#This Row],[Duration (Years):]]&lt;&gt;'Master Data'!$B$8,CONCATENATE(",",CHAR(10),"for ",Table11[[#This Row],[Duration (Years):]]," years"),"lifelong")</f>
        <v>#VALUE!</v>
      </c>
      <c r="AD39" s="166" t="str">
        <f t="shared" si="14"/>
        <v>x/</v>
      </c>
      <c r="AE39" s="166">
        <f t="shared" si="15"/>
        <v>0</v>
      </c>
    </row>
    <row r="40" spans="27:31" ht="14.25" x14ac:dyDescent="0.2">
      <c r="AA40" s="166" t="e">
        <f>IF(L43="lifetime", "one-time cost", IF(D43='Master Data'!$B$8, AD40 &amp; AE40, AD40 &amp; AE40 &amp; AC40))</f>
        <v>#VALUE!</v>
      </c>
      <c r="AB40" s="208" t="str">
        <f t="shared" si="13"/>
        <v>ongoing cost</v>
      </c>
      <c r="AC40" s="166" t="e">
        <f>IF(Table11[[#This Row],[Duration (Years):]]&lt;&gt;'Master Data'!$B$8,CONCATENATE(",",CHAR(10),"for ",Table11[[#This Row],[Duration (Years):]]," years"),"lifelong")</f>
        <v>#VALUE!</v>
      </c>
      <c r="AD40" s="166" t="str">
        <f t="shared" si="14"/>
        <v>x/</v>
      </c>
      <c r="AE40" s="166">
        <f t="shared" si="15"/>
        <v>0</v>
      </c>
    </row>
    <row r="41" spans="27:31" ht="14.25" x14ac:dyDescent="0.2">
      <c r="AA41" s="166" t="e">
        <f>IF(L44="lifetime", "one-time cost", IF(D44='Master Data'!$B$8, AD41 &amp; AE41, AD41 &amp; AE41 &amp; AC41))</f>
        <v>#VALUE!</v>
      </c>
      <c r="AB41" s="208" t="str">
        <f t="shared" si="13"/>
        <v>ongoing cost</v>
      </c>
      <c r="AC41" s="166" t="e">
        <f>IF(Table11[[#This Row],[Duration (Years):]]&lt;&gt;'Master Data'!$B$8,CONCATENATE(",",CHAR(10),"for ",Table11[[#This Row],[Duration (Years):]]," years"),"lifelong")</f>
        <v>#VALUE!</v>
      </c>
      <c r="AD41" s="166" t="str">
        <f t="shared" si="14"/>
        <v>x/</v>
      </c>
      <c r="AE41" s="166">
        <f t="shared" si="15"/>
        <v>0</v>
      </c>
    </row>
    <row r="42" spans="27:31" ht="14.25" x14ac:dyDescent="0.2">
      <c r="AA42" s="166" t="e">
        <f>IF(L45="lifetime", "one-time cost", IF(D45='Master Data'!$B$8, AD42 &amp; AE42, AD42 &amp; AE42 &amp; AC42))</f>
        <v>#VALUE!</v>
      </c>
      <c r="AB42" s="208" t="str">
        <f t="shared" si="13"/>
        <v>ongoing cost</v>
      </c>
      <c r="AC42" s="166" t="e">
        <f>IF(Table11[[#This Row],[Duration (Years):]]&lt;&gt;'Master Data'!$B$8,CONCATENATE(",",CHAR(10),"for ",Table11[[#This Row],[Duration (Years):]]," years"),"lifelong")</f>
        <v>#VALUE!</v>
      </c>
      <c r="AD42" s="166" t="str">
        <f t="shared" si="14"/>
        <v>x/</v>
      </c>
      <c r="AE42" s="166">
        <f t="shared" si="15"/>
        <v>0</v>
      </c>
    </row>
    <row r="43" spans="27:31" ht="14.25" x14ac:dyDescent="0.2">
      <c r="AA43" s="166" t="e">
        <f>IF(L46="lifetime", "one-time cost", IF(D46='Master Data'!$B$8, AD43 &amp; AE43, AD43 &amp; AE43 &amp; AC43))</f>
        <v>#VALUE!</v>
      </c>
      <c r="AB43" s="208" t="str">
        <f t="shared" si="13"/>
        <v>ongoing cost</v>
      </c>
      <c r="AC43" s="166" t="e">
        <f>IF(Table11[[#This Row],[Duration (Years):]]&lt;&gt;'Master Data'!$B$8,CONCATENATE(",",CHAR(10),"for ",Table11[[#This Row],[Duration (Years):]]," years"),"lifelong")</f>
        <v>#VALUE!</v>
      </c>
      <c r="AD43" s="166" t="str">
        <f t="shared" si="14"/>
        <v>x/</v>
      </c>
      <c r="AE43" s="166">
        <f t="shared" si="15"/>
        <v>0</v>
      </c>
    </row>
    <row r="44" spans="27:31" ht="14.25" x14ac:dyDescent="0.2">
      <c r="AA44" s="166" t="e">
        <f>IF(L47="lifetime", "one-time cost", IF(D47='Master Data'!$B$8, AD44 &amp; AE44, AD44 &amp; AE44 &amp; AC44))</f>
        <v>#VALUE!</v>
      </c>
      <c r="AB44" s="208" t="str">
        <f t="shared" si="13"/>
        <v>ongoing cost</v>
      </c>
      <c r="AC44" s="166" t="e">
        <f>IF(Table11[[#This Row],[Duration (Years):]]&lt;&gt;'Master Data'!$B$8,CONCATENATE(",",CHAR(10),"for ",Table11[[#This Row],[Duration (Years):]]," years"),"lifelong")</f>
        <v>#VALUE!</v>
      </c>
      <c r="AD44" s="166" t="str">
        <f t="shared" si="14"/>
        <v>x/</v>
      </c>
      <c r="AE44" s="166">
        <f t="shared" si="15"/>
        <v>0</v>
      </c>
    </row>
    <row r="45" spans="27:31" ht="14.25" x14ac:dyDescent="0.2">
      <c r="AA45" s="166" t="e">
        <f>IF(L48="lifetime", "one-time cost", IF(D48='Master Data'!$B$8, AD45 &amp; AE45, AD45 &amp; AE45 &amp; AC45))</f>
        <v>#VALUE!</v>
      </c>
      <c r="AB45" s="208" t="str">
        <f t="shared" si="13"/>
        <v>ongoing cost</v>
      </c>
      <c r="AC45" s="166" t="e">
        <f>IF(Table11[[#This Row],[Duration (Years):]]&lt;&gt;'Master Data'!$B$8,CONCATENATE(",",CHAR(10),"for ",Table11[[#This Row],[Duration (Years):]]," years"),"lifelong")</f>
        <v>#VALUE!</v>
      </c>
      <c r="AD45" s="166" t="str">
        <f t="shared" si="14"/>
        <v>x/</v>
      </c>
      <c r="AE45" s="166">
        <f t="shared" si="15"/>
        <v>0</v>
      </c>
    </row>
    <row r="46" spans="27:31" ht="14.25" x14ac:dyDescent="0.2">
      <c r="AA46" s="166" t="e">
        <f>IF(L49="lifetime", "one-time cost", IF(D49='Master Data'!$B$8, AD46 &amp; AE46, AD46 &amp; AE46 &amp; AC46))</f>
        <v>#VALUE!</v>
      </c>
      <c r="AB46" s="208" t="str">
        <f t="shared" si="13"/>
        <v>ongoing cost</v>
      </c>
      <c r="AC46" s="166" t="e">
        <f>IF(Table11[[#This Row],[Duration (Years):]]&lt;&gt;'Master Data'!$B$8,CONCATENATE(",",CHAR(10),"for ",Table11[[#This Row],[Duration (Years):]]," years"),"lifelong")</f>
        <v>#VALUE!</v>
      </c>
      <c r="AD46" s="166" t="str">
        <f t="shared" si="14"/>
        <v>x/</v>
      </c>
      <c r="AE46" s="166">
        <f t="shared" si="15"/>
        <v>0</v>
      </c>
    </row>
    <row r="47" spans="27:31" ht="14.25" x14ac:dyDescent="0.2">
      <c r="AA47" s="166" t="e">
        <f>IF(L50="lifetime", "one-time cost", IF(D50='Master Data'!$B$8, AD47 &amp; AE47, AD47 &amp; AE47 &amp; AC47))</f>
        <v>#VALUE!</v>
      </c>
      <c r="AB47" s="208" t="str">
        <f t="shared" si="13"/>
        <v>ongoing cost</v>
      </c>
      <c r="AC47" s="166" t="e">
        <f>IF(Table11[[#This Row],[Duration (Years):]]&lt;&gt;'Master Data'!$B$8,CONCATENATE(",",CHAR(10),"for ",Table11[[#This Row],[Duration (Years):]]," years"),"lifelong")</f>
        <v>#VALUE!</v>
      </c>
      <c r="AD47" s="166" t="str">
        <f t="shared" si="14"/>
        <v>x/</v>
      </c>
      <c r="AE47" s="166">
        <f t="shared" si="15"/>
        <v>0</v>
      </c>
    </row>
    <row r="48" spans="27:31" ht="14.25" x14ac:dyDescent="0.2">
      <c r="AA48" s="166" t="e">
        <f>IF(L51="lifetime", "one-time cost", IF(D51='Master Data'!$B$8, AD48 &amp; AE48, AD48 &amp; AE48 &amp; AC48))</f>
        <v>#VALUE!</v>
      </c>
      <c r="AB48" s="208" t="str">
        <f t="shared" si="13"/>
        <v>ongoing cost</v>
      </c>
      <c r="AC48" s="166" t="e">
        <f>IF(Table11[[#This Row],[Duration (Years):]]&lt;&gt;'Master Data'!$B$8,CONCATENATE(",",CHAR(10),"for ",Table11[[#This Row],[Duration (Years):]]," years"),"lifelong")</f>
        <v>#VALUE!</v>
      </c>
      <c r="AD48" s="166" t="str">
        <f t="shared" si="14"/>
        <v>x/</v>
      </c>
      <c r="AE48" s="166">
        <f t="shared" si="15"/>
        <v>0</v>
      </c>
    </row>
    <row r="49" spans="27:31" ht="14.25" x14ac:dyDescent="0.2">
      <c r="AA49" s="166" t="e">
        <f>IF(L52="lifetime", "one-time cost", IF(D52='Master Data'!$B$8, AD49 &amp; AE49, AD49 &amp; AE49 &amp; AC49))</f>
        <v>#VALUE!</v>
      </c>
      <c r="AB49" s="208" t="str">
        <f t="shared" si="13"/>
        <v>ongoing cost</v>
      </c>
      <c r="AC49" s="166" t="e">
        <f>IF(Table11[[#This Row],[Duration (Years):]]&lt;&gt;'Master Data'!$B$8,CONCATENATE(",",CHAR(10),"for ",Table11[[#This Row],[Duration (Years):]]," years"),"lifelong")</f>
        <v>#VALUE!</v>
      </c>
      <c r="AD49" s="166" t="str">
        <f t="shared" si="14"/>
        <v>x/</v>
      </c>
      <c r="AE49" s="166">
        <f t="shared" si="15"/>
        <v>0</v>
      </c>
    </row>
    <row r="50" spans="27:31" ht="14.25" x14ac:dyDescent="0.2">
      <c r="AA50" s="166" t="e">
        <f>IF(L53="lifetime", "one-time cost", IF(D53='Master Data'!$B$8, AD50 &amp; AE50, AD50 &amp; AE50 &amp; AC50))</f>
        <v>#VALUE!</v>
      </c>
      <c r="AB50" s="208" t="str">
        <f t="shared" si="13"/>
        <v>ongoing cost</v>
      </c>
      <c r="AC50" s="166" t="e">
        <f>IF(Table11[[#This Row],[Duration (Years):]]&lt;&gt;'Master Data'!$B$8,CONCATENATE(",",CHAR(10),"for ",Table11[[#This Row],[Duration (Years):]]," years"),"lifelong")</f>
        <v>#VALUE!</v>
      </c>
      <c r="AD50" s="166" t="str">
        <f t="shared" si="14"/>
        <v>x/</v>
      </c>
      <c r="AE50" s="166">
        <f t="shared" si="15"/>
        <v>0</v>
      </c>
    </row>
  </sheetData>
  <sortState xmlns:xlrd2="http://schemas.microsoft.com/office/spreadsheetml/2017/richdata2" ref="A3:S16">
    <sortCondition ref="D3"/>
    <sortCondition ref="A3"/>
  </sortState>
  <mergeCells count="3">
    <mergeCell ref="A1:S1"/>
    <mergeCell ref="A16:M16"/>
    <mergeCell ref="V3:W3"/>
  </mergeCells>
  <dataValidations count="2">
    <dataValidation allowBlank="1" showInputMessage="1" showErrorMessage="1" prompt="Cost per unit._x000a__x000a_This column holds the low end of the range." sqref="E3" xr:uid="{81F3D64C-5C3D-4EBE-93E5-1CF2A486B1C7}"/>
    <dataValidation allowBlank="1" showInputMessage="1" showErrorMessage="1" prompt="Cost per unit._x000a__x000a_This column holds the high end of the range." sqref="F3" xr:uid="{7538F122-744A-4B26-9D45-F895A3772FCA}"/>
  </dataValidations>
  <hyperlinks>
    <hyperlink ref="V3" location="Procedure1!A1" display="Link to copy/paste table here" xr:uid="{475D0E67-073D-4390-B1D9-AE39394DCCD5}"/>
    <hyperlink ref="V3:W3" location="Procedure4!A1" display="Link to copy/paste table here" xr:uid="{CE970DDE-2E05-4761-8E51-5833E768146D}"/>
  </hyperlinks>
  <pageMargins left="0.25" right="0.25" top="0.75" bottom="0.75" header="0.3" footer="0.3"/>
  <pageSetup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9"/>
  <sheetViews>
    <sheetView workbookViewId="0">
      <selection activeCell="A9" sqref="A9"/>
    </sheetView>
  </sheetViews>
  <sheetFormatPr defaultColWidth="9.140625" defaultRowHeight="28.5" customHeight="1" x14ac:dyDescent="0.2"/>
  <cols>
    <col min="1" max="1" width="19.7109375" style="54" customWidth="1"/>
    <col min="2" max="3" width="9.7109375" style="55" hidden="1" customWidth="1"/>
    <col min="4" max="4" width="13.42578125" style="55" customWidth="1"/>
    <col min="5" max="6" width="13.28515625" style="56" customWidth="1"/>
    <col min="7" max="7" width="15.7109375" style="57" hidden="1" customWidth="1"/>
    <col min="8" max="11" width="8.7109375" style="58" customWidth="1"/>
    <col min="12" max="12" width="10.85546875" style="54" customWidth="1"/>
    <col min="13" max="13" width="17.7109375" style="59" customWidth="1"/>
    <col min="14" max="15" width="12.28515625" style="56" hidden="1" customWidth="1"/>
    <col min="16" max="16" width="14.7109375" style="60" customWidth="1"/>
    <col min="17" max="18" width="12.28515625" style="56" hidden="1" customWidth="1"/>
    <col min="19" max="19" width="14.7109375" style="60" customWidth="1"/>
    <col min="20" max="20" width="9.140625" style="46"/>
    <col min="21" max="21" width="9.140625" style="46" customWidth="1"/>
    <col min="22" max="26" width="9.140625" style="46"/>
    <col min="27" max="31" width="9.140625" style="46" hidden="1" customWidth="1"/>
    <col min="32" max="16384" width="9.140625" style="46"/>
  </cols>
  <sheetData>
    <row r="1" spans="1:31" ht="30" customHeight="1" thickTop="1" x14ac:dyDescent="0.2">
      <c r="A1" s="340" t="s">
        <v>111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7"/>
    </row>
    <row r="2" spans="1:31" s="47" customFormat="1" ht="57.75" thickBot="1" x14ac:dyDescent="0.3">
      <c r="A2" s="105" t="s">
        <v>33</v>
      </c>
      <c r="B2" s="106" t="s">
        <v>15</v>
      </c>
      <c r="C2" s="106" t="s">
        <v>16</v>
      </c>
      <c r="D2" s="106" t="s">
        <v>17</v>
      </c>
      <c r="E2" s="107" t="s">
        <v>18</v>
      </c>
      <c r="F2" s="107" t="s">
        <v>19</v>
      </c>
      <c r="G2" s="107" t="s">
        <v>29</v>
      </c>
      <c r="H2" s="108" t="s">
        <v>20</v>
      </c>
      <c r="I2" s="108" t="s">
        <v>21</v>
      </c>
      <c r="J2" s="108" t="s">
        <v>22</v>
      </c>
      <c r="K2" s="108" t="s">
        <v>23</v>
      </c>
      <c r="L2" s="109" t="s">
        <v>24</v>
      </c>
      <c r="M2" s="109" t="s">
        <v>30</v>
      </c>
      <c r="N2" s="107" t="s">
        <v>25</v>
      </c>
      <c r="O2" s="107" t="s">
        <v>26</v>
      </c>
      <c r="P2" s="109" t="s">
        <v>31</v>
      </c>
      <c r="Q2" s="107" t="s">
        <v>27</v>
      </c>
      <c r="R2" s="107" t="s">
        <v>28</v>
      </c>
      <c r="S2" s="110" t="s">
        <v>34</v>
      </c>
      <c r="U2" s="7" t="s">
        <v>48</v>
      </c>
      <c r="AA2" s="207" t="s">
        <v>148</v>
      </c>
      <c r="AB2" s="207" t="s">
        <v>144</v>
      </c>
      <c r="AC2" s="207" t="s">
        <v>145</v>
      </c>
      <c r="AD2" s="207" t="s">
        <v>146</v>
      </c>
      <c r="AE2" s="207" t="s">
        <v>147</v>
      </c>
    </row>
    <row r="3" spans="1:31" ht="45" customHeight="1" thickTop="1" x14ac:dyDescent="0.25">
      <c r="A3" s="61" t="s">
        <v>161</v>
      </c>
      <c r="B3" s="35">
        <f ca="1">'Master Data'!$B$6</f>
        <v>126.3</v>
      </c>
      <c r="C3" s="35">
        <f ca="1">'Master Data'!$B$7</f>
        <v>136.30000000000001</v>
      </c>
      <c r="D3" s="29">
        <f t="shared" ref="D3:D8" ca="1" si="0">ROUND(C3-B3,1)</f>
        <v>10</v>
      </c>
      <c r="E3" s="36" cm="1">
        <f t="array" ref="E3">IF(
  $A3="Single Lung Transplant",
  _xlfn.XLOOKUP(1,'Cost Data Sheet'!$A$2:$A$1006,'Cost Data Sheet'!$F$2:$F$1006),
  IF(
    $A3="Double Lung Transplant",
    _xlfn.XLOOKUP(2,'Cost Data Sheet'!$A$2:$A$1006,'Cost Data Sheet'!$F$2:$F$1006),
    SUMPRODUCT(
      ('Service to CPT Map'!$A$2:$A$1017=$A3)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197</v>
      </c>
      <c r="F3" s="36" cm="1">
        <f t="array" ref="F3">IF(
  OR($A3="Single Lung Transplant",$A3="Double Lung Transplant"),
  E3,
  SUMPRODUCT(
    ('Service to CPT Map'!$A$2:$A$1017=$A3)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Map'!$A$2:$A$1017=$A3)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Map'!$A$2:$A$1017=$A3)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997</v>
      </c>
      <c r="G3" s="37" t="str">
        <f t="shared" ref="G3:G8" si="1">IF(E3&lt;F3,CONCATENATE(TEXT(E3,"$#,##0.00"),CHAR(10)," - ",CHAR(10),TEXT(F3,"$#,##0.00")),TEXT(E3,"$#,##0.00"))</f>
        <v>$197.00
 - 
$997.00</v>
      </c>
      <c r="H3" s="38">
        <v>7</v>
      </c>
      <c r="I3" s="38"/>
      <c r="J3" s="38"/>
      <c r="K3" s="38"/>
      <c r="L3" s="51" t="str">
        <f t="shared" ref="L3:L8" si="2">IF(LEN(K3)=0,IF(LEN(J3)=0,"lifetime",IF(J3=1,"year","years")),"years")</f>
        <v>lifetime</v>
      </c>
      <c r="M3" s="33" t="str">
        <f>IF(L3="lifetime",
    IF(I3&lt;&gt;"", H3 &amp; "-" &amp; I3 &amp; "x/lifetime", H3 &amp; "x/lifetime"),
    IF(D3='Master Data'!$B$8, AD3 &amp; AE3, AD3 &amp; AE3 &amp; AC3))</f>
        <v>7x/lifetime</v>
      </c>
      <c r="N3" s="36">
        <f t="shared" ref="N3:N8" si="3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3" s="36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3" s="49" t="str">
        <f t="shared" ref="P3:P8" si="4">IF(N3&lt;O3,CONCATENATE(TEXT(N3,"$#,##0.00"),CHAR(10)," - ",CHAR(10),TEXT(O3,"$#,##0.00")),TEXT(N3,"$0.00"))</f>
        <v>$0.00</v>
      </c>
      <c r="Q3" s="36">
        <f>ROUND(IF(TimeValue="lifetime",MinCost*MinFreq,0),2)</f>
        <v>1379</v>
      </c>
      <c r="R3" s="36">
        <f>ROUND(IF(AND(TimeValue="lifetime",MaxFreq&lt;1),MinFreq*MaxCost,IF(AND(TimeValue="lifetime",MaxFreq&gt;=1),MaxFreq*MaxCost,0)),2)</f>
        <v>6979</v>
      </c>
      <c r="S3" s="62" t="str">
        <f t="shared" ref="S3:S8" si="5">IF(Q3&lt;R3,CONCATENATE(TEXT(Q3,"$#,##0.00"),CHAR(10)," - ",CHAR(10),TEXT(R3,"$#,##0.00")),TEXT(Q3,"$0.00"))</f>
        <v>$1,379.00
 - 
$6,979.00</v>
      </c>
      <c r="U3" s="46" t="str">
        <f t="array" aca="1" ref="U3" ca="1">IF(AND(ROUND(Table12[Duration (Years):],1)='Master Data'!$B$8),"same","different")</f>
        <v>same</v>
      </c>
      <c r="V3" s="345" t="s">
        <v>133</v>
      </c>
      <c r="W3" s="345"/>
      <c r="AA3" s="166" t="str">
        <f>IF(L3="lifetime", "one-time cost", IF(D3='Master Data'!$B$8, AD3 &amp; AE3, AD3 &amp; AE3 &amp; AC3))</f>
        <v>one-time cost</v>
      </c>
      <c r="AB3" s="208" t="str">
        <f t="shared" ref="AB3:AB9" si="6">IF(L3="lifetime", IF(I3&lt;&gt;"", H3 &amp; "-" &amp; I3 &amp; "x/lifetime", H3 &amp; "x/lifetime"), "ongoing cost")</f>
        <v>7x/lifetime</v>
      </c>
      <c r="AC3" s="166" t="str">
        <f ca="1">IF(Table12[[#This Row],[Duration (Years):]]&lt;&gt;'Master Data'!$B$8,CONCATENATE(",",CHAR(10),"for ",Table12[[#This Row],[Duration (Years):]]," years"),"lifelong")</f>
        <v>lifelong</v>
      </c>
      <c r="AD3" s="166" t="str">
        <f t="shared" ref="AD3:AD9" si="7">IF(L3="lifetime", "one-time cost", IF(I3&lt;&gt;"", H3 &amp; "-" &amp; I3 &amp; "x/", H3 &amp; "x/"))</f>
        <v>one-time cost</v>
      </c>
      <c r="AE3" s="166" t="str">
        <f t="shared" ref="AE3:AE9" si="8">IF(L3="lifetime", "one-time cost", IF(K3&lt;&gt;"", J3 &amp; "-" &amp; K3 &amp; " " &amp; L3, IF(J3&gt;1, J3 &amp; " " &amp; L3, L3)))</f>
        <v>one-time cost</v>
      </c>
    </row>
    <row r="4" spans="1:31" ht="45" customHeight="1" x14ac:dyDescent="0.2">
      <c r="A4" s="98" t="s">
        <v>161</v>
      </c>
      <c r="B4" s="29">
        <f ca="1">'Master Data'!$B$6</f>
        <v>126.3</v>
      </c>
      <c r="C4" s="29">
        <f ca="1">'Master Data'!$B$7</f>
        <v>136.30000000000001</v>
      </c>
      <c r="D4" s="29">
        <f t="shared" ca="1" si="0"/>
        <v>10</v>
      </c>
      <c r="E4" s="30" cm="1">
        <f t="array" ref="E4">IF(
  $A4="Single Lung Transplant",
  _xlfn.XLOOKUP(1,'Cost Data Sheet'!$A$2:$A$1006,'Cost Data Sheet'!$F$2:$F$1006),
  IF(
    $A4="Double Lung Transplant",
    _xlfn.XLOOKUP(2,'Cost Data Sheet'!$A$2:$A$1006,'Cost Data Sheet'!$F$2:$F$1006),
    SUMPRODUCT(
      ('Service to CPT Map'!$A$2:$A$1017=$A4)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197</v>
      </c>
      <c r="F4" s="30" cm="1">
        <f t="array" ref="F4">IF(
  OR($A4="Single Lung Transplant",$A4="Double Lung Transplant"),
  E4,
  SUMPRODUCT(
    ('Service to CPT Map'!$A$2:$A$1017=$A4)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Map'!$A$2:$A$1017=$A4)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Map'!$A$2:$A$1017=$A4)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997</v>
      </c>
      <c r="G4" s="31" t="str">
        <f t="shared" si="1"/>
        <v>$197.00
 - 
$997.00</v>
      </c>
      <c r="H4" s="32">
        <v>16</v>
      </c>
      <c r="I4" s="32">
        <v>36</v>
      </c>
      <c r="J4" s="32"/>
      <c r="K4" s="32"/>
      <c r="L4" s="51" t="str">
        <f t="shared" si="2"/>
        <v>lifetime</v>
      </c>
      <c r="M4" s="33" t="str">
        <f>IF(L4="lifetime",
    IF(I4&lt;&gt;"", H4 &amp; "-" &amp; I4 &amp; "x/lifetime", H4 &amp; "x/lifetime"),
    IF(D4='Master Data'!$B$8, AD4 &amp; AE4, AD4 &amp; AE4 &amp; AC4))</f>
        <v>16-36x/lifetime</v>
      </c>
      <c r="N4" s="30">
        <f t="shared" si="3"/>
        <v>0</v>
      </c>
      <c r="O4" s="30">
        <f t="shared" ref="O4:O15" si="9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4" s="52" t="str">
        <f t="shared" si="4"/>
        <v>$0.00</v>
      </c>
      <c r="Q4" s="30">
        <f t="shared" ref="Q4:Q15" si="10">ROUND(IF(TimeValue="lifetime",MinCost*MinFreq,0),2)</f>
        <v>3152</v>
      </c>
      <c r="R4" s="30">
        <f t="shared" ref="R4:R15" si="11">ROUND(IF(AND(TimeValue="lifetime",MaxFreq&lt;1),MinFreq*MaxCost,IF(AND(TimeValue="lifetime",MaxFreq&gt;=1),MaxFreq*MaxCost,0)),2)</f>
        <v>35892</v>
      </c>
      <c r="S4" s="63" t="str">
        <f t="shared" si="5"/>
        <v>$3,152.00
 - 
$35,892.00</v>
      </c>
      <c r="AA4" s="166" t="str">
        <f>IF(L4="lifetime", "one-time cost", IF(D4='Master Data'!$B$8, AD4 &amp; AE4, AD4 &amp; AE4 &amp; AC4))</f>
        <v>one-time cost</v>
      </c>
      <c r="AB4" s="208" t="str">
        <f t="shared" si="6"/>
        <v>16-36x/lifetime</v>
      </c>
      <c r="AC4" s="166" t="str">
        <f ca="1">IF(Table12[[#This Row],[Duration (Years):]]&lt;&gt;'Master Data'!$B$8,CONCATENATE(",",CHAR(10),"for ",Table12[[#This Row],[Duration (Years):]]," years"),"lifelong")</f>
        <v>lifelong</v>
      </c>
      <c r="AD4" s="166" t="str">
        <f t="shared" si="7"/>
        <v>one-time cost</v>
      </c>
      <c r="AE4" s="166" t="str">
        <f t="shared" si="8"/>
        <v>one-time cost</v>
      </c>
    </row>
    <row r="5" spans="1:31" ht="45" customHeight="1" x14ac:dyDescent="0.2">
      <c r="A5" s="98" t="s">
        <v>162</v>
      </c>
      <c r="B5" s="29">
        <f ca="1">'Master Data'!$B$6</f>
        <v>126.3</v>
      </c>
      <c r="C5" s="29">
        <f ca="1">'Master Data'!$B$7</f>
        <v>136.30000000000001</v>
      </c>
      <c r="D5" s="29">
        <f t="shared" ca="1" si="0"/>
        <v>10</v>
      </c>
      <c r="E5" s="30" cm="1">
        <f t="array" ref="E5">IF(
  $A5="Single Lung Transplant",
  _xlfn.XLOOKUP(1,'Cost Data Sheet'!$A$2:$A$1006,'Cost Data Sheet'!$F$2:$F$1006),
  IF(
    $A5="Double Lung Transplant",
    _xlfn.XLOOKUP(2,'Cost Data Sheet'!$A$2:$A$1006,'Cost Data Sheet'!$F$2:$F$1006),
    SUMPRODUCT(
      ('Service to CPT Map'!$A$2:$A$1017=$A5)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197</v>
      </c>
      <c r="F5" s="30" cm="1">
        <f t="array" ref="F5">IF(
  OR($A5="Single Lung Transplant",$A5="Double Lung Transplant"),
  E5,
  SUMPRODUCT(
    ('Service to CPT Map'!$A$2:$A$1017=$A5)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Map'!$A$2:$A$1017=$A5)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Map'!$A$2:$A$1017=$A5)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997</v>
      </c>
      <c r="G5" s="31" t="str">
        <f t="shared" si="1"/>
        <v>$197.00
 - 
$997.00</v>
      </c>
      <c r="H5" s="32">
        <v>5</v>
      </c>
      <c r="I5" s="32">
        <v>10</v>
      </c>
      <c r="J5" s="32"/>
      <c r="K5" s="32"/>
      <c r="L5" s="51" t="str">
        <f t="shared" si="2"/>
        <v>lifetime</v>
      </c>
      <c r="M5" s="33" t="str">
        <f>IF(L5="lifetime",
    IF(I5&lt;&gt;"", H5 &amp; "-" &amp; I5 &amp; "x/lifetime", H5 &amp; "x/lifetime"),
    IF(D5='Master Data'!$B$8, AD5 &amp; AE5, AD5 &amp; AE5 &amp; AC5))</f>
        <v>5-10x/lifetime</v>
      </c>
      <c r="N5" s="30">
        <f t="shared" si="3"/>
        <v>0</v>
      </c>
      <c r="O5" s="30">
        <f t="shared" si="9"/>
        <v>0</v>
      </c>
      <c r="P5" s="52" t="str">
        <f t="shared" si="4"/>
        <v>$0.00</v>
      </c>
      <c r="Q5" s="30">
        <f t="shared" si="10"/>
        <v>985</v>
      </c>
      <c r="R5" s="30">
        <f t="shared" si="11"/>
        <v>9970</v>
      </c>
      <c r="S5" s="63" t="str">
        <f t="shared" si="5"/>
        <v>$985.00
 - 
$9,970.00</v>
      </c>
      <c r="AA5" s="166" t="str">
        <f>IF(L5="lifetime", "one-time cost", IF(D5='Master Data'!$B$8, AD5 &amp; AE5, AD5 &amp; AE5 &amp; AC5))</f>
        <v>one-time cost</v>
      </c>
      <c r="AB5" s="208" t="str">
        <f t="shared" si="6"/>
        <v>5-10x/lifetime</v>
      </c>
      <c r="AC5" s="166" t="str">
        <f ca="1">IF(Table12[[#This Row],[Duration (Years):]]&lt;&gt;'Master Data'!$B$8,CONCATENATE(",",CHAR(10),"for ",Table12[[#This Row],[Duration (Years):]]," years"),"lifelong")</f>
        <v>lifelong</v>
      </c>
      <c r="AD5" s="166" t="str">
        <f t="shared" si="7"/>
        <v>one-time cost</v>
      </c>
      <c r="AE5" s="166" t="str">
        <f t="shared" si="8"/>
        <v>one-time cost</v>
      </c>
    </row>
    <row r="6" spans="1:31" ht="45" customHeight="1" x14ac:dyDescent="0.2">
      <c r="A6" s="98" t="s">
        <v>163</v>
      </c>
      <c r="B6" s="29">
        <f ca="1">'Master Data'!$B$6</f>
        <v>126.3</v>
      </c>
      <c r="C6" s="29">
        <f ca="1">'Master Data'!$B$7</f>
        <v>136.30000000000001</v>
      </c>
      <c r="D6" s="29">
        <f t="shared" ca="1" si="0"/>
        <v>10</v>
      </c>
      <c r="E6" s="30" cm="1">
        <f t="array" ref="E6">IF(
  $A6="Single Lung Transplant",
  _xlfn.XLOOKUP(1,'Cost Data Sheet'!$A$2:$A$1006,'Cost Data Sheet'!$F$2:$F$1006),
  IF(
    $A6="Double Lung Transplant",
    _xlfn.XLOOKUP(2,'Cost Data Sheet'!$A$2:$A$1006,'Cost Data Sheet'!$F$2:$F$1006),
    SUMPRODUCT(
      ('Service to CPT Map'!$A$2:$A$1017=$A6)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197</v>
      </c>
      <c r="F6" s="30" cm="1">
        <f t="array" ref="F6">IF(
  OR($A6="Single Lung Transplant",$A6="Double Lung Transplant"),
  E6,
  SUMPRODUCT(
    ('Service to CPT Map'!$A$2:$A$1017=$A6)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Map'!$A$2:$A$1017=$A6)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Map'!$A$2:$A$1017=$A6)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997</v>
      </c>
      <c r="G6" s="31" t="str">
        <f t="shared" si="1"/>
        <v>$197.00
 - 
$997.00</v>
      </c>
      <c r="H6" s="32">
        <v>5</v>
      </c>
      <c r="I6" s="32">
        <v>10</v>
      </c>
      <c r="J6" s="32"/>
      <c r="K6" s="32"/>
      <c r="L6" s="51" t="str">
        <f t="shared" si="2"/>
        <v>lifetime</v>
      </c>
      <c r="M6" s="33" t="str">
        <f>IF(L6="lifetime",
    IF(I6&lt;&gt;"", H6 &amp; "-" &amp; I6 &amp; "x/lifetime", H6 &amp; "x/lifetime"),
    IF(D6='Master Data'!$B$8, AD6 &amp; AE6, AD6 &amp; AE6 &amp; AC6))</f>
        <v>5-10x/lifetime</v>
      </c>
      <c r="N6" s="30">
        <f t="shared" si="3"/>
        <v>0</v>
      </c>
      <c r="O6" s="30">
        <f t="shared" si="9"/>
        <v>0</v>
      </c>
      <c r="P6" s="52" t="str">
        <f t="shared" si="4"/>
        <v>$0.00</v>
      </c>
      <c r="Q6" s="30">
        <f t="shared" si="10"/>
        <v>985</v>
      </c>
      <c r="R6" s="30">
        <f t="shared" si="11"/>
        <v>9970</v>
      </c>
      <c r="S6" s="63" t="str">
        <f t="shared" si="5"/>
        <v>$985.00
 - 
$9,970.00</v>
      </c>
      <c r="AA6" s="166" t="str">
        <f>IF(L6="lifetime", "one-time cost", IF(D6='Master Data'!$B$8, AD6 &amp; AE6, AD6 &amp; AE6 &amp; AC6))</f>
        <v>one-time cost</v>
      </c>
      <c r="AB6" s="208" t="str">
        <f t="shared" si="6"/>
        <v>5-10x/lifetime</v>
      </c>
      <c r="AC6" s="166" t="str">
        <f ca="1">IF(Table12[[#This Row],[Duration (Years):]]&lt;&gt;'Master Data'!$B$8,CONCATENATE(",",CHAR(10),"for ",Table12[[#This Row],[Duration (Years):]]," years"),"lifelong")</f>
        <v>lifelong</v>
      </c>
      <c r="AD6" s="166" t="str">
        <f t="shared" si="7"/>
        <v>one-time cost</v>
      </c>
      <c r="AE6" s="166" t="str">
        <f t="shared" si="8"/>
        <v>one-time cost</v>
      </c>
    </row>
    <row r="7" spans="1:31" ht="45" customHeight="1" x14ac:dyDescent="0.2">
      <c r="A7" s="98" t="s">
        <v>165</v>
      </c>
      <c r="B7" s="29">
        <f ca="1">'Master Data'!$B$6</f>
        <v>126.3</v>
      </c>
      <c r="C7" s="29">
        <f ca="1">'Master Data'!$B$7</f>
        <v>136.30000000000001</v>
      </c>
      <c r="D7" s="29">
        <f t="shared" ca="1" si="0"/>
        <v>10</v>
      </c>
      <c r="E7" s="30" cm="1">
        <f t="array" ref="E7">IF(
  $A7="Single Lung Transplant",
  _xlfn.XLOOKUP(1,'Cost Data Sheet'!$A$2:$A$1006,'Cost Data Sheet'!$F$2:$F$1006),
  IF(
    $A7="Double Lung Transplant",
    _xlfn.XLOOKUP(2,'Cost Data Sheet'!$A$2:$A$1006,'Cost Data Sheet'!$F$2:$F$1006),
    SUMPRODUCT(
      ('Service to CPT Map'!$A$2:$A$1017=$A7)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197</v>
      </c>
      <c r="F7" s="30" cm="1">
        <f t="array" ref="F7">IF(
  OR($A7="Single Lung Transplant",$A7="Double Lung Transplant"),
  E7,
  SUMPRODUCT(
    ('Service to CPT Map'!$A$2:$A$1017=$A7)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Map'!$A$2:$A$1017=$A7)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Map'!$A$2:$A$1017=$A7)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997</v>
      </c>
      <c r="G7" s="31" t="str">
        <f t="shared" si="1"/>
        <v>$197.00
 - 
$997.00</v>
      </c>
      <c r="H7" s="32">
        <v>5</v>
      </c>
      <c r="I7" s="32">
        <v>10</v>
      </c>
      <c r="J7" s="32"/>
      <c r="K7" s="32"/>
      <c r="L7" s="51" t="str">
        <f t="shared" si="2"/>
        <v>lifetime</v>
      </c>
      <c r="M7" s="33" t="str">
        <f>IF(L7="lifetime",
    IF(I7&lt;&gt;"", H7 &amp; "-" &amp; I7 &amp; "x/lifetime", H7 &amp; "x/lifetime"),
    IF(D7='Master Data'!$B$8, AD7 &amp; AE7, AD7 &amp; AE7 &amp; AC7))</f>
        <v>5-10x/lifetime</v>
      </c>
      <c r="N7" s="30">
        <f t="shared" si="3"/>
        <v>0</v>
      </c>
      <c r="O7" s="30">
        <f t="shared" si="9"/>
        <v>0</v>
      </c>
      <c r="P7" s="52" t="str">
        <f t="shared" si="4"/>
        <v>$0.00</v>
      </c>
      <c r="Q7" s="30">
        <f t="shared" si="10"/>
        <v>985</v>
      </c>
      <c r="R7" s="30">
        <f t="shared" si="11"/>
        <v>9970</v>
      </c>
      <c r="S7" s="63" t="str">
        <f t="shared" si="5"/>
        <v>$985.00
 - 
$9,970.00</v>
      </c>
      <c r="AA7" s="166" t="str">
        <f>IF(L7="lifetime", "one-time cost", IF(D7='Master Data'!$B$8, AD7 &amp; AE7, AD7 &amp; AE7 &amp; AC7))</f>
        <v>one-time cost</v>
      </c>
      <c r="AB7" s="208" t="str">
        <f t="shared" si="6"/>
        <v>5-10x/lifetime</v>
      </c>
      <c r="AC7" s="166" t="str">
        <f ca="1">IF(Table12[[#This Row],[Duration (Years):]]&lt;&gt;'Master Data'!$B$8,CONCATENATE(",",CHAR(10),"for ",Table12[[#This Row],[Duration (Years):]]," years"),"lifelong")</f>
        <v>lifelong</v>
      </c>
      <c r="AD7" s="166" t="str">
        <f t="shared" si="7"/>
        <v>one-time cost</v>
      </c>
      <c r="AE7" s="166" t="str">
        <f t="shared" si="8"/>
        <v>one-time cost</v>
      </c>
    </row>
    <row r="8" spans="1:31" ht="45" customHeight="1" x14ac:dyDescent="0.2">
      <c r="A8" s="98" t="s">
        <v>168</v>
      </c>
      <c r="B8" s="29">
        <f ca="1">'Master Data'!$B$6</f>
        <v>126.3</v>
      </c>
      <c r="C8" s="29">
        <f ca="1">'Master Data'!$B$7</f>
        <v>136.30000000000001</v>
      </c>
      <c r="D8" s="29">
        <f t="shared" ca="1" si="0"/>
        <v>10</v>
      </c>
      <c r="E8" s="30" cm="1">
        <f t="array" ref="E8">IF(
  $A8="Single Lung Transplant",
  _xlfn.XLOOKUP(1,'Cost Data Sheet'!$A$2:$A$1006,'Cost Data Sheet'!$F$2:$F$1006),
  IF(
    $A8="Double Lung Transplant",
    _xlfn.XLOOKUP(2,'Cost Data Sheet'!$A$2:$A$1006,'Cost Data Sheet'!$F$2:$F$1006),
    SUMPRODUCT(
      ('Service to CPT Map'!$A$2:$A$1017=$A8)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197</v>
      </c>
      <c r="F8" s="30" cm="1">
        <f t="array" ref="F8">IF(
  OR($A8="Single Lung Transplant",$A8="Double Lung Transplant"),
  E8,
  SUMPRODUCT(
    ('Service to CPT Map'!$A$2:$A$1017=$A8)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Map'!$A$2:$A$1017=$A8)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Map'!$A$2:$A$1017=$A8)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997</v>
      </c>
      <c r="G8" s="31" t="str">
        <f t="shared" si="1"/>
        <v>$197.00
 - 
$997.00</v>
      </c>
      <c r="H8" s="32">
        <v>5</v>
      </c>
      <c r="I8" s="32">
        <v>10</v>
      </c>
      <c r="J8" s="32"/>
      <c r="K8" s="32"/>
      <c r="L8" s="51" t="str">
        <f t="shared" si="2"/>
        <v>lifetime</v>
      </c>
      <c r="M8" s="33" t="str">
        <f>IF(L8="lifetime",
    IF(I8&lt;&gt;"", H8 &amp; "-" &amp; I8 &amp; "x/lifetime", H8 &amp; "x/lifetime"),
    IF(D8='Master Data'!$B$8, AD8 &amp; AE8, AD8 &amp; AE8 &amp; AC8))</f>
        <v>5-10x/lifetime</v>
      </c>
      <c r="N8" s="30">
        <f t="shared" si="3"/>
        <v>0</v>
      </c>
      <c r="O8" s="30">
        <f t="shared" si="9"/>
        <v>0</v>
      </c>
      <c r="P8" s="52" t="str">
        <f t="shared" si="4"/>
        <v>$0.00</v>
      </c>
      <c r="Q8" s="30">
        <f t="shared" si="10"/>
        <v>985</v>
      </c>
      <c r="R8" s="30">
        <f t="shared" si="11"/>
        <v>9970</v>
      </c>
      <c r="S8" s="63" t="str">
        <f t="shared" si="5"/>
        <v>$985.00
 - 
$9,970.00</v>
      </c>
      <c r="AA8" s="166" t="str">
        <f>IF(L8="lifetime", "one-time cost", IF(D8='Master Data'!$B$8, AD8 &amp; AE8, AD8 &amp; AE8 &amp; AC8))</f>
        <v>one-time cost</v>
      </c>
      <c r="AB8" s="208" t="str">
        <f t="shared" si="6"/>
        <v>5-10x/lifetime</v>
      </c>
      <c r="AC8" s="166" t="str">
        <f ca="1">IF(Table12[[#This Row],[Duration (Years):]]&lt;&gt;'Master Data'!$B$8,CONCATENATE(",",CHAR(10),"for ",Table12[[#This Row],[Duration (Years):]]," years"),"lifelong")</f>
        <v>lifelong</v>
      </c>
      <c r="AD8" s="166" t="str">
        <f t="shared" si="7"/>
        <v>one-time cost</v>
      </c>
      <c r="AE8" s="166" t="str">
        <f t="shared" si="8"/>
        <v>one-time cost</v>
      </c>
    </row>
    <row r="9" spans="1:31" ht="45" customHeight="1" x14ac:dyDescent="0.2">
      <c r="A9" s="98" t="s">
        <v>164</v>
      </c>
      <c r="B9" s="29">
        <f ca="1">'Master Data'!$B$6</f>
        <v>126.3</v>
      </c>
      <c r="C9" s="29">
        <f ca="1">'Master Data'!$B$7</f>
        <v>136.30000000000001</v>
      </c>
      <c r="D9" s="29">
        <f t="shared" ref="D9:D15" ca="1" si="12">ROUND(C9-B9,1)</f>
        <v>10</v>
      </c>
      <c r="E9" s="30" cm="1">
        <f t="array" ref="E9">IF(
  $A9="Single Lung Transplant",
  _xlfn.XLOOKUP(1,'Cost Data Sheet'!$A$2:$A$1006,'Cost Data Sheet'!$F$2:$F$1006),
  IF(
    $A9="Double Lung Transplant",
    _xlfn.XLOOKUP(2,'Cost Data Sheet'!$A$2:$A$1006,'Cost Data Sheet'!$F$2:$F$1006),
    SUMPRODUCT(
      ('Service to CPT Map'!$A$2:$A$1017=$A9)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197</v>
      </c>
      <c r="F9" s="30" cm="1">
        <f t="array" ref="F9">IF(
  OR($A9="Single Lung Transplant",$A9="Double Lung Transplant"),
  E9,
  SUMPRODUCT(
    ('Service to CPT Map'!$A$2:$A$1017=$A9)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Map'!$A$2:$A$1017=$A9)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Map'!$A$2:$A$1017=$A9)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997</v>
      </c>
      <c r="G9" s="31" t="str">
        <f t="shared" ref="G9:G15" si="13">IF(E9&lt;F9,CONCATENATE(TEXT(E9,"$#,##0.00"),CHAR(10)," - ",CHAR(10),TEXT(F9,"$#,##0.00")),TEXT(E9,"$#,##0.00"))</f>
        <v>$197.00
 - 
$997.00</v>
      </c>
      <c r="H9" s="32">
        <v>5</v>
      </c>
      <c r="I9" s="32">
        <v>10</v>
      </c>
      <c r="J9" s="32"/>
      <c r="K9" s="32"/>
      <c r="L9" s="51" t="str">
        <f t="shared" ref="L9:L15" si="14">IF(LEN(K9)=0,IF(LEN(J9)=0,"lifetime",IF(J9=1,"year","years")),"years")</f>
        <v>lifetime</v>
      </c>
      <c r="M9" s="33" t="str">
        <f>IF(L9="lifetime",
    IF(I9&lt;&gt;"", H9 &amp; "-" &amp; I9 &amp; "x/lifetime", H9 &amp; "x/lifetime"),
    IF(D9='Master Data'!$B$8, AD9 &amp; AE9, AD9 &amp; AE9 &amp; AC9))</f>
        <v>5-10x/lifetime</v>
      </c>
      <c r="N9" s="30">
        <f t="shared" ref="N9:N15" si="15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9" s="30">
        <f t="shared" si="9"/>
        <v>0</v>
      </c>
      <c r="P9" s="52" t="str">
        <f t="shared" ref="P9:P15" si="16">IF(N9&lt;O9,CONCATENATE(TEXT(N9,"$#,##0.00"),CHAR(10)," - ",CHAR(10),TEXT(O9,"$#,##0.00")),TEXT(N9,"$0.00"))</f>
        <v>$0.00</v>
      </c>
      <c r="Q9" s="30">
        <f t="shared" si="10"/>
        <v>985</v>
      </c>
      <c r="R9" s="30">
        <f t="shared" si="11"/>
        <v>9970</v>
      </c>
      <c r="S9" s="63" t="str">
        <f t="shared" ref="S9:S15" si="17">IF(Q9&lt;R9,CONCATENATE(TEXT(Q9,"$#,##0.00"),CHAR(10)," - ",CHAR(10),TEXT(R9,"$#,##0.00")),TEXT(Q9,"$0.00"))</f>
        <v>$985.00
 - 
$9,970.00</v>
      </c>
      <c r="T9" s="94"/>
      <c r="U9" s="94"/>
      <c r="V9" s="94"/>
      <c r="AA9" s="166" t="str">
        <f>IF(L9="lifetime", "one-time cost", IF(D9='Master Data'!$B$8, AD9 &amp; AE9, AD9 &amp; AE9 &amp; AC9))</f>
        <v>one-time cost</v>
      </c>
      <c r="AB9" s="208" t="str">
        <f t="shared" si="6"/>
        <v>5-10x/lifetime</v>
      </c>
      <c r="AC9" s="166" t="str">
        <f ca="1">IF(Table12[[#This Row],[Duration (Years):]]&lt;&gt;'Master Data'!$B$8,CONCATENATE(",",CHAR(10),"for ",Table12[[#This Row],[Duration (Years):]]," years"),"lifelong")</f>
        <v>lifelong</v>
      </c>
      <c r="AD9" s="166" t="str">
        <f t="shared" si="7"/>
        <v>one-time cost</v>
      </c>
      <c r="AE9" s="166" t="str">
        <f t="shared" si="8"/>
        <v>one-time cost</v>
      </c>
    </row>
    <row r="10" spans="1:31" ht="45" customHeight="1" x14ac:dyDescent="0.2">
      <c r="A10" s="98" t="s">
        <v>166</v>
      </c>
      <c r="B10" s="29">
        <f ca="1">'Master Data'!$B$6</f>
        <v>126.3</v>
      </c>
      <c r="C10" s="29">
        <f ca="1">'Master Data'!$B$7</f>
        <v>136.30000000000001</v>
      </c>
      <c r="D10" s="29">
        <f t="shared" ca="1" si="12"/>
        <v>10</v>
      </c>
      <c r="E10" s="30" cm="1">
        <f t="array" ref="E10">IF(
  $A10="Single Lung Transplant",
  _xlfn.XLOOKUP(1,'Cost Data Sheet'!$A$2:$A$1006,'Cost Data Sheet'!$F$2:$F$1006),
  IF(
    $A10="Double Lung Transplant",
    _xlfn.XLOOKUP(2,'Cost Data Sheet'!$A$2:$A$1006,'Cost Data Sheet'!$F$2:$F$1006),
    SUMPRODUCT(
      ('Service to CPT Map'!$A$2:$A$1017=$A10)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197</v>
      </c>
      <c r="F10" s="30" cm="1">
        <f t="array" ref="F10">IF(
  OR($A10="Single Lung Transplant",$A10="Double Lung Transplant"),
  E10,
  SUMPRODUCT(
    ('Service to CPT Map'!$A$2:$A$1017=$A10)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Map'!$A$2:$A$1017=$A10)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Map'!$A$2:$A$1017=$A10)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997</v>
      </c>
      <c r="G10" s="31" t="str">
        <f t="shared" si="13"/>
        <v>$197.00
 - 
$997.00</v>
      </c>
      <c r="H10" s="32">
        <v>5</v>
      </c>
      <c r="I10" s="32">
        <v>10</v>
      </c>
      <c r="J10" s="32"/>
      <c r="K10" s="32"/>
      <c r="L10" s="51" t="str">
        <f t="shared" si="14"/>
        <v>lifetime</v>
      </c>
      <c r="M10" s="33" t="str">
        <f>IF(L10="lifetime",
    IF(I10&lt;&gt;"", H10 &amp; "-" &amp; I10 &amp; "x/lifetime", H10 &amp; "x/lifetime"),
    IF(D10='Master Data'!$B$8, AD10 &amp; AE10, AD10 &amp; AE10 &amp; AC10))</f>
        <v>5-10x/lifetime</v>
      </c>
      <c r="N10" s="30">
        <f t="shared" si="15"/>
        <v>0</v>
      </c>
      <c r="O10" s="30">
        <f t="shared" si="9"/>
        <v>0</v>
      </c>
      <c r="P10" s="52" t="str">
        <f t="shared" si="16"/>
        <v>$0.00</v>
      </c>
      <c r="Q10" s="30">
        <f t="shared" si="10"/>
        <v>985</v>
      </c>
      <c r="R10" s="30">
        <f t="shared" si="11"/>
        <v>9970</v>
      </c>
      <c r="S10" s="63" t="str">
        <f t="shared" si="17"/>
        <v>$985.00
 - 
$9,970.00</v>
      </c>
      <c r="AA10" s="166" t="str">
        <f>IF(L10="lifetime", "one-time cost", IF(D10='Master Data'!$B$8, AD10 &amp; AE10, AD10 &amp; AE10 &amp; AC10))</f>
        <v>one-time cost</v>
      </c>
      <c r="AB10" s="208" t="str">
        <f t="shared" ref="AB10:AB34" si="18">IF(L10="lifetime", IF(I10&lt;&gt;"", H10 &amp; "-" &amp; I10 &amp; "x/lifetime", H10 &amp; "x/lifetime"), "ongoing cost")</f>
        <v>5-10x/lifetime</v>
      </c>
      <c r="AC10" s="166" t="str">
        <f ca="1">IF(Table12[[#This Row],[Duration (Years):]]&lt;&gt;'Master Data'!$B$8,CONCATENATE(",",CHAR(10),"for ",Table12[[#This Row],[Duration (Years):]]," years"),"lifelong")</f>
        <v>lifelong</v>
      </c>
      <c r="AD10" s="166" t="str">
        <f t="shared" ref="AD10:AD34" si="19">IF(L10="lifetime", "one-time cost", IF(I10&lt;&gt;"", H10 &amp; "-" &amp; I10 &amp; "x/", H10 &amp; "x/"))</f>
        <v>one-time cost</v>
      </c>
      <c r="AE10" s="166" t="str">
        <f t="shared" ref="AE10:AE34" si="20">IF(L10="lifetime", "one-time cost", IF(K10&lt;&gt;"", J10 &amp; "-" &amp; K10 &amp; " " &amp; L10, IF(J10&gt;1, J10 &amp; " " &amp; L10, L10)))</f>
        <v>one-time cost</v>
      </c>
    </row>
    <row r="11" spans="1:31" ht="45" customHeight="1" x14ac:dyDescent="0.2">
      <c r="A11" s="98" t="s">
        <v>235</v>
      </c>
      <c r="B11" s="29">
        <f ca="1">'Master Data'!$B$6</f>
        <v>126.3</v>
      </c>
      <c r="C11" s="29">
        <f ca="1">'Master Data'!$B$7</f>
        <v>136.30000000000001</v>
      </c>
      <c r="D11" s="29">
        <f t="shared" ca="1" si="12"/>
        <v>10</v>
      </c>
      <c r="E11" s="30" cm="1">
        <f t="array" ref="E11">IF(
  $A11="Single Lung Transplant",
  _xlfn.XLOOKUP(1,'Cost Data Sheet'!$A$2:$A$1006,'Cost Data Sheet'!$F$2:$F$1006),
  IF(
    $A11="Double Lung Transplant",
    _xlfn.XLOOKUP(2,'Cost Data Sheet'!$A$2:$A$1006,'Cost Data Sheet'!$F$2:$F$1006),
    SUMPRODUCT(
      ('Service to CPT Map'!$A$2:$A$1017=$A11)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197</v>
      </c>
      <c r="F11" s="30" cm="1">
        <f t="array" ref="F11">IF(
  OR($A11="Single Lung Transplant",$A11="Double Lung Transplant"),
  E11,
  SUMPRODUCT(
    ('Service to CPT Map'!$A$2:$A$1017=$A11)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Map'!$A$2:$A$1017=$A11)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Map'!$A$2:$A$1017=$A11)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997</v>
      </c>
      <c r="G11" s="31" t="str">
        <f t="shared" si="13"/>
        <v>$197.00
 - 
$997.00</v>
      </c>
      <c r="H11" s="32">
        <v>10</v>
      </c>
      <c r="I11" s="32">
        <v>20</v>
      </c>
      <c r="J11" s="32"/>
      <c r="K11" s="32"/>
      <c r="L11" s="51" t="str">
        <f t="shared" si="14"/>
        <v>lifetime</v>
      </c>
      <c r="M11" s="33" t="str">
        <f>IF(L11="lifetime",
    IF(I11&lt;&gt;"", H11 &amp; "-" &amp; I11 &amp; "x/lifetime", H11 &amp; "x/lifetime"),
    IF(D11='Master Data'!$B$8, AD11 &amp; AE11, AD11 &amp; AE11 &amp; AC11))</f>
        <v>10-20x/lifetime</v>
      </c>
      <c r="N11" s="30">
        <f t="shared" si="15"/>
        <v>0</v>
      </c>
      <c r="O11" s="30">
        <f t="shared" si="9"/>
        <v>0</v>
      </c>
      <c r="P11" s="52" t="str">
        <f t="shared" si="16"/>
        <v>$0.00</v>
      </c>
      <c r="Q11" s="30">
        <f t="shared" si="10"/>
        <v>1970</v>
      </c>
      <c r="R11" s="30">
        <f t="shared" si="11"/>
        <v>19940</v>
      </c>
      <c r="S11" s="63" t="str">
        <f t="shared" si="17"/>
        <v>$1,970.00
 - 
$19,940.00</v>
      </c>
      <c r="AA11" s="166" t="str">
        <f>IF(L11="lifetime", "one-time cost", IF(D11='Master Data'!$B$8, AD11 &amp; AE11, AD11 &amp; AE11 &amp; AC11))</f>
        <v>one-time cost</v>
      </c>
      <c r="AB11" s="208" t="str">
        <f t="shared" si="18"/>
        <v>10-20x/lifetime</v>
      </c>
      <c r="AC11" s="166" t="str">
        <f ca="1">IF(Table12[[#This Row],[Duration (Years):]]&lt;&gt;'Master Data'!$B$8,CONCATENATE(",",CHAR(10),"for ",Table12[[#This Row],[Duration (Years):]]," years"),"lifelong")</f>
        <v>lifelong</v>
      </c>
      <c r="AD11" s="166" t="str">
        <f t="shared" si="19"/>
        <v>one-time cost</v>
      </c>
      <c r="AE11" s="166" t="str">
        <f t="shared" si="20"/>
        <v>one-time cost</v>
      </c>
    </row>
    <row r="12" spans="1:31" ht="45" customHeight="1" x14ac:dyDescent="0.2">
      <c r="A12" s="98" t="s">
        <v>167</v>
      </c>
      <c r="B12" s="29">
        <f ca="1">'Master Data'!$B$6</f>
        <v>126.3</v>
      </c>
      <c r="C12" s="29">
        <f ca="1">'Master Data'!$B$7</f>
        <v>136.30000000000001</v>
      </c>
      <c r="D12" s="29">
        <f t="shared" ca="1" si="12"/>
        <v>10</v>
      </c>
      <c r="E12" s="30" cm="1">
        <f t="array" ref="E12">IF(
  $A12="Single Lung Transplant",
  _xlfn.XLOOKUP(1,'Cost Data Sheet'!$A$2:$A$1006,'Cost Data Sheet'!$F$2:$F$1006),
  IF(
    $A12="Double Lung Transplant",
    _xlfn.XLOOKUP(2,'Cost Data Sheet'!$A$2:$A$1006,'Cost Data Sheet'!$F$2:$F$1006),
    SUMPRODUCT(
      ('Service to CPT Map'!$A$2:$A$1017=$A12)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197</v>
      </c>
      <c r="F12" s="30" cm="1">
        <f t="array" ref="F12">IF(
  OR($A12="Single Lung Transplant",$A12="Double Lung Transplant"),
  E12,
  SUMPRODUCT(
    ('Service to CPT Map'!$A$2:$A$1017=$A12)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Map'!$A$2:$A$1017=$A12)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Map'!$A$2:$A$1017=$A12)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997</v>
      </c>
      <c r="G12" s="31" t="str">
        <f t="shared" si="13"/>
        <v>$197.00
 - 
$997.00</v>
      </c>
      <c r="H12" s="32">
        <v>10</v>
      </c>
      <c r="I12" s="32">
        <v>20</v>
      </c>
      <c r="J12" s="32"/>
      <c r="K12" s="32"/>
      <c r="L12" s="51" t="str">
        <f t="shared" si="14"/>
        <v>lifetime</v>
      </c>
      <c r="M12" s="33" t="str">
        <f>IF(L12="lifetime",
    IF(I12&lt;&gt;"", H12 &amp; "-" &amp; I12 &amp; "x/lifetime", H12 &amp; "x/lifetime"),
    IF(D12='Master Data'!$B$8, AD12 &amp; AE12, AD12 &amp; AE12 &amp; AC12))</f>
        <v>10-20x/lifetime</v>
      </c>
      <c r="N12" s="30">
        <f t="shared" si="15"/>
        <v>0</v>
      </c>
      <c r="O12" s="30">
        <f t="shared" si="9"/>
        <v>0</v>
      </c>
      <c r="P12" s="52" t="str">
        <f t="shared" si="16"/>
        <v>$0.00</v>
      </c>
      <c r="Q12" s="30">
        <f t="shared" si="10"/>
        <v>1970</v>
      </c>
      <c r="R12" s="30">
        <f t="shared" si="11"/>
        <v>19940</v>
      </c>
      <c r="S12" s="63" t="str">
        <f t="shared" si="17"/>
        <v>$1,970.00
 - 
$19,940.00</v>
      </c>
      <c r="AA12" s="166" t="str">
        <f>IF(L12="lifetime", "one-time cost", IF(D12='Master Data'!$B$8, AD12 &amp; AE12, AD12 &amp; AE12 &amp; AC12))</f>
        <v>one-time cost</v>
      </c>
      <c r="AB12" s="208" t="str">
        <f t="shared" si="18"/>
        <v>10-20x/lifetime</v>
      </c>
      <c r="AC12" s="166" t="str">
        <f ca="1">IF(Table12[[#This Row],[Duration (Years):]]&lt;&gt;'Master Data'!$B$8,CONCATENATE(",",CHAR(10),"for ",Table12[[#This Row],[Duration (Years):]]," years"),"lifelong")</f>
        <v>lifelong</v>
      </c>
      <c r="AD12" s="166" t="str">
        <f t="shared" si="19"/>
        <v>one-time cost</v>
      </c>
      <c r="AE12" s="166" t="str">
        <f t="shared" si="20"/>
        <v>one-time cost</v>
      </c>
    </row>
    <row r="13" spans="1:31" ht="45" customHeight="1" x14ac:dyDescent="0.2">
      <c r="A13" s="98"/>
      <c r="B13" s="29">
        <f ca="1">'Master Data'!$B$6</f>
        <v>126.3</v>
      </c>
      <c r="C13" s="29">
        <f ca="1">'Master Data'!$B$7</f>
        <v>136.30000000000001</v>
      </c>
      <c r="D13" s="29">
        <f t="shared" ca="1" si="12"/>
        <v>10</v>
      </c>
      <c r="E13" s="30" cm="1">
        <f t="array" ref="E13">IF(
  $A13="Single Lung Transplant",
  _xlfn.XLOOKUP(1,'Cost Data Sheet'!$A$2:$A$1006,'Cost Data Sheet'!$F$2:$F$1006),
  IF(
    $A13="Double Lung Transplant",
    _xlfn.XLOOKUP(2,'Cost Data Sheet'!$A$2:$A$1006,'Cost Data Sheet'!$F$2:$F$1006),
    SUMPRODUCT(
      ('Service to CPT Map'!$A$2:$A$1017=$A13)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F13" s="30" cm="1">
        <f t="array" ref="F13">IF(
  OR($A13="Single Lung Transplant",$A13="Double Lung Transplant"),
  E13,
  SUMPRODUCT(
    ('Service to CPT Map'!$A$2:$A$1017=$A13)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Map'!$A$2:$A$1017=$A13)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Map'!$A$2:$A$1017=$A13)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G13" s="31" t="str">
        <f t="shared" si="13"/>
        <v>$0.00</v>
      </c>
      <c r="H13" s="32"/>
      <c r="I13" s="32"/>
      <c r="J13" s="32"/>
      <c r="K13" s="32"/>
      <c r="L13" s="51" t="str">
        <f t="shared" si="14"/>
        <v>lifetime</v>
      </c>
      <c r="M13" s="33" t="str">
        <f>IF(L13="lifetime",
    IF(I13&lt;&gt;"", H13 &amp; "-" &amp; I13 &amp; "x/lifetime", H13 &amp; "x/lifetime"),
    IF(D13='Master Data'!$B$8, AD13 &amp; AE13, AD13 &amp; AE13 &amp; AC13))</f>
        <v>x/lifetime</v>
      </c>
      <c r="N13" s="30">
        <f t="shared" si="15"/>
        <v>0</v>
      </c>
      <c r="O13" s="30">
        <f t="shared" si="9"/>
        <v>0</v>
      </c>
      <c r="P13" s="52" t="str">
        <f t="shared" si="16"/>
        <v>$0.00</v>
      </c>
      <c r="Q13" s="30">
        <f t="shared" si="10"/>
        <v>0</v>
      </c>
      <c r="R13" s="30">
        <f t="shared" si="11"/>
        <v>0</v>
      </c>
      <c r="S13" s="63" t="str">
        <f t="shared" si="17"/>
        <v>$0.00</v>
      </c>
      <c r="AA13" s="166" t="str">
        <f>IF(L13="lifetime", "one-time cost", IF(D13='Master Data'!$B$8, AD13 &amp; AE13, AD13 &amp; AE13 &amp; AC13))</f>
        <v>one-time cost</v>
      </c>
      <c r="AB13" s="208" t="str">
        <f t="shared" si="18"/>
        <v>x/lifetime</v>
      </c>
      <c r="AC13" s="166" t="str">
        <f ca="1">IF(Table12[[#This Row],[Duration (Years):]]&lt;&gt;'Master Data'!$B$8,CONCATENATE(",",CHAR(10),"for ",Table12[[#This Row],[Duration (Years):]]," years"),"lifelong")</f>
        <v>lifelong</v>
      </c>
      <c r="AD13" s="166" t="str">
        <f t="shared" si="19"/>
        <v>one-time cost</v>
      </c>
      <c r="AE13" s="166" t="str">
        <f t="shared" si="20"/>
        <v>one-time cost</v>
      </c>
    </row>
    <row r="14" spans="1:31" ht="45" customHeight="1" x14ac:dyDescent="0.2">
      <c r="A14" s="98"/>
      <c r="B14" s="29">
        <f ca="1">'Master Data'!$B$6</f>
        <v>126.3</v>
      </c>
      <c r="C14" s="29">
        <f ca="1">'Master Data'!$B$7</f>
        <v>136.30000000000001</v>
      </c>
      <c r="D14" s="29">
        <f t="shared" ca="1" si="12"/>
        <v>10</v>
      </c>
      <c r="E14" s="30" cm="1">
        <f t="array" ref="E14">IF(
  $A14="Single Lung Transplant",
  _xlfn.XLOOKUP(1,'Cost Data Sheet'!$A$2:$A$1006,'Cost Data Sheet'!$F$2:$F$1006),
  IF(
    $A14="Double Lung Transplant",
    _xlfn.XLOOKUP(2,'Cost Data Sheet'!$A$2:$A$1006,'Cost Data Sheet'!$F$2:$F$1006),
    SUMPRODUCT(
      ('Service to CPT Map'!$A$2:$A$1017=$A14)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F14" s="30" cm="1">
        <f t="array" ref="F14">IF(
  OR($A14="Single Lung Transplant",$A14="Double Lung Transplant"),
  E14,
  SUMPRODUCT(
    ('Service to CPT Map'!$A$2:$A$1017=$A14)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Map'!$A$2:$A$1017=$A14)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Map'!$A$2:$A$1017=$A14)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G14" s="31" t="str">
        <f t="shared" si="13"/>
        <v>$0.00</v>
      </c>
      <c r="H14" s="32"/>
      <c r="I14" s="32"/>
      <c r="J14" s="32"/>
      <c r="K14" s="32"/>
      <c r="L14" s="51" t="str">
        <f t="shared" si="14"/>
        <v>lifetime</v>
      </c>
      <c r="M14" s="33" t="str">
        <f>IF(L14="lifetime",
    IF(I14&lt;&gt;"", H14 &amp; "-" &amp; I14 &amp; "x/lifetime", H14 &amp; "x/lifetime"),
    IF(D14='Master Data'!$B$8, AD14 &amp; AE14, AD14 &amp; AE14 &amp; AC14))</f>
        <v>x/lifetime</v>
      </c>
      <c r="N14" s="30">
        <f t="shared" si="15"/>
        <v>0</v>
      </c>
      <c r="O14" s="30">
        <f t="shared" si="9"/>
        <v>0</v>
      </c>
      <c r="P14" s="52" t="str">
        <f t="shared" si="16"/>
        <v>$0.00</v>
      </c>
      <c r="Q14" s="30">
        <f t="shared" si="10"/>
        <v>0</v>
      </c>
      <c r="R14" s="30">
        <f t="shared" si="11"/>
        <v>0</v>
      </c>
      <c r="S14" s="63" t="str">
        <f t="shared" si="17"/>
        <v>$0.00</v>
      </c>
      <c r="AA14" s="166" t="str">
        <f>IF(L14="lifetime", "one-time cost", IF(D14='Master Data'!$B$8, AD14 &amp; AE14, AD14 &amp; AE14 &amp; AC14))</f>
        <v>one-time cost</v>
      </c>
      <c r="AB14" s="208" t="str">
        <f t="shared" si="18"/>
        <v>x/lifetime</v>
      </c>
      <c r="AC14" s="166" t="str">
        <f ca="1">IF(Table12[[#This Row],[Duration (Years):]]&lt;&gt;'Master Data'!$B$8,CONCATENATE(",",CHAR(10),"for ",Table12[[#This Row],[Duration (Years):]]," years"),"lifelong")</f>
        <v>lifelong</v>
      </c>
      <c r="AD14" s="166" t="str">
        <f t="shared" si="19"/>
        <v>one-time cost</v>
      </c>
      <c r="AE14" s="166" t="str">
        <f t="shared" si="20"/>
        <v>one-time cost</v>
      </c>
    </row>
    <row r="15" spans="1:31" ht="45" customHeight="1" x14ac:dyDescent="0.2">
      <c r="A15" s="98"/>
      <c r="B15" s="29">
        <f ca="1">'Master Data'!$B$6</f>
        <v>126.3</v>
      </c>
      <c r="C15" s="29">
        <f ca="1">'Master Data'!$B$7</f>
        <v>136.30000000000001</v>
      </c>
      <c r="D15" s="29">
        <f t="shared" ca="1" si="12"/>
        <v>10</v>
      </c>
      <c r="E15" s="30" cm="1">
        <f t="array" ref="E15">IF(
  $A15="Single Lung Transplant",
  _xlfn.XLOOKUP(1,'Cost Data Sheet'!$A$2:$A$1006,'Cost Data Sheet'!$F$2:$F$1006),
  IF(
    $A15="Double Lung Transplant",
    _xlfn.XLOOKUP(2,'Cost Data Sheet'!$A$2:$A$1006,'Cost Data Sheet'!$F$2:$F$1006),
    SUMPRODUCT(
      ('Service to CPT Map'!$A$2:$A$1017=$A15)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F15" s="30" cm="1">
        <f t="array" ref="F15">IF(
  OR($A15="Single Lung Transplant",$A15="Double Lung Transplant"),
  E15,
  SUMPRODUCT(
    ('Service to CPT Map'!$A$2:$A$1017=$A15)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Map'!$A$2:$A$1017=$A15)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Map'!$A$2:$A$1017=$A15)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G15" s="31" t="str">
        <f t="shared" si="13"/>
        <v>$0.00</v>
      </c>
      <c r="H15" s="32"/>
      <c r="I15" s="32"/>
      <c r="J15" s="32"/>
      <c r="K15" s="32"/>
      <c r="L15" s="51" t="str">
        <f t="shared" si="14"/>
        <v>lifetime</v>
      </c>
      <c r="M15" s="33" t="str">
        <f>IF(L15="lifetime",
    IF(I15&lt;&gt;"", H15 &amp; "-" &amp; I15 &amp; "x/lifetime", H15 &amp; "x/lifetime"),
    IF(D15='Master Data'!$B$8, AD15 &amp; AE15, AD15 &amp; AE15 &amp; AC15))</f>
        <v>x/lifetime</v>
      </c>
      <c r="N15" s="30">
        <f t="shared" si="15"/>
        <v>0</v>
      </c>
      <c r="O15" s="30">
        <f t="shared" si="9"/>
        <v>0</v>
      </c>
      <c r="P15" s="52" t="str">
        <f t="shared" si="16"/>
        <v>$0.00</v>
      </c>
      <c r="Q15" s="30">
        <f t="shared" si="10"/>
        <v>0</v>
      </c>
      <c r="R15" s="30">
        <f t="shared" si="11"/>
        <v>0</v>
      </c>
      <c r="S15" s="63" t="str">
        <f t="shared" si="17"/>
        <v>$0.00</v>
      </c>
      <c r="AA15" s="166" t="str">
        <f>IF(L15="lifetime", "one-time cost", IF(D15='Master Data'!$B$8, AD15 &amp; AE15, AD15 &amp; AE15 &amp; AC15))</f>
        <v>one-time cost</v>
      </c>
      <c r="AB15" s="208" t="str">
        <f t="shared" si="18"/>
        <v>x/lifetime</v>
      </c>
      <c r="AC15" s="166" t="str">
        <f ca="1">IF(Table12[[#This Row],[Duration (Years):]]&lt;&gt;'Master Data'!$B$8,CONCATENATE(",",CHAR(10),"for ",Table12[[#This Row],[Duration (Years):]]," years"),"lifelong")</f>
        <v>lifelong</v>
      </c>
      <c r="AD15" s="166" t="str">
        <f t="shared" si="19"/>
        <v>one-time cost</v>
      </c>
      <c r="AE15" s="166" t="str">
        <f t="shared" si="20"/>
        <v>one-time cost</v>
      </c>
    </row>
    <row r="16" spans="1:31" ht="28.5" customHeight="1" x14ac:dyDescent="0.2">
      <c r="A16" s="98"/>
      <c r="B16" s="29">
        <f ca="1">'Master Data'!$B$6</f>
        <v>126.3</v>
      </c>
      <c r="C16" s="29">
        <f ca="1">'Master Data'!$B$7</f>
        <v>136.30000000000001</v>
      </c>
      <c r="D16" s="29">
        <f t="shared" ref="D16:D25" ca="1" si="21">ROUND(C16-B16,1)</f>
        <v>10</v>
      </c>
      <c r="E16" s="30" cm="1">
        <f t="array" ref="E16">IF(
  $A16="Single Lung Transplant",
  _xlfn.XLOOKUP(1,'Cost Data Sheet'!$A$2:$A$1006,'Cost Data Sheet'!$F$2:$F$1006),
  IF(
    $A16="Double Lung Transplant",
    _xlfn.XLOOKUP(2,'Cost Data Sheet'!$A$2:$A$1006,'Cost Data Sheet'!$F$2:$F$1006),
    SUMPRODUCT(
      ('Service to CPT Map'!$A$2:$A$1017=$A16)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F16" s="30" cm="1">
        <f t="array" ref="F16">IF(
  OR($A16="Single Lung Transplant",$A16="Double Lung Transplant"),
  E16,
  SUMPRODUCT(
    ('Service to CPT Map'!$A$2:$A$1017=$A16)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Map'!$A$2:$A$1017=$A16)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Map'!$A$2:$A$1017=$A16)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G16" s="31" t="str">
        <f t="shared" ref="G16:G25" si="22">IF(E16&lt;F16,CONCATENATE(TEXT(E16,"$#,##0.00"),CHAR(10)," - ",CHAR(10),TEXT(F16,"$#,##0.00")),TEXT(E16,"$#,##0.00"))</f>
        <v>$0.00</v>
      </c>
      <c r="H16" s="32"/>
      <c r="I16" s="32"/>
      <c r="J16" s="32"/>
      <c r="K16" s="32"/>
      <c r="L16" s="51" t="str">
        <f t="shared" ref="L16:L25" si="23">IF(LEN(K16)=0,IF(LEN(J16)=0,"lifetime",IF(J16=1,"year","years")),"years")</f>
        <v>lifetime</v>
      </c>
      <c r="M16" s="33" t="str">
        <f>IF(L16="lifetime",
    IF(I16&lt;&gt;"", H16 &amp; "-" &amp; I16 &amp; "x/lifetime", H16 &amp; "x/lifetime"),
    IF(D16='Master Data'!$B$8, AD16 &amp; AE16, AD16 &amp; AE16 &amp; AC16))</f>
        <v>x/lifetime</v>
      </c>
      <c r="N16" s="30">
        <f t="shared" ref="N16:N25" si="24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6" s="30">
        <f t="shared" ref="O16:O25" si="25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6" s="52" t="str">
        <f t="shared" ref="P16:P25" si="26">IF(N16&lt;O16,CONCATENATE(TEXT(N16,"$#,##0.00"),CHAR(10)," - ",CHAR(10),TEXT(O16,"$#,##0.00")),TEXT(N16,"$0.00"))</f>
        <v>$0.00</v>
      </c>
      <c r="Q16" s="30">
        <f t="shared" ref="Q16:Q25" si="27">ROUND(IF(TimeValue="lifetime",MinCost*MinFreq,0),2)</f>
        <v>0</v>
      </c>
      <c r="R16" s="30">
        <f t="shared" ref="R16:R25" si="28">ROUND(IF(AND(TimeValue="lifetime",MaxFreq&lt;1),MinFreq*MaxCost,IF(AND(TimeValue="lifetime",MaxFreq&gt;=1),MaxFreq*MaxCost,0)),2)</f>
        <v>0</v>
      </c>
      <c r="S16" s="63" t="str">
        <f t="shared" ref="S16:S25" si="29">IF(Q16&lt;R16,CONCATENATE(TEXT(Q16,"$#,##0.00"),CHAR(10)," - ",CHAR(10),TEXT(R16,"$#,##0.00")),TEXT(Q16,"$0.00"))</f>
        <v>$0.00</v>
      </c>
      <c r="AA16" s="166" t="str">
        <f>IF(L16="lifetime", "one-time cost", IF(D16='Master Data'!$B$8, AD16 &amp; AE16, AD16 &amp; AE16 &amp; AC16))</f>
        <v>one-time cost</v>
      </c>
      <c r="AB16" s="208" t="str">
        <f t="shared" si="18"/>
        <v>x/lifetime</v>
      </c>
      <c r="AC16" s="166" t="str">
        <f ca="1">IF(Table12[[#This Row],[Duration (Years):]]&lt;&gt;'Master Data'!$B$8,CONCATENATE(",",CHAR(10),"for ",Table12[[#This Row],[Duration (Years):]]," years"),"lifelong")</f>
        <v>lifelong</v>
      </c>
      <c r="AD16" s="166" t="str">
        <f t="shared" si="19"/>
        <v>one-time cost</v>
      </c>
      <c r="AE16" s="166" t="str">
        <f t="shared" si="20"/>
        <v>one-time cost</v>
      </c>
    </row>
    <row r="17" spans="1:31" ht="28.5" customHeight="1" x14ac:dyDescent="0.2">
      <c r="A17" s="98"/>
      <c r="B17" s="29">
        <f ca="1">'Master Data'!$B$6</f>
        <v>126.3</v>
      </c>
      <c r="C17" s="29">
        <f ca="1">'Master Data'!$B$7</f>
        <v>136.30000000000001</v>
      </c>
      <c r="D17" s="29">
        <f t="shared" ca="1" si="21"/>
        <v>10</v>
      </c>
      <c r="E17" s="30" cm="1">
        <f t="array" ref="E17">IF(
  $A17="Single Lung Transplant",
  _xlfn.XLOOKUP(1,'Cost Data Sheet'!$A$2:$A$1006,'Cost Data Sheet'!$F$2:$F$1006),
  IF(
    $A17="Double Lung Transplant",
    _xlfn.XLOOKUP(2,'Cost Data Sheet'!$A$2:$A$1006,'Cost Data Sheet'!$F$2:$F$1006),
    SUMPRODUCT(
      ('Service to CPT Map'!$A$2:$A$1017=$A17)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F17" s="30" cm="1">
        <f t="array" ref="F17">IF(
  OR($A17="Single Lung Transplant",$A17="Double Lung Transplant"),
  E17,
  SUMPRODUCT(
    ('Service to CPT Map'!$A$2:$A$1017=$A17)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Map'!$A$2:$A$1017=$A17)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Map'!$A$2:$A$1017=$A17)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G17" s="31" t="str">
        <f t="shared" si="22"/>
        <v>$0.00</v>
      </c>
      <c r="H17" s="32"/>
      <c r="I17" s="32"/>
      <c r="J17" s="32"/>
      <c r="K17" s="32"/>
      <c r="L17" s="51" t="str">
        <f t="shared" si="23"/>
        <v>lifetime</v>
      </c>
      <c r="M17" s="33" t="str">
        <f>IF(L17="lifetime",
    IF(I17&lt;&gt;"", H17 &amp; "-" &amp; I17 &amp; "x/lifetime", H17 &amp; "x/lifetime"),
    IF(D17='Master Data'!$B$8, AD17 &amp; AE17, AD17 &amp; AE17 &amp; AC17))</f>
        <v>x/lifetime</v>
      </c>
      <c r="N17" s="30">
        <f t="shared" si="24"/>
        <v>0</v>
      </c>
      <c r="O17" s="30">
        <f t="shared" si="25"/>
        <v>0</v>
      </c>
      <c r="P17" s="52" t="str">
        <f t="shared" si="26"/>
        <v>$0.00</v>
      </c>
      <c r="Q17" s="30">
        <f t="shared" si="27"/>
        <v>0</v>
      </c>
      <c r="R17" s="30">
        <f t="shared" si="28"/>
        <v>0</v>
      </c>
      <c r="S17" s="63" t="str">
        <f t="shared" si="29"/>
        <v>$0.00</v>
      </c>
      <c r="AA17" s="166" t="str">
        <f>IF(L17="lifetime", "one-time cost", IF(D17='Master Data'!$B$8, AD17 &amp; AE17, AD17 &amp; AE17 &amp; AC17))</f>
        <v>one-time cost</v>
      </c>
      <c r="AB17" s="208" t="str">
        <f t="shared" si="18"/>
        <v>x/lifetime</v>
      </c>
      <c r="AC17" s="166" t="str">
        <f ca="1">IF(Table12[[#This Row],[Duration (Years):]]&lt;&gt;'Master Data'!$B$8,CONCATENATE(",",CHAR(10),"for ",Table12[[#This Row],[Duration (Years):]]," years"),"lifelong")</f>
        <v>lifelong</v>
      </c>
      <c r="AD17" s="166" t="str">
        <f t="shared" si="19"/>
        <v>one-time cost</v>
      </c>
      <c r="AE17" s="166" t="str">
        <f t="shared" si="20"/>
        <v>one-time cost</v>
      </c>
    </row>
    <row r="18" spans="1:31" ht="28.5" customHeight="1" x14ac:dyDescent="0.2">
      <c r="A18" s="98"/>
      <c r="B18" s="29">
        <f ca="1">'Master Data'!$B$6</f>
        <v>126.3</v>
      </c>
      <c r="C18" s="29">
        <f ca="1">'Master Data'!$B$7</f>
        <v>136.30000000000001</v>
      </c>
      <c r="D18" s="29">
        <f t="shared" ca="1" si="21"/>
        <v>10</v>
      </c>
      <c r="E18" s="30" cm="1">
        <f t="array" ref="E18">IF(
  $A18="Single Lung Transplant",
  _xlfn.XLOOKUP(1,'Cost Data Sheet'!$A$2:$A$1006,'Cost Data Sheet'!$F$2:$F$1006),
  IF(
    $A18="Double Lung Transplant",
    _xlfn.XLOOKUP(2,'Cost Data Sheet'!$A$2:$A$1006,'Cost Data Sheet'!$F$2:$F$1006),
    SUMPRODUCT(
      ('Service to CPT Map'!$A$2:$A$1017=$A18)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F18" s="30" cm="1">
        <f t="array" ref="F18">IF(
  OR($A18="Single Lung Transplant",$A18="Double Lung Transplant"),
  E18,
  SUMPRODUCT(
    ('Service to CPT Map'!$A$2:$A$1017=$A18)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Map'!$A$2:$A$1017=$A18)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Map'!$A$2:$A$1017=$A18)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G18" s="31" t="str">
        <f t="shared" si="22"/>
        <v>$0.00</v>
      </c>
      <c r="H18" s="32"/>
      <c r="I18" s="32"/>
      <c r="J18" s="32"/>
      <c r="K18" s="32"/>
      <c r="L18" s="51" t="str">
        <f t="shared" si="23"/>
        <v>lifetime</v>
      </c>
      <c r="M18" s="33" t="str">
        <f>IF(L18="lifetime",
    IF(I18&lt;&gt;"", H18 &amp; "-" &amp; I18 &amp; "x/lifetime", H18 &amp; "x/lifetime"),
    IF(D18='Master Data'!$B$8, AD18 &amp; AE18, AD18 &amp; AE18 &amp; AC18))</f>
        <v>x/lifetime</v>
      </c>
      <c r="N18" s="30">
        <f t="shared" si="24"/>
        <v>0</v>
      </c>
      <c r="O18" s="30">
        <f t="shared" si="25"/>
        <v>0</v>
      </c>
      <c r="P18" s="52" t="str">
        <f t="shared" si="26"/>
        <v>$0.00</v>
      </c>
      <c r="Q18" s="30">
        <f t="shared" si="27"/>
        <v>0</v>
      </c>
      <c r="R18" s="30">
        <f t="shared" si="28"/>
        <v>0</v>
      </c>
      <c r="S18" s="63" t="str">
        <f t="shared" si="29"/>
        <v>$0.00</v>
      </c>
      <c r="AA18" s="166" t="str">
        <f>IF(L18="lifetime", "one-time cost", IF(D18='Master Data'!$B$8, AD18 &amp; AE18, AD18 &amp; AE18 &amp; AC18))</f>
        <v>one-time cost</v>
      </c>
      <c r="AB18" s="208" t="str">
        <f t="shared" si="18"/>
        <v>x/lifetime</v>
      </c>
      <c r="AC18" s="166" t="str">
        <f ca="1">IF(Table12[[#This Row],[Duration (Years):]]&lt;&gt;'Master Data'!$B$8,CONCATENATE(",",CHAR(10),"for ",Table12[[#This Row],[Duration (Years):]]," years"),"lifelong")</f>
        <v>lifelong</v>
      </c>
      <c r="AD18" s="166" t="str">
        <f t="shared" si="19"/>
        <v>one-time cost</v>
      </c>
      <c r="AE18" s="166" t="str">
        <f t="shared" si="20"/>
        <v>one-time cost</v>
      </c>
    </row>
    <row r="19" spans="1:31" ht="28.5" customHeight="1" x14ac:dyDescent="0.2">
      <c r="A19" s="98"/>
      <c r="B19" s="29">
        <f ca="1">'Master Data'!$B$6</f>
        <v>126.3</v>
      </c>
      <c r="C19" s="29">
        <f ca="1">'Master Data'!$B$7</f>
        <v>136.30000000000001</v>
      </c>
      <c r="D19" s="29">
        <f t="shared" ca="1" si="21"/>
        <v>10</v>
      </c>
      <c r="E19" s="30" cm="1">
        <f t="array" ref="E19">IF(
  $A19="Single Lung Transplant",
  _xlfn.XLOOKUP(1,'Cost Data Sheet'!$A$2:$A$1006,'Cost Data Sheet'!$F$2:$F$1006),
  IF(
    $A19="Double Lung Transplant",
    _xlfn.XLOOKUP(2,'Cost Data Sheet'!$A$2:$A$1006,'Cost Data Sheet'!$F$2:$F$1006),
    SUMPRODUCT(
      ('Service to CPT Map'!$A$2:$A$1017=$A19)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F19" s="30" cm="1">
        <f t="array" ref="F19">IF(
  OR($A19="Single Lung Transplant",$A19="Double Lung Transplant"),
  E19,
  SUMPRODUCT(
    ('Service to CPT Map'!$A$2:$A$1017=$A19)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Map'!$A$2:$A$1017=$A19)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Map'!$A$2:$A$1017=$A19)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G19" s="31" t="str">
        <f t="shared" si="22"/>
        <v>$0.00</v>
      </c>
      <c r="H19" s="32"/>
      <c r="I19" s="32"/>
      <c r="J19" s="32"/>
      <c r="K19" s="32"/>
      <c r="L19" s="51" t="str">
        <f t="shared" si="23"/>
        <v>lifetime</v>
      </c>
      <c r="M19" s="33" t="str">
        <f>IF(L19="lifetime",
    IF(I19&lt;&gt;"", H19 &amp; "-" &amp; I19 &amp; "x/lifetime", H19 &amp; "x/lifetime"),
    IF(D19='Master Data'!$B$8, AD19 &amp; AE19, AD19 &amp; AE19 &amp; AC19))</f>
        <v>x/lifetime</v>
      </c>
      <c r="N19" s="30">
        <f t="shared" si="24"/>
        <v>0</v>
      </c>
      <c r="O19" s="30">
        <f t="shared" si="25"/>
        <v>0</v>
      </c>
      <c r="P19" s="52" t="str">
        <f t="shared" si="26"/>
        <v>$0.00</v>
      </c>
      <c r="Q19" s="30">
        <f t="shared" si="27"/>
        <v>0</v>
      </c>
      <c r="R19" s="30">
        <f t="shared" si="28"/>
        <v>0</v>
      </c>
      <c r="S19" s="63" t="str">
        <f t="shared" si="29"/>
        <v>$0.00</v>
      </c>
      <c r="AA19" s="166" t="str">
        <f>IF(L19="lifetime", "one-time cost", IF(D19='Master Data'!$B$8, AD19 &amp; AE19, AD19 &amp; AE19 &amp; AC19))</f>
        <v>one-time cost</v>
      </c>
      <c r="AB19" s="208" t="str">
        <f t="shared" si="18"/>
        <v>x/lifetime</v>
      </c>
      <c r="AC19" s="166" t="str">
        <f ca="1">IF(Table12[[#This Row],[Duration (Years):]]&lt;&gt;'Master Data'!$B$8,CONCATENATE(",",CHAR(10),"for ",Table12[[#This Row],[Duration (Years):]]," years"),"lifelong")</f>
        <v>lifelong</v>
      </c>
      <c r="AD19" s="166" t="str">
        <f t="shared" si="19"/>
        <v>one-time cost</v>
      </c>
      <c r="AE19" s="166" t="str">
        <f t="shared" si="20"/>
        <v>one-time cost</v>
      </c>
    </row>
    <row r="20" spans="1:31" ht="28.5" customHeight="1" x14ac:dyDescent="0.2">
      <c r="A20" s="98"/>
      <c r="B20" s="29">
        <f ca="1">'Master Data'!$B$6</f>
        <v>126.3</v>
      </c>
      <c r="C20" s="29">
        <f ca="1">'Master Data'!$B$7</f>
        <v>136.30000000000001</v>
      </c>
      <c r="D20" s="29">
        <f t="shared" ca="1" si="21"/>
        <v>10</v>
      </c>
      <c r="E20" s="30" cm="1">
        <f t="array" ref="E20">IF(
  $A20="Single Lung Transplant",
  _xlfn.XLOOKUP(1,'Cost Data Sheet'!$A$2:$A$1006,'Cost Data Sheet'!$F$2:$F$1006),
  IF(
    $A20="Double Lung Transplant",
    _xlfn.XLOOKUP(2,'Cost Data Sheet'!$A$2:$A$1006,'Cost Data Sheet'!$F$2:$F$1006),
    SUMPRODUCT(
      ('Service to CPT Map'!$A$2:$A$1017=$A20)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F20" s="30" cm="1">
        <f t="array" ref="F20">IF(
  OR($A20="Single Lung Transplant",$A20="Double Lung Transplant"),
  E20,
  SUMPRODUCT(
    ('Service to CPT Map'!$A$2:$A$1017=$A20)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Map'!$A$2:$A$1017=$A20)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Map'!$A$2:$A$1017=$A20)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G20" s="31" t="str">
        <f t="shared" si="22"/>
        <v>$0.00</v>
      </c>
      <c r="H20" s="32"/>
      <c r="I20" s="32"/>
      <c r="J20" s="32"/>
      <c r="K20" s="32"/>
      <c r="L20" s="51" t="str">
        <f t="shared" si="23"/>
        <v>lifetime</v>
      </c>
      <c r="M20" s="33" t="str">
        <f>IF(L20="lifetime",
    IF(I20&lt;&gt;"", H20 &amp; "-" &amp; I20 &amp; "x/lifetime", H20 &amp; "x/lifetime"),
    IF(D20='Master Data'!$B$8, AD20 &amp; AE20, AD20 &amp; AE20 &amp; AC20))</f>
        <v>x/lifetime</v>
      </c>
      <c r="N20" s="30">
        <f t="shared" si="24"/>
        <v>0</v>
      </c>
      <c r="O20" s="30">
        <f t="shared" si="25"/>
        <v>0</v>
      </c>
      <c r="P20" s="52" t="str">
        <f t="shared" si="26"/>
        <v>$0.00</v>
      </c>
      <c r="Q20" s="30">
        <f t="shared" si="27"/>
        <v>0</v>
      </c>
      <c r="R20" s="30">
        <f t="shared" si="28"/>
        <v>0</v>
      </c>
      <c r="S20" s="63" t="str">
        <f t="shared" si="29"/>
        <v>$0.00</v>
      </c>
      <c r="AA20" s="166" t="str">
        <f>IF(L20="lifetime", "one-time cost", IF(D20='Master Data'!$B$8, AD20 &amp; AE20, AD20 &amp; AE20 &amp; AC20))</f>
        <v>one-time cost</v>
      </c>
      <c r="AB20" s="208" t="str">
        <f t="shared" si="18"/>
        <v>x/lifetime</v>
      </c>
      <c r="AC20" s="166" t="str">
        <f ca="1">IF(Table12[[#This Row],[Duration (Years):]]&lt;&gt;'Master Data'!$B$8,CONCATENATE(",",CHAR(10),"for ",Table12[[#This Row],[Duration (Years):]]," years"),"lifelong")</f>
        <v>lifelong</v>
      </c>
      <c r="AD20" s="166" t="str">
        <f t="shared" si="19"/>
        <v>one-time cost</v>
      </c>
      <c r="AE20" s="166" t="str">
        <f t="shared" si="20"/>
        <v>one-time cost</v>
      </c>
    </row>
    <row r="21" spans="1:31" ht="28.5" customHeight="1" x14ac:dyDescent="0.2">
      <c r="A21" s="98"/>
      <c r="B21" s="29">
        <f ca="1">'Master Data'!$B$6</f>
        <v>126.3</v>
      </c>
      <c r="C21" s="29">
        <f ca="1">'Master Data'!$B$7</f>
        <v>136.30000000000001</v>
      </c>
      <c r="D21" s="29">
        <f t="shared" ca="1" si="21"/>
        <v>10</v>
      </c>
      <c r="E21" s="30" cm="1">
        <f t="array" ref="E21">IF(
  $A21="Single Lung Transplant",
  _xlfn.XLOOKUP(1,'Cost Data Sheet'!$A$2:$A$1006,'Cost Data Sheet'!$F$2:$F$1006),
  IF(
    $A21="Double Lung Transplant",
    _xlfn.XLOOKUP(2,'Cost Data Sheet'!$A$2:$A$1006,'Cost Data Sheet'!$F$2:$F$1006),
    SUMPRODUCT(
      ('Service to CPT Map'!$A$2:$A$1017=$A21)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F21" s="30" cm="1">
        <f t="array" ref="F21">IF(
  OR($A21="Single Lung Transplant",$A21="Double Lung Transplant"),
  E21,
  SUMPRODUCT(
    ('Service to CPT Map'!$A$2:$A$1017=$A21)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Map'!$A$2:$A$1017=$A21)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Map'!$A$2:$A$1017=$A21)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G21" s="31" t="str">
        <f t="shared" si="22"/>
        <v>$0.00</v>
      </c>
      <c r="H21" s="32"/>
      <c r="I21" s="32"/>
      <c r="J21" s="32"/>
      <c r="K21" s="32"/>
      <c r="L21" s="51" t="str">
        <f t="shared" si="23"/>
        <v>lifetime</v>
      </c>
      <c r="M21" s="33" t="str">
        <f>IF(L21="lifetime",
    IF(I21&lt;&gt;"", H21 &amp; "-" &amp; I21 &amp; "x/lifetime", H21 &amp; "x/lifetime"),
    IF(D21='Master Data'!$B$8, AD21 &amp; AE21, AD21 &amp; AE21 &amp; AC21))</f>
        <v>x/lifetime</v>
      </c>
      <c r="N21" s="30">
        <f t="shared" si="24"/>
        <v>0</v>
      </c>
      <c r="O21" s="30">
        <f t="shared" si="25"/>
        <v>0</v>
      </c>
      <c r="P21" s="52" t="str">
        <f t="shared" si="26"/>
        <v>$0.00</v>
      </c>
      <c r="Q21" s="30">
        <f t="shared" si="27"/>
        <v>0</v>
      </c>
      <c r="R21" s="30">
        <f t="shared" si="28"/>
        <v>0</v>
      </c>
      <c r="S21" s="63" t="str">
        <f t="shared" si="29"/>
        <v>$0.00</v>
      </c>
      <c r="AA21" s="166" t="str">
        <f>IF(L21="lifetime", "one-time cost", IF(D21='Master Data'!$B$8, AD21 &amp; AE21, AD21 &amp; AE21 &amp; AC21))</f>
        <v>one-time cost</v>
      </c>
      <c r="AB21" s="208" t="str">
        <f t="shared" si="18"/>
        <v>x/lifetime</v>
      </c>
      <c r="AC21" s="166" t="str">
        <f ca="1">IF(Table12[[#This Row],[Duration (Years):]]&lt;&gt;'Master Data'!$B$8,CONCATENATE(",",CHAR(10),"for ",Table12[[#This Row],[Duration (Years):]]," years"),"lifelong")</f>
        <v>lifelong</v>
      </c>
      <c r="AD21" s="166" t="str">
        <f t="shared" si="19"/>
        <v>one-time cost</v>
      </c>
      <c r="AE21" s="166" t="str">
        <f t="shared" si="20"/>
        <v>one-time cost</v>
      </c>
    </row>
    <row r="22" spans="1:31" ht="28.5" customHeight="1" x14ac:dyDescent="0.2">
      <c r="A22" s="98"/>
      <c r="B22" s="29">
        <f ca="1">'Master Data'!$B$6</f>
        <v>126.3</v>
      </c>
      <c r="C22" s="29">
        <f ca="1">'Master Data'!$B$7</f>
        <v>136.30000000000001</v>
      </c>
      <c r="D22" s="29">
        <f t="shared" ca="1" si="21"/>
        <v>10</v>
      </c>
      <c r="E22" s="30" cm="1">
        <f t="array" ref="E22">IF(
  $A22="Single Lung Transplant",
  _xlfn.XLOOKUP(1,'Cost Data Sheet'!$A$2:$A$1006,'Cost Data Sheet'!$F$2:$F$1006),
  IF(
    $A22="Double Lung Transplant",
    _xlfn.XLOOKUP(2,'Cost Data Sheet'!$A$2:$A$1006,'Cost Data Sheet'!$F$2:$F$1006),
    SUMPRODUCT(
      ('Service to CPT Map'!$A$2:$A$1017=$A22)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F22" s="30" cm="1">
        <f t="array" ref="F22">IF(
  OR($A22="Single Lung Transplant",$A22="Double Lung Transplant"),
  E22,
  SUMPRODUCT(
    ('Service to CPT Map'!$A$2:$A$1017=$A22)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Map'!$A$2:$A$1017=$A22)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Map'!$A$2:$A$1017=$A22)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G22" s="31" t="str">
        <f t="shared" si="22"/>
        <v>$0.00</v>
      </c>
      <c r="H22" s="32"/>
      <c r="I22" s="32"/>
      <c r="J22" s="32"/>
      <c r="K22" s="32"/>
      <c r="L22" s="51" t="str">
        <f t="shared" si="23"/>
        <v>lifetime</v>
      </c>
      <c r="M22" s="33" t="str">
        <f>IF(L22="lifetime",
    IF(I22&lt;&gt;"", H22 &amp; "-" &amp; I22 &amp; "x/lifetime", H22 &amp; "x/lifetime"),
    IF(D22='Master Data'!$B$8, AD22 &amp; AE22, AD22 &amp; AE22 &amp; AC22))</f>
        <v>x/lifetime</v>
      </c>
      <c r="N22" s="30">
        <f t="shared" si="24"/>
        <v>0</v>
      </c>
      <c r="O22" s="30">
        <f t="shared" si="25"/>
        <v>0</v>
      </c>
      <c r="P22" s="52" t="str">
        <f t="shared" si="26"/>
        <v>$0.00</v>
      </c>
      <c r="Q22" s="30">
        <f t="shared" si="27"/>
        <v>0</v>
      </c>
      <c r="R22" s="30">
        <f t="shared" si="28"/>
        <v>0</v>
      </c>
      <c r="S22" s="63" t="str">
        <f t="shared" si="29"/>
        <v>$0.00</v>
      </c>
      <c r="AA22" s="166" t="str">
        <f>IF(L22="lifetime", "one-time cost", IF(D22='Master Data'!$B$8, AD22 &amp; AE22, AD22 &amp; AE22 &amp; AC22))</f>
        <v>one-time cost</v>
      </c>
      <c r="AB22" s="208" t="str">
        <f t="shared" si="18"/>
        <v>x/lifetime</v>
      </c>
      <c r="AC22" s="166" t="str">
        <f ca="1">IF(Table12[[#This Row],[Duration (Years):]]&lt;&gt;'Master Data'!$B$8,CONCATENATE(",",CHAR(10),"for ",Table12[[#This Row],[Duration (Years):]]," years"),"lifelong")</f>
        <v>lifelong</v>
      </c>
      <c r="AD22" s="166" t="str">
        <f t="shared" si="19"/>
        <v>one-time cost</v>
      </c>
      <c r="AE22" s="166" t="str">
        <f t="shared" si="20"/>
        <v>one-time cost</v>
      </c>
    </row>
    <row r="23" spans="1:31" ht="28.5" customHeight="1" x14ac:dyDescent="0.2">
      <c r="A23" s="98"/>
      <c r="B23" s="29">
        <f ca="1">'Master Data'!$B$6</f>
        <v>126.3</v>
      </c>
      <c r="C23" s="29">
        <f ca="1">'Master Data'!$B$7</f>
        <v>136.30000000000001</v>
      </c>
      <c r="D23" s="29">
        <f t="shared" ca="1" si="21"/>
        <v>10</v>
      </c>
      <c r="E23" s="30" cm="1">
        <f t="array" ref="E23">IF(
  $A23="Single Lung Transplant",
  _xlfn.XLOOKUP(1,'Cost Data Sheet'!$A$2:$A$1006,'Cost Data Sheet'!$F$2:$F$1006),
  IF(
    $A23="Double Lung Transplant",
    _xlfn.XLOOKUP(2,'Cost Data Sheet'!$A$2:$A$1006,'Cost Data Sheet'!$F$2:$F$1006),
    SUMPRODUCT(
      ('Service to CPT Map'!$A$2:$A$1017=$A23)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F23" s="30" cm="1">
        <f t="array" ref="F23">IF(
  OR($A23="Single Lung Transplant",$A23="Double Lung Transplant"),
  E23,
  SUMPRODUCT(
    ('Service to CPT Map'!$A$2:$A$1017=$A23)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Map'!$A$2:$A$1017=$A23)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Map'!$A$2:$A$1017=$A23)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G23" s="31" t="str">
        <f t="shared" si="22"/>
        <v>$0.00</v>
      </c>
      <c r="H23" s="32"/>
      <c r="I23" s="32"/>
      <c r="J23" s="32"/>
      <c r="K23" s="32"/>
      <c r="L23" s="51" t="str">
        <f t="shared" si="23"/>
        <v>lifetime</v>
      </c>
      <c r="M23" s="33" t="str">
        <f>IF(L23="lifetime",
    IF(I23&lt;&gt;"", H23 &amp; "-" &amp; I23 &amp; "x/lifetime", H23 &amp; "x/lifetime"),
    IF(D23='Master Data'!$B$8, AD23 &amp; AE23, AD23 &amp; AE23 &amp; AC23))</f>
        <v>x/lifetime</v>
      </c>
      <c r="N23" s="30">
        <f t="shared" si="24"/>
        <v>0</v>
      </c>
      <c r="O23" s="30">
        <f t="shared" si="25"/>
        <v>0</v>
      </c>
      <c r="P23" s="52" t="str">
        <f t="shared" si="26"/>
        <v>$0.00</v>
      </c>
      <c r="Q23" s="30">
        <f t="shared" si="27"/>
        <v>0</v>
      </c>
      <c r="R23" s="30">
        <f t="shared" si="28"/>
        <v>0</v>
      </c>
      <c r="S23" s="63" t="str">
        <f t="shared" si="29"/>
        <v>$0.00</v>
      </c>
      <c r="AA23" s="166" t="str">
        <f>IF(L23="lifetime", "one-time cost", IF(D23='Master Data'!$B$8, AD23 &amp; AE23, AD23 &amp; AE23 &amp; AC23))</f>
        <v>one-time cost</v>
      </c>
      <c r="AB23" s="208" t="str">
        <f t="shared" si="18"/>
        <v>x/lifetime</v>
      </c>
      <c r="AC23" s="166" t="str">
        <f ca="1">IF(Table12[[#This Row],[Duration (Years):]]&lt;&gt;'Master Data'!$B$8,CONCATENATE(",",CHAR(10),"for ",Table12[[#This Row],[Duration (Years):]]," years"),"lifelong")</f>
        <v>lifelong</v>
      </c>
      <c r="AD23" s="166" t="str">
        <f t="shared" si="19"/>
        <v>one-time cost</v>
      </c>
      <c r="AE23" s="166" t="str">
        <f t="shared" si="20"/>
        <v>one-time cost</v>
      </c>
    </row>
    <row r="24" spans="1:31" ht="28.5" customHeight="1" x14ac:dyDescent="0.2">
      <c r="A24" s="98"/>
      <c r="B24" s="29">
        <f ca="1">'Master Data'!$B$6</f>
        <v>126.3</v>
      </c>
      <c r="C24" s="29">
        <f ca="1">'Master Data'!$B$7</f>
        <v>136.30000000000001</v>
      </c>
      <c r="D24" s="29">
        <f t="shared" ca="1" si="21"/>
        <v>10</v>
      </c>
      <c r="E24" s="30" cm="1">
        <f t="array" ref="E24">IF(
  $A24="Single Lung Transplant",
  _xlfn.XLOOKUP(1,'Cost Data Sheet'!$A$2:$A$1006,'Cost Data Sheet'!$F$2:$F$1006),
  IF(
    $A24="Double Lung Transplant",
    _xlfn.XLOOKUP(2,'Cost Data Sheet'!$A$2:$A$1006,'Cost Data Sheet'!$F$2:$F$1006),
    SUMPRODUCT(
      ('Service to CPT Map'!$A$2:$A$1017=$A24)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F24" s="30" cm="1">
        <f t="array" ref="F24">IF(
  OR($A24="Single Lung Transplant",$A24="Double Lung Transplant"),
  E24,
  SUMPRODUCT(
    ('Service to CPT Map'!$A$2:$A$1017=$A24)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Map'!$A$2:$A$1017=$A24)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Map'!$A$2:$A$1017=$A24)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G24" s="31" t="str">
        <f t="shared" si="22"/>
        <v>$0.00</v>
      </c>
      <c r="H24" s="32"/>
      <c r="I24" s="32"/>
      <c r="J24" s="32"/>
      <c r="K24" s="32"/>
      <c r="L24" s="51" t="str">
        <f t="shared" si="23"/>
        <v>lifetime</v>
      </c>
      <c r="M24" s="33" t="str">
        <f>IF(L24="lifetime",
    IF(I24&lt;&gt;"", H24 &amp; "-" &amp; I24 &amp; "x/lifetime", H24 &amp; "x/lifetime"),
    IF(D24='Master Data'!$B$8, AD24 &amp; AE24, AD24 &amp; AE24 &amp; AC24))</f>
        <v>x/lifetime</v>
      </c>
      <c r="N24" s="30">
        <f t="shared" si="24"/>
        <v>0</v>
      </c>
      <c r="O24" s="30">
        <f t="shared" si="25"/>
        <v>0</v>
      </c>
      <c r="P24" s="52" t="str">
        <f t="shared" si="26"/>
        <v>$0.00</v>
      </c>
      <c r="Q24" s="30">
        <f t="shared" si="27"/>
        <v>0</v>
      </c>
      <c r="R24" s="30">
        <f t="shared" si="28"/>
        <v>0</v>
      </c>
      <c r="S24" s="63" t="str">
        <f t="shared" si="29"/>
        <v>$0.00</v>
      </c>
      <c r="AA24" s="166" t="str">
        <f>IF(L24="lifetime", "one-time cost", IF(D24='Master Data'!$B$8, AD24 &amp; AE24, AD24 &amp; AE24 &amp; AC24))</f>
        <v>one-time cost</v>
      </c>
      <c r="AB24" s="208" t="str">
        <f t="shared" si="18"/>
        <v>x/lifetime</v>
      </c>
      <c r="AC24" s="166" t="str">
        <f ca="1">IF(Table12[[#This Row],[Duration (Years):]]&lt;&gt;'Master Data'!$B$8,CONCATENATE(",",CHAR(10),"for ",Table12[[#This Row],[Duration (Years):]]," years"),"lifelong")</f>
        <v>lifelong</v>
      </c>
      <c r="AD24" s="166" t="str">
        <f t="shared" si="19"/>
        <v>one-time cost</v>
      </c>
      <c r="AE24" s="166" t="str">
        <f t="shared" si="20"/>
        <v>one-time cost</v>
      </c>
    </row>
    <row r="25" spans="1:31" ht="28.5" customHeight="1" x14ac:dyDescent="0.2">
      <c r="A25" s="98"/>
      <c r="B25" s="29">
        <f ca="1">'Master Data'!$B$6</f>
        <v>126.3</v>
      </c>
      <c r="C25" s="29">
        <f ca="1">'Master Data'!$B$7</f>
        <v>136.30000000000001</v>
      </c>
      <c r="D25" s="29">
        <f t="shared" ca="1" si="21"/>
        <v>10</v>
      </c>
      <c r="E25" s="30" cm="1">
        <f t="array" ref="E25">IF(
  $A25="Single Lung Transplant",
  _xlfn.XLOOKUP(1,'Cost Data Sheet'!$A$2:$A$1006,'Cost Data Sheet'!$F$2:$F$1006),
  IF(
    $A25="Double Lung Transplant",
    _xlfn.XLOOKUP(2,'Cost Data Sheet'!$A$2:$A$1006,'Cost Data Sheet'!$F$2:$F$1006),
    SUMPRODUCT(
      ('Service to CPT Map'!$A$2:$A$1017=$A25) *
      ('Service to CPT Map'!$B$2:$B$1017="Low")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F25" s="30" cm="1">
        <f t="array" ref="F25">IF(
  OR($A25="Single Lung Transplant",$A25="Double Lung Transplant"),
  E25,
  SUMPRODUCT(
    ('Service to CPT Map'!$A$2:$A$1017=$A25) *
    ('Service to CPT Map'!$B$2:$B$1017="High") *
    ISNUMBER(MATCH(
      'Service to CPT Map'!$D$2:$D$1017,
      {"Medical","Medical - Sedation","Anesthesia"},
      0
    ))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  +
  MAX(
    SUMPRODUCT(
      ('Service to CPT Map'!$A$2:$A$1017=$A25) *
      ('Service to CPT Map'!$B$2:$B$1017="High") *
      ('Service to CPT Map'!$D$2:$D$1017="ASC")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),
    SUMPRODUCT(
      ('Service to CPT Map'!$A$2:$A$1017=$A25) *
      ('Service to CPT Map'!$B$2:$B$1017="High") *
      ('Service to CPT Map'!$D$2:$D$1017="Outpatient") *
      IFERROR(
        _xlfn.XLOOKUP(
          'Service to CPT Map'!$C$2:$C$1017,
          'Cost Data Sheet'!$A$2:$A$1006,
          CHOOSE(
            MATCH('Master Data'!$B$19,
              {"Los Angeles","San Diego","San Francisco","Palo Alto"},0),
            'Cost Data Sheet'!$B$2:$B$1006,
            'Cost Data Sheet'!$C$2:$C$1006,
            'Cost Data Sheet'!$D$2:$D$1006,
            'Cost Data Sheet'!$E$2:$E$1006
          )
        ),
        0
      )
    )
  )
)</f>
        <v>0</v>
      </c>
      <c r="G25" s="31" t="str">
        <f t="shared" si="22"/>
        <v>$0.00</v>
      </c>
      <c r="H25" s="32"/>
      <c r="I25" s="32"/>
      <c r="J25" s="32"/>
      <c r="K25" s="32"/>
      <c r="L25" s="51" t="str">
        <f t="shared" si="23"/>
        <v>lifetime</v>
      </c>
      <c r="M25" s="33" t="str">
        <f>IF(L25="lifetime",
    IF(I25&lt;&gt;"", H25 &amp; "-" &amp; I25 &amp; "x/lifetime", H25 &amp; "x/lifetime"),
    IF(D25='Master Data'!$B$8, AD25 &amp; AE25, AD25 &amp; AE25 &amp; AC25))</f>
        <v>x/lifetime</v>
      </c>
      <c r="N25" s="30">
        <f t="shared" si="24"/>
        <v>0</v>
      </c>
      <c r="O25" s="30">
        <f t="shared" si="25"/>
        <v>0</v>
      </c>
      <c r="P25" s="52" t="str">
        <f t="shared" si="26"/>
        <v>$0.00</v>
      </c>
      <c r="Q25" s="30">
        <f t="shared" si="27"/>
        <v>0</v>
      </c>
      <c r="R25" s="30">
        <f t="shared" si="28"/>
        <v>0</v>
      </c>
      <c r="S25" s="63" t="str">
        <f t="shared" si="29"/>
        <v>$0.00</v>
      </c>
      <c r="AA25" s="166" t="str">
        <f>IF(L25="lifetime", "one-time cost", IF(D25='Master Data'!$B$8, AD25 &amp; AE25, AD25 &amp; AE25 &amp; AC25))</f>
        <v>one-time cost</v>
      </c>
      <c r="AB25" s="208" t="str">
        <f t="shared" si="18"/>
        <v>x/lifetime</v>
      </c>
      <c r="AC25" s="166" t="str">
        <f ca="1">IF(Table12[[#This Row],[Duration (Years):]]&lt;&gt;'Master Data'!$B$8,CONCATENATE(",",CHAR(10),"for ",Table12[[#This Row],[Duration (Years):]]," years"),"lifelong")</f>
        <v>lifelong</v>
      </c>
      <c r="AD25" s="166" t="str">
        <f t="shared" si="19"/>
        <v>one-time cost</v>
      </c>
      <c r="AE25" s="166" t="str">
        <f t="shared" si="20"/>
        <v>one-time cost</v>
      </c>
    </row>
    <row r="26" spans="1:31" ht="39" thickBot="1" x14ac:dyDescent="0.25">
      <c r="A26" s="348" t="s">
        <v>32</v>
      </c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  <c r="M26" s="349"/>
      <c r="N26" s="18"/>
      <c r="O26" s="18"/>
      <c r="P26" s="67" t="str">
        <f ca="1">IF(U3="same",IF(SUM(Table12[Annual Cost Max:])=0,"$0.00",CONCATENATE(TEXT(SUM(AnnMin),"$#,##0.00"),CHAR(10)," - ",CHAR(10),TEXT(SUM(AnnMax),"$#,##0.00"))),"Variable by year")</f>
        <v>$0.00</v>
      </c>
      <c r="Q26" s="18"/>
      <c r="R26" s="18"/>
      <c r="S26" s="68" t="str">
        <f>IF(SUM(OneTimeMax)=0,"$0.00",CONCATENATE(TEXT(SUM(OneTimeMin),"$#,##0.00"),CHAR(10)," - ",CHAR(10),TEXT(SUM(OneTimeMax),"$#,##0.00")))</f>
        <v>$14,381.00
 - 
$142,571.00</v>
      </c>
      <c r="AA26" s="166" t="e">
        <f>IF(L26="lifetime", "one-time cost", IF(D26='Master Data'!$B$8, AD26 &amp; AE26, AD26 &amp; AE26 &amp; AC26))</f>
        <v>#VALUE!</v>
      </c>
      <c r="AB26" s="208" t="str">
        <f t="shared" si="18"/>
        <v>ongoing cost</v>
      </c>
      <c r="AC26" s="166" t="e">
        <f>IF(Table12[[#This Row],[Duration (Years):]]&lt;&gt;'Master Data'!$B$8,CONCATENATE(",",CHAR(10),"for ",Table12[[#This Row],[Duration (Years):]]," years"),"lifelong")</f>
        <v>#VALUE!</v>
      </c>
      <c r="AD26" s="166" t="str">
        <f t="shared" si="19"/>
        <v>x/</v>
      </c>
      <c r="AE26" s="166">
        <f t="shared" si="20"/>
        <v>0</v>
      </c>
    </row>
    <row r="27" spans="1:31" ht="28.5" customHeight="1" thickTop="1" x14ac:dyDescent="0.2">
      <c r="AA27" s="166" t="e">
        <f>IF(L27="lifetime", "one-time cost", IF(D27='Master Data'!$B$8, AD27 &amp; AE27, AD27 &amp; AE27 &amp; AC27))</f>
        <v>#VALUE!</v>
      </c>
      <c r="AB27" s="208" t="str">
        <f t="shared" si="18"/>
        <v>ongoing cost</v>
      </c>
      <c r="AC27" s="166" t="e">
        <f>IF(Table12[[#This Row],[Duration (Years):]]&lt;&gt;'Master Data'!$B$8,CONCATENATE(",",CHAR(10),"for ",Table12[[#This Row],[Duration (Years):]]," years"),"lifelong")</f>
        <v>#VALUE!</v>
      </c>
      <c r="AD27" s="166" t="str">
        <f t="shared" si="19"/>
        <v>x/</v>
      </c>
      <c r="AE27" s="166">
        <f t="shared" si="20"/>
        <v>0</v>
      </c>
    </row>
    <row r="28" spans="1:31" ht="28.5" customHeight="1" x14ac:dyDescent="0.2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AA28" s="166" t="e">
        <f>IF(L28="lifetime", "one-time cost", IF(D28='Master Data'!$B$8, AD28 &amp; AE28, AD28 &amp; AE28 &amp; AC28))</f>
        <v>#VALUE!</v>
      </c>
      <c r="AB28" s="208" t="str">
        <f t="shared" si="18"/>
        <v>ongoing cost</v>
      </c>
      <c r="AC28" s="166" t="e">
        <f>IF(Table12[[#This Row],[Duration (Years):]]&lt;&gt;'Master Data'!$B$8,CONCATENATE(",",CHAR(10),"for ",Table12[[#This Row],[Duration (Years):]]," years"),"lifelong")</f>
        <v>#VALUE!</v>
      </c>
      <c r="AD28" s="166" t="str">
        <f t="shared" si="19"/>
        <v>x/</v>
      </c>
      <c r="AE28" s="166">
        <f t="shared" si="20"/>
        <v>0</v>
      </c>
    </row>
    <row r="29" spans="1:31" ht="28.5" customHeight="1" x14ac:dyDescent="0.2">
      <c r="AA29" s="166" t="e">
        <f>IF(L29="lifetime", "one-time cost", IF(D29='Master Data'!$B$8, AD29 &amp; AE29, AD29 &amp; AE29 &amp; AC29))</f>
        <v>#VALUE!</v>
      </c>
      <c r="AB29" s="208" t="str">
        <f t="shared" si="18"/>
        <v>ongoing cost</v>
      </c>
      <c r="AC29" s="166" t="e">
        <f>IF(Table12[[#This Row],[Duration (Years):]]&lt;&gt;'Master Data'!$B$8,CONCATENATE(",",CHAR(10),"for ",Table12[[#This Row],[Duration (Years):]]," years"),"lifelong")</f>
        <v>#VALUE!</v>
      </c>
      <c r="AD29" s="166" t="str">
        <f t="shared" si="19"/>
        <v>x/</v>
      </c>
      <c r="AE29" s="166">
        <f t="shared" si="20"/>
        <v>0</v>
      </c>
    </row>
    <row r="30" spans="1:31" ht="28.5" customHeight="1" x14ac:dyDescent="0.2">
      <c r="AA30" s="166" t="e">
        <f>IF(L30="lifetime", "one-time cost", IF(D30='Master Data'!$B$8, AD30 &amp; AE30, AD30 &amp; AE30 &amp; AC30))</f>
        <v>#VALUE!</v>
      </c>
      <c r="AB30" s="208" t="str">
        <f t="shared" si="18"/>
        <v>ongoing cost</v>
      </c>
      <c r="AC30" s="166" t="e">
        <f>IF(Table12[[#This Row],[Duration (Years):]]&lt;&gt;'Master Data'!$B$8,CONCATENATE(",",CHAR(10),"for ",Table12[[#This Row],[Duration (Years):]]," years"),"lifelong")</f>
        <v>#VALUE!</v>
      </c>
      <c r="AD30" s="166" t="str">
        <f t="shared" si="19"/>
        <v>x/</v>
      </c>
      <c r="AE30" s="166">
        <f t="shared" si="20"/>
        <v>0</v>
      </c>
    </row>
    <row r="31" spans="1:31" ht="28.5" customHeight="1" x14ac:dyDescent="0.2">
      <c r="AA31" s="166" t="e">
        <f>IF(L31="lifetime", "one-time cost", IF(D31='Master Data'!$B$8, AD31 &amp; AE31, AD31 &amp; AE31 &amp; AC31))</f>
        <v>#VALUE!</v>
      </c>
      <c r="AB31" s="208" t="str">
        <f t="shared" si="18"/>
        <v>ongoing cost</v>
      </c>
      <c r="AC31" s="166" t="e">
        <f>IF(Table12[[#This Row],[Duration (Years):]]&lt;&gt;'Master Data'!$B$8,CONCATENATE(",",CHAR(10),"for ",Table12[[#This Row],[Duration (Years):]]," years"),"lifelong")</f>
        <v>#VALUE!</v>
      </c>
      <c r="AD31" s="166" t="str">
        <f t="shared" si="19"/>
        <v>x/</v>
      </c>
      <c r="AE31" s="166">
        <f t="shared" si="20"/>
        <v>0</v>
      </c>
    </row>
    <row r="32" spans="1:31" ht="28.5" customHeight="1" x14ac:dyDescent="0.2">
      <c r="AA32" s="166" t="e">
        <f>IF(L32="lifetime", "one-time cost", IF(D32='Master Data'!$B$8, AD32 &amp; AE32, AD32 &amp; AE32 &amp; AC32))</f>
        <v>#VALUE!</v>
      </c>
      <c r="AB32" s="208" t="str">
        <f t="shared" si="18"/>
        <v>ongoing cost</v>
      </c>
      <c r="AC32" s="166" t="e">
        <f>IF(Table12[[#This Row],[Duration (Years):]]&lt;&gt;'Master Data'!$B$8,CONCATENATE(",",CHAR(10),"for ",Table12[[#This Row],[Duration (Years):]]," years"),"lifelong")</f>
        <v>#VALUE!</v>
      </c>
      <c r="AD32" s="166" t="str">
        <f t="shared" si="19"/>
        <v>x/</v>
      </c>
      <c r="AE32" s="166">
        <f t="shared" si="20"/>
        <v>0</v>
      </c>
    </row>
    <row r="33" spans="27:31" ht="28.5" customHeight="1" x14ac:dyDescent="0.2">
      <c r="AA33" s="166" t="e">
        <f>IF(L33="lifetime", "one-time cost", IF(D33='Master Data'!$B$8, AD33 &amp; AE33, AD33 &amp; AE33 &amp; AC33))</f>
        <v>#VALUE!</v>
      </c>
      <c r="AB33" s="208" t="str">
        <f t="shared" si="18"/>
        <v>ongoing cost</v>
      </c>
      <c r="AC33" s="166" t="e">
        <f>IF(Table12[[#This Row],[Duration (Years):]]&lt;&gt;'Master Data'!$B$8,CONCATENATE(",",CHAR(10),"for ",Table12[[#This Row],[Duration (Years):]]," years"),"lifelong")</f>
        <v>#VALUE!</v>
      </c>
      <c r="AD33" s="166" t="str">
        <f t="shared" si="19"/>
        <v>x/</v>
      </c>
      <c r="AE33" s="166">
        <f t="shared" si="20"/>
        <v>0</v>
      </c>
    </row>
    <row r="34" spans="27:31" ht="28.5" customHeight="1" x14ac:dyDescent="0.2">
      <c r="AA34" s="166" t="e">
        <f>IF(L34="lifetime", "one-time cost", IF(D34='Master Data'!$B$8, AD34 &amp; AE34, AD34 &amp; AE34 &amp; AC34))</f>
        <v>#VALUE!</v>
      </c>
      <c r="AB34" s="208" t="str">
        <f t="shared" si="18"/>
        <v>ongoing cost</v>
      </c>
      <c r="AC34" s="166" t="e">
        <f>IF(Table12[[#This Row],[Duration (Years):]]&lt;&gt;'Master Data'!$B$8,CONCATENATE(",",CHAR(10),"for ",Table12[[#This Row],[Duration (Years):]]," years"),"lifelong")</f>
        <v>#VALUE!</v>
      </c>
      <c r="AD34" s="166" t="str">
        <f t="shared" si="19"/>
        <v>x/</v>
      </c>
      <c r="AE34" s="166">
        <f t="shared" si="20"/>
        <v>0</v>
      </c>
    </row>
    <row r="35" spans="27:31" ht="28.5" customHeight="1" x14ac:dyDescent="0.2">
      <c r="AA35" s="166" t="e">
        <f>IF(L52="lifetime", "one-time cost", IF(D52='Master Data'!$B$8, AD35 &amp; AE35, AD35 &amp; AE35 &amp; AC35))</f>
        <v>#VALUE!</v>
      </c>
      <c r="AB35" s="208" t="str">
        <f>IF(L52="lifetime", IF(I52&lt;&gt;"", H52 &amp; "-" &amp; I52 &amp; "x/lifetime", H52 &amp; "x/lifetime"), "ongoing cost")</f>
        <v>ongoing cost</v>
      </c>
      <c r="AC35" s="166" t="e">
        <f>IF(Table12[[#This Row],[Duration (Years):]]&lt;&gt;'Master Data'!$B$8,CONCATENATE(",",CHAR(10),"for ",Table12[[#This Row],[Duration (Years):]]," years"),"lifelong")</f>
        <v>#VALUE!</v>
      </c>
      <c r="AD35" s="166" t="str">
        <f>IF(L52="lifetime", "one-time cost", IF(I52&lt;&gt;"", H52 &amp; "-" &amp; I52 &amp; "x/", H52 &amp; "x/"))</f>
        <v>x/</v>
      </c>
      <c r="AE35" s="166">
        <f>IF(L52="lifetime", "one-time cost", IF(K52&lt;&gt;"", J52 &amp; "-" &amp; K52 &amp; " " &amp; L52, IF(J52&gt;1, J52 &amp; " " &amp; L52, L52)))</f>
        <v>0</v>
      </c>
    </row>
    <row r="36" spans="27:31" ht="28.5" customHeight="1" x14ac:dyDescent="0.2">
      <c r="AA36" s="166" t="e">
        <f>IF(L53="lifetime", "one-time cost", IF(D53='Master Data'!$B$8, AD36 &amp; AE36, AD36 &amp; AE36 &amp; AC36))</f>
        <v>#VALUE!</v>
      </c>
      <c r="AB36" s="208" t="str">
        <f>IF(L53="lifetime", IF(I53&lt;&gt;"", H53 &amp; "-" &amp; I53 &amp; "x/lifetime", H53 &amp; "x/lifetime"), "ongoing cost")</f>
        <v>ongoing cost</v>
      </c>
      <c r="AC36" s="166" t="e">
        <f>IF(Table12[[#This Row],[Duration (Years):]]&lt;&gt;'Master Data'!$B$8,CONCATENATE(",",CHAR(10),"for ",Table12[[#This Row],[Duration (Years):]]," years"),"lifelong")</f>
        <v>#VALUE!</v>
      </c>
      <c r="AD36" s="166" t="str">
        <f>IF(L53="lifetime", "one-time cost", IF(I53&lt;&gt;"", H53 &amp; "-" &amp; I53 &amp; "x/", H53 &amp; "x/"))</f>
        <v>x/</v>
      </c>
      <c r="AE36" s="166">
        <f>IF(L53="lifetime", "one-time cost", IF(K53&lt;&gt;"", J53 &amp; "-" &amp; K53 &amp; " " &amp; L53, IF(J53&gt;1, J53 &amp; " " &amp; L53, L53)))</f>
        <v>0</v>
      </c>
    </row>
    <row r="37" spans="27:31" ht="28.5" customHeight="1" x14ac:dyDescent="0.2">
      <c r="AA37" s="166" t="e">
        <f>IF(L54="lifetime", "one-time cost", IF(D54='Master Data'!$B$8, AD37 &amp; AE37, AD37 &amp; AE37 &amp; AC37))</f>
        <v>#VALUE!</v>
      </c>
      <c r="AB37" s="208" t="str">
        <f>IF(L54="lifetime", IF(I54&lt;&gt;"", H54 &amp; "-" &amp; I54 &amp; "x/lifetime", H54 &amp; "x/lifetime"), "ongoing cost")</f>
        <v>ongoing cost</v>
      </c>
      <c r="AC37" s="166" t="e">
        <f>IF(Table12[[#This Row],[Duration (Years):]]&lt;&gt;'Master Data'!$B$8,CONCATENATE(",",CHAR(10),"for ",Table12[[#This Row],[Duration (Years):]]," years"),"lifelong")</f>
        <v>#VALUE!</v>
      </c>
      <c r="AD37" s="166" t="str">
        <f>IF(L54="lifetime", "one-time cost", IF(I54&lt;&gt;"", H54 &amp; "-" &amp; I54 &amp; "x/", H54 &amp; "x/"))</f>
        <v>x/</v>
      </c>
      <c r="AE37" s="166">
        <f>IF(L54="lifetime", "one-time cost", IF(K54&lt;&gt;"", J54 &amp; "-" &amp; K54 &amp; " " &amp; L54, IF(J54&gt;1, J54 &amp; " " &amp; L54, L54)))</f>
        <v>0</v>
      </c>
    </row>
    <row r="38" spans="27:31" ht="28.5" customHeight="1" x14ac:dyDescent="0.2">
      <c r="AA38" s="166" t="e">
        <f>IF(L55="lifetime", "one-time cost", IF(D55='Master Data'!$B$8, AD38 &amp; AE38, AD38 &amp; AE38 &amp; AC38))</f>
        <v>#VALUE!</v>
      </c>
      <c r="AB38" s="208" t="str">
        <f>IF(L55="lifetime", IF(I55&lt;&gt;"", H55 &amp; "-" &amp; I55 &amp; "x/lifetime", H55 &amp; "x/lifetime"), "ongoing cost")</f>
        <v>ongoing cost</v>
      </c>
      <c r="AC38" s="166" t="e">
        <f>IF(Table12[[#This Row],[Duration (Years):]]&lt;&gt;'Master Data'!$B$8,CONCATENATE(",",CHAR(10),"for ",Table12[[#This Row],[Duration (Years):]]," years"),"lifelong")</f>
        <v>#VALUE!</v>
      </c>
      <c r="AD38" s="166" t="str">
        <f>IF(L55="lifetime", "one-time cost", IF(I55&lt;&gt;"", H55 &amp; "-" &amp; I55 &amp; "x/", H55 &amp; "x/"))</f>
        <v>x/</v>
      </c>
      <c r="AE38" s="166">
        <f>IF(L55="lifetime", "one-time cost", IF(K55&lt;&gt;"", J55 &amp; "-" &amp; K55 &amp; " " &amp; L55, IF(J55&gt;1, J55 &amp; " " &amp; L55, L55)))</f>
        <v>0</v>
      </c>
    </row>
    <row r="39" spans="27:31" ht="28.5" customHeight="1" x14ac:dyDescent="0.2">
      <c r="AA39" s="166" t="e">
        <f>IF(L56="lifetime", "one-time cost", IF(D56='Master Data'!$B$8, AD39 &amp; AE39, AD39 &amp; AE39 &amp; AC39))</f>
        <v>#VALUE!</v>
      </c>
      <c r="AB39" s="208" t="str">
        <f>IF(L56="lifetime", IF(I56&lt;&gt;"", H56 &amp; "-" &amp; I56 &amp; "x/lifetime", H56 &amp; "x/lifetime"), "ongoing cost")</f>
        <v>ongoing cost</v>
      </c>
      <c r="AC39" s="166" t="e">
        <f>IF(Table12[[#This Row],[Duration (Years):]]&lt;&gt;'Master Data'!$B$8,CONCATENATE(",",CHAR(10),"for ",Table12[[#This Row],[Duration (Years):]]," years"),"lifelong")</f>
        <v>#VALUE!</v>
      </c>
      <c r="AD39" s="166" t="str">
        <f>IF(L56="lifetime", "one-time cost", IF(I56&lt;&gt;"", H56 &amp; "-" &amp; I56 &amp; "x/", H56 &amp; "x/"))</f>
        <v>x/</v>
      </c>
      <c r="AE39" s="166">
        <f>IF(L56="lifetime", "one-time cost", IF(K56&lt;&gt;"", J56 &amp; "-" &amp; K56 &amp; " " &amp; L56, IF(J56&gt;1, J56 &amp; " " &amp; L56, L56)))</f>
        <v>0</v>
      </c>
    </row>
  </sheetData>
  <sortState xmlns:xlrd2="http://schemas.microsoft.com/office/spreadsheetml/2017/richdata2" ref="A3:S3">
    <sortCondition ref="D3"/>
    <sortCondition ref="A3"/>
  </sortState>
  <mergeCells count="3">
    <mergeCell ref="A1:S1"/>
    <mergeCell ref="A26:M26"/>
    <mergeCell ref="V3:W3"/>
  </mergeCells>
  <hyperlinks>
    <hyperlink ref="V3" location="Procedure1!A1" display="Link to copy/paste table here" xr:uid="{A8B82847-8DF8-46D8-BCE8-FE4BBEF0DF71}"/>
    <hyperlink ref="V3:W3" location="'Med Care'!A1" display="Link to copy/paste table here" xr:uid="{29F2B8A1-4E80-4685-9117-DC44F1913465}"/>
  </hyperlinks>
  <pageMargins left="0.25" right="0.25" top="0.75" bottom="0.75" header="0.3" footer="0.3"/>
  <pageSetup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45"/>
  <sheetViews>
    <sheetView workbookViewId="0">
      <selection activeCell="H3" sqref="H3"/>
    </sheetView>
  </sheetViews>
  <sheetFormatPr defaultColWidth="19.7109375" defaultRowHeight="12.75" x14ac:dyDescent="0.2"/>
  <cols>
    <col min="1" max="1" width="19.7109375" style="10" customWidth="1"/>
    <col min="2" max="3" width="9.7109375" style="11" hidden="1" customWidth="1"/>
    <col min="4" max="4" width="13.42578125" style="11" customWidth="1"/>
    <col min="5" max="6" width="13.28515625" style="9" customWidth="1"/>
    <col min="7" max="7" width="15.7109375" style="12" hidden="1" customWidth="1"/>
    <col min="8" max="11" width="8.7109375" style="13" customWidth="1"/>
    <col min="12" max="12" width="10.85546875" style="8" customWidth="1"/>
    <col min="13" max="13" width="17.7109375" style="14" customWidth="1"/>
    <col min="14" max="15" width="12.28515625" style="9" hidden="1" customWidth="1"/>
    <col min="16" max="16" width="14.7109375" style="15" customWidth="1"/>
    <col min="17" max="18" width="12.28515625" style="9" hidden="1" customWidth="1"/>
    <col min="19" max="19" width="14.7109375" style="9" customWidth="1"/>
    <col min="20" max="20" width="19.7109375" style="8"/>
    <col min="21" max="21" width="19.7109375" style="8" hidden="1" customWidth="1"/>
    <col min="22" max="26" width="7.85546875" style="8" customWidth="1"/>
    <col min="27" max="31" width="7.85546875" style="8" hidden="1" customWidth="1"/>
    <col min="32" max="33" width="7.85546875" style="8" customWidth="1"/>
    <col min="34" max="16384" width="19.7109375" style="8"/>
  </cols>
  <sheetData>
    <row r="1" spans="1:31" ht="30" customHeight="1" thickTop="1" x14ac:dyDescent="0.2">
      <c r="A1" s="350" t="s">
        <v>112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2"/>
      <c r="T1" s="21"/>
    </row>
    <row r="2" spans="1:31" s="7" customFormat="1" ht="57.75" thickBot="1" x14ac:dyDescent="0.3">
      <c r="A2" s="22" t="s">
        <v>33</v>
      </c>
      <c r="B2" s="23" t="s">
        <v>15</v>
      </c>
      <c r="C2" s="23" t="s">
        <v>16</v>
      </c>
      <c r="D2" s="23" t="s">
        <v>17</v>
      </c>
      <c r="E2" s="24" t="s">
        <v>18</v>
      </c>
      <c r="F2" s="24" t="s">
        <v>19</v>
      </c>
      <c r="G2" s="24" t="s">
        <v>29</v>
      </c>
      <c r="H2" s="25" t="s">
        <v>20</v>
      </c>
      <c r="I2" s="25" t="s">
        <v>21</v>
      </c>
      <c r="J2" s="25" t="s">
        <v>22</v>
      </c>
      <c r="K2" s="25" t="s">
        <v>23</v>
      </c>
      <c r="L2" s="26" t="s">
        <v>24</v>
      </c>
      <c r="M2" s="26" t="s">
        <v>30</v>
      </c>
      <c r="N2" s="24" t="s">
        <v>25</v>
      </c>
      <c r="O2" s="24" t="s">
        <v>26</v>
      </c>
      <c r="P2" s="26" t="s">
        <v>31</v>
      </c>
      <c r="Q2" s="24" t="s">
        <v>27</v>
      </c>
      <c r="R2" s="24" t="s">
        <v>28</v>
      </c>
      <c r="S2" s="27" t="s">
        <v>34</v>
      </c>
      <c r="T2" s="20"/>
      <c r="U2" s="7" t="s">
        <v>48</v>
      </c>
      <c r="AA2" s="207" t="s">
        <v>148</v>
      </c>
      <c r="AB2" s="207" t="s">
        <v>144</v>
      </c>
      <c r="AC2" s="207" t="s">
        <v>145</v>
      </c>
      <c r="AD2" s="207" t="s">
        <v>146</v>
      </c>
      <c r="AE2" s="207" t="s">
        <v>147</v>
      </c>
    </row>
    <row r="3" spans="1:31" ht="45" customHeight="1" thickTop="1" x14ac:dyDescent="0.25">
      <c r="A3" s="16"/>
      <c r="B3" s="11">
        <f ca="1">ROUND('Master Data'!$B$6,1)</f>
        <v>126.3</v>
      </c>
      <c r="C3" s="89">
        <f ca="1">'Master Data'!$B$7</f>
        <v>136.30000000000001</v>
      </c>
      <c r="D3" s="11">
        <f ca="1">ROUND(C3-B3,1)</f>
        <v>10</v>
      </c>
      <c r="E3" s="36" cm="1">
        <f t="array" ref="E3">SUMPRODUCT(
  ('Service to CPT Map'!$A$2:$A$1017=$A3)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3" s="36" cm="1">
        <f t="array" ref="F3">SUMPRODUCT(
  ('Service to CPT Map'!$A$2:$A$1017=$A3)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Map'!$A$2:$A$1017=$A3)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Map'!$A$2:$A$1017=$A3)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3" s="12" t="str">
        <f>IF(E3&lt;F3,CONCATENATE(TEXT(E3,"$#,##0.00"),CHAR(10)," - ",CHAR(10),TEXT(F3,"$#,##0.00")),TEXT(E3,"$#,##0.00"))</f>
        <v>$0.00</v>
      </c>
      <c r="L3" s="8" t="str">
        <f>IF(LEN(K3)=0,IF(LEN(J3)=0,"lifetime",IF(J3=1,"year","years")),"years")</f>
        <v>lifetime</v>
      </c>
      <c r="M3" s="14" t="str">
        <f>IF(L3="lifetime",
    IF(I3&lt;&gt;"", H3 &amp; "-" &amp; I3 &amp; "x/lifetime", H3 &amp; "x/lifetime"),
    IF(D3='Master Data'!$B$8, AD3 &amp; AE3, AD3 &amp; AE3 &amp; AC3))</f>
        <v>x/lifetime</v>
      </c>
      <c r="N3" s="9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3" s="9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3" s="15" t="str">
        <f>IF(N3&lt;O3,CONCATENATE(TEXT(N3,"$#,##0.00"),CHAR(10)," - ",CHAR(10),TEXT(O3,"$#,###0.00")),TEXT(N3,"$0.00"))</f>
        <v>$0.00</v>
      </c>
      <c r="Q3" s="9">
        <f>ROUND(IF(TimeValue="lifetime",MinCost*MinFreq,0),2)</f>
        <v>0</v>
      </c>
      <c r="R3" s="9">
        <f>ROUND(IF(AND(TimeValue="lifetime",MaxFreq&lt;1),MinFreq*MaxCost,IF(AND(TimeValue="lifetime",MaxFreq&gt;=1),MaxFreq*MaxCost,0)),2)</f>
        <v>0</v>
      </c>
      <c r="S3" s="17" t="str">
        <f>IF(Q3&lt;R3,CONCATENATE(TEXT(Q3,"$#,##0.00"),CHAR(10)," - ",CHAR(10),TEXT(R3,"$#,##0.00")),TEXT(Q3,"$0.00"))</f>
        <v>$0.00</v>
      </c>
      <c r="T3" s="21"/>
      <c r="U3" s="8" t="str">
        <f t="array" aca="1" ref="U3" ca="1">IF(AND(ROUND(Table3[Duration (Years):],1)='Master Data'!$B$8),"same","different")</f>
        <v>same</v>
      </c>
      <c r="V3" s="345" t="s">
        <v>133</v>
      </c>
      <c r="W3" s="345"/>
      <c r="AA3" s="166" t="str">
        <f>IF(L3="lifetime", "one-time cost", IF(D3='Master Data'!$B$8, AD3 &amp; AE3, AD3 &amp; AE3 &amp; AC3))</f>
        <v>one-time cost</v>
      </c>
      <c r="AB3" s="208" t="str">
        <f>IF(L3="lifetime", IF(I3&lt;&gt;"", H3 &amp; "-" &amp; I3 &amp; "x/lifetime", H3 &amp; "x/lifetime"), "ongoing cost")</f>
        <v>x/lifetime</v>
      </c>
      <c r="AC3" s="166" t="str">
        <f ca="1">IF(Table3[[#This Row],[Duration (Years):]]&lt;&gt;'Master Data'!$B$8,CONCATENATE(",",CHAR(10),"for ",Table3[[#This Row],[Duration (Years):]]," years"),"lifelong")</f>
        <v>lifelong</v>
      </c>
      <c r="AD3" s="166" t="str">
        <f>IF(L3="lifetime", "one-time cost", IF(I3&lt;&gt;"", H3 &amp; "-" &amp; I3 &amp; "x/", H3 &amp; "x/"))</f>
        <v>one-time cost</v>
      </c>
      <c r="AE3" s="166" t="str">
        <f>IF(L3="lifetime", "one-time cost", IF(K3&lt;&gt;"", J3 &amp; "-" &amp; K3 &amp; " " &amp; L3, IF(J3&gt;1, J3 &amp; " " &amp; L3, L3)))</f>
        <v>one-time cost</v>
      </c>
    </row>
    <row r="4" spans="1:31" ht="45" customHeight="1" x14ac:dyDescent="0.2">
      <c r="A4" s="16"/>
      <c r="B4" s="11">
        <f ca="1">ROUND('Master Data'!$B$6,1)</f>
        <v>126.3</v>
      </c>
      <c r="C4" s="11">
        <f ca="1">'Master Data'!$B$7</f>
        <v>136.30000000000001</v>
      </c>
      <c r="D4" s="11">
        <f ca="1">ROUND(C4-B4,1)</f>
        <v>10</v>
      </c>
      <c r="E4" s="9" cm="1">
        <f t="array" ref="E4">SUMPRODUCT(
  ('Service to CPT Map'!$A$2:$A$1017=$A4)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4" s="9" cm="1">
        <f t="array" ref="F4">SUMPRODUCT(
  ('Service to CPT Map'!$A$2:$A$1017=$A4)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Map'!$A$2:$A$1017=$A4)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Map'!$A$2:$A$1017=$A4)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4" s="12" t="str">
        <f>IF(E4&lt;F4,CONCATENATE(TEXT(E4,"$#,##0.00"),CHAR(10)," - ",CHAR(10),TEXT(F4,"$#,##0.00")),TEXT(E4,"$#,##0.00"))</f>
        <v>$0.00</v>
      </c>
      <c r="L4" s="8" t="str">
        <f>IF(LEN(K4)=0,IF(LEN(J4)=0,"lifetime",IF(J4=1,"year","years")),"years")</f>
        <v>lifetime</v>
      </c>
      <c r="M4" s="14" t="str">
        <f>IF(L4="lifetime",
    IF(I4&lt;&gt;"", H4 &amp; "-" &amp; I4 &amp; "x/lifetime", H4 &amp; "x/lifetime"),
    IF(D4='Master Data'!$B$8, AD4 &amp; AE4, AD4 &amp; AE4 &amp; AC4))</f>
        <v>x/lifetime</v>
      </c>
      <c r="N4" s="9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4" s="9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4" s="15" t="str">
        <f>IF(N4&lt;O4,CONCATENATE(TEXT(N4,"$#,##0.00"),CHAR(10)," - ",CHAR(10),TEXT(O4,"$#,###0.00")),TEXT(N4,"$0.00"))</f>
        <v>$0.00</v>
      </c>
      <c r="Q4" s="9">
        <f>ROUND(IF(TimeValue="lifetime",MinCost*MinFreq,0),2)</f>
        <v>0</v>
      </c>
      <c r="R4" s="9">
        <f>ROUND(IF(AND(TimeValue="lifetime",MaxFreq&lt;1),MinFreq*MaxCost,IF(AND(TimeValue="lifetime",MaxFreq&gt;=1),MaxFreq*MaxCost,0)),2)</f>
        <v>0</v>
      </c>
      <c r="S4" s="17" t="str">
        <f>IF(Q4&lt;R4,CONCATENATE(TEXT(Q4,"$#,##0.00"),CHAR(10)," - ",CHAR(10),TEXT(R4,"$#,##0.00")),TEXT(Q4,"$0.00"))</f>
        <v>$0.00</v>
      </c>
      <c r="T4" s="21"/>
      <c r="AA4" s="166" t="str">
        <f>IF(L4="lifetime", "one-time cost", IF(D4='Master Data'!$B$8, AD4 &amp; AE4, AD4 &amp; AE4 &amp; AC4))</f>
        <v>one-time cost</v>
      </c>
      <c r="AB4" s="208" t="str">
        <f>IF(L4="lifetime", IF(I4&lt;&gt;"", H4 &amp; "-" &amp; I4 &amp; "x/lifetime", H4 &amp; "x/lifetime"), "ongoing cost")</f>
        <v>x/lifetime</v>
      </c>
      <c r="AC4" s="166" t="str">
        <f ca="1">IF(Table3[[#This Row],[Duration (Years):]]&lt;&gt;'Master Data'!$B$8,CONCATENATE(",",CHAR(10),"for ",Table3[[#This Row],[Duration (Years):]]," years"),"lifelong")</f>
        <v>lifelong</v>
      </c>
      <c r="AD4" s="166" t="str">
        <f>IF(L4="lifetime", "one-time cost", IF(I4&lt;&gt;"", H4 &amp; "-" &amp; I4 &amp; "x/", H4 &amp; "x/"))</f>
        <v>one-time cost</v>
      </c>
      <c r="AE4" s="166" t="str">
        <f>IF(L4="lifetime", "one-time cost", IF(K4&lt;&gt;"", J4 &amp; "-" &amp; K4 &amp; " " &amp; L4, IF(J4&gt;1, J4 &amp; " " &amp; L4, L4)))</f>
        <v>one-time cost</v>
      </c>
    </row>
    <row r="5" spans="1:31" ht="45" customHeight="1" x14ac:dyDescent="0.2">
      <c r="A5" s="16"/>
      <c r="B5" s="11">
        <f ca="1">ROUND('Master Data'!$B$6,1)</f>
        <v>126.3</v>
      </c>
      <c r="C5" s="11">
        <f ca="1">'Master Data'!$B$7</f>
        <v>136.30000000000001</v>
      </c>
      <c r="D5" s="11">
        <f ca="1">ROUND(C5-B5,1)</f>
        <v>10</v>
      </c>
      <c r="E5" s="9" cm="1">
        <f t="array" ref="E5">SUMPRODUCT(
  ('Service to CPT Map'!$A$2:$A$1017=$A5)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5" s="9" cm="1">
        <f t="array" ref="F5">SUMPRODUCT(
  ('Service to CPT Map'!$A$2:$A$1017=$A5)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Map'!$A$2:$A$1017=$A5)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Map'!$A$2:$A$1017=$A5)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5" s="12" t="str">
        <f>IF(E5&lt;F5,CONCATENATE(TEXT(E5,"$#,##0.00"),CHAR(10)," - ",CHAR(10),TEXT(F5,"$#,##0.00")),TEXT(E5,"$#,##0.00"))</f>
        <v>$0.00</v>
      </c>
      <c r="L5" s="8" t="str">
        <f>IF(LEN(K5)=0,IF(LEN(J5)=0,"lifetime",IF(J5=1,"year","years")),"years")</f>
        <v>lifetime</v>
      </c>
      <c r="M5" s="14" t="str">
        <f>IF(L5="lifetime",
    IF(I5&lt;&gt;"", H5 &amp; "-" &amp; I5 &amp; "x/lifetime", H5 &amp; "x/lifetime"),
    IF(D5='Master Data'!$B$8, AD5 &amp; AE5, AD5 &amp; AE5 &amp; AC5))</f>
        <v>x/lifetime</v>
      </c>
      <c r="N5" s="9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5" s="9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5" s="15" t="str">
        <f>IF(N5&lt;O5,CONCATENATE(TEXT(N5,"$#,##0.00"),CHAR(10)," - ",CHAR(10),TEXT(O5,"$#,###0.00")),TEXT(N5,"$0.00"))</f>
        <v>$0.00</v>
      </c>
      <c r="Q5" s="9">
        <f>ROUND(IF(TimeValue="lifetime",MinCost*MinFreq,0),2)</f>
        <v>0</v>
      </c>
      <c r="R5" s="9">
        <f>ROUND(IF(AND(TimeValue="lifetime",MaxFreq&lt;1),MinFreq*MaxCost,IF(AND(TimeValue="lifetime",MaxFreq&gt;=1),MaxFreq*MaxCost,0)),2)</f>
        <v>0</v>
      </c>
      <c r="S5" s="17" t="str">
        <f>IF(Q5&lt;R5,CONCATENATE(TEXT(Q5,"$#,##0.00"),CHAR(10)," - ",CHAR(10),TEXT(R5,"$#,##0.00")),TEXT(Q5,"$0.00"))</f>
        <v>$0.00</v>
      </c>
      <c r="T5" s="21"/>
      <c r="AA5" s="166" t="str">
        <f>IF(L5="lifetime", "one-time cost", IF(D5='Master Data'!$B$8, AD5 &amp; AE5, AD5 &amp; AE5 &amp; AC5))</f>
        <v>one-time cost</v>
      </c>
      <c r="AB5" s="208" t="str">
        <f>IF(L5="lifetime", IF(I5&lt;&gt;"", H5 &amp; "-" &amp; I5 &amp; "x/lifetime", H5 &amp; "x/lifetime"), "ongoing cost")</f>
        <v>x/lifetime</v>
      </c>
      <c r="AC5" s="166" t="str">
        <f ca="1">IF(Table3[[#This Row],[Duration (Years):]]&lt;&gt;'Master Data'!$B$8,CONCATENATE(",",CHAR(10),"for ",Table3[[#This Row],[Duration (Years):]]," years"),"lifelong")</f>
        <v>lifelong</v>
      </c>
      <c r="AD5" s="166" t="str">
        <f>IF(L5="lifetime", "one-time cost", IF(I5&lt;&gt;"", H5 &amp; "-" &amp; I5 &amp; "x/", H5 &amp; "x/"))</f>
        <v>one-time cost</v>
      </c>
      <c r="AE5" s="166" t="str">
        <f>IF(L5="lifetime", "one-time cost", IF(K5&lt;&gt;"", J5 &amp; "-" &amp; K5 &amp; " " &amp; L5, IF(J5&gt;1, J5 &amp; " " &amp; L5, L5)))</f>
        <v>one-time cost</v>
      </c>
    </row>
    <row r="6" spans="1:31" ht="45" customHeight="1" x14ac:dyDescent="0.2">
      <c r="A6" s="16"/>
      <c r="B6" s="11">
        <f ca="1">ROUND('Master Data'!$B$6,1)</f>
        <v>126.3</v>
      </c>
      <c r="C6" s="11">
        <f ca="1">'Master Data'!$B$7</f>
        <v>136.30000000000001</v>
      </c>
      <c r="D6" s="11">
        <f ca="1">ROUND(C6-B6,1)</f>
        <v>10</v>
      </c>
      <c r="E6" s="9" cm="1">
        <f t="array" ref="E6">SUMPRODUCT(
  ('Service to CPT Map'!$A$2:$A$1017=$A6)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6" s="9" cm="1">
        <f t="array" ref="F6">SUMPRODUCT(
  ('Service to CPT Map'!$A$2:$A$1017=$A6)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Map'!$A$2:$A$1017=$A6)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Map'!$A$2:$A$1017=$A6)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6" s="12" t="str">
        <f>IF(E6&lt;F6,CONCATENATE(TEXT(E6,"$#,##0.00"),CHAR(10)," - ",CHAR(10),TEXT(F6,"$#,##0.00")),TEXT(E6,"$#,##0.00"))</f>
        <v>$0.00</v>
      </c>
      <c r="L6" s="8" t="str">
        <f>IF(LEN(K6)=0,IF(LEN(J6)=0,"lifetime",IF(J6=1,"year","years")),"years")</f>
        <v>lifetime</v>
      </c>
      <c r="M6" s="14" t="str">
        <f>IF(L6="lifetime",
    IF(I6&lt;&gt;"", H6 &amp; "-" &amp; I6 &amp; "x/lifetime", H6 &amp; "x/lifetime"),
    IF(D6='Master Data'!$B$8, AD6 &amp; AE6, AD6 &amp; AE6 &amp; AC6))</f>
        <v>x/lifetime</v>
      </c>
      <c r="N6" s="9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6" s="9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6" s="15" t="str">
        <f>IF(N6&lt;O6,CONCATENATE(TEXT(N6,"$#,##0.00"),CHAR(10)," - ",CHAR(10),TEXT(O6,"$#,###0.00")),TEXT(N6,"$0.00"))</f>
        <v>$0.00</v>
      </c>
      <c r="Q6" s="9">
        <f>ROUND(IF(TimeValue="lifetime",MinCost*MinFreq,0),2)</f>
        <v>0</v>
      </c>
      <c r="R6" s="9">
        <f>ROUND(IF(AND(TimeValue="lifetime",MaxFreq&lt;1),MinFreq*MaxCost,IF(AND(TimeValue="lifetime",MaxFreq&gt;=1),MaxFreq*MaxCost,0)),2)</f>
        <v>0</v>
      </c>
      <c r="S6" s="17" t="str">
        <f>IF(Q6&lt;R6,CONCATENATE(TEXT(Q6,"$#,##0.00"),CHAR(10)," - ",CHAR(10),TEXT(R6,"$#,##0.00")),TEXT(Q6,"$0.00"))</f>
        <v>$0.00</v>
      </c>
      <c r="T6" s="21"/>
      <c r="AA6" s="166" t="str">
        <f>IF(L6="lifetime", "one-time cost", IF(D6='Master Data'!$B$8, AD6 &amp; AE6, AD6 &amp; AE6 &amp; AC6))</f>
        <v>one-time cost</v>
      </c>
      <c r="AB6" s="208" t="str">
        <f t="shared" ref="AB6:AB14" si="0">IF(L6="lifetime", IF(I6&lt;&gt;"", H6 &amp; "-" &amp; I6 &amp; "x/lifetime", H6 &amp; "x/lifetime"), "ongoing cost")</f>
        <v>x/lifetime</v>
      </c>
      <c r="AC6" s="166" t="str">
        <f ca="1">IF(Table3[[#This Row],[Duration (Years):]]&lt;&gt;'Master Data'!$B$8,CONCATENATE(",",CHAR(10),"for ",Table3[[#This Row],[Duration (Years):]]," years"),"lifelong")</f>
        <v>lifelong</v>
      </c>
      <c r="AD6" s="166" t="str">
        <f t="shared" ref="AD6:AD14" si="1">IF(L6="lifetime", "one-time cost", IF(I6&lt;&gt;"", H6 &amp; "-" &amp; I6 &amp; "x/", H6 &amp; "x/"))</f>
        <v>one-time cost</v>
      </c>
      <c r="AE6" s="166" t="str">
        <f t="shared" ref="AE6:AE14" si="2">IF(L6="lifetime", "one-time cost", IF(K6&lt;&gt;"", J6 &amp; "-" &amp; K6 &amp; " " &amp; L6, IF(J6&gt;1, J6 &amp; " " &amp; L6, L6)))</f>
        <v>one-time cost</v>
      </c>
    </row>
    <row r="7" spans="1:31" ht="45" customHeight="1" x14ac:dyDescent="0.2">
      <c r="A7" s="16"/>
      <c r="B7" s="11">
        <f ca="1">ROUND('Master Data'!$B$6,1)</f>
        <v>126.3</v>
      </c>
      <c r="C7" s="11">
        <f ca="1">'Master Data'!$B$7</f>
        <v>136.30000000000001</v>
      </c>
      <c r="D7" s="11">
        <f ca="1">ROUND(C7-B7,1)</f>
        <v>10</v>
      </c>
      <c r="E7" s="9" cm="1">
        <f t="array" ref="E7">SUMPRODUCT(
  ('Service to CPT Map'!$A$2:$A$1017=$A7)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7" s="9" cm="1">
        <f t="array" ref="F7">SUMPRODUCT(
  ('Service to CPT Map'!$A$2:$A$1017=$A7)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Map'!$A$2:$A$1017=$A7)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Map'!$A$2:$A$1017=$A7)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7" s="12" t="str">
        <f>IF(E7&lt;F7,CONCATENATE(TEXT(E7,"$#,##0.00"),CHAR(10)," - ",CHAR(10),TEXT(F7,"$#,##0.00")),TEXT(E7,"$#,##0.00"))</f>
        <v>$0.00</v>
      </c>
      <c r="L7" s="8" t="str">
        <f>IF(LEN(K7)=0,IF(LEN(J7)=0,"lifetime",IF(J7=1,"year","years")),"years")</f>
        <v>lifetime</v>
      </c>
      <c r="M7" s="14" t="str">
        <f>IF(L7="lifetime",
    IF(I7&lt;&gt;"", H7 &amp; "-" &amp; I7 &amp; "x/lifetime", H7 &amp; "x/lifetime"),
    IF(D7='Master Data'!$B$8, AD7 &amp; AE7, AD7 &amp; AE7 &amp; AC7))</f>
        <v>x/lifetime</v>
      </c>
      <c r="N7" s="9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7" s="9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7" s="15" t="str">
        <f>IF(N7&lt;O7,CONCATENATE(TEXT(N7,"$#,##0.00"),CHAR(10)," - ",CHAR(10),TEXT(O7,"$#,###0.00")),TEXT(N7,"$0.00"))</f>
        <v>$0.00</v>
      </c>
      <c r="Q7" s="9">
        <f>ROUND(IF(TimeValue="lifetime",MinCost*MinFreq,0),2)</f>
        <v>0</v>
      </c>
      <c r="R7" s="9">
        <f>ROUND(IF(AND(TimeValue="lifetime",MaxFreq&lt;1),MinFreq*MaxCost,IF(AND(TimeValue="lifetime",MaxFreq&gt;=1),MaxFreq*MaxCost,0)),2)</f>
        <v>0</v>
      </c>
      <c r="S7" s="17" t="str">
        <f>IF(Q7&lt;R7,CONCATENATE(TEXT(Q7,"$#,##0.00"),CHAR(10)," - ",CHAR(10),TEXT(R7,"$#,##0.00")),TEXT(Q7,"$0.00"))</f>
        <v>$0.00</v>
      </c>
      <c r="T7" s="21"/>
      <c r="AA7" s="166" t="str">
        <f>IF(L7="lifetime", "one-time cost", IF(D7='Master Data'!$B$8, AD7 &amp; AE7, AD7 &amp; AE7 &amp; AC7))</f>
        <v>one-time cost</v>
      </c>
      <c r="AB7" s="208" t="str">
        <f t="shared" si="0"/>
        <v>x/lifetime</v>
      </c>
      <c r="AC7" s="166" t="str">
        <f ca="1">IF(Table3[[#This Row],[Duration (Years):]]&lt;&gt;'Master Data'!$B$8,CONCATENATE(",",CHAR(10),"for ",Table3[[#This Row],[Duration (Years):]]," years"),"lifelong")</f>
        <v>lifelong</v>
      </c>
      <c r="AD7" s="166" t="str">
        <f t="shared" si="1"/>
        <v>one-time cost</v>
      </c>
      <c r="AE7" s="166" t="str">
        <f t="shared" si="2"/>
        <v>one-time cost</v>
      </c>
    </row>
    <row r="8" spans="1:31" ht="45" customHeight="1" x14ac:dyDescent="0.2">
      <c r="A8" s="16"/>
      <c r="B8" s="11">
        <f ca="1">ROUND('Master Data'!$B$6,1)</f>
        <v>126.3</v>
      </c>
      <c r="C8" s="11">
        <f ca="1">'Master Data'!$B$7</f>
        <v>136.30000000000001</v>
      </c>
      <c r="D8" s="11">
        <f t="shared" ref="D8:D15" ca="1" si="3">ROUND(C8-B8,1)</f>
        <v>10</v>
      </c>
      <c r="E8" s="9" cm="1">
        <f t="array" ref="E8">SUMPRODUCT(
  ('Service to CPT Map'!$A$2:$A$1017=$A8)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8" s="9" cm="1">
        <f t="array" ref="F8">SUMPRODUCT(
  ('Service to CPT Map'!$A$2:$A$1017=$A8)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Map'!$A$2:$A$1017=$A8)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Map'!$A$2:$A$1017=$A8)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8" s="12" t="str">
        <f t="shared" ref="G8:G15" si="4">IF(E8&lt;F8,CONCATENATE(TEXT(E8,"$#,##0.00"),CHAR(10)," - ",CHAR(10),TEXT(F8,"$#,##0.00")),TEXT(E8,"$#,##0.00"))</f>
        <v>$0.00</v>
      </c>
      <c r="L8" s="8" t="str">
        <f t="shared" ref="L8:L15" si="5">IF(LEN(K8)=0,IF(LEN(J8)=0,"lifetime",IF(J8=1,"year","years")),"years")</f>
        <v>lifetime</v>
      </c>
      <c r="M8" s="14" t="str">
        <f>IF(L8="lifetime",
    IF(I8&lt;&gt;"", H8 &amp; "-" &amp; I8 &amp; "x/lifetime", H8 &amp; "x/lifetime"),
    IF(D8='Master Data'!$B$8, AD8 &amp; AE8, AD8 &amp; AE8 &amp; AC8))</f>
        <v>x/lifetime</v>
      </c>
      <c r="N8" s="9">
        <f t="shared" ref="N8:N15" si="6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8" s="9">
        <f t="shared" ref="O8:O15" si="7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8" s="15" t="str">
        <f t="shared" ref="P8:P15" si="8">IF(N8&lt;O8,CONCATENATE(TEXT(N8,"$#,##0.00"),CHAR(10)," - ",CHAR(10),TEXT(O8,"$#,###0.00")),TEXT(N8,"$0.00"))</f>
        <v>$0.00</v>
      </c>
      <c r="Q8" s="9">
        <f t="shared" ref="Q8:Q15" si="9">ROUND(IF(TimeValue="lifetime",MinCost*MinFreq,0),2)</f>
        <v>0</v>
      </c>
      <c r="R8" s="9">
        <f t="shared" ref="R8:R15" si="10">ROUND(IF(AND(TimeValue="lifetime",MaxFreq&lt;1),MinFreq*MaxCost,IF(AND(TimeValue="lifetime",MaxFreq&gt;=1),MaxFreq*MaxCost,0)),2)</f>
        <v>0</v>
      </c>
      <c r="S8" s="17" t="str">
        <f t="shared" ref="S8:S15" si="11">IF(Q8&lt;R8,CONCATENATE(TEXT(Q8,"$#,##0.00"),CHAR(10)," - ",CHAR(10),TEXT(R8,"$#,##0.00")),TEXT(Q8,"$0.00"))</f>
        <v>$0.00</v>
      </c>
      <c r="T8" s="21"/>
      <c r="AA8" s="166" t="str">
        <f>IF(L8="lifetime", "one-time cost", IF(D8='Master Data'!$B$8, AD8 &amp; AE8, AD8 &amp; AE8 &amp; AC8))</f>
        <v>one-time cost</v>
      </c>
      <c r="AB8" s="208" t="str">
        <f t="shared" si="0"/>
        <v>x/lifetime</v>
      </c>
      <c r="AC8" s="166" t="str">
        <f ca="1">IF(Table3[[#This Row],[Duration (Years):]]&lt;&gt;'Master Data'!$B$8,CONCATENATE(",",CHAR(10),"for ",Table3[[#This Row],[Duration (Years):]]," years"),"lifelong")</f>
        <v>lifelong</v>
      </c>
      <c r="AD8" s="166" t="str">
        <f t="shared" si="1"/>
        <v>one-time cost</v>
      </c>
      <c r="AE8" s="166" t="str">
        <f t="shared" si="2"/>
        <v>one-time cost</v>
      </c>
    </row>
    <row r="9" spans="1:31" ht="45" customHeight="1" x14ac:dyDescent="0.2">
      <c r="A9" s="16"/>
      <c r="B9" s="11">
        <f ca="1">ROUND('Master Data'!$B$6,1)</f>
        <v>126.3</v>
      </c>
      <c r="C9" s="11">
        <f ca="1">'Master Data'!$B$7</f>
        <v>136.30000000000001</v>
      </c>
      <c r="D9" s="11">
        <f t="shared" ca="1" si="3"/>
        <v>10</v>
      </c>
      <c r="E9" s="9" cm="1">
        <f t="array" ref="E9">SUMPRODUCT(
  ('Service to CPT Map'!$A$2:$A$1017=$A9)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9" s="9" cm="1">
        <f t="array" ref="F9">SUMPRODUCT(
  ('Service to CPT Map'!$A$2:$A$1017=$A9)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Map'!$A$2:$A$1017=$A9)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Map'!$A$2:$A$1017=$A9)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9" s="12" t="str">
        <f t="shared" si="4"/>
        <v>$0.00</v>
      </c>
      <c r="L9" s="8" t="str">
        <f t="shared" si="5"/>
        <v>lifetime</v>
      </c>
      <c r="M9" s="14" t="str">
        <f>IF(L9="lifetime",
    IF(I9&lt;&gt;"", H9 &amp; "-" &amp; I9 &amp; "x/lifetime", H9 &amp; "x/lifetime"),
    IF(D9='Master Data'!$B$8, AD9 &amp; AE9, AD9 &amp; AE9 &amp; AC9))</f>
        <v>x/lifetime</v>
      </c>
      <c r="N9" s="9">
        <f t="shared" si="6"/>
        <v>0</v>
      </c>
      <c r="O9" s="9">
        <f t="shared" si="7"/>
        <v>0</v>
      </c>
      <c r="P9" s="15" t="str">
        <f t="shared" si="8"/>
        <v>$0.00</v>
      </c>
      <c r="Q9" s="9">
        <f t="shared" si="9"/>
        <v>0</v>
      </c>
      <c r="R9" s="9">
        <f t="shared" si="10"/>
        <v>0</v>
      </c>
      <c r="S9" s="17" t="str">
        <f t="shared" si="11"/>
        <v>$0.00</v>
      </c>
      <c r="AA9" s="166" t="str">
        <f>IF(L9="lifetime", "one-time cost", IF(D9='Master Data'!$B$8, AD9 &amp; AE9, AD9 &amp; AE9 &amp; AC9))</f>
        <v>one-time cost</v>
      </c>
      <c r="AB9" s="208" t="str">
        <f t="shared" si="0"/>
        <v>x/lifetime</v>
      </c>
      <c r="AC9" s="166" t="str">
        <f ca="1">IF(Table3[[#This Row],[Duration (Years):]]&lt;&gt;'Master Data'!$B$8,CONCATENATE(",",CHAR(10),"for ",Table3[[#This Row],[Duration (Years):]]," years"),"lifelong")</f>
        <v>lifelong</v>
      </c>
      <c r="AD9" s="166" t="str">
        <f t="shared" si="1"/>
        <v>one-time cost</v>
      </c>
      <c r="AE9" s="166" t="str">
        <f t="shared" si="2"/>
        <v>one-time cost</v>
      </c>
    </row>
    <row r="10" spans="1:31" ht="45" customHeight="1" x14ac:dyDescent="0.2">
      <c r="A10" s="16"/>
      <c r="B10" s="11">
        <f ca="1">ROUND('Master Data'!$B$6,1)</f>
        <v>126.3</v>
      </c>
      <c r="C10" s="11">
        <f ca="1">'Master Data'!$B$7</f>
        <v>136.30000000000001</v>
      </c>
      <c r="D10" s="11">
        <f t="shared" ca="1" si="3"/>
        <v>10</v>
      </c>
      <c r="E10" s="9" cm="1">
        <f t="array" ref="E10">SUMPRODUCT(
  ('Service to CPT Map'!$A$2:$A$1017=$A10)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0" s="9" cm="1">
        <f t="array" ref="F10">SUMPRODUCT(
  ('Service to CPT Map'!$A$2:$A$1017=$A10)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Map'!$A$2:$A$1017=$A10)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Map'!$A$2:$A$1017=$A10)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0" s="12" t="str">
        <f t="shared" si="4"/>
        <v>$0.00</v>
      </c>
      <c r="L10" s="8" t="str">
        <f t="shared" si="5"/>
        <v>lifetime</v>
      </c>
      <c r="M10" s="14" t="str">
        <f>IF(L10="lifetime",
    IF(I10&lt;&gt;"", H10 &amp; "-" &amp; I10 &amp; "x/lifetime", H10 &amp; "x/lifetime"),
    IF(D10='Master Data'!$B$8, AD10 &amp; AE10, AD10 &amp; AE10 &amp; AC10))</f>
        <v>x/lifetime</v>
      </c>
      <c r="N10" s="9">
        <f t="shared" si="6"/>
        <v>0</v>
      </c>
      <c r="O10" s="9">
        <f t="shared" si="7"/>
        <v>0</v>
      </c>
      <c r="P10" s="15" t="str">
        <f t="shared" si="8"/>
        <v>$0.00</v>
      </c>
      <c r="Q10" s="9">
        <f t="shared" si="9"/>
        <v>0</v>
      </c>
      <c r="R10" s="9">
        <f t="shared" si="10"/>
        <v>0</v>
      </c>
      <c r="S10" s="17" t="str">
        <f t="shared" si="11"/>
        <v>$0.00</v>
      </c>
      <c r="AA10" s="166" t="str">
        <f>IF(L10="lifetime", "one-time cost", IF(D10='Master Data'!$B$8, AD10 &amp; AE10, AD10 &amp; AE10 &amp; AC10))</f>
        <v>one-time cost</v>
      </c>
      <c r="AB10" s="208" t="str">
        <f t="shared" si="0"/>
        <v>x/lifetime</v>
      </c>
      <c r="AC10" s="166" t="str">
        <f ca="1">IF(Table3[[#This Row],[Duration (Years):]]&lt;&gt;'Master Data'!$B$8,CONCATENATE(",",CHAR(10),"for ",Table3[[#This Row],[Duration (Years):]]," years"),"lifelong")</f>
        <v>lifelong</v>
      </c>
      <c r="AD10" s="166" t="str">
        <f t="shared" si="1"/>
        <v>one-time cost</v>
      </c>
      <c r="AE10" s="166" t="str">
        <f t="shared" si="2"/>
        <v>one-time cost</v>
      </c>
    </row>
    <row r="11" spans="1:31" ht="45" customHeight="1" x14ac:dyDescent="0.2">
      <c r="A11" s="16"/>
      <c r="B11" s="11">
        <f ca="1">ROUND('Master Data'!$B$6,1)</f>
        <v>126.3</v>
      </c>
      <c r="C11" s="11">
        <f ca="1">'Master Data'!$B$7</f>
        <v>136.30000000000001</v>
      </c>
      <c r="D11" s="11">
        <f t="shared" ca="1" si="3"/>
        <v>10</v>
      </c>
      <c r="E11" s="9" cm="1">
        <f t="array" ref="E11">SUMPRODUCT(
  ('Service to CPT Map'!$A$2:$A$1017=$A11)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1" s="9" cm="1">
        <f t="array" ref="F11">SUMPRODUCT(
  ('Service to CPT Map'!$A$2:$A$1017=$A11)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Map'!$A$2:$A$1017=$A11)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Map'!$A$2:$A$1017=$A11)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1" s="12" t="str">
        <f t="shared" si="4"/>
        <v>$0.00</v>
      </c>
      <c r="L11" s="8" t="str">
        <f t="shared" si="5"/>
        <v>lifetime</v>
      </c>
      <c r="M11" s="14" t="str">
        <f>IF(L11="lifetime",
    IF(I11&lt;&gt;"", H11 &amp; "-" &amp; I11 &amp; "x/lifetime", H11 &amp; "x/lifetime"),
    IF(D11='Master Data'!$B$8, AD11 &amp; AE11, AD11 &amp; AE11 &amp; AC11))</f>
        <v>x/lifetime</v>
      </c>
      <c r="N11" s="9">
        <f t="shared" si="6"/>
        <v>0</v>
      </c>
      <c r="O11" s="9">
        <f t="shared" si="7"/>
        <v>0</v>
      </c>
      <c r="P11" s="15" t="str">
        <f t="shared" si="8"/>
        <v>$0.00</v>
      </c>
      <c r="Q11" s="9">
        <f t="shared" si="9"/>
        <v>0</v>
      </c>
      <c r="R11" s="9">
        <f t="shared" si="10"/>
        <v>0</v>
      </c>
      <c r="S11" s="17" t="str">
        <f t="shared" si="11"/>
        <v>$0.00</v>
      </c>
      <c r="AA11" s="166" t="str">
        <f>IF(L11="lifetime", "one-time cost", IF(D11='Master Data'!$B$8, AD11 &amp; AE11, AD11 &amp; AE11 &amp; AC11))</f>
        <v>one-time cost</v>
      </c>
      <c r="AB11" s="208" t="str">
        <f t="shared" si="0"/>
        <v>x/lifetime</v>
      </c>
      <c r="AC11" s="166" t="str">
        <f ca="1">IF(Table3[[#This Row],[Duration (Years):]]&lt;&gt;'Master Data'!$B$8,CONCATENATE(",",CHAR(10),"for ",Table3[[#This Row],[Duration (Years):]]," years"),"lifelong")</f>
        <v>lifelong</v>
      </c>
      <c r="AD11" s="166" t="str">
        <f t="shared" si="1"/>
        <v>one-time cost</v>
      </c>
      <c r="AE11" s="166" t="str">
        <f t="shared" si="2"/>
        <v>one-time cost</v>
      </c>
    </row>
    <row r="12" spans="1:31" ht="45" customHeight="1" x14ac:dyDescent="0.2">
      <c r="A12" s="16"/>
      <c r="B12" s="11">
        <f ca="1">ROUND('Master Data'!$B$6,1)</f>
        <v>126.3</v>
      </c>
      <c r="C12" s="11">
        <f ca="1">'Master Data'!$B$7</f>
        <v>136.30000000000001</v>
      </c>
      <c r="D12" s="11">
        <f t="shared" ca="1" si="3"/>
        <v>10</v>
      </c>
      <c r="E12" s="9" cm="1">
        <f t="array" ref="E12">SUMPRODUCT(
  ('Service to CPT Map'!$A$2:$A$1017=$A12)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2" s="9" cm="1">
        <f t="array" ref="F12">SUMPRODUCT(
  ('Service to CPT Map'!$A$2:$A$1017=$A12)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Map'!$A$2:$A$1017=$A12)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Map'!$A$2:$A$1017=$A12)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2" s="12" t="str">
        <f t="shared" si="4"/>
        <v>$0.00</v>
      </c>
      <c r="L12" s="8" t="str">
        <f t="shared" si="5"/>
        <v>lifetime</v>
      </c>
      <c r="M12" s="14" t="str">
        <f>IF(L12="lifetime",
    IF(I12&lt;&gt;"", H12 &amp; "-" &amp; I12 &amp; "x/lifetime", H12 &amp; "x/lifetime"),
    IF(D12='Master Data'!$B$8, AD12 &amp; AE12, AD12 &amp; AE12 &amp; AC12))</f>
        <v>x/lifetime</v>
      </c>
      <c r="N12" s="9">
        <f t="shared" si="6"/>
        <v>0</v>
      </c>
      <c r="O12" s="9">
        <f t="shared" si="7"/>
        <v>0</v>
      </c>
      <c r="P12" s="15" t="str">
        <f t="shared" si="8"/>
        <v>$0.00</v>
      </c>
      <c r="Q12" s="9">
        <f t="shared" si="9"/>
        <v>0</v>
      </c>
      <c r="R12" s="9">
        <f t="shared" si="10"/>
        <v>0</v>
      </c>
      <c r="S12" s="17" t="str">
        <f t="shared" si="11"/>
        <v>$0.00</v>
      </c>
      <c r="AA12" s="166" t="str">
        <f>IF(L12="lifetime", "one-time cost", IF(D12='Master Data'!$B$8, AD12 &amp; AE12, AD12 &amp; AE12 &amp; AC12))</f>
        <v>one-time cost</v>
      </c>
      <c r="AB12" s="208" t="str">
        <f t="shared" si="0"/>
        <v>x/lifetime</v>
      </c>
      <c r="AC12" s="166" t="str">
        <f ca="1">IF(Table3[[#This Row],[Duration (Years):]]&lt;&gt;'Master Data'!$B$8,CONCATENATE(",",CHAR(10),"for ",Table3[[#This Row],[Duration (Years):]]," years"),"lifelong")</f>
        <v>lifelong</v>
      </c>
      <c r="AD12" s="166" t="str">
        <f t="shared" si="1"/>
        <v>one-time cost</v>
      </c>
      <c r="AE12" s="166" t="str">
        <f t="shared" si="2"/>
        <v>one-time cost</v>
      </c>
    </row>
    <row r="13" spans="1:31" ht="45" customHeight="1" x14ac:dyDescent="0.2">
      <c r="A13" s="16"/>
      <c r="B13" s="11">
        <f ca="1">ROUND('Master Data'!$B$6,1)</f>
        <v>126.3</v>
      </c>
      <c r="C13" s="11">
        <f ca="1">'Master Data'!$B$7</f>
        <v>136.30000000000001</v>
      </c>
      <c r="D13" s="11">
        <f t="shared" ca="1" si="3"/>
        <v>10</v>
      </c>
      <c r="E13" s="9" cm="1">
        <f t="array" ref="E13">SUMPRODUCT(
  ('Service to CPT Map'!$A$2:$A$1017=$A13)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3" s="9" cm="1">
        <f t="array" ref="F13">SUMPRODUCT(
  ('Service to CPT Map'!$A$2:$A$1017=$A13)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Map'!$A$2:$A$1017=$A13)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Map'!$A$2:$A$1017=$A13)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3" s="12" t="str">
        <f t="shared" si="4"/>
        <v>$0.00</v>
      </c>
      <c r="L13" s="8" t="str">
        <f t="shared" si="5"/>
        <v>lifetime</v>
      </c>
      <c r="M13" s="14" t="str">
        <f>IF(L13="lifetime",
    IF(I13&lt;&gt;"", H13 &amp; "-" &amp; I13 &amp; "x/lifetime", H13 &amp; "x/lifetime"),
    IF(D13='Master Data'!$B$8, AD13 &amp; AE13, AD13 &amp; AE13 &amp; AC13))</f>
        <v>x/lifetime</v>
      </c>
      <c r="N13" s="9">
        <f t="shared" si="6"/>
        <v>0</v>
      </c>
      <c r="O13" s="9">
        <f t="shared" si="7"/>
        <v>0</v>
      </c>
      <c r="P13" s="15" t="str">
        <f t="shared" si="8"/>
        <v>$0.00</v>
      </c>
      <c r="Q13" s="9">
        <f t="shared" si="9"/>
        <v>0</v>
      </c>
      <c r="R13" s="9">
        <f t="shared" si="10"/>
        <v>0</v>
      </c>
      <c r="S13" s="17" t="str">
        <f t="shared" si="11"/>
        <v>$0.00</v>
      </c>
      <c r="AA13" s="166" t="str">
        <f>IF(L13="lifetime", "one-time cost", IF(D13='Master Data'!$B$8, AD13 &amp; AE13, AD13 &amp; AE13 &amp; AC13))</f>
        <v>one-time cost</v>
      </c>
      <c r="AB13" s="208" t="str">
        <f t="shared" si="0"/>
        <v>x/lifetime</v>
      </c>
      <c r="AC13" s="166" t="str">
        <f ca="1">IF(Table3[[#This Row],[Duration (Years):]]&lt;&gt;'Master Data'!$B$8,CONCATENATE(",",CHAR(10),"for ",Table3[[#This Row],[Duration (Years):]]," years"),"lifelong")</f>
        <v>lifelong</v>
      </c>
      <c r="AD13" s="166" t="str">
        <f t="shared" si="1"/>
        <v>one-time cost</v>
      </c>
      <c r="AE13" s="166" t="str">
        <f t="shared" si="2"/>
        <v>one-time cost</v>
      </c>
    </row>
    <row r="14" spans="1:31" ht="45" customHeight="1" x14ac:dyDescent="0.2">
      <c r="A14" s="16"/>
      <c r="B14" s="11">
        <f ca="1">ROUND('Master Data'!$B$6,1)</f>
        <v>126.3</v>
      </c>
      <c r="C14" s="11">
        <f ca="1">'Master Data'!$B$7</f>
        <v>136.30000000000001</v>
      </c>
      <c r="D14" s="11">
        <f t="shared" ca="1" si="3"/>
        <v>10</v>
      </c>
      <c r="E14" s="9" cm="1">
        <f t="array" ref="E14">SUMPRODUCT(
  ('Service to CPT Map'!$A$2:$A$1017=$A14)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4" s="9" cm="1">
        <f t="array" ref="F14">SUMPRODUCT(
  ('Service to CPT Map'!$A$2:$A$1017=$A14)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Map'!$A$2:$A$1017=$A14)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Map'!$A$2:$A$1017=$A14)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4" s="12" t="str">
        <f t="shared" si="4"/>
        <v>$0.00</v>
      </c>
      <c r="L14" s="8" t="str">
        <f t="shared" si="5"/>
        <v>lifetime</v>
      </c>
      <c r="M14" s="14" t="str">
        <f>IF(L14="lifetime",
    IF(I14&lt;&gt;"", H14 &amp; "-" &amp; I14 &amp; "x/lifetime", H14 &amp; "x/lifetime"),
    IF(D14='Master Data'!$B$8, AD14 &amp; AE14, AD14 &amp; AE14 &amp; AC14))</f>
        <v>x/lifetime</v>
      </c>
      <c r="N14" s="9">
        <f t="shared" si="6"/>
        <v>0</v>
      </c>
      <c r="O14" s="9">
        <f t="shared" si="7"/>
        <v>0</v>
      </c>
      <c r="P14" s="15" t="str">
        <f t="shared" si="8"/>
        <v>$0.00</v>
      </c>
      <c r="Q14" s="9">
        <f t="shared" si="9"/>
        <v>0</v>
      </c>
      <c r="R14" s="9">
        <f t="shared" si="10"/>
        <v>0</v>
      </c>
      <c r="S14" s="17" t="str">
        <f t="shared" si="11"/>
        <v>$0.00</v>
      </c>
      <c r="AA14" s="166" t="str">
        <f>IF(L14="lifetime", "one-time cost", IF(D14='Master Data'!$B$8, AD14 &amp; AE14, AD14 &amp; AE14 &amp; AC14))</f>
        <v>one-time cost</v>
      </c>
      <c r="AB14" s="208" t="str">
        <f t="shared" si="0"/>
        <v>x/lifetime</v>
      </c>
      <c r="AC14" s="166" t="str">
        <f ca="1">IF(Table3[[#This Row],[Duration (Years):]]&lt;&gt;'Master Data'!$B$8,CONCATENATE(",",CHAR(10),"for ",Table3[[#This Row],[Duration (Years):]]," years"),"lifelong")</f>
        <v>lifelong</v>
      </c>
      <c r="AD14" s="166" t="str">
        <f t="shared" si="1"/>
        <v>one-time cost</v>
      </c>
      <c r="AE14" s="166" t="str">
        <f t="shared" si="2"/>
        <v>one-time cost</v>
      </c>
    </row>
    <row r="15" spans="1:31" ht="45" customHeight="1" x14ac:dyDescent="0.2">
      <c r="A15" s="16"/>
      <c r="B15" s="11">
        <f ca="1">ROUND('Master Data'!$B$6,1)</f>
        <v>126.3</v>
      </c>
      <c r="C15" s="11">
        <f ca="1">'Master Data'!$B$7</f>
        <v>136.30000000000001</v>
      </c>
      <c r="D15" s="11">
        <f t="shared" ca="1" si="3"/>
        <v>10</v>
      </c>
      <c r="E15" s="9" cm="1">
        <f t="array" ref="E15">SUMPRODUCT(
  ('Service to CPT Map'!$A$2:$A$1017=$A15)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5" s="9" cm="1">
        <f t="array" ref="F15">SUMPRODUCT(
  ('Service to CPT Map'!$A$2:$A$1017=$A15)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Map'!$A$2:$A$1017=$A15)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Map'!$A$2:$A$1017=$A15)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5" s="12" t="str">
        <f t="shared" si="4"/>
        <v>$0.00</v>
      </c>
      <c r="L15" s="8" t="str">
        <f t="shared" si="5"/>
        <v>lifetime</v>
      </c>
      <c r="M15" s="14" t="str">
        <f>IF(L15="lifetime",
    IF(I15&lt;&gt;"", H15 &amp; "-" &amp; I15 &amp; "x/lifetime", H15 &amp; "x/lifetime"),
    IF(D15='Master Data'!$B$8, AD15 &amp; AE15, AD15 &amp; AE15 &amp; AC15))</f>
        <v>x/lifetime</v>
      </c>
      <c r="N15" s="9">
        <f t="shared" si="6"/>
        <v>0</v>
      </c>
      <c r="O15" s="9">
        <f t="shared" si="7"/>
        <v>0</v>
      </c>
      <c r="P15" s="15" t="str">
        <f t="shared" si="8"/>
        <v>$0.00</v>
      </c>
      <c r="Q15" s="9">
        <f t="shared" si="9"/>
        <v>0</v>
      </c>
      <c r="R15" s="9">
        <f t="shared" si="10"/>
        <v>0</v>
      </c>
      <c r="S15" s="17" t="str">
        <f t="shared" si="11"/>
        <v>$0.00</v>
      </c>
      <c r="AA15" s="166" t="str">
        <f>IF(L15="lifetime", "one-time cost", IF(D15='Master Data'!$B$8, AD15 &amp; AE15, AD15 &amp; AE15 &amp; AC15))</f>
        <v>one-time cost</v>
      </c>
      <c r="AB15" s="208" t="str">
        <f t="shared" ref="AB15:AB30" si="12">IF(L15="lifetime", IF(I15&lt;&gt;"", H15 &amp; "-" &amp; I15 &amp; "x/lifetime", H15 &amp; "x/lifetime"), "ongoing cost")</f>
        <v>x/lifetime</v>
      </c>
      <c r="AC15" s="166" t="str">
        <f ca="1">IF(Table3[[#This Row],[Duration (Years):]]&lt;&gt;'Master Data'!$B$8,CONCATENATE(",",CHAR(10),"for ",Table3[[#This Row],[Duration (Years):]]," years"),"lifelong")</f>
        <v>lifelong</v>
      </c>
      <c r="AD15" s="166" t="str">
        <f t="shared" ref="AD15:AD30" si="13">IF(L15="lifetime", "one-time cost", IF(I15&lt;&gt;"", H15 &amp; "-" &amp; I15 &amp; "x/", H15 &amp; "x/"))</f>
        <v>one-time cost</v>
      </c>
      <c r="AE15" s="166" t="str">
        <f t="shared" ref="AE15:AE30" si="14">IF(L15="lifetime", "one-time cost", IF(K15&lt;&gt;"", J15 &amp; "-" &amp; K15 &amp; " " &amp; L15, IF(J15&gt;1, J15 &amp; " " &amp; L15, L15)))</f>
        <v>one-time cost</v>
      </c>
    </row>
    <row r="16" spans="1:31" ht="42.75" x14ac:dyDescent="0.2">
      <c r="A16" s="16"/>
      <c r="B16" s="11">
        <f ca="1">ROUND('Master Data'!$B$6,1)</f>
        <v>126.3</v>
      </c>
      <c r="C16" s="11">
        <f ca="1">'Master Data'!$B$7</f>
        <v>136.30000000000001</v>
      </c>
      <c r="D16" s="11">
        <f t="shared" ref="D16:D25" ca="1" si="15">ROUND(C16-B16,1)</f>
        <v>10</v>
      </c>
      <c r="E16" s="9" cm="1">
        <f t="array" ref="E16">SUMPRODUCT(
  ('Service to CPT Map'!$A$2:$A$1017=$A16)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6" s="9" cm="1">
        <f t="array" ref="F16">SUMPRODUCT(
  ('Service to CPT Map'!$A$2:$A$1017=$A16)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Map'!$A$2:$A$1017=$A16)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Map'!$A$2:$A$1017=$A16)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6" s="12" t="str">
        <f t="shared" ref="G16:G25" si="16">IF(E16&lt;F16,CONCATENATE(TEXT(E16,"$#,##0.00"),CHAR(10)," - ",CHAR(10),TEXT(F16,"$#,##0.00")),TEXT(E16,"$#,##0.00"))</f>
        <v>$0.00</v>
      </c>
      <c r="L16" s="8" t="str">
        <f t="shared" ref="L16:L25" si="17">IF(LEN(K16)=0,IF(LEN(J16)=0,"lifetime",IF(J16=1,"year","years")),"years")</f>
        <v>lifetime</v>
      </c>
      <c r="M16" s="14" t="str">
        <f>IF(L16="lifetime",
    IF(I16&lt;&gt;"", H16 &amp; "-" &amp; I16 &amp; "x/lifetime", H16 &amp; "x/lifetime"),
    IF(D16='Master Data'!$B$8, AD16 &amp; AE16, AD16 &amp; AE16 &amp; AC16))</f>
        <v>x/lifetime</v>
      </c>
      <c r="N16" s="9">
        <f t="shared" ref="N16:N25" si="18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6" s="9">
        <f t="shared" ref="O16:O25" si="19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6" s="15" t="str">
        <f t="shared" ref="P16:P25" si="20">IF(N16&lt;O16,CONCATENATE(TEXT(N16,"$#,##0.00"),CHAR(10)," - ",CHAR(10),TEXT(O16,"$#,###0.00")),TEXT(N16,"$0.00"))</f>
        <v>$0.00</v>
      </c>
      <c r="Q16" s="9">
        <f t="shared" ref="Q16:Q25" si="21">ROUND(IF(TimeValue="lifetime",MinCost*MinFreq,0),2)</f>
        <v>0</v>
      </c>
      <c r="R16" s="9">
        <f t="shared" ref="R16:R25" si="22">ROUND(IF(AND(TimeValue="lifetime",MaxFreq&lt;1),MinFreq*MaxCost,IF(AND(TimeValue="lifetime",MaxFreq&gt;=1),MaxFreq*MaxCost,0)),2)</f>
        <v>0</v>
      </c>
      <c r="S16" s="17" t="str">
        <f t="shared" ref="S16:S25" si="23">IF(Q16&lt;R16,CONCATENATE(TEXT(Q16,"$#,##0.00"),CHAR(10)," - ",CHAR(10),TEXT(R16,"$#,##0.00")),TEXT(Q16,"$0.00"))</f>
        <v>$0.00</v>
      </c>
      <c r="AA16" s="166" t="str">
        <f>IF(L16="lifetime", "one-time cost", IF(D16='Master Data'!$B$8, AD16 &amp; AE16, AD16 &amp; AE16 &amp; AC16))</f>
        <v>one-time cost</v>
      </c>
      <c r="AB16" s="208" t="str">
        <f t="shared" si="12"/>
        <v>x/lifetime</v>
      </c>
      <c r="AC16" s="166" t="str">
        <f ca="1">IF(Table3[[#This Row],[Duration (Years):]]&lt;&gt;'Master Data'!$B$8,CONCATENATE(",",CHAR(10),"for ",Table3[[#This Row],[Duration (Years):]]," years"),"lifelong")</f>
        <v>lifelong</v>
      </c>
      <c r="AD16" s="166" t="str">
        <f t="shared" si="13"/>
        <v>one-time cost</v>
      </c>
      <c r="AE16" s="166" t="str">
        <f t="shared" si="14"/>
        <v>one-time cost</v>
      </c>
    </row>
    <row r="17" spans="1:31" ht="42.75" x14ac:dyDescent="0.2">
      <c r="A17" s="16"/>
      <c r="B17" s="11">
        <f ca="1">ROUND('Master Data'!$B$6,1)</f>
        <v>126.3</v>
      </c>
      <c r="C17" s="11">
        <f ca="1">'Master Data'!$B$7</f>
        <v>136.30000000000001</v>
      </c>
      <c r="D17" s="11">
        <f t="shared" ca="1" si="15"/>
        <v>10</v>
      </c>
      <c r="E17" s="9" cm="1">
        <f t="array" ref="E17">SUMPRODUCT(
  ('Service to CPT Map'!$A$2:$A$1017=$A17)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7" s="9" cm="1">
        <f t="array" ref="F17">SUMPRODUCT(
  ('Service to CPT Map'!$A$2:$A$1017=$A17)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Map'!$A$2:$A$1017=$A17)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Map'!$A$2:$A$1017=$A17)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7" s="12" t="str">
        <f t="shared" si="16"/>
        <v>$0.00</v>
      </c>
      <c r="L17" s="8" t="str">
        <f t="shared" si="17"/>
        <v>lifetime</v>
      </c>
      <c r="M17" s="14" t="str">
        <f>IF(L17="lifetime",
    IF(I17&lt;&gt;"", H17 &amp; "-" &amp; I17 &amp; "x/lifetime", H17 &amp; "x/lifetime"),
    IF(D17='Master Data'!$B$8, AD17 &amp; AE17, AD17 &amp; AE17 &amp; AC17))</f>
        <v>x/lifetime</v>
      </c>
      <c r="N17" s="9">
        <f t="shared" si="18"/>
        <v>0</v>
      </c>
      <c r="O17" s="9">
        <f t="shared" si="19"/>
        <v>0</v>
      </c>
      <c r="P17" s="15" t="str">
        <f t="shared" si="20"/>
        <v>$0.00</v>
      </c>
      <c r="Q17" s="9">
        <f t="shared" si="21"/>
        <v>0</v>
      </c>
      <c r="R17" s="9">
        <f t="shared" si="22"/>
        <v>0</v>
      </c>
      <c r="S17" s="17" t="str">
        <f t="shared" si="23"/>
        <v>$0.00</v>
      </c>
      <c r="AA17" s="166" t="str">
        <f>IF(L17="lifetime", "one-time cost", IF(D17='Master Data'!$B$8, AD17 &amp; AE17, AD17 &amp; AE17 &amp; AC17))</f>
        <v>one-time cost</v>
      </c>
      <c r="AB17" s="208" t="str">
        <f t="shared" si="12"/>
        <v>x/lifetime</v>
      </c>
      <c r="AC17" s="166" t="str">
        <f ca="1">IF(Table3[[#This Row],[Duration (Years):]]&lt;&gt;'Master Data'!$B$8,CONCATENATE(",",CHAR(10),"for ",Table3[[#This Row],[Duration (Years):]]," years"),"lifelong")</f>
        <v>lifelong</v>
      </c>
      <c r="AD17" s="166" t="str">
        <f t="shared" si="13"/>
        <v>one-time cost</v>
      </c>
      <c r="AE17" s="166" t="str">
        <f t="shared" si="14"/>
        <v>one-time cost</v>
      </c>
    </row>
    <row r="18" spans="1:31" ht="42.75" x14ac:dyDescent="0.2">
      <c r="A18" s="16"/>
      <c r="B18" s="11">
        <f ca="1">ROUND('Master Data'!$B$6,1)</f>
        <v>126.3</v>
      </c>
      <c r="C18" s="11">
        <f ca="1">'Master Data'!$B$7</f>
        <v>136.30000000000001</v>
      </c>
      <c r="D18" s="11">
        <f t="shared" ca="1" si="15"/>
        <v>10</v>
      </c>
      <c r="E18" s="9" cm="1">
        <f t="array" ref="E18">SUMPRODUCT(
  ('Service to CPT Map'!$A$2:$A$1017=$A18)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8" s="9" cm="1">
        <f t="array" ref="F18">SUMPRODUCT(
  ('Service to CPT Map'!$A$2:$A$1017=$A18)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Map'!$A$2:$A$1017=$A18)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Map'!$A$2:$A$1017=$A18)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8" s="12" t="str">
        <f t="shared" si="16"/>
        <v>$0.00</v>
      </c>
      <c r="L18" s="8" t="str">
        <f t="shared" si="17"/>
        <v>lifetime</v>
      </c>
      <c r="M18" s="14" t="str">
        <f>IF(L18="lifetime",
    IF(I18&lt;&gt;"", H18 &amp; "-" &amp; I18 &amp; "x/lifetime", H18 &amp; "x/lifetime"),
    IF(D18='Master Data'!$B$8, AD18 &amp; AE18, AD18 &amp; AE18 &amp; AC18))</f>
        <v>x/lifetime</v>
      </c>
      <c r="N18" s="9">
        <f t="shared" si="18"/>
        <v>0</v>
      </c>
      <c r="O18" s="9">
        <f t="shared" si="19"/>
        <v>0</v>
      </c>
      <c r="P18" s="15" t="str">
        <f t="shared" si="20"/>
        <v>$0.00</v>
      </c>
      <c r="Q18" s="9">
        <f t="shared" si="21"/>
        <v>0</v>
      </c>
      <c r="R18" s="9">
        <f t="shared" si="22"/>
        <v>0</v>
      </c>
      <c r="S18" s="17" t="str">
        <f t="shared" si="23"/>
        <v>$0.00</v>
      </c>
      <c r="AA18" s="166" t="str">
        <f>IF(L18="lifetime", "one-time cost", IF(D18='Master Data'!$B$8, AD18 &amp; AE18, AD18 &amp; AE18 &amp; AC18))</f>
        <v>one-time cost</v>
      </c>
      <c r="AB18" s="208" t="str">
        <f t="shared" si="12"/>
        <v>x/lifetime</v>
      </c>
      <c r="AC18" s="166" t="str">
        <f ca="1">IF(Table3[[#This Row],[Duration (Years):]]&lt;&gt;'Master Data'!$B$8,CONCATENATE(",",CHAR(10),"for ",Table3[[#This Row],[Duration (Years):]]," years"),"lifelong")</f>
        <v>lifelong</v>
      </c>
      <c r="AD18" s="166" t="str">
        <f t="shared" si="13"/>
        <v>one-time cost</v>
      </c>
      <c r="AE18" s="166" t="str">
        <f t="shared" si="14"/>
        <v>one-time cost</v>
      </c>
    </row>
    <row r="19" spans="1:31" ht="42.75" x14ac:dyDescent="0.2">
      <c r="A19" s="16"/>
      <c r="B19" s="11">
        <f ca="1">ROUND('Master Data'!$B$6,1)</f>
        <v>126.3</v>
      </c>
      <c r="C19" s="11">
        <f ca="1">'Master Data'!$B$7</f>
        <v>136.30000000000001</v>
      </c>
      <c r="D19" s="11">
        <f t="shared" ca="1" si="15"/>
        <v>10</v>
      </c>
      <c r="E19" s="9" cm="1">
        <f t="array" ref="E19">SUMPRODUCT(
  ('Service to CPT Map'!$A$2:$A$1017=$A19)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9" s="9" cm="1">
        <f t="array" ref="F19">SUMPRODUCT(
  ('Service to CPT Map'!$A$2:$A$1017=$A19)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Map'!$A$2:$A$1017=$A19)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Map'!$A$2:$A$1017=$A19)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9" s="12" t="str">
        <f t="shared" si="16"/>
        <v>$0.00</v>
      </c>
      <c r="L19" s="8" t="str">
        <f t="shared" si="17"/>
        <v>lifetime</v>
      </c>
      <c r="M19" s="14" t="str">
        <f>IF(L19="lifetime",
    IF(I19&lt;&gt;"", H19 &amp; "-" &amp; I19 &amp; "x/lifetime", H19 &amp; "x/lifetime"),
    IF(D19='Master Data'!$B$8, AD19 &amp; AE19, AD19 &amp; AE19 &amp; AC19))</f>
        <v>x/lifetime</v>
      </c>
      <c r="N19" s="9">
        <f t="shared" si="18"/>
        <v>0</v>
      </c>
      <c r="O19" s="9">
        <f t="shared" si="19"/>
        <v>0</v>
      </c>
      <c r="P19" s="15" t="str">
        <f t="shared" si="20"/>
        <v>$0.00</v>
      </c>
      <c r="Q19" s="9">
        <f t="shared" si="21"/>
        <v>0</v>
      </c>
      <c r="R19" s="9">
        <f t="shared" si="22"/>
        <v>0</v>
      </c>
      <c r="S19" s="17" t="str">
        <f t="shared" si="23"/>
        <v>$0.00</v>
      </c>
      <c r="AA19" s="166" t="str">
        <f>IF(L19="lifetime", "one-time cost", IF(D19='Master Data'!$B$8, AD19 &amp; AE19, AD19 &amp; AE19 &amp; AC19))</f>
        <v>one-time cost</v>
      </c>
      <c r="AB19" s="208" t="str">
        <f t="shared" si="12"/>
        <v>x/lifetime</v>
      </c>
      <c r="AC19" s="166" t="str">
        <f ca="1">IF(Table3[[#This Row],[Duration (Years):]]&lt;&gt;'Master Data'!$B$8,CONCATENATE(",",CHAR(10),"for ",Table3[[#This Row],[Duration (Years):]]," years"),"lifelong")</f>
        <v>lifelong</v>
      </c>
      <c r="AD19" s="166" t="str">
        <f t="shared" si="13"/>
        <v>one-time cost</v>
      </c>
      <c r="AE19" s="166" t="str">
        <f t="shared" si="14"/>
        <v>one-time cost</v>
      </c>
    </row>
    <row r="20" spans="1:31" ht="42.75" x14ac:dyDescent="0.2">
      <c r="A20" s="16"/>
      <c r="B20" s="11">
        <f ca="1">ROUND('Master Data'!$B$6,1)</f>
        <v>126.3</v>
      </c>
      <c r="C20" s="11">
        <f ca="1">'Master Data'!$B$7</f>
        <v>136.30000000000001</v>
      </c>
      <c r="D20" s="11">
        <f t="shared" ca="1" si="15"/>
        <v>10</v>
      </c>
      <c r="E20" s="9" cm="1">
        <f t="array" ref="E20">SUMPRODUCT(
  ('Service to CPT Map'!$A$2:$A$1017=$A20)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20" s="9" cm="1">
        <f t="array" ref="F20">SUMPRODUCT(
  ('Service to CPT Map'!$A$2:$A$1017=$A20)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Map'!$A$2:$A$1017=$A20)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Map'!$A$2:$A$1017=$A20)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20" s="12" t="str">
        <f t="shared" si="16"/>
        <v>$0.00</v>
      </c>
      <c r="L20" s="8" t="str">
        <f t="shared" si="17"/>
        <v>lifetime</v>
      </c>
      <c r="M20" s="14" t="str">
        <f>IF(L20="lifetime",
    IF(I20&lt;&gt;"", H20 &amp; "-" &amp; I20 &amp; "x/lifetime", H20 &amp; "x/lifetime"),
    IF(D20='Master Data'!$B$8, AD20 &amp; AE20, AD20 &amp; AE20 &amp; AC20))</f>
        <v>x/lifetime</v>
      </c>
      <c r="N20" s="9">
        <f t="shared" si="18"/>
        <v>0</v>
      </c>
      <c r="O20" s="9">
        <f t="shared" si="19"/>
        <v>0</v>
      </c>
      <c r="P20" s="15" t="str">
        <f t="shared" si="20"/>
        <v>$0.00</v>
      </c>
      <c r="Q20" s="9">
        <f t="shared" si="21"/>
        <v>0</v>
      </c>
      <c r="R20" s="9">
        <f t="shared" si="22"/>
        <v>0</v>
      </c>
      <c r="S20" s="17" t="str">
        <f t="shared" si="23"/>
        <v>$0.00</v>
      </c>
      <c r="AA20" s="166" t="str">
        <f>IF(L20="lifetime", "one-time cost", IF(D20='Master Data'!$B$8, AD20 &amp; AE20, AD20 &amp; AE20 &amp; AC20))</f>
        <v>one-time cost</v>
      </c>
      <c r="AB20" s="208" t="str">
        <f t="shared" si="12"/>
        <v>x/lifetime</v>
      </c>
      <c r="AC20" s="166" t="str">
        <f ca="1">IF(Table3[[#This Row],[Duration (Years):]]&lt;&gt;'Master Data'!$B$8,CONCATENATE(",",CHAR(10),"for ",Table3[[#This Row],[Duration (Years):]]," years"),"lifelong")</f>
        <v>lifelong</v>
      </c>
      <c r="AD20" s="166" t="str">
        <f t="shared" si="13"/>
        <v>one-time cost</v>
      </c>
      <c r="AE20" s="166" t="str">
        <f t="shared" si="14"/>
        <v>one-time cost</v>
      </c>
    </row>
    <row r="21" spans="1:31" ht="42.75" x14ac:dyDescent="0.2">
      <c r="A21" s="16"/>
      <c r="B21" s="11">
        <f ca="1">ROUND('Master Data'!$B$6,1)</f>
        <v>126.3</v>
      </c>
      <c r="C21" s="11">
        <f ca="1">'Master Data'!$B$7</f>
        <v>136.30000000000001</v>
      </c>
      <c r="D21" s="11">
        <f t="shared" ca="1" si="15"/>
        <v>10</v>
      </c>
      <c r="E21" s="9" cm="1">
        <f t="array" ref="E21">SUMPRODUCT(
  ('Service to CPT Map'!$A$2:$A$1017=$A21)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21" s="9" cm="1">
        <f t="array" ref="F21">SUMPRODUCT(
  ('Service to CPT Map'!$A$2:$A$1017=$A21)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Map'!$A$2:$A$1017=$A21)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Map'!$A$2:$A$1017=$A21)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21" s="12" t="str">
        <f t="shared" si="16"/>
        <v>$0.00</v>
      </c>
      <c r="L21" s="8" t="str">
        <f t="shared" si="17"/>
        <v>lifetime</v>
      </c>
      <c r="M21" s="14" t="str">
        <f>IF(L21="lifetime",
    IF(I21&lt;&gt;"", H21 &amp; "-" &amp; I21 &amp; "x/lifetime", H21 &amp; "x/lifetime"),
    IF(D21='Master Data'!$B$8, AD21 &amp; AE21, AD21 &amp; AE21 &amp; AC21))</f>
        <v>x/lifetime</v>
      </c>
      <c r="N21" s="9">
        <f t="shared" si="18"/>
        <v>0</v>
      </c>
      <c r="O21" s="9">
        <f t="shared" si="19"/>
        <v>0</v>
      </c>
      <c r="P21" s="15" t="str">
        <f t="shared" si="20"/>
        <v>$0.00</v>
      </c>
      <c r="Q21" s="9">
        <f t="shared" si="21"/>
        <v>0</v>
      </c>
      <c r="R21" s="9">
        <f t="shared" si="22"/>
        <v>0</v>
      </c>
      <c r="S21" s="17" t="str">
        <f t="shared" si="23"/>
        <v>$0.00</v>
      </c>
      <c r="AA21" s="166" t="str">
        <f>IF(L21="lifetime", "one-time cost", IF(D21='Master Data'!$B$8, AD21 &amp; AE21, AD21 &amp; AE21 &amp; AC21))</f>
        <v>one-time cost</v>
      </c>
      <c r="AB21" s="208" t="str">
        <f t="shared" si="12"/>
        <v>x/lifetime</v>
      </c>
      <c r="AC21" s="166" t="str">
        <f ca="1">IF(Table3[[#This Row],[Duration (Years):]]&lt;&gt;'Master Data'!$B$8,CONCATENATE(",",CHAR(10),"for ",Table3[[#This Row],[Duration (Years):]]," years"),"lifelong")</f>
        <v>lifelong</v>
      </c>
      <c r="AD21" s="166" t="str">
        <f t="shared" si="13"/>
        <v>one-time cost</v>
      </c>
      <c r="AE21" s="166" t="str">
        <f t="shared" si="14"/>
        <v>one-time cost</v>
      </c>
    </row>
    <row r="22" spans="1:31" ht="42.75" x14ac:dyDescent="0.2">
      <c r="A22" s="16"/>
      <c r="B22" s="11">
        <f ca="1">ROUND('Master Data'!$B$6,1)</f>
        <v>126.3</v>
      </c>
      <c r="C22" s="11">
        <f ca="1">'Master Data'!$B$7</f>
        <v>136.30000000000001</v>
      </c>
      <c r="D22" s="11">
        <f t="shared" ca="1" si="15"/>
        <v>10</v>
      </c>
      <c r="E22" s="9" cm="1">
        <f t="array" ref="E22">SUMPRODUCT(
  ('Service to CPT Map'!$A$2:$A$1017=$A22)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22" s="9" cm="1">
        <f t="array" ref="F22">SUMPRODUCT(
  ('Service to CPT Map'!$A$2:$A$1017=$A22)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Map'!$A$2:$A$1017=$A22)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Map'!$A$2:$A$1017=$A22)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22" s="12" t="str">
        <f t="shared" si="16"/>
        <v>$0.00</v>
      </c>
      <c r="L22" s="8" t="str">
        <f t="shared" si="17"/>
        <v>lifetime</v>
      </c>
      <c r="M22" s="14" t="str">
        <f>IF(L22="lifetime",
    IF(I22&lt;&gt;"", H22 &amp; "-" &amp; I22 &amp; "x/lifetime", H22 &amp; "x/lifetime"),
    IF(D22='Master Data'!$B$8, AD22 &amp; AE22, AD22 &amp; AE22 &amp; AC22))</f>
        <v>x/lifetime</v>
      </c>
      <c r="N22" s="9">
        <f t="shared" si="18"/>
        <v>0</v>
      </c>
      <c r="O22" s="9">
        <f t="shared" si="19"/>
        <v>0</v>
      </c>
      <c r="P22" s="15" t="str">
        <f t="shared" si="20"/>
        <v>$0.00</v>
      </c>
      <c r="Q22" s="9">
        <f t="shared" si="21"/>
        <v>0</v>
      </c>
      <c r="R22" s="9">
        <f t="shared" si="22"/>
        <v>0</v>
      </c>
      <c r="S22" s="17" t="str">
        <f t="shared" si="23"/>
        <v>$0.00</v>
      </c>
      <c r="AA22" s="166" t="str">
        <f>IF(L22="lifetime", "one-time cost", IF(D22='Master Data'!$B$8, AD22 &amp; AE22, AD22 &amp; AE22 &amp; AC22))</f>
        <v>one-time cost</v>
      </c>
      <c r="AB22" s="208" t="str">
        <f t="shared" si="12"/>
        <v>x/lifetime</v>
      </c>
      <c r="AC22" s="166" t="str">
        <f ca="1">IF(Table3[[#This Row],[Duration (Years):]]&lt;&gt;'Master Data'!$B$8,CONCATENATE(",",CHAR(10),"for ",Table3[[#This Row],[Duration (Years):]]," years"),"lifelong")</f>
        <v>lifelong</v>
      </c>
      <c r="AD22" s="166" t="str">
        <f t="shared" si="13"/>
        <v>one-time cost</v>
      </c>
      <c r="AE22" s="166" t="str">
        <f t="shared" si="14"/>
        <v>one-time cost</v>
      </c>
    </row>
    <row r="23" spans="1:31" ht="42.75" x14ac:dyDescent="0.2">
      <c r="A23" s="16"/>
      <c r="B23" s="11">
        <f ca="1">ROUND('Master Data'!$B$6,1)</f>
        <v>126.3</v>
      </c>
      <c r="C23" s="11">
        <f ca="1">'Master Data'!$B$7</f>
        <v>136.30000000000001</v>
      </c>
      <c r="D23" s="11">
        <f t="shared" ca="1" si="15"/>
        <v>10</v>
      </c>
      <c r="E23" s="9" cm="1">
        <f t="array" ref="E23">SUMPRODUCT(
  ('Service to CPT Map'!$A$2:$A$1017=$A23)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23" s="9" cm="1">
        <f t="array" ref="F23">SUMPRODUCT(
  ('Service to CPT Map'!$A$2:$A$1017=$A23)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Map'!$A$2:$A$1017=$A23)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Map'!$A$2:$A$1017=$A23)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23" s="12" t="str">
        <f t="shared" si="16"/>
        <v>$0.00</v>
      </c>
      <c r="L23" s="8" t="str">
        <f t="shared" si="17"/>
        <v>lifetime</v>
      </c>
      <c r="M23" s="14" t="str">
        <f>IF(L23="lifetime",
    IF(I23&lt;&gt;"", H23 &amp; "-" &amp; I23 &amp; "x/lifetime", H23 &amp; "x/lifetime"),
    IF(D23='Master Data'!$B$8, AD23 &amp; AE23, AD23 &amp; AE23 &amp; AC23))</f>
        <v>x/lifetime</v>
      </c>
      <c r="N23" s="9">
        <f t="shared" si="18"/>
        <v>0</v>
      </c>
      <c r="O23" s="9">
        <f t="shared" si="19"/>
        <v>0</v>
      </c>
      <c r="P23" s="15" t="str">
        <f t="shared" si="20"/>
        <v>$0.00</v>
      </c>
      <c r="Q23" s="9">
        <f t="shared" si="21"/>
        <v>0</v>
      </c>
      <c r="R23" s="9">
        <f t="shared" si="22"/>
        <v>0</v>
      </c>
      <c r="S23" s="17" t="str">
        <f t="shared" si="23"/>
        <v>$0.00</v>
      </c>
      <c r="AA23" s="166" t="str">
        <f>IF(L23="lifetime", "one-time cost", IF(D23='Master Data'!$B$8, AD23 &amp; AE23, AD23 &amp; AE23 &amp; AC23))</f>
        <v>one-time cost</v>
      </c>
      <c r="AB23" s="208" t="str">
        <f t="shared" si="12"/>
        <v>x/lifetime</v>
      </c>
      <c r="AC23" s="166" t="str">
        <f ca="1">IF(Table3[[#This Row],[Duration (Years):]]&lt;&gt;'Master Data'!$B$8,CONCATENATE(",",CHAR(10),"for ",Table3[[#This Row],[Duration (Years):]]," years"),"lifelong")</f>
        <v>lifelong</v>
      </c>
      <c r="AD23" s="166" t="str">
        <f t="shared" si="13"/>
        <v>one-time cost</v>
      </c>
      <c r="AE23" s="166" t="str">
        <f t="shared" si="14"/>
        <v>one-time cost</v>
      </c>
    </row>
    <row r="24" spans="1:31" ht="42.75" x14ac:dyDescent="0.2">
      <c r="A24" s="16"/>
      <c r="B24" s="11">
        <f ca="1">ROUND('Master Data'!$B$6,1)</f>
        <v>126.3</v>
      </c>
      <c r="C24" s="11">
        <f ca="1">'Master Data'!$B$7</f>
        <v>136.30000000000001</v>
      </c>
      <c r="D24" s="11">
        <f t="shared" ca="1" si="15"/>
        <v>10</v>
      </c>
      <c r="E24" s="9" cm="1">
        <f t="array" ref="E24">SUMPRODUCT(
  ('Service to CPT Map'!$A$2:$A$1017=$A24)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24" s="9" cm="1">
        <f t="array" ref="F24">SUMPRODUCT(
  ('Service to CPT Map'!$A$2:$A$1017=$A24)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Map'!$A$2:$A$1017=$A24)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Map'!$A$2:$A$1017=$A24)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24" s="12" t="str">
        <f t="shared" si="16"/>
        <v>$0.00</v>
      </c>
      <c r="L24" s="8" t="str">
        <f t="shared" si="17"/>
        <v>lifetime</v>
      </c>
      <c r="M24" s="14" t="str">
        <f>IF(L24="lifetime",
    IF(I24&lt;&gt;"", H24 &amp; "-" &amp; I24 &amp; "x/lifetime", H24 &amp; "x/lifetime"),
    IF(D24='Master Data'!$B$8, AD24 &amp; AE24, AD24 &amp; AE24 &amp; AC24))</f>
        <v>x/lifetime</v>
      </c>
      <c r="N24" s="9">
        <f t="shared" si="18"/>
        <v>0</v>
      </c>
      <c r="O24" s="9">
        <f t="shared" si="19"/>
        <v>0</v>
      </c>
      <c r="P24" s="15" t="str">
        <f t="shared" si="20"/>
        <v>$0.00</v>
      </c>
      <c r="Q24" s="9">
        <f t="shared" si="21"/>
        <v>0</v>
      </c>
      <c r="R24" s="9">
        <f t="shared" si="22"/>
        <v>0</v>
      </c>
      <c r="S24" s="17" t="str">
        <f t="shared" si="23"/>
        <v>$0.00</v>
      </c>
      <c r="AA24" s="166" t="str">
        <f>IF(L24="lifetime", "one-time cost", IF(D24='Master Data'!$B$8, AD24 &amp; AE24, AD24 &amp; AE24 &amp; AC24))</f>
        <v>one-time cost</v>
      </c>
      <c r="AB24" s="208" t="str">
        <f t="shared" si="12"/>
        <v>x/lifetime</v>
      </c>
      <c r="AC24" s="166" t="str">
        <f ca="1">IF(Table3[[#This Row],[Duration (Years):]]&lt;&gt;'Master Data'!$B$8,CONCATENATE(",",CHAR(10),"for ",Table3[[#This Row],[Duration (Years):]]," years"),"lifelong")</f>
        <v>lifelong</v>
      </c>
      <c r="AD24" s="166" t="str">
        <f t="shared" si="13"/>
        <v>one-time cost</v>
      </c>
      <c r="AE24" s="166" t="str">
        <f t="shared" si="14"/>
        <v>one-time cost</v>
      </c>
    </row>
    <row r="25" spans="1:31" ht="42.75" x14ac:dyDescent="0.2">
      <c r="A25" s="16"/>
      <c r="B25" s="11">
        <f ca="1">ROUND('Master Data'!$B$6,1)</f>
        <v>126.3</v>
      </c>
      <c r="C25" s="11">
        <f ca="1">'Master Data'!$B$7</f>
        <v>136.30000000000001</v>
      </c>
      <c r="D25" s="11">
        <f t="shared" ca="1" si="15"/>
        <v>10</v>
      </c>
      <c r="E25" s="9" cm="1">
        <f t="array" ref="E25">SUMPRODUCT(
  ('Service to CPT Map'!$A$2:$A$1017=$A25)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25" s="9" cm="1">
        <f t="array" ref="F25">SUMPRODUCT(
  ('Service to CPT Map'!$A$2:$A$1017=$A25)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Map'!$A$2:$A$1017=$A25)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Map'!$A$2:$A$1017=$A25)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25" s="12" t="str">
        <f t="shared" si="16"/>
        <v>$0.00</v>
      </c>
      <c r="L25" s="8" t="str">
        <f t="shared" si="17"/>
        <v>lifetime</v>
      </c>
      <c r="M25" s="14" t="str">
        <f>IF(L25="lifetime",
    IF(I25&lt;&gt;"", H25 &amp; "-" &amp; I25 &amp; "x/lifetime", H25 &amp; "x/lifetime"),
    IF(D25='Master Data'!$B$8, AD25 &amp; AE25, AD25 &amp; AE25 &amp; AC25))</f>
        <v>x/lifetime</v>
      </c>
      <c r="N25" s="9">
        <f t="shared" si="18"/>
        <v>0</v>
      </c>
      <c r="O25" s="9">
        <f t="shared" si="19"/>
        <v>0</v>
      </c>
      <c r="P25" s="15" t="str">
        <f t="shared" si="20"/>
        <v>$0.00</v>
      </c>
      <c r="Q25" s="9">
        <f t="shared" si="21"/>
        <v>0</v>
      </c>
      <c r="R25" s="9">
        <f t="shared" si="22"/>
        <v>0</v>
      </c>
      <c r="S25" s="17" t="str">
        <f t="shared" si="23"/>
        <v>$0.00</v>
      </c>
      <c r="AA25" s="166" t="str">
        <f>IF(L25="lifetime", "one-time cost", IF(D25='Master Data'!$B$8, AD25 &amp; AE25, AD25 &amp; AE25 &amp; AC25))</f>
        <v>one-time cost</v>
      </c>
      <c r="AB25" s="208" t="str">
        <f t="shared" si="12"/>
        <v>x/lifetime</v>
      </c>
      <c r="AC25" s="166" t="str">
        <f ca="1">IF(Table3[[#This Row],[Duration (Years):]]&lt;&gt;'Master Data'!$B$8,CONCATENATE(",",CHAR(10),"for ",Table3[[#This Row],[Duration (Years):]]," years"),"lifelong")</f>
        <v>lifelong</v>
      </c>
      <c r="AD25" s="166" t="str">
        <f t="shared" si="13"/>
        <v>one-time cost</v>
      </c>
      <c r="AE25" s="166" t="str">
        <f t="shared" si="14"/>
        <v>one-time cost</v>
      </c>
    </row>
    <row r="26" spans="1:31" ht="15" thickBot="1" x14ac:dyDescent="0.25">
      <c r="A26" s="348" t="s">
        <v>32</v>
      </c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  <c r="M26" s="349"/>
      <c r="N26" s="18"/>
      <c r="O26" s="18"/>
      <c r="P26" s="67" t="str">
        <f ca="1">IF(U3="same",IF(SUM(Table3[Annual Cost Max:])=0,"$0.00",CONCATENATE(TEXT(SUM(AnnMin),"$#,##0.00"),CHAR(10)," - ",CHAR(10),TEXT(SUM(AnnMax),"$#,##0.00"))),"Variable by year")</f>
        <v>$0.00</v>
      </c>
      <c r="Q26" s="18"/>
      <c r="R26" s="18"/>
      <c r="S26" s="19" t="str">
        <f>IF(SUM(OneTimeMax)=0,"$0.00",CONCATENATE(TEXT(SUM(OneTimeMin),"$#,##0.00"),CHAR(10)," - ",CHAR(10),TEXT(SUM(OneTimeMax),"$#,##0.00")))</f>
        <v>$0.00</v>
      </c>
      <c r="AA26" s="166" t="e">
        <f>IF(L26="lifetime", "one-time cost", IF(D26='Master Data'!$B$8, AD26 &amp; AE26, AD26 &amp; AE26 &amp; AC26))</f>
        <v>#VALUE!</v>
      </c>
      <c r="AB26" s="208" t="str">
        <f t="shared" si="12"/>
        <v>ongoing cost</v>
      </c>
      <c r="AC26" s="166" t="e">
        <f>IF(Table3[[#This Row],[Duration (Years):]]&lt;&gt;'Master Data'!$B$8,CONCATENATE(",",CHAR(10),"for ",Table3[[#This Row],[Duration (Years):]]," years"),"lifelong")</f>
        <v>#VALUE!</v>
      </c>
      <c r="AD26" s="166" t="str">
        <f t="shared" si="13"/>
        <v>x/</v>
      </c>
      <c r="AE26" s="166">
        <f t="shared" si="14"/>
        <v>0</v>
      </c>
    </row>
    <row r="27" spans="1:31" ht="15" thickTop="1" x14ac:dyDescent="0.2">
      <c r="AA27" s="166" t="e">
        <f>IF(L27="lifetime", "one-time cost", IF(D27='Master Data'!$B$8, AD27 &amp; AE27, AD27 &amp; AE27 &amp; AC27))</f>
        <v>#VALUE!</v>
      </c>
      <c r="AB27" s="208" t="str">
        <f t="shared" si="12"/>
        <v>ongoing cost</v>
      </c>
      <c r="AC27" s="166" t="e">
        <f>IF(Table3[[#This Row],[Duration (Years):]]&lt;&gt;'Master Data'!$B$8,CONCATENATE(",",CHAR(10),"for ",Table3[[#This Row],[Duration (Years):]]," years"),"lifelong")</f>
        <v>#VALUE!</v>
      </c>
      <c r="AD27" s="166" t="str">
        <f t="shared" si="13"/>
        <v>x/</v>
      </c>
      <c r="AE27" s="166">
        <f t="shared" si="14"/>
        <v>0</v>
      </c>
    </row>
    <row r="28" spans="1:31" ht="14.25" x14ac:dyDescent="0.2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AA28" s="166" t="e">
        <f>IF(L28="lifetime", "one-time cost", IF(D28='Master Data'!$B$8, AD28 &amp; AE28, AD28 &amp; AE28 &amp; AC28))</f>
        <v>#VALUE!</v>
      </c>
      <c r="AB28" s="208" t="str">
        <f t="shared" si="12"/>
        <v>ongoing cost</v>
      </c>
      <c r="AC28" s="166" t="e">
        <f>IF(Table3[[#This Row],[Duration (Years):]]&lt;&gt;'Master Data'!$B$8,CONCATENATE(",",CHAR(10),"for ",Table3[[#This Row],[Duration (Years):]]," years"),"lifelong")</f>
        <v>#VALUE!</v>
      </c>
      <c r="AD28" s="166" t="str">
        <f t="shared" si="13"/>
        <v>x/</v>
      </c>
      <c r="AE28" s="166">
        <f t="shared" si="14"/>
        <v>0</v>
      </c>
    </row>
    <row r="29" spans="1:31" ht="14.25" x14ac:dyDescent="0.2">
      <c r="AA29" s="166" t="e">
        <f>IF(L29="lifetime", "one-time cost", IF(D29='Master Data'!$B$8, AD29 &amp; AE29, AD29 &amp; AE29 &amp; AC29))</f>
        <v>#VALUE!</v>
      </c>
      <c r="AB29" s="208" t="str">
        <f t="shared" si="12"/>
        <v>ongoing cost</v>
      </c>
      <c r="AC29" s="166" t="e">
        <f>IF(Table3[[#This Row],[Duration (Years):]]&lt;&gt;'Master Data'!$B$8,CONCATENATE(",",CHAR(10),"for ",Table3[[#This Row],[Duration (Years):]]," years"),"lifelong")</f>
        <v>#VALUE!</v>
      </c>
      <c r="AD29" s="166" t="str">
        <f t="shared" si="13"/>
        <v>x/</v>
      </c>
      <c r="AE29" s="166">
        <f t="shared" si="14"/>
        <v>0</v>
      </c>
    </row>
    <row r="30" spans="1:31" ht="14.25" x14ac:dyDescent="0.2">
      <c r="P30" s="9"/>
      <c r="AA30" s="166" t="e">
        <f>IF(L30="lifetime", "one-time cost", IF(D30='Master Data'!$B$8, AD30 &amp; AE30, AD30 &amp; AE30 &amp; AC30))</f>
        <v>#VALUE!</v>
      </c>
      <c r="AB30" s="208" t="str">
        <f t="shared" si="12"/>
        <v>ongoing cost</v>
      </c>
      <c r="AC30" s="166" t="e">
        <f>IF(Table3[[#This Row],[Duration (Years):]]&lt;&gt;'Master Data'!$B$8,CONCATENATE(",",CHAR(10),"for ",Table3[[#This Row],[Duration (Years):]]," years"),"lifelong")</f>
        <v>#VALUE!</v>
      </c>
      <c r="AD30" s="166" t="str">
        <f t="shared" si="13"/>
        <v>x/</v>
      </c>
      <c r="AE30" s="166">
        <f t="shared" si="14"/>
        <v>0</v>
      </c>
    </row>
    <row r="31" spans="1:31" ht="14.25" x14ac:dyDescent="0.2">
      <c r="AA31" s="166" t="e">
        <f>IF(L49="lifetime", "one-time cost", IF(D49='Master Data'!$B$8, AD31 &amp; AE31, AD31 &amp; AE31 &amp; AC31))</f>
        <v>#VALUE!</v>
      </c>
      <c r="AB31" s="208" t="str">
        <f t="shared" ref="AB31:AB45" si="24">IF(L49="lifetime", IF(I49&lt;&gt;"", H49 &amp; "-" &amp; I49 &amp; "x/lifetime", H49 &amp; "x/lifetime"), "ongoing cost")</f>
        <v>ongoing cost</v>
      </c>
      <c r="AC31" s="166" t="e">
        <f>IF(Table3[[#This Row],[Duration (Years):]]&lt;&gt;'Master Data'!$B$8,CONCATENATE(",",CHAR(10),"for ",Table3[[#This Row],[Duration (Years):]]," years"),"lifelong")</f>
        <v>#VALUE!</v>
      </c>
      <c r="AD31" s="166" t="str">
        <f t="shared" ref="AD31:AD45" si="25">IF(L49="lifetime", "one-time cost", IF(I49&lt;&gt;"", H49 &amp; "-" &amp; I49 &amp; "x/", H49 &amp; "x/"))</f>
        <v>x/</v>
      </c>
      <c r="AE31" s="166">
        <f t="shared" ref="AE31:AE45" si="26">IF(L49="lifetime", "one-time cost", IF(K49&lt;&gt;"", J49 &amp; "-" &amp; K49 &amp; " " &amp; L49, IF(J49&gt;1, J49 &amp; " " &amp; L49, L49)))</f>
        <v>0</v>
      </c>
    </row>
    <row r="32" spans="1:31" ht="14.25" x14ac:dyDescent="0.2">
      <c r="AA32" s="166" t="e">
        <f>IF(L50="lifetime", "one-time cost", IF(D50='Master Data'!$B$8, AD32 &amp; AE32, AD32 &amp; AE32 &amp; AC32))</f>
        <v>#VALUE!</v>
      </c>
      <c r="AB32" s="208" t="str">
        <f t="shared" si="24"/>
        <v>ongoing cost</v>
      </c>
      <c r="AC32" s="166" t="e">
        <f>IF(Table3[[#This Row],[Duration (Years):]]&lt;&gt;'Master Data'!$B$8,CONCATENATE(",",CHAR(10),"for ",Table3[[#This Row],[Duration (Years):]]," years"),"lifelong")</f>
        <v>#VALUE!</v>
      </c>
      <c r="AD32" s="166" t="str">
        <f t="shared" si="25"/>
        <v>x/</v>
      </c>
      <c r="AE32" s="166">
        <f t="shared" si="26"/>
        <v>0</v>
      </c>
    </row>
    <row r="33" spans="27:31" ht="14.25" x14ac:dyDescent="0.2">
      <c r="AA33" s="166" t="e">
        <f>IF(L51="lifetime", "one-time cost", IF(D51='Master Data'!$B$8, AD33 &amp; AE33, AD33 &amp; AE33 &amp; AC33))</f>
        <v>#VALUE!</v>
      </c>
      <c r="AB33" s="208" t="str">
        <f t="shared" si="24"/>
        <v>ongoing cost</v>
      </c>
      <c r="AC33" s="166" t="e">
        <f>IF(Table3[[#This Row],[Duration (Years):]]&lt;&gt;'Master Data'!$B$8,CONCATENATE(",",CHAR(10),"for ",Table3[[#This Row],[Duration (Years):]]," years"),"lifelong")</f>
        <v>#VALUE!</v>
      </c>
      <c r="AD33" s="166" t="str">
        <f t="shared" si="25"/>
        <v>x/</v>
      </c>
      <c r="AE33" s="166">
        <f t="shared" si="26"/>
        <v>0</v>
      </c>
    </row>
    <row r="34" spans="27:31" ht="14.25" x14ac:dyDescent="0.2">
      <c r="AA34" s="166" t="e">
        <f>IF(L52="lifetime", "one-time cost", IF(D52='Master Data'!$B$8, AD34 &amp; AE34, AD34 &amp; AE34 &amp; AC34))</f>
        <v>#VALUE!</v>
      </c>
      <c r="AB34" s="208" t="str">
        <f t="shared" si="24"/>
        <v>ongoing cost</v>
      </c>
      <c r="AC34" s="166" t="e">
        <f>IF(Table3[[#This Row],[Duration (Years):]]&lt;&gt;'Master Data'!$B$8,CONCATENATE(",",CHAR(10),"for ",Table3[[#This Row],[Duration (Years):]]," years"),"lifelong")</f>
        <v>#VALUE!</v>
      </c>
      <c r="AD34" s="166" t="str">
        <f t="shared" si="25"/>
        <v>x/</v>
      </c>
      <c r="AE34" s="166">
        <f t="shared" si="26"/>
        <v>0</v>
      </c>
    </row>
    <row r="35" spans="27:31" ht="14.25" x14ac:dyDescent="0.2">
      <c r="AA35" s="166" t="e">
        <f>IF(L53="lifetime", "one-time cost", IF(D53='Master Data'!$B$8, AD35 &amp; AE35, AD35 &amp; AE35 &amp; AC35))</f>
        <v>#VALUE!</v>
      </c>
      <c r="AB35" s="208" t="str">
        <f t="shared" si="24"/>
        <v>ongoing cost</v>
      </c>
      <c r="AC35" s="166" t="e">
        <f>IF(Table3[[#This Row],[Duration (Years):]]&lt;&gt;'Master Data'!$B$8,CONCATENATE(",",CHAR(10),"for ",Table3[[#This Row],[Duration (Years):]]," years"),"lifelong")</f>
        <v>#VALUE!</v>
      </c>
      <c r="AD35" s="166" t="str">
        <f t="shared" si="25"/>
        <v>x/</v>
      </c>
      <c r="AE35" s="166">
        <f t="shared" si="26"/>
        <v>0</v>
      </c>
    </row>
    <row r="36" spans="27:31" ht="14.25" x14ac:dyDescent="0.2">
      <c r="AA36" s="166" t="e">
        <f>IF(L54="lifetime", "one-time cost", IF(D54='Master Data'!$B$8, AD36 &amp; AE36, AD36 &amp; AE36 &amp; AC36))</f>
        <v>#VALUE!</v>
      </c>
      <c r="AB36" s="208" t="str">
        <f t="shared" si="24"/>
        <v>ongoing cost</v>
      </c>
      <c r="AC36" s="166" t="e">
        <f>IF(Table3[[#This Row],[Duration (Years):]]&lt;&gt;'Master Data'!$B$8,CONCATENATE(",",CHAR(10),"for ",Table3[[#This Row],[Duration (Years):]]," years"),"lifelong")</f>
        <v>#VALUE!</v>
      </c>
      <c r="AD36" s="166" t="str">
        <f t="shared" si="25"/>
        <v>x/</v>
      </c>
      <c r="AE36" s="166">
        <f t="shared" si="26"/>
        <v>0</v>
      </c>
    </row>
    <row r="37" spans="27:31" ht="14.25" x14ac:dyDescent="0.2">
      <c r="AA37" s="166" t="e">
        <f>IF(L55="lifetime", "one-time cost", IF(D55='Master Data'!$B$8, AD37 &amp; AE37, AD37 &amp; AE37 &amp; AC37))</f>
        <v>#VALUE!</v>
      </c>
      <c r="AB37" s="208" t="str">
        <f t="shared" si="24"/>
        <v>ongoing cost</v>
      </c>
      <c r="AC37" s="166" t="e">
        <f>IF(Table3[[#This Row],[Duration (Years):]]&lt;&gt;'Master Data'!$B$8,CONCATENATE(",",CHAR(10),"for ",Table3[[#This Row],[Duration (Years):]]," years"),"lifelong")</f>
        <v>#VALUE!</v>
      </c>
      <c r="AD37" s="166" t="str">
        <f t="shared" si="25"/>
        <v>x/</v>
      </c>
      <c r="AE37" s="166">
        <f t="shared" si="26"/>
        <v>0</v>
      </c>
    </row>
    <row r="38" spans="27:31" ht="14.25" x14ac:dyDescent="0.2">
      <c r="AA38" s="166" t="e">
        <f>IF(L56="lifetime", "one-time cost", IF(D56='Master Data'!$B$8, AD38 &amp; AE38, AD38 &amp; AE38 &amp; AC38))</f>
        <v>#VALUE!</v>
      </c>
      <c r="AB38" s="208" t="str">
        <f t="shared" si="24"/>
        <v>ongoing cost</v>
      </c>
      <c r="AC38" s="166" t="e">
        <f>IF(Table3[[#This Row],[Duration (Years):]]&lt;&gt;'Master Data'!$B$8,CONCATENATE(",",CHAR(10),"for ",Table3[[#This Row],[Duration (Years):]]," years"),"lifelong")</f>
        <v>#VALUE!</v>
      </c>
      <c r="AD38" s="166" t="str">
        <f t="shared" si="25"/>
        <v>x/</v>
      </c>
      <c r="AE38" s="166">
        <f t="shared" si="26"/>
        <v>0</v>
      </c>
    </row>
    <row r="39" spans="27:31" ht="14.25" x14ac:dyDescent="0.2">
      <c r="AA39" s="166" t="e">
        <f>IF(L57="lifetime", "one-time cost", IF(D57='Master Data'!$B$8, AD39 &amp; AE39, AD39 &amp; AE39 &amp; AC39))</f>
        <v>#VALUE!</v>
      </c>
      <c r="AB39" s="208" t="str">
        <f t="shared" si="24"/>
        <v>ongoing cost</v>
      </c>
      <c r="AC39" s="166" t="e">
        <f>IF(Table3[[#This Row],[Duration (Years):]]&lt;&gt;'Master Data'!$B$8,CONCATENATE(",",CHAR(10),"for ",Table3[[#This Row],[Duration (Years):]]," years"),"lifelong")</f>
        <v>#VALUE!</v>
      </c>
      <c r="AD39" s="166" t="str">
        <f t="shared" si="25"/>
        <v>x/</v>
      </c>
      <c r="AE39" s="166">
        <f t="shared" si="26"/>
        <v>0</v>
      </c>
    </row>
    <row r="40" spans="27:31" ht="14.25" x14ac:dyDescent="0.2">
      <c r="AA40" s="166" t="e">
        <f>IF(L58="lifetime", "one-time cost", IF(D58='Master Data'!$B$8, AD40 &amp; AE40, AD40 &amp; AE40 &amp; AC40))</f>
        <v>#VALUE!</v>
      </c>
      <c r="AB40" s="208" t="str">
        <f t="shared" si="24"/>
        <v>ongoing cost</v>
      </c>
      <c r="AC40" s="166" t="e">
        <f>IF(Table3[[#This Row],[Duration (Years):]]&lt;&gt;'Master Data'!$B$8,CONCATENATE(",",CHAR(10),"for ",Table3[[#This Row],[Duration (Years):]]," years"),"lifelong")</f>
        <v>#VALUE!</v>
      </c>
      <c r="AD40" s="166" t="str">
        <f t="shared" si="25"/>
        <v>x/</v>
      </c>
      <c r="AE40" s="166">
        <f t="shared" si="26"/>
        <v>0</v>
      </c>
    </row>
    <row r="41" spans="27:31" ht="14.25" x14ac:dyDescent="0.2">
      <c r="AA41" s="166" t="e">
        <f>IF(L59="lifetime", "one-time cost", IF(D59='Master Data'!$B$8, AD41 &amp; AE41, AD41 &amp; AE41 &amp; AC41))</f>
        <v>#VALUE!</v>
      </c>
      <c r="AB41" s="208" t="str">
        <f t="shared" si="24"/>
        <v>ongoing cost</v>
      </c>
      <c r="AC41" s="166" t="e">
        <f>IF(Table3[[#This Row],[Duration (Years):]]&lt;&gt;'Master Data'!$B$8,CONCATENATE(",",CHAR(10),"for ",Table3[[#This Row],[Duration (Years):]]," years"),"lifelong")</f>
        <v>#VALUE!</v>
      </c>
      <c r="AD41" s="166" t="str">
        <f t="shared" si="25"/>
        <v>x/</v>
      </c>
      <c r="AE41" s="166">
        <f t="shared" si="26"/>
        <v>0</v>
      </c>
    </row>
    <row r="42" spans="27:31" ht="14.25" x14ac:dyDescent="0.2">
      <c r="AA42" s="166" t="e">
        <f>IF(L60="lifetime", "one-time cost", IF(D60='Master Data'!$B$8, AD42 &amp; AE42, AD42 &amp; AE42 &amp; AC42))</f>
        <v>#VALUE!</v>
      </c>
      <c r="AB42" s="208" t="str">
        <f t="shared" si="24"/>
        <v>ongoing cost</v>
      </c>
      <c r="AC42" s="166" t="e">
        <f>IF(Table3[[#This Row],[Duration (Years):]]&lt;&gt;'Master Data'!$B$8,CONCATENATE(",",CHAR(10),"for ",Table3[[#This Row],[Duration (Years):]]," years"),"lifelong")</f>
        <v>#VALUE!</v>
      </c>
      <c r="AD42" s="166" t="str">
        <f t="shared" si="25"/>
        <v>x/</v>
      </c>
      <c r="AE42" s="166">
        <f t="shared" si="26"/>
        <v>0</v>
      </c>
    </row>
    <row r="43" spans="27:31" ht="14.25" x14ac:dyDescent="0.2">
      <c r="AA43" s="166" t="e">
        <f>IF(L61="lifetime", "one-time cost", IF(D61='Master Data'!$B$8, AD43 &amp; AE43, AD43 &amp; AE43 &amp; AC43))</f>
        <v>#VALUE!</v>
      </c>
      <c r="AB43" s="208" t="str">
        <f t="shared" si="24"/>
        <v>ongoing cost</v>
      </c>
      <c r="AC43" s="166" t="e">
        <f>IF(Table3[[#This Row],[Duration (Years):]]&lt;&gt;'Master Data'!$B$8,CONCATENATE(",",CHAR(10),"for ",Table3[[#This Row],[Duration (Years):]]," years"),"lifelong")</f>
        <v>#VALUE!</v>
      </c>
      <c r="AD43" s="166" t="str">
        <f t="shared" si="25"/>
        <v>x/</v>
      </c>
      <c r="AE43" s="166">
        <f t="shared" si="26"/>
        <v>0</v>
      </c>
    </row>
    <row r="44" spans="27:31" ht="14.25" x14ac:dyDescent="0.2">
      <c r="AA44" s="166" t="e">
        <f>IF(L62="lifetime", "one-time cost", IF(D62='Master Data'!$B$8, AD44 &amp; AE44, AD44 &amp; AE44 &amp; AC44))</f>
        <v>#VALUE!</v>
      </c>
      <c r="AB44" s="208" t="str">
        <f t="shared" si="24"/>
        <v>ongoing cost</v>
      </c>
      <c r="AC44" s="166" t="e">
        <f>IF(Table3[[#This Row],[Duration (Years):]]&lt;&gt;'Master Data'!$B$8,CONCATENATE(",",CHAR(10),"for ",Table3[[#This Row],[Duration (Years):]]," years"),"lifelong")</f>
        <v>#VALUE!</v>
      </c>
      <c r="AD44" s="166" t="str">
        <f t="shared" si="25"/>
        <v>x/</v>
      </c>
      <c r="AE44" s="166">
        <f t="shared" si="26"/>
        <v>0</v>
      </c>
    </row>
    <row r="45" spans="27:31" ht="14.25" x14ac:dyDescent="0.2">
      <c r="AA45" s="166" t="e">
        <f>IF(L63="lifetime", "one-time cost", IF(D63='Master Data'!$B$8, AD45 &amp; AE45, AD45 &amp; AE45 &amp; AC45))</f>
        <v>#VALUE!</v>
      </c>
      <c r="AB45" s="208" t="str">
        <f t="shared" si="24"/>
        <v>ongoing cost</v>
      </c>
      <c r="AC45" s="166" t="e">
        <f>IF(Table3[[#This Row],[Duration (Years):]]&lt;&gt;'Master Data'!$B$8,CONCATENATE(",",CHAR(10),"for ",Table3[[#This Row],[Duration (Years):]]," years"),"lifelong")</f>
        <v>#VALUE!</v>
      </c>
      <c r="AD45" s="166" t="str">
        <f t="shared" si="25"/>
        <v>x/</v>
      </c>
      <c r="AE45" s="166">
        <f t="shared" si="26"/>
        <v>0</v>
      </c>
    </row>
  </sheetData>
  <sortState xmlns:xlrd2="http://schemas.microsoft.com/office/spreadsheetml/2017/richdata2" ref="A3:S27">
    <sortCondition ref="D3"/>
    <sortCondition ref="A3"/>
  </sortState>
  <mergeCells count="3">
    <mergeCell ref="A1:S1"/>
    <mergeCell ref="A26:M26"/>
    <mergeCell ref="V3:W3"/>
  </mergeCells>
  <hyperlinks>
    <hyperlink ref="V3" location="Procedure1!A1" display="Link to copy/paste table here" xr:uid="{4C0F2C73-C11F-4370-8F90-ADAD021E9A40}"/>
    <hyperlink ref="V3:W3" location="'Proj Evals'!A1" display="Link to copy/paste table here" xr:uid="{15C70699-69C7-4979-944C-88C710D1B0CC}"/>
  </hyperlinks>
  <pageMargins left="0.25" right="0.25" top="0.75" bottom="0.75" header="0.3" footer="0.3"/>
  <pageSetup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42"/>
  <sheetViews>
    <sheetView workbookViewId="0">
      <selection sqref="A1:S1"/>
    </sheetView>
  </sheetViews>
  <sheetFormatPr defaultColWidth="9.140625" defaultRowHeight="14.25" x14ac:dyDescent="0.2"/>
  <cols>
    <col min="1" max="1" width="19.7109375" style="54" customWidth="1"/>
    <col min="2" max="3" width="9.7109375" style="55" hidden="1" customWidth="1"/>
    <col min="4" max="4" width="13.42578125" style="55" customWidth="1"/>
    <col min="5" max="6" width="13.28515625" style="56" customWidth="1"/>
    <col min="7" max="7" width="15.7109375" style="57" hidden="1" customWidth="1"/>
    <col min="8" max="11" width="8.7109375" style="58" customWidth="1"/>
    <col min="12" max="12" width="10.85546875" style="54" customWidth="1"/>
    <col min="13" max="13" width="17.7109375" style="59" customWidth="1"/>
    <col min="14" max="15" width="12.28515625" style="56" hidden="1" customWidth="1"/>
    <col min="16" max="16" width="14.7109375" style="60" customWidth="1"/>
    <col min="17" max="18" width="12.28515625" style="56" hidden="1" customWidth="1"/>
    <col min="19" max="19" width="14.7109375" style="60" customWidth="1"/>
    <col min="20" max="20" width="9.140625" style="46" customWidth="1"/>
    <col min="21" max="21" width="0" style="46" hidden="1" customWidth="1"/>
    <col min="22" max="26" width="9.140625" style="46"/>
    <col min="27" max="31" width="9.140625" style="46" hidden="1" customWidth="1"/>
    <col min="32" max="32" width="9.140625" style="46" customWidth="1"/>
    <col min="33" max="16384" width="9.140625" style="46"/>
  </cols>
  <sheetData>
    <row r="1" spans="1:31" ht="30" customHeight="1" thickTop="1" x14ac:dyDescent="0.2">
      <c r="A1" s="340" t="s">
        <v>115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2"/>
    </row>
    <row r="2" spans="1:31" s="47" customFormat="1" ht="57.75" thickBot="1" x14ac:dyDescent="0.3">
      <c r="A2" s="105" t="s">
        <v>33</v>
      </c>
      <c r="B2" s="106" t="s">
        <v>15</v>
      </c>
      <c r="C2" s="106" t="s">
        <v>16</v>
      </c>
      <c r="D2" s="106" t="s">
        <v>17</v>
      </c>
      <c r="E2" s="107" t="s">
        <v>18</v>
      </c>
      <c r="F2" s="107" t="s">
        <v>19</v>
      </c>
      <c r="G2" s="107" t="s">
        <v>29</v>
      </c>
      <c r="H2" s="108" t="s">
        <v>20</v>
      </c>
      <c r="I2" s="108" t="s">
        <v>21</v>
      </c>
      <c r="J2" s="108" t="s">
        <v>22</v>
      </c>
      <c r="K2" s="108" t="s">
        <v>23</v>
      </c>
      <c r="L2" s="109" t="s">
        <v>24</v>
      </c>
      <c r="M2" s="109" t="s">
        <v>30</v>
      </c>
      <c r="N2" s="107" t="s">
        <v>25</v>
      </c>
      <c r="O2" s="107" t="s">
        <v>26</v>
      </c>
      <c r="P2" s="109" t="s">
        <v>31</v>
      </c>
      <c r="Q2" s="107" t="s">
        <v>27</v>
      </c>
      <c r="R2" s="107" t="s">
        <v>28</v>
      </c>
      <c r="S2" s="110" t="s">
        <v>34</v>
      </c>
      <c r="U2" s="7" t="s">
        <v>48</v>
      </c>
      <c r="AA2" s="207" t="s">
        <v>148</v>
      </c>
      <c r="AB2" s="207" t="s">
        <v>144</v>
      </c>
      <c r="AC2" s="207" t="s">
        <v>145</v>
      </c>
      <c r="AD2" s="207" t="s">
        <v>146</v>
      </c>
      <c r="AE2" s="207" t="s">
        <v>147</v>
      </c>
    </row>
    <row r="3" spans="1:31" ht="45" customHeight="1" thickTop="1" x14ac:dyDescent="0.25">
      <c r="A3" s="34" t="s">
        <v>169</v>
      </c>
      <c r="B3" s="35">
        <f ca="1">'Master Data'!$B$6</f>
        <v>126.3</v>
      </c>
      <c r="C3" s="29">
        <f ca="1">'Master Data'!$B$7</f>
        <v>136.30000000000001</v>
      </c>
      <c r="D3" s="35">
        <f ca="1">ROUND(C3-B3,1)</f>
        <v>10</v>
      </c>
      <c r="E3" s="36" cm="1">
        <f t="array" ref="E3">SUMPRODUCT(
  ('Service to CPT Map'!$A$2:$A$1017=$A3)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336</v>
      </c>
      <c r="F3" s="36" cm="1">
        <f t="array" ref="F3">SUMPRODUCT(
  ('Service to CPT Map'!$A$2:$A$1017=$A3)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Map'!$A$2:$A$1017=$A3)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Map'!$A$2:$A$1017=$A3)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1938</v>
      </c>
      <c r="G3" s="37" t="str">
        <f>IF(E3&lt;F3,CONCATENATE(TEXT(E3,"$#,##0.00"),CHAR(10)," - ",CHAR(10),TEXT(F3,"$#,##0.00")),TEXT(E3,"$#,##0.00"))</f>
        <v>$336.00
 - 
$1,938.00</v>
      </c>
      <c r="H3" s="38">
        <v>36</v>
      </c>
      <c r="I3" s="38">
        <v>72</v>
      </c>
      <c r="J3" s="38"/>
      <c r="K3" s="38"/>
      <c r="L3" s="103" t="str">
        <f>IF(LEN(K3)=0,IF(LEN(J3)=0,"lifetime",IF(J3=1,"year","years")),"years")</f>
        <v>lifetime</v>
      </c>
      <c r="M3" s="39" t="str">
        <f>IF(L3="lifetime",
    IF(I3&lt;&gt;"", H3 &amp; "-" &amp; I3 &amp; "x/lifetime", H3 &amp; "x/lifetime"),
    IF(D3='Master Data'!$B$8, AD3 &amp; AE3, AD3 &amp; AE3 &amp; AC3))</f>
        <v>36-72x/lifetime</v>
      </c>
      <c r="N3" s="36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48,MinTimePeriod/48)),0),IF(OR(EXACT(TimeValue,"day"),EXACT(TimeValue,"days")),IF(OR(MinTimePeriod&gt;0,MaxTimePeriod&gt;0),MinFreq*MinCost/(IF(MaxTimePeriod&gt;0,MaxTimePeriod/365,MinTimePeriod/365))),"invalidinput"))))),2)</f>
        <v>0</v>
      </c>
      <c r="O3" s="36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48),IF(OR(EXACT(TimeValue,"day"),EXACT(TimeValue,"days")),IF(OR(MinTimePeriod&gt;0,MaxTimePeriod&gt;0),IF(MaxFreq&gt;0,MaxFreq,MinFreq))*MaxCost/(MinTimePeriod/365),"invalidinput"))))),2)</f>
        <v>0</v>
      </c>
      <c r="P3" s="49" t="str">
        <f>IF(N3&lt;O3,CONCATENATE(TEXT(N3,"$#,##0.00"),CHAR(10)," - ",CHAR(10),TEXT(O3,"$#,##0.00")),TEXT(N3,"$0.00"))</f>
        <v>$0.00</v>
      </c>
      <c r="Q3" s="36">
        <f>ROUND(IF(TimeValue="lifetime",MinCost*MinFreq,0),2)</f>
        <v>12096</v>
      </c>
      <c r="R3" s="36">
        <f>ROUND(IF(AND(TimeValue="lifetime",MaxFreq&lt;1),MinFreq*MaxCost,IF(AND(TimeValue="lifetime",MaxFreq&gt;=1),MaxFreq*MaxCost,0)),2)</f>
        <v>139536</v>
      </c>
      <c r="S3" s="50" t="str">
        <f>IF(Q3&lt;R3,CONCATENATE(TEXT(Q3,"$#,##0.00"),CHAR(10)," - ",CHAR(10),TEXT(R3,"$#,##0.00")),TEXT(Q3,"$.00"))</f>
        <v>$12,096.00
 - 
$139,536.00</v>
      </c>
      <c r="U3" s="46" t="str">
        <f t="array" aca="1" ref="U3" ca="1">IF(AND(ROUND(Table15[Duration (Years):],1)='Master Data'!$B$8),"same","different")</f>
        <v>same</v>
      </c>
      <c r="V3" s="345" t="s">
        <v>133</v>
      </c>
      <c r="W3" s="345"/>
      <c r="AA3" s="166" t="str">
        <f>IF(L3="lifetime", "one-time cost", IF(D3='Master Data'!$B$8, AD3 &amp; AE3, AD3 &amp; AE3 &amp; AC3))</f>
        <v>one-time cost</v>
      </c>
      <c r="AB3" s="208" t="str">
        <f>IF(L3="lifetime", IF(I3&lt;&gt;"", H3 &amp; "-" &amp; I3 &amp; "x/lifetime", H3 &amp; "x/lifetime"), "ongoing cost")</f>
        <v>36-72x/lifetime</v>
      </c>
      <c r="AC3" s="166" t="str">
        <f ca="1">IF(Table15[[#This Row],[Duration (Years):]]&lt;&gt;'Master Data'!$B$8,CONCATENATE(",",CHAR(10),"for ",Table15[[#This Row],[Duration (Years):]]," years"),"lifelong")</f>
        <v>lifelong</v>
      </c>
      <c r="AD3" s="166" t="str">
        <f>IF(L3="lifetime", "one-time cost", IF(I3&lt;&gt;"", H3 &amp; "-" &amp; I3 &amp; "x/", H3 &amp; "x/"))</f>
        <v>one-time cost</v>
      </c>
      <c r="AE3" s="166" t="str">
        <f>IF(L3="lifetime", "one-time cost", IF(K3&lt;&gt;"", J3 &amp; "-" &amp; K3 &amp; " " &amp; L3, IF(J3&gt;1, J3 &amp; " " &amp; L3, L3)))</f>
        <v>one-time cost</v>
      </c>
    </row>
    <row r="4" spans="1:31" ht="45" customHeight="1" x14ac:dyDescent="0.2">
      <c r="A4" s="28" t="s">
        <v>236</v>
      </c>
      <c r="B4" s="29">
        <f ca="1">'Master Data'!$B$6</f>
        <v>126.3</v>
      </c>
      <c r="C4" s="29">
        <f ca="1">'Master Data'!$B$7</f>
        <v>136.30000000000001</v>
      </c>
      <c r="D4" s="29">
        <f ca="1">ROUND(C4-B4,1)</f>
        <v>10</v>
      </c>
      <c r="E4" s="30" cm="1">
        <f t="array" ref="E4">SUMPRODUCT(
  ('Service to CPT Map'!$A$2:$A$1017=$A4)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291</v>
      </c>
      <c r="F4" s="30" cm="1">
        <f t="array" ref="F4">SUMPRODUCT(
  ('Service to CPT Map'!$A$2:$A$1017=$A4)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Map'!$A$2:$A$1017=$A4)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Map'!$A$2:$A$1017=$A4)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291</v>
      </c>
      <c r="G4" s="31" t="str">
        <f>IF(E4&lt;F4,CONCATENATE(TEXT(E4,"$#,##0.00"),CHAR(10)," - ",CHAR(10),TEXT(F4,"$#,##0.00")),TEXT(E4,"$#,##0.00"))</f>
        <v>$291.00</v>
      </c>
      <c r="H4" s="32">
        <v>1</v>
      </c>
      <c r="I4" s="32"/>
      <c r="J4" s="32"/>
      <c r="K4" s="32"/>
      <c r="L4" s="103" t="str">
        <f>IF(LEN(K4)=0,IF(LEN(J4)=0,"lifetime",IF(J4=1,"year","years")),"years")</f>
        <v>lifetime</v>
      </c>
      <c r="M4" s="33" t="str">
        <f>IF(L4="lifetime",
    IF(I4&lt;&gt;"", H4 &amp; "-" &amp; I4 &amp; "x/lifetime", H4 &amp; "x/lifetime"),
    IF(D4='Master Data'!$B$8, AD4 &amp; AE4, AD4 &amp; AE4 &amp; AC4))</f>
        <v>1x/lifetime</v>
      </c>
      <c r="N4" s="30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48,MinTimePeriod/48)),0),IF(OR(EXACT(TimeValue,"day"),EXACT(TimeValue,"days")),IF(OR(MinTimePeriod&gt;0,MaxTimePeriod&gt;0),MinFreq*MinCost/(IF(MaxTimePeriod&gt;0,MaxTimePeriod/365,MinTimePeriod/365))),"invalidinput"))))),2)</f>
        <v>0</v>
      </c>
      <c r="O4" s="30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48),IF(OR(EXACT(TimeValue,"day"),EXACT(TimeValue,"days")),IF(OR(MinTimePeriod&gt;0,MaxTimePeriod&gt;0),IF(MaxFreq&gt;0,MaxFreq,MinFreq))*MaxCost/(MinTimePeriod/365),"invalidinput"))))),2)</f>
        <v>0</v>
      </c>
      <c r="P4" s="52" t="str">
        <f>IF(N4&lt;O4,CONCATENATE(TEXT(N4,"$#,##0.00"),CHAR(10)," - ",CHAR(10),TEXT(O4,"$#,##0.00")),TEXT(N4,"$0.00"))</f>
        <v>$0.00</v>
      </c>
      <c r="Q4" s="30">
        <f>ROUND(IF(TimeValue="lifetime",MinCost*MinFreq,0),2)</f>
        <v>291</v>
      </c>
      <c r="R4" s="30">
        <f>ROUND(IF(AND(TimeValue="lifetime",MaxFreq&lt;1),MinFreq*MaxCost,IF(AND(TimeValue="lifetime",MaxFreq&gt;=1),MaxFreq*MaxCost,0)),2)</f>
        <v>291</v>
      </c>
      <c r="S4" s="53" t="str">
        <f>IF(Q4&lt;R4,CONCATENATE(TEXT(Q4,"$#,##0.00"),CHAR(10)," - ",CHAR(10),TEXT(R4,"$#,##0.00")),TEXT(Q4,"$.00"))</f>
        <v>$291.00</v>
      </c>
      <c r="AA4" s="166" t="str">
        <f>IF(L4="lifetime", "one-time cost", IF(D4='Master Data'!$B$8, AD4 &amp; AE4, AD4 &amp; AE4 &amp; AC4))</f>
        <v>one-time cost</v>
      </c>
      <c r="AB4" s="208" t="str">
        <f>IF(L4="lifetime", IF(I4&lt;&gt;"", H4 &amp; "-" &amp; I4 &amp; "x/lifetime", H4 &amp; "x/lifetime"), "ongoing cost")</f>
        <v>1x/lifetime</v>
      </c>
      <c r="AC4" s="166" t="str">
        <f ca="1">IF(Table15[[#This Row],[Duration (Years):]]&lt;&gt;'Master Data'!$B$8,CONCATENATE(",",CHAR(10),"for ",Table15[[#This Row],[Duration (Years):]]," years"),"lifelong")</f>
        <v>lifelong</v>
      </c>
      <c r="AD4" s="166" t="str">
        <f>IF(L4="lifetime", "one-time cost", IF(I4&lt;&gt;"", H4 &amp; "-" &amp; I4 &amp; "x/", H4 &amp; "x/"))</f>
        <v>one-time cost</v>
      </c>
      <c r="AE4" s="166" t="str">
        <f>IF(L4="lifetime", "one-time cost", IF(K4&lt;&gt;"", J4 &amp; "-" &amp; K4 &amp; " " &amp; L4, IF(J4&gt;1, J4 &amp; " " &amp; L4, L4)))</f>
        <v>one-time cost</v>
      </c>
    </row>
    <row r="5" spans="1:31" ht="45" customHeight="1" x14ac:dyDescent="0.2">
      <c r="A5" s="93" t="s">
        <v>237</v>
      </c>
      <c r="B5" s="82">
        <f ca="1">'Master Data'!$B$6</f>
        <v>126.3</v>
      </c>
      <c r="C5" s="82">
        <f ca="1">'Master Data'!$B$7</f>
        <v>136.30000000000001</v>
      </c>
      <c r="D5" s="82">
        <f t="shared" ref="D5:D15" ca="1" si="0">ROUND(C5-B5,1)</f>
        <v>10</v>
      </c>
      <c r="E5" s="83" cm="1">
        <f t="array" ref="E5">SUMPRODUCT(
  ('Service to CPT Map'!$A$2:$A$1017=$A5)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323</v>
      </c>
      <c r="F5" s="83" cm="1">
        <f t="array" ref="F5">SUMPRODUCT(
  ('Service to CPT Map'!$A$2:$A$1017=$A5)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Map'!$A$2:$A$1017=$A5)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Map'!$A$2:$A$1017=$A5)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407</v>
      </c>
      <c r="G5" s="84" t="str">
        <f>IF(E5&lt;F5,CONCATENATE(TEXT(E5,"$#,##0.00"),CHAR(10)," - ",CHAR(10),TEXT(F5,"$#,##0.00")),TEXT(E5,"$#,##0.00"))</f>
        <v>$323.00
 - 
$407.00</v>
      </c>
      <c r="H5" s="85">
        <v>12</v>
      </c>
      <c r="I5" s="85"/>
      <c r="J5" s="85"/>
      <c r="K5" s="85"/>
      <c r="L5" s="103" t="str">
        <f>IF(LEN(K5)=0,IF(LEN(J5)=0,"lifetime",IF(J5=1,"year","years")),"years")</f>
        <v>lifetime</v>
      </c>
      <c r="M5" s="86" t="str">
        <f>IF(L5="lifetime",
    IF(I5&lt;&gt;"", H5 &amp; "-" &amp; I5 &amp; "x/lifetime", H5 &amp; "x/lifetime"),
    IF(D5='Master Data'!$B$8, AD5 &amp; AE5, AD5 &amp; AE5 &amp; AC5))</f>
        <v>12x/lifetime</v>
      </c>
      <c r="N5" s="83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48,MinTimePeriod/48)),0),IF(OR(EXACT(TimeValue,"day"),EXACT(TimeValue,"days")),IF(OR(MinTimePeriod&gt;0,MaxTimePeriod&gt;0),MinFreq*MinCost/(IF(MaxTimePeriod&gt;0,MaxTimePeriod/365,MinTimePeriod/365))),"invalidinput"))))),2)</f>
        <v>0</v>
      </c>
      <c r="O5" s="83">
        <f t="shared" ref="O5:O15" si="1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48),IF(OR(EXACT(TimeValue,"day"),EXACT(TimeValue,"days")),IF(OR(MinTimePeriod&gt;0,MaxTimePeriod&gt;0),IF(MaxFreq&gt;0,MaxFreq,MinFreq))*MaxCost/(MinTimePeriod/365),"invalidinput"))))),2)</f>
        <v>0</v>
      </c>
      <c r="P5" s="87" t="str">
        <f>IF(N5&lt;O5,CONCATENATE(TEXT(N5,"$#,##0.00"),CHAR(10)," - ",CHAR(10),TEXT(O5,"$#,##0.00")),TEXT(N5,"$0.00"))</f>
        <v>$0.00</v>
      </c>
      <c r="Q5" s="83">
        <f t="shared" ref="Q5:Q15" si="2">ROUND(IF(TimeValue="lifetime",MinCost*MinFreq,0),2)</f>
        <v>3876</v>
      </c>
      <c r="R5" s="83">
        <f t="shared" ref="R5:R15" si="3">ROUND(IF(AND(TimeValue="lifetime",MaxFreq&lt;1),MinFreq*MaxCost,IF(AND(TimeValue="lifetime",MaxFreq&gt;=1),MaxFreq*MaxCost,0)),2)</f>
        <v>4884</v>
      </c>
      <c r="S5" s="88" t="str">
        <f>IF(Q5&lt;R5,CONCATENATE(TEXT(Q5,"$#,##0.00"),CHAR(10)," - ",CHAR(10),TEXT(R5,"$#,##0.00")),TEXT(Q5,"$.00"))</f>
        <v>$3,876.00
 - 
$4,884.00</v>
      </c>
      <c r="AA5" s="166" t="str">
        <f>IF(L5="lifetime", "one-time cost", IF(D5='Master Data'!$B$8, AD5 &amp; AE5, AD5 &amp; AE5 &amp; AC5))</f>
        <v>one-time cost</v>
      </c>
      <c r="AB5" s="208" t="str">
        <f>IF(L5="lifetime", IF(I5&lt;&gt;"", H5 &amp; "-" &amp; I5 &amp; "x/lifetime", H5 &amp; "x/lifetime"), "ongoing cost")</f>
        <v>12x/lifetime</v>
      </c>
      <c r="AC5" s="166" t="str">
        <f ca="1">IF(Table15[[#This Row],[Duration (Years):]]&lt;&gt;'Master Data'!$B$8,CONCATENATE(",",CHAR(10),"for ",Table15[[#This Row],[Duration (Years):]]," years"),"lifelong")</f>
        <v>lifelong</v>
      </c>
      <c r="AD5" s="166" t="str">
        <f>IF(L5="lifetime", "one-time cost", IF(I5&lt;&gt;"", H5 &amp; "-" &amp; I5 &amp; "x/", H5 &amp; "x/"))</f>
        <v>one-time cost</v>
      </c>
      <c r="AE5" s="166" t="str">
        <f>IF(L5="lifetime", "one-time cost", IF(K5&lt;&gt;"", J5 &amp; "-" &amp; K5 &amp; " " &amp; L5, IF(J5&gt;1, J5 &amp; " " &amp; L5, L5)))</f>
        <v>one-time cost</v>
      </c>
    </row>
    <row r="6" spans="1:31" ht="45" customHeight="1" x14ac:dyDescent="0.2">
      <c r="A6" s="93"/>
      <c r="B6" s="82">
        <f ca="1">'Master Data'!$B$6</f>
        <v>126.3</v>
      </c>
      <c r="C6" s="82">
        <f ca="1">'Master Data'!$B$7</f>
        <v>136.30000000000001</v>
      </c>
      <c r="D6" s="82">
        <f t="shared" ca="1" si="0"/>
        <v>10</v>
      </c>
      <c r="E6" s="83" cm="1">
        <f t="array" ref="E6">SUMPRODUCT(
  ('Service to CPT Map'!$A$2:$A$1017=$A6)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6" s="83" cm="1">
        <f t="array" ref="F6">SUMPRODUCT(
  ('Service to CPT Map'!$A$2:$A$1017=$A6)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Map'!$A$2:$A$1017=$A6)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Map'!$A$2:$A$1017=$A6)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6" s="84" t="str">
        <f t="shared" ref="G6:G15" si="4">IF(E6&lt;F6,CONCATENATE(TEXT(E6,"$#,##0.00"),CHAR(10)," - ",CHAR(10),TEXT(F6,"$#,##0.00")),TEXT(E6,"$#,##0.00"))</f>
        <v>$0.00</v>
      </c>
      <c r="H6" s="85"/>
      <c r="I6" s="85"/>
      <c r="J6" s="85"/>
      <c r="K6" s="85"/>
      <c r="L6" s="103" t="str">
        <f t="shared" ref="L6:L15" si="5">IF(LEN(K6)=0,IF(LEN(J6)=0,"lifetime",IF(J6=1,"year","years")),"years")</f>
        <v>lifetime</v>
      </c>
      <c r="M6" s="86" t="str">
        <f>IF(L6="lifetime",
    IF(I6&lt;&gt;"", H6 &amp; "-" &amp; I6 &amp; "x/lifetime", H6 &amp; "x/lifetime"),
    IF(D6='Master Data'!$B$8, AD6 &amp; AE6, AD6 &amp; AE6 &amp; AC6))</f>
        <v>x/lifetime</v>
      </c>
      <c r="N6" s="83">
        <f t="shared" ref="N6:N15" si="6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48,MinTimePeriod/48)),0),IF(OR(EXACT(TimeValue,"day"),EXACT(TimeValue,"days")),IF(OR(MinTimePeriod&gt;0,MaxTimePeriod&gt;0),MinFreq*MinCost/(IF(MaxTimePeriod&gt;0,MaxTimePeriod/365,MinTimePeriod/365))),"invalidinput"))))),2)</f>
        <v>0</v>
      </c>
      <c r="O6" s="83">
        <f t="shared" si="1"/>
        <v>0</v>
      </c>
      <c r="P6" s="87" t="str">
        <f t="shared" ref="P6:P15" si="7">IF(N6&lt;O6,CONCATENATE(TEXT(N6,"$#,##0.00"),CHAR(10)," - ",CHAR(10),TEXT(O6,"$#,##0.00")),TEXT(N6,"$0.00"))</f>
        <v>$0.00</v>
      </c>
      <c r="Q6" s="83">
        <f t="shared" si="2"/>
        <v>0</v>
      </c>
      <c r="R6" s="83">
        <f t="shared" si="3"/>
        <v>0</v>
      </c>
      <c r="S6" s="88" t="str">
        <f t="shared" ref="S6:S15" si="8">IF(Q6&lt;R6,CONCATENATE(TEXT(Q6,"$#,##0.00"),CHAR(10)," - ",CHAR(10),TEXT(R6,"$#,##0.00")),TEXT(Q6,"$.00"))</f>
        <v>$.00</v>
      </c>
      <c r="AA6" s="166" t="str">
        <f>IF(L6="lifetime", "one-time cost", IF(D6='Master Data'!$B$8, AD6 &amp; AE6, AD6 &amp; AE6 &amp; AC6))</f>
        <v>one-time cost</v>
      </c>
      <c r="AB6" s="208" t="str">
        <f>IF(L6="lifetime", IF(I6&lt;&gt;"", H6 &amp; "-" &amp; I6 &amp; "x/lifetime", H6 &amp; "x/lifetime"), "ongoing cost")</f>
        <v>x/lifetime</v>
      </c>
      <c r="AC6" s="166" t="str">
        <f ca="1">IF(Table15[[#This Row],[Duration (Years):]]&lt;&gt;'Master Data'!$B$8,CONCATENATE(",",CHAR(10),"for ",Table15[[#This Row],[Duration (Years):]]," years"),"lifelong")</f>
        <v>lifelong</v>
      </c>
      <c r="AD6" s="166" t="str">
        <f>IF(L6="lifetime", "one-time cost", IF(I6&lt;&gt;"", H6 &amp; "-" &amp; I6 &amp; "x/", H6 &amp; "x/"))</f>
        <v>one-time cost</v>
      </c>
      <c r="AE6" s="166" t="str">
        <f>IF(L6="lifetime", "one-time cost", IF(K6&lt;&gt;"", J6 &amp; "-" &amp; K6 &amp; " " &amp; L6, IF(J6&gt;1, J6 &amp; " " &amp; L6, L6)))</f>
        <v>one-time cost</v>
      </c>
    </row>
    <row r="7" spans="1:31" ht="45" customHeight="1" x14ac:dyDescent="0.2">
      <c r="A7" s="93"/>
      <c r="B7" s="82">
        <f ca="1">'Master Data'!$B$6</f>
        <v>126.3</v>
      </c>
      <c r="C7" s="82">
        <f ca="1">'Master Data'!$B$7</f>
        <v>136.30000000000001</v>
      </c>
      <c r="D7" s="82">
        <f t="shared" ca="1" si="0"/>
        <v>10</v>
      </c>
      <c r="E7" s="83" cm="1">
        <f t="array" ref="E7">SUMPRODUCT(
  ('Service to CPT Map'!$A$2:$A$1017=$A7)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7" s="83" cm="1">
        <f t="array" ref="F7">SUMPRODUCT(
  ('Service to CPT Map'!$A$2:$A$1017=$A7)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Map'!$A$2:$A$1017=$A7)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Map'!$A$2:$A$1017=$A7)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7" s="84" t="str">
        <f t="shared" si="4"/>
        <v>$0.00</v>
      </c>
      <c r="H7" s="85"/>
      <c r="I7" s="85"/>
      <c r="J7" s="85"/>
      <c r="K7" s="85"/>
      <c r="L7" s="103" t="str">
        <f t="shared" si="5"/>
        <v>lifetime</v>
      </c>
      <c r="M7" s="86" t="str">
        <f>IF(L7="lifetime",
    IF(I7&lt;&gt;"", H7 &amp; "-" &amp; I7 &amp; "x/lifetime", H7 &amp; "x/lifetime"),
    IF(D7='Master Data'!$B$8, AD7 &amp; AE7, AD7 &amp; AE7 &amp; AC7))</f>
        <v>x/lifetime</v>
      </c>
      <c r="N7" s="83">
        <f t="shared" si="6"/>
        <v>0</v>
      </c>
      <c r="O7" s="83">
        <f t="shared" si="1"/>
        <v>0</v>
      </c>
      <c r="P7" s="87" t="str">
        <f t="shared" si="7"/>
        <v>$0.00</v>
      </c>
      <c r="Q7" s="83">
        <f t="shared" si="2"/>
        <v>0</v>
      </c>
      <c r="R7" s="83">
        <f t="shared" si="3"/>
        <v>0</v>
      </c>
      <c r="S7" s="88" t="str">
        <f t="shared" si="8"/>
        <v>$.00</v>
      </c>
      <c r="AA7" s="166" t="str">
        <f>IF(L7="lifetime", "one-time cost", IF(D7='Master Data'!$B$8, AD7 &amp; AE7, AD7 &amp; AE7 &amp; AC7))</f>
        <v>one-time cost</v>
      </c>
      <c r="AB7" s="208" t="str">
        <f t="shared" ref="AB7:AB14" si="9">IF(L7="lifetime", IF(I7&lt;&gt;"", H7 &amp; "-" &amp; I7 &amp; "x/lifetime", H7 &amp; "x/lifetime"), "ongoing cost")</f>
        <v>x/lifetime</v>
      </c>
      <c r="AC7" s="166" t="str">
        <f ca="1">IF(Table15[[#This Row],[Duration (Years):]]&lt;&gt;'Master Data'!$B$8,CONCATENATE(",",CHAR(10),"for ",Table15[[#This Row],[Duration (Years):]]," years"),"lifelong")</f>
        <v>lifelong</v>
      </c>
      <c r="AD7" s="166" t="str">
        <f t="shared" ref="AD7:AD14" si="10">IF(L7="lifetime", "one-time cost", IF(I7&lt;&gt;"", H7 &amp; "-" &amp; I7 &amp; "x/", H7 &amp; "x/"))</f>
        <v>one-time cost</v>
      </c>
      <c r="AE7" s="166" t="str">
        <f t="shared" ref="AE7:AE14" si="11">IF(L7="lifetime", "one-time cost", IF(K7&lt;&gt;"", J7 &amp; "-" &amp; K7 &amp; " " &amp; L7, IF(J7&gt;1, J7 &amp; " " &amp; L7, L7)))</f>
        <v>one-time cost</v>
      </c>
    </row>
    <row r="8" spans="1:31" ht="45" customHeight="1" x14ac:dyDescent="0.2">
      <c r="A8" s="93"/>
      <c r="B8" s="82">
        <f ca="1">'Master Data'!$B$6</f>
        <v>126.3</v>
      </c>
      <c r="C8" s="82">
        <f ca="1">'Master Data'!$B$7</f>
        <v>136.30000000000001</v>
      </c>
      <c r="D8" s="82">
        <f t="shared" ca="1" si="0"/>
        <v>10</v>
      </c>
      <c r="E8" s="83" cm="1">
        <f t="array" ref="E8">SUMPRODUCT(
  ('Service to CPT Map'!$A$2:$A$1017=$A8)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8" s="83" cm="1">
        <f t="array" ref="F8">SUMPRODUCT(
  ('Service to CPT Map'!$A$2:$A$1017=$A8)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Map'!$A$2:$A$1017=$A8)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Map'!$A$2:$A$1017=$A8)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8" s="84" t="str">
        <f t="shared" si="4"/>
        <v>$0.00</v>
      </c>
      <c r="H8" s="85"/>
      <c r="I8" s="85"/>
      <c r="J8" s="85"/>
      <c r="K8" s="85"/>
      <c r="L8" s="103" t="str">
        <f t="shared" si="5"/>
        <v>lifetime</v>
      </c>
      <c r="M8" s="86" t="str">
        <f>IF(L8="lifetime",
    IF(I8&lt;&gt;"", H8 &amp; "-" &amp; I8 &amp; "x/lifetime", H8 &amp; "x/lifetime"),
    IF(D8='Master Data'!$B$8, AD8 &amp; AE8, AD8 &amp; AE8 &amp; AC8))</f>
        <v>x/lifetime</v>
      </c>
      <c r="N8" s="83">
        <f t="shared" si="6"/>
        <v>0</v>
      </c>
      <c r="O8" s="83">
        <f t="shared" si="1"/>
        <v>0</v>
      </c>
      <c r="P8" s="87" t="str">
        <f t="shared" si="7"/>
        <v>$0.00</v>
      </c>
      <c r="Q8" s="83">
        <f t="shared" si="2"/>
        <v>0</v>
      </c>
      <c r="R8" s="83">
        <f t="shared" si="3"/>
        <v>0</v>
      </c>
      <c r="S8" s="88" t="str">
        <f t="shared" si="8"/>
        <v>$.00</v>
      </c>
      <c r="AA8" s="166" t="str">
        <f>IF(L8="lifetime", "one-time cost", IF(D8='Master Data'!$B$8, AD8 &amp; AE8, AD8 &amp; AE8 &amp; AC8))</f>
        <v>one-time cost</v>
      </c>
      <c r="AB8" s="208" t="str">
        <f t="shared" si="9"/>
        <v>x/lifetime</v>
      </c>
      <c r="AC8" s="166" t="str">
        <f ca="1">IF(Table15[[#This Row],[Duration (Years):]]&lt;&gt;'Master Data'!$B$8,CONCATENATE(",",CHAR(10),"for ",Table15[[#This Row],[Duration (Years):]]," years"),"lifelong")</f>
        <v>lifelong</v>
      </c>
      <c r="AD8" s="166" t="str">
        <f t="shared" si="10"/>
        <v>one-time cost</v>
      </c>
      <c r="AE8" s="166" t="str">
        <f t="shared" si="11"/>
        <v>one-time cost</v>
      </c>
    </row>
    <row r="9" spans="1:31" ht="45" customHeight="1" x14ac:dyDescent="0.2">
      <c r="A9" s="93"/>
      <c r="B9" s="82">
        <f ca="1">'Master Data'!$B$6</f>
        <v>126.3</v>
      </c>
      <c r="C9" s="82">
        <f ca="1">'Master Data'!$B$7</f>
        <v>136.30000000000001</v>
      </c>
      <c r="D9" s="82">
        <f t="shared" ca="1" si="0"/>
        <v>10</v>
      </c>
      <c r="E9" s="83" cm="1">
        <f t="array" ref="E9">SUMPRODUCT(
  ('Service to CPT Map'!$A$2:$A$1017=$A9)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9" s="83" cm="1">
        <f t="array" ref="F9">SUMPRODUCT(
  ('Service to CPT Map'!$A$2:$A$1017=$A9)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Map'!$A$2:$A$1017=$A9)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Map'!$A$2:$A$1017=$A9)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9" s="84" t="str">
        <f t="shared" si="4"/>
        <v>$0.00</v>
      </c>
      <c r="H9" s="85"/>
      <c r="I9" s="85"/>
      <c r="J9" s="85"/>
      <c r="K9" s="85"/>
      <c r="L9" s="103" t="str">
        <f t="shared" si="5"/>
        <v>lifetime</v>
      </c>
      <c r="M9" s="86" t="str">
        <f>IF(L9="lifetime",
    IF(I9&lt;&gt;"", H9 &amp; "-" &amp; I9 &amp; "x/lifetime", H9 &amp; "x/lifetime"),
    IF(D9='Master Data'!$B$8, AD9 &amp; AE9, AD9 &amp; AE9 &amp; AC9))</f>
        <v>x/lifetime</v>
      </c>
      <c r="N9" s="83">
        <f t="shared" si="6"/>
        <v>0</v>
      </c>
      <c r="O9" s="83">
        <f t="shared" si="1"/>
        <v>0</v>
      </c>
      <c r="P9" s="87" t="str">
        <f t="shared" si="7"/>
        <v>$0.00</v>
      </c>
      <c r="Q9" s="83">
        <f t="shared" si="2"/>
        <v>0</v>
      </c>
      <c r="R9" s="83">
        <f t="shared" si="3"/>
        <v>0</v>
      </c>
      <c r="S9" s="88" t="str">
        <f t="shared" si="8"/>
        <v>$.00</v>
      </c>
      <c r="AA9" s="166" t="str">
        <f>IF(L9="lifetime", "one-time cost", IF(D9='Master Data'!$B$8, AD9 &amp; AE9, AD9 &amp; AE9 &amp; AC9))</f>
        <v>one-time cost</v>
      </c>
      <c r="AB9" s="208" t="str">
        <f t="shared" si="9"/>
        <v>x/lifetime</v>
      </c>
      <c r="AC9" s="166" t="str">
        <f ca="1">IF(Table15[[#This Row],[Duration (Years):]]&lt;&gt;'Master Data'!$B$8,CONCATENATE(",",CHAR(10),"for ",Table15[[#This Row],[Duration (Years):]]," years"),"lifelong")</f>
        <v>lifelong</v>
      </c>
      <c r="AD9" s="166" t="str">
        <f t="shared" si="10"/>
        <v>one-time cost</v>
      </c>
      <c r="AE9" s="166" t="str">
        <f t="shared" si="11"/>
        <v>one-time cost</v>
      </c>
    </row>
    <row r="10" spans="1:31" ht="45" customHeight="1" x14ac:dyDescent="0.2">
      <c r="A10" s="93"/>
      <c r="B10" s="82">
        <f ca="1">'Master Data'!$B$6</f>
        <v>126.3</v>
      </c>
      <c r="C10" s="82">
        <f ca="1">'Master Data'!$B$7</f>
        <v>136.30000000000001</v>
      </c>
      <c r="D10" s="82">
        <f t="shared" ca="1" si="0"/>
        <v>10</v>
      </c>
      <c r="E10" s="83" cm="1">
        <f t="array" ref="E10">SUMPRODUCT(
  ('Service to CPT Map'!$A$2:$A$1017=$A10)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0" s="83" cm="1">
        <f t="array" ref="F10">SUMPRODUCT(
  ('Service to CPT Map'!$A$2:$A$1017=$A10)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Map'!$A$2:$A$1017=$A10)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Map'!$A$2:$A$1017=$A10)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0" s="84" t="str">
        <f t="shared" si="4"/>
        <v>$0.00</v>
      </c>
      <c r="H10" s="85"/>
      <c r="I10" s="85"/>
      <c r="J10" s="85"/>
      <c r="K10" s="85"/>
      <c r="L10" s="103" t="str">
        <f t="shared" si="5"/>
        <v>lifetime</v>
      </c>
      <c r="M10" s="86" t="str">
        <f>IF(L10="lifetime",
    IF(I10&lt;&gt;"", H10 &amp; "-" &amp; I10 &amp; "x/lifetime", H10 &amp; "x/lifetime"),
    IF(D10='Master Data'!$B$8, AD10 &amp; AE10, AD10 &amp; AE10 &amp; AC10))</f>
        <v>x/lifetime</v>
      </c>
      <c r="N10" s="83">
        <f t="shared" si="6"/>
        <v>0</v>
      </c>
      <c r="O10" s="83">
        <f t="shared" si="1"/>
        <v>0</v>
      </c>
      <c r="P10" s="87" t="str">
        <f t="shared" si="7"/>
        <v>$0.00</v>
      </c>
      <c r="Q10" s="83">
        <f t="shared" si="2"/>
        <v>0</v>
      </c>
      <c r="R10" s="83">
        <f t="shared" si="3"/>
        <v>0</v>
      </c>
      <c r="S10" s="88" t="str">
        <f t="shared" si="8"/>
        <v>$.00</v>
      </c>
      <c r="AA10" s="166" t="str">
        <f>IF(L10="lifetime", "one-time cost", IF(D10='Master Data'!$B$8, AD10 &amp; AE10, AD10 &amp; AE10 &amp; AC10))</f>
        <v>one-time cost</v>
      </c>
      <c r="AB10" s="208" t="str">
        <f t="shared" si="9"/>
        <v>x/lifetime</v>
      </c>
      <c r="AC10" s="166" t="str">
        <f ca="1">IF(Table15[[#This Row],[Duration (Years):]]&lt;&gt;'Master Data'!$B$8,CONCATENATE(",",CHAR(10),"for ",Table15[[#This Row],[Duration (Years):]]," years"),"lifelong")</f>
        <v>lifelong</v>
      </c>
      <c r="AD10" s="166" t="str">
        <f t="shared" si="10"/>
        <v>one-time cost</v>
      </c>
      <c r="AE10" s="166" t="str">
        <f t="shared" si="11"/>
        <v>one-time cost</v>
      </c>
    </row>
    <row r="11" spans="1:31" ht="45" customHeight="1" x14ac:dyDescent="0.2">
      <c r="A11" s="93"/>
      <c r="B11" s="82">
        <f ca="1">'Master Data'!$B$6</f>
        <v>126.3</v>
      </c>
      <c r="C11" s="82">
        <f ca="1">'Master Data'!$B$7</f>
        <v>136.30000000000001</v>
      </c>
      <c r="D11" s="82">
        <f t="shared" ca="1" si="0"/>
        <v>10</v>
      </c>
      <c r="E11" s="83" cm="1">
        <f t="array" ref="E11">SUMPRODUCT(
  ('Service to CPT Map'!$A$2:$A$1017=$A11)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1" s="83" cm="1">
        <f t="array" ref="F11">SUMPRODUCT(
  ('Service to CPT Map'!$A$2:$A$1017=$A11)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Map'!$A$2:$A$1017=$A11)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Map'!$A$2:$A$1017=$A11)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1" s="84" t="str">
        <f t="shared" si="4"/>
        <v>$0.00</v>
      </c>
      <c r="H11" s="85"/>
      <c r="I11" s="85"/>
      <c r="J11" s="85"/>
      <c r="K11" s="85"/>
      <c r="L11" s="103" t="str">
        <f t="shared" si="5"/>
        <v>lifetime</v>
      </c>
      <c r="M11" s="86" t="str">
        <f>IF(L11="lifetime",
    IF(I11&lt;&gt;"", H11 &amp; "-" &amp; I11 &amp; "x/lifetime", H11 &amp; "x/lifetime"),
    IF(D11='Master Data'!$B$8, AD11 &amp; AE11, AD11 &amp; AE11 &amp; AC11))</f>
        <v>x/lifetime</v>
      </c>
      <c r="N11" s="83">
        <f t="shared" si="6"/>
        <v>0</v>
      </c>
      <c r="O11" s="83">
        <f t="shared" si="1"/>
        <v>0</v>
      </c>
      <c r="P11" s="87" t="str">
        <f t="shared" si="7"/>
        <v>$0.00</v>
      </c>
      <c r="Q11" s="83">
        <f t="shared" si="2"/>
        <v>0</v>
      </c>
      <c r="R11" s="83">
        <f t="shared" si="3"/>
        <v>0</v>
      </c>
      <c r="S11" s="88" t="str">
        <f t="shared" si="8"/>
        <v>$.00</v>
      </c>
      <c r="AA11" s="166" t="str">
        <f>IF(L11="lifetime", "one-time cost", IF(D11='Master Data'!$B$8, AD11 &amp; AE11, AD11 &amp; AE11 &amp; AC11))</f>
        <v>one-time cost</v>
      </c>
      <c r="AB11" s="208" t="str">
        <f t="shared" si="9"/>
        <v>x/lifetime</v>
      </c>
      <c r="AC11" s="166" t="str">
        <f ca="1">IF(Table15[[#This Row],[Duration (Years):]]&lt;&gt;'Master Data'!$B$8,CONCATENATE(",",CHAR(10),"for ",Table15[[#This Row],[Duration (Years):]]," years"),"lifelong")</f>
        <v>lifelong</v>
      </c>
      <c r="AD11" s="166" t="str">
        <f t="shared" si="10"/>
        <v>one-time cost</v>
      </c>
      <c r="AE11" s="166" t="str">
        <f t="shared" si="11"/>
        <v>one-time cost</v>
      </c>
    </row>
    <row r="12" spans="1:31" ht="45" customHeight="1" x14ac:dyDescent="0.2">
      <c r="A12" s="93"/>
      <c r="B12" s="82">
        <f ca="1">'Master Data'!$B$6</f>
        <v>126.3</v>
      </c>
      <c r="C12" s="82">
        <f ca="1">'Master Data'!$B$7</f>
        <v>136.30000000000001</v>
      </c>
      <c r="D12" s="82">
        <f t="shared" ca="1" si="0"/>
        <v>10</v>
      </c>
      <c r="E12" s="83" cm="1">
        <f t="array" ref="E12">SUMPRODUCT(
  ('Service to CPT Map'!$A$2:$A$1017=$A12)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2" s="83" cm="1">
        <f t="array" ref="F12">SUMPRODUCT(
  ('Service to CPT Map'!$A$2:$A$1017=$A12)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Map'!$A$2:$A$1017=$A12)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Map'!$A$2:$A$1017=$A12)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2" s="84" t="str">
        <f t="shared" si="4"/>
        <v>$0.00</v>
      </c>
      <c r="H12" s="85"/>
      <c r="I12" s="85"/>
      <c r="J12" s="85"/>
      <c r="K12" s="85"/>
      <c r="L12" s="103" t="str">
        <f t="shared" si="5"/>
        <v>lifetime</v>
      </c>
      <c r="M12" s="86" t="str">
        <f>IF(L12="lifetime",
    IF(I12&lt;&gt;"", H12 &amp; "-" &amp; I12 &amp; "x/lifetime", H12 &amp; "x/lifetime"),
    IF(D12='Master Data'!$B$8, AD12 &amp; AE12, AD12 &amp; AE12 &amp; AC12))</f>
        <v>x/lifetime</v>
      </c>
      <c r="N12" s="83">
        <f t="shared" si="6"/>
        <v>0</v>
      </c>
      <c r="O12" s="83">
        <f t="shared" si="1"/>
        <v>0</v>
      </c>
      <c r="P12" s="87" t="str">
        <f t="shared" si="7"/>
        <v>$0.00</v>
      </c>
      <c r="Q12" s="83">
        <f t="shared" si="2"/>
        <v>0</v>
      </c>
      <c r="R12" s="83">
        <f t="shared" si="3"/>
        <v>0</v>
      </c>
      <c r="S12" s="88" t="str">
        <f t="shared" si="8"/>
        <v>$.00</v>
      </c>
      <c r="AA12" s="166" t="str">
        <f>IF(L12="lifetime", "one-time cost", IF(D12='Master Data'!$B$8, AD12 &amp; AE12, AD12 &amp; AE12 &amp; AC12))</f>
        <v>one-time cost</v>
      </c>
      <c r="AB12" s="208" t="str">
        <f t="shared" si="9"/>
        <v>x/lifetime</v>
      </c>
      <c r="AC12" s="166" t="str">
        <f ca="1">IF(Table15[[#This Row],[Duration (Years):]]&lt;&gt;'Master Data'!$B$8,CONCATENATE(",",CHAR(10),"for ",Table15[[#This Row],[Duration (Years):]]," years"),"lifelong")</f>
        <v>lifelong</v>
      </c>
      <c r="AD12" s="166" t="str">
        <f t="shared" si="10"/>
        <v>one-time cost</v>
      </c>
      <c r="AE12" s="166" t="str">
        <f t="shared" si="11"/>
        <v>one-time cost</v>
      </c>
    </row>
    <row r="13" spans="1:31" ht="45" customHeight="1" x14ac:dyDescent="0.2">
      <c r="A13" s="93"/>
      <c r="B13" s="82">
        <f ca="1">'Master Data'!$B$6</f>
        <v>126.3</v>
      </c>
      <c r="C13" s="82">
        <f ca="1">'Master Data'!$B$7</f>
        <v>136.30000000000001</v>
      </c>
      <c r="D13" s="82">
        <f t="shared" ca="1" si="0"/>
        <v>10</v>
      </c>
      <c r="E13" s="83" cm="1">
        <f t="array" ref="E13">SUMPRODUCT(
  ('Service to CPT Map'!$A$2:$A$1017=$A13)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3" s="83" cm="1">
        <f t="array" ref="F13">SUMPRODUCT(
  ('Service to CPT Map'!$A$2:$A$1017=$A13)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Map'!$A$2:$A$1017=$A13)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Map'!$A$2:$A$1017=$A13)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3" s="84" t="str">
        <f t="shared" si="4"/>
        <v>$0.00</v>
      </c>
      <c r="H13" s="85"/>
      <c r="I13" s="85"/>
      <c r="J13" s="85"/>
      <c r="K13" s="85"/>
      <c r="L13" s="103" t="str">
        <f t="shared" si="5"/>
        <v>lifetime</v>
      </c>
      <c r="M13" s="86" t="str">
        <f>IF(L13="lifetime",
    IF(I13&lt;&gt;"", H13 &amp; "-" &amp; I13 &amp; "x/lifetime", H13 &amp; "x/lifetime"),
    IF(D13='Master Data'!$B$8, AD13 &amp; AE13, AD13 &amp; AE13 &amp; AC13))</f>
        <v>x/lifetime</v>
      </c>
      <c r="N13" s="83">
        <f t="shared" si="6"/>
        <v>0</v>
      </c>
      <c r="O13" s="83">
        <f t="shared" si="1"/>
        <v>0</v>
      </c>
      <c r="P13" s="87" t="str">
        <f t="shared" si="7"/>
        <v>$0.00</v>
      </c>
      <c r="Q13" s="83">
        <f t="shared" si="2"/>
        <v>0</v>
      </c>
      <c r="R13" s="83">
        <f t="shared" si="3"/>
        <v>0</v>
      </c>
      <c r="S13" s="88" t="str">
        <f t="shared" si="8"/>
        <v>$.00</v>
      </c>
      <c r="T13" s="10"/>
      <c r="U13" s="10"/>
      <c r="V13" s="10"/>
      <c r="AA13" s="166" t="str">
        <f>IF(L13="lifetime", "one-time cost", IF(D13='Master Data'!$B$8, AD13 &amp; AE13, AD13 &amp; AE13 &amp; AC13))</f>
        <v>one-time cost</v>
      </c>
      <c r="AB13" s="208" t="str">
        <f t="shared" si="9"/>
        <v>x/lifetime</v>
      </c>
      <c r="AC13" s="166" t="str">
        <f ca="1">IF(Table15[[#This Row],[Duration (Years):]]&lt;&gt;'Master Data'!$B$8,CONCATENATE(",",CHAR(10),"for ",Table15[[#This Row],[Duration (Years):]]," years"),"lifelong")</f>
        <v>lifelong</v>
      </c>
      <c r="AD13" s="166" t="str">
        <f t="shared" si="10"/>
        <v>one-time cost</v>
      </c>
      <c r="AE13" s="166" t="str">
        <f t="shared" si="11"/>
        <v>one-time cost</v>
      </c>
    </row>
    <row r="14" spans="1:31" ht="45" customHeight="1" x14ac:dyDescent="0.2">
      <c r="A14" s="93"/>
      <c r="B14" s="82">
        <f ca="1">'Master Data'!$B$6</f>
        <v>126.3</v>
      </c>
      <c r="C14" s="82">
        <f ca="1">'Master Data'!$B$7</f>
        <v>136.30000000000001</v>
      </c>
      <c r="D14" s="82">
        <f t="shared" ca="1" si="0"/>
        <v>10</v>
      </c>
      <c r="E14" s="83" cm="1">
        <f t="array" ref="E14">SUMPRODUCT(
  ('Service to CPT Map'!$A$2:$A$1017=$A14)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4" s="83" cm="1">
        <f t="array" ref="F14">SUMPRODUCT(
  ('Service to CPT Map'!$A$2:$A$1017=$A14)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Map'!$A$2:$A$1017=$A14)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Map'!$A$2:$A$1017=$A14)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4" s="84" t="str">
        <f t="shared" si="4"/>
        <v>$0.00</v>
      </c>
      <c r="H14" s="85"/>
      <c r="I14" s="85"/>
      <c r="J14" s="85"/>
      <c r="K14" s="85"/>
      <c r="L14" s="103" t="str">
        <f t="shared" si="5"/>
        <v>lifetime</v>
      </c>
      <c r="M14" s="86" t="str">
        <f>IF(L14="lifetime",
    IF(I14&lt;&gt;"", H14 &amp; "-" &amp; I14 &amp; "x/lifetime", H14 &amp; "x/lifetime"),
    IF(D14='Master Data'!$B$8, AD14 &amp; AE14, AD14 &amp; AE14 &amp; AC14))</f>
        <v>x/lifetime</v>
      </c>
      <c r="N14" s="83">
        <f t="shared" si="6"/>
        <v>0</v>
      </c>
      <c r="O14" s="83">
        <f t="shared" si="1"/>
        <v>0</v>
      </c>
      <c r="P14" s="87" t="str">
        <f t="shared" si="7"/>
        <v>$0.00</v>
      </c>
      <c r="Q14" s="83">
        <f t="shared" si="2"/>
        <v>0</v>
      </c>
      <c r="R14" s="83">
        <f t="shared" si="3"/>
        <v>0</v>
      </c>
      <c r="S14" s="88" t="str">
        <f t="shared" si="8"/>
        <v>$.00</v>
      </c>
      <c r="AA14" s="166" t="str">
        <f>IF(L14="lifetime", "one-time cost", IF(D14='Master Data'!$B$8, AD14 &amp; AE14, AD14 &amp; AE14 &amp; AC14))</f>
        <v>one-time cost</v>
      </c>
      <c r="AB14" s="208" t="str">
        <f t="shared" si="9"/>
        <v>x/lifetime</v>
      </c>
      <c r="AC14" s="166" t="str">
        <f ca="1">IF(Table15[[#This Row],[Duration (Years):]]&lt;&gt;'Master Data'!$B$8,CONCATENATE(",",CHAR(10),"for ",Table15[[#This Row],[Duration (Years):]]," years"),"lifelong")</f>
        <v>lifelong</v>
      </c>
      <c r="AD14" s="166" t="str">
        <f t="shared" si="10"/>
        <v>one-time cost</v>
      </c>
      <c r="AE14" s="166" t="str">
        <f t="shared" si="11"/>
        <v>one-time cost</v>
      </c>
    </row>
    <row r="15" spans="1:31" ht="45" customHeight="1" x14ac:dyDescent="0.2">
      <c r="A15" s="93"/>
      <c r="B15" s="82">
        <f ca="1">'Master Data'!$B$6</f>
        <v>126.3</v>
      </c>
      <c r="C15" s="82">
        <f ca="1">'Master Data'!$B$7</f>
        <v>136.30000000000001</v>
      </c>
      <c r="D15" s="82">
        <f t="shared" ca="1" si="0"/>
        <v>10</v>
      </c>
      <c r="E15" s="83" cm="1">
        <f t="array" ref="E15">SUMPRODUCT(
  ('Service to CPT Map'!$A$2:$A$1017=$A15)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5" s="83" cm="1">
        <f t="array" ref="F15">SUMPRODUCT(
  ('Service to CPT Map'!$A$2:$A$1017=$A15)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Map'!$A$2:$A$1017=$A15)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Map'!$A$2:$A$1017=$A15)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5" s="84" t="str">
        <f t="shared" si="4"/>
        <v>$0.00</v>
      </c>
      <c r="H15" s="85"/>
      <c r="I15" s="85"/>
      <c r="J15" s="85"/>
      <c r="K15" s="85"/>
      <c r="L15" s="103" t="str">
        <f t="shared" si="5"/>
        <v>lifetime</v>
      </c>
      <c r="M15" s="86" t="str">
        <f>IF(L15="lifetime",
    IF(I15&lt;&gt;"", H15 &amp; "-" &amp; I15 &amp; "x/lifetime", H15 &amp; "x/lifetime"),
    IF(D15='Master Data'!$B$8, AD15 &amp; AE15, AD15 &amp; AE15 &amp; AC15))</f>
        <v>x/lifetime</v>
      </c>
      <c r="N15" s="83">
        <f t="shared" si="6"/>
        <v>0</v>
      </c>
      <c r="O15" s="83">
        <f t="shared" si="1"/>
        <v>0</v>
      </c>
      <c r="P15" s="87" t="str">
        <f t="shared" si="7"/>
        <v>$0.00</v>
      </c>
      <c r="Q15" s="83">
        <f t="shared" si="2"/>
        <v>0</v>
      </c>
      <c r="R15" s="83">
        <f t="shared" si="3"/>
        <v>0</v>
      </c>
      <c r="S15" s="88" t="str">
        <f t="shared" si="8"/>
        <v>$.00</v>
      </c>
      <c r="AA15" s="166" t="str">
        <f>IF(L15="lifetime", "one-time cost", IF(D15='Master Data'!$B$8, AD15 &amp; AE15, AD15 &amp; AE15 &amp; AC15))</f>
        <v>one-time cost</v>
      </c>
      <c r="AB15" s="208" t="str">
        <f t="shared" ref="AB15:AB38" si="12">IF(L15="lifetime", IF(I15&lt;&gt;"", H15 &amp; "-" &amp; I15 &amp; "x/lifetime", H15 &amp; "x/lifetime"), "ongoing cost")</f>
        <v>x/lifetime</v>
      </c>
      <c r="AC15" s="166" t="str">
        <f ca="1">IF(Table15[[#This Row],[Duration (Years):]]&lt;&gt;'Master Data'!$B$8,CONCATENATE(",",CHAR(10),"for ",Table15[[#This Row],[Duration (Years):]]," years"),"lifelong")</f>
        <v>lifelong</v>
      </c>
      <c r="AD15" s="166" t="str">
        <f t="shared" ref="AD15:AD38" si="13">IF(L15="lifetime", "one-time cost", IF(I15&lt;&gt;"", H15 &amp; "-" &amp; I15 &amp; "x/", H15 &amp; "x/"))</f>
        <v>one-time cost</v>
      </c>
      <c r="AE15" s="166" t="str">
        <f t="shared" ref="AE15:AE38" si="14">IF(L15="lifetime", "one-time cost", IF(K15&lt;&gt;"", J15 &amp; "-" &amp; K15 &amp; " " &amp; L15, IF(J15&gt;1, J15 &amp; " " &amp; L15, L15)))</f>
        <v>one-time cost</v>
      </c>
    </row>
    <row r="16" spans="1:31" ht="28.5" x14ac:dyDescent="0.2">
      <c r="A16" s="93"/>
      <c r="B16" s="82">
        <f ca="1">'Master Data'!$B$6</f>
        <v>126.3</v>
      </c>
      <c r="C16" s="82">
        <f ca="1">'Master Data'!$B$7</f>
        <v>136.30000000000001</v>
      </c>
      <c r="D16" s="82">
        <f t="shared" ref="D16:D25" ca="1" si="15">ROUND(C16-B16,1)</f>
        <v>10</v>
      </c>
      <c r="E16" s="83" cm="1">
        <f t="array" ref="E16">SUMPRODUCT(
  ('Service to CPT Map'!$A$2:$A$1017=$A16)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6" s="83" cm="1">
        <f t="array" ref="F16">SUMPRODUCT(
  ('Service to CPT Map'!$A$2:$A$1017=$A16)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Map'!$A$2:$A$1017=$A16)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Map'!$A$2:$A$1017=$A16)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6" s="84" t="str">
        <f t="shared" ref="G16:G25" si="16">IF(E16&lt;F16,CONCATENATE(TEXT(E16,"$#,##0.00"),CHAR(10)," - ",CHAR(10),TEXT(F16,"$#,##0.00")),TEXT(E16,"$#,##0.00"))</f>
        <v>$0.00</v>
      </c>
      <c r="H16" s="85"/>
      <c r="I16" s="85"/>
      <c r="J16" s="85"/>
      <c r="K16" s="85"/>
      <c r="L16" s="103" t="str">
        <f t="shared" ref="L16:L25" si="17">IF(LEN(K16)=0,IF(LEN(J16)=0,"lifetime",IF(J16=1,"year","years")),"years")</f>
        <v>lifetime</v>
      </c>
      <c r="M16" s="86" t="str">
        <f>IF(L16="lifetime",
    IF(I16&lt;&gt;"", H16 &amp; "-" &amp; I16 &amp; "x/lifetime", H16 &amp; "x/lifetime"),
    IF(D16='Master Data'!$B$8, AD16 &amp; AE16, AD16 &amp; AE16 &amp; AC16))</f>
        <v>x/lifetime</v>
      </c>
      <c r="N16" s="83">
        <f t="shared" ref="N16:N25" si="18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48,MinTimePeriod/48)),0),IF(OR(EXACT(TimeValue,"day"),EXACT(TimeValue,"days")),IF(OR(MinTimePeriod&gt;0,MaxTimePeriod&gt;0),MinFreq*MinCost/(IF(MaxTimePeriod&gt;0,MaxTimePeriod/365,MinTimePeriod/365))),"invalidinput"))))),2)</f>
        <v>0</v>
      </c>
      <c r="O16" s="83">
        <f t="shared" ref="O16:O25" si="19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48),IF(OR(EXACT(TimeValue,"day"),EXACT(TimeValue,"days")),IF(OR(MinTimePeriod&gt;0,MaxTimePeriod&gt;0),IF(MaxFreq&gt;0,MaxFreq,MinFreq))*MaxCost/(MinTimePeriod/365),"invalidinput"))))),2)</f>
        <v>0</v>
      </c>
      <c r="P16" s="87" t="str">
        <f t="shared" ref="P16:P25" si="20">IF(N16&lt;O16,CONCATENATE(TEXT(N16,"$#,##0.00"),CHAR(10)," - ",CHAR(10),TEXT(O16,"$#,##0.00")),TEXT(N16,"$0.00"))</f>
        <v>$0.00</v>
      </c>
      <c r="Q16" s="83">
        <f t="shared" ref="Q16:Q25" si="21">ROUND(IF(TimeValue="lifetime",MinCost*MinFreq,0),2)</f>
        <v>0</v>
      </c>
      <c r="R16" s="83">
        <f t="shared" ref="R16:R25" si="22">ROUND(IF(AND(TimeValue="lifetime",MaxFreq&lt;1),MinFreq*MaxCost,IF(AND(TimeValue="lifetime",MaxFreq&gt;=1),MaxFreq*MaxCost,0)),2)</f>
        <v>0</v>
      </c>
      <c r="S16" s="88" t="str">
        <f t="shared" ref="S16:S25" si="23">IF(Q16&lt;R16,CONCATENATE(TEXT(Q16,"$#,##0.00"),CHAR(10)," - ",CHAR(10),TEXT(R16,"$#,##0.00")),TEXT(Q16,"$.00"))</f>
        <v>$.00</v>
      </c>
      <c r="AA16" s="166" t="str">
        <f>IF(L16="lifetime", "one-time cost", IF(D16='Master Data'!$B$8, AD16 &amp; AE16, AD16 &amp; AE16 &amp; AC16))</f>
        <v>one-time cost</v>
      </c>
      <c r="AB16" s="208" t="str">
        <f t="shared" si="12"/>
        <v>x/lifetime</v>
      </c>
      <c r="AC16" s="166" t="str">
        <f ca="1">IF(Table15[[#This Row],[Duration (Years):]]&lt;&gt;'Master Data'!$B$8,CONCATENATE(",",CHAR(10),"for ",Table15[[#This Row],[Duration (Years):]]," years"),"lifelong")</f>
        <v>lifelong</v>
      </c>
      <c r="AD16" s="166" t="str">
        <f t="shared" si="13"/>
        <v>one-time cost</v>
      </c>
      <c r="AE16" s="166" t="str">
        <f t="shared" si="14"/>
        <v>one-time cost</v>
      </c>
    </row>
    <row r="17" spans="1:31" ht="28.5" x14ac:dyDescent="0.2">
      <c r="A17" s="93"/>
      <c r="B17" s="82">
        <f ca="1">'Master Data'!$B$6</f>
        <v>126.3</v>
      </c>
      <c r="C17" s="82">
        <f ca="1">'Master Data'!$B$7</f>
        <v>136.30000000000001</v>
      </c>
      <c r="D17" s="82">
        <f t="shared" ca="1" si="15"/>
        <v>10</v>
      </c>
      <c r="E17" s="83" cm="1">
        <f t="array" ref="E17">SUMPRODUCT(
  ('Service to CPT Map'!$A$2:$A$1017=$A17)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7" s="83" cm="1">
        <f t="array" ref="F17">SUMPRODUCT(
  ('Service to CPT Map'!$A$2:$A$1017=$A17)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Map'!$A$2:$A$1017=$A17)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Map'!$A$2:$A$1017=$A17)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7" s="84" t="str">
        <f t="shared" si="16"/>
        <v>$0.00</v>
      </c>
      <c r="H17" s="85"/>
      <c r="I17" s="85"/>
      <c r="J17" s="85"/>
      <c r="K17" s="85"/>
      <c r="L17" s="103" t="str">
        <f t="shared" si="17"/>
        <v>lifetime</v>
      </c>
      <c r="M17" s="86" t="str">
        <f>IF(L17="lifetime",
    IF(I17&lt;&gt;"", H17 &amp; "-" &amp; I17 &amp; "x/lifetime", H17 &amp; "x/lifetime"),
    IF(D17='Master Data'!$B$8, AD17 &amp; AE17, AD17 &amp; AE17 &amp; AC17))</f>
        <v>x/lifetime</v>
      </c>
      <c r="N17" s="83">
        <f t="shared" si="18"/>
        <v>0</v>
      </c>
      <c r="O17" s="83">
        <f t="shared" si="19"/>
        <v>0</v>
      </c>
      <c r="P17" s="87" t="str">
        <f t="shared" si="20"/>
        <v>$0.00</v>
      </c>
      <c r="Q17" s="83">
        <f t="shared" si="21"/>
        <v>0</v>
      </c>
      <c r="R17" s="83">
        <f t="shared" si="22"/>
        <v>0</v>
      </c>
      <c r="S17" s="88" t="str">
        <f t="shared" si="23"/>
        <v>$.00</v>
      </c>
      <c r="AA17" s="166" t="str">
        <f>IF(L17="lifetime", "one-time cost", IF(D17='Master Data'!$B$8, AD17 &amp; AE17, AD17 &amp; AE17 &amp; AC17))</f>
        <v>one-time cost</v>
      </c>
      <c r="AB17" s="208" t="str">
        <f t="shared" si="12"/>
        <v>x/lifetime</v>
      </c>
      <c r="AC17" s="166" t="str">
        <f ca="1">IF(Table15[[#This Row],[Duration (Years):]]&lt;&gt;'Master Data'!$B$8,CONCATENATE(",",CHAR(10),"for ",Table15[[#This Row],[Duration (Years):]]," years"),"lifelong")</f>
        <v>lifelong</v>
      </c>
      <c r="AD17" s="166" t="str">
        <f t="shared" si="13"/>
        <v>one-time cost</v>
      </c>
      <c r="AE17" s="166" t="str">
        <f t="shared" si="14"/>
        <v>one-time cost</v>
      </c>
    </row>
    <row r="18" spans="1:31" ht="28.5" x14ac:dyDescent="0.2">
      <c r="A18" s="93"/>
      <c r="B18" s="82">
        <f ca="1">'Master Data'!$B$6</f>
        <v>126.3</v>
      </c>
      <c r="C18" s="82">
        <f ca="1">'Master Data'!$B$7</f>
        <v>136.30000000000001</v>
      </c>
      <c r="D18" s="82">
        <f t="shared" ca="1" si="15"/>
        <v>10</v>
      </c>
      <c r="E18" s="83" cm="1">
        <f t="array" ref="E18">SUMPRODUCT(
  ('Service to CPT Map'!$A$2:$A$1017=$A18)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8" s="83" cm="1">
        <f t="array" ref="F18">SUMPRODUCT(
  ('Service to CPT Map'!$A$2:$A$1017=$A18)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Map'!$A$2:$A$1017=$A18)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Map'!$A$2:$A$1017=$A18)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8" s="84" t="str">
        <f t="shared" si="16"/>
        <v>$0.00</v>
      </c>
      <c r="H18" s="85"/>
      <c r="I18" s="85"/>
      <c r="J18" s="85"/>
      <c r="K18" s="85"/>
      <c r="L18" s="103" t="str">
        <f t="shared" si="17"/>
        <v>lifetime</v>
      </c>
      <c r="M18" s="86" t="str">
        <f>IF(L18="lifetime",
    IF(I18&lt;&gt;"", H18 &amp; "-" &amp; I18 &amp; "x/lifetime", H18 &amp; "x/lifetime"),
    IF(D18='Master Data'!$B$8, AD18 &amp; AE18, AD18 &amp; AE18 &amp; AC18))</f>
        <v>x/lifetime</v>
      </c>
      <c r="N18" s="83">
        <f t="shared" si="18"/>
        <v>0</v>
      </c>
      <c r="O18" s="83">
        <f t="shared" si="19"/>
        <v>0</v>
      </c>
      <c r="P18" s="87" t="str">
        <f t="shared" si="20"/>
        <v>$0.00</v>
      </c>
      <c r="Q18" s="83">
        <f t="shared" si="21"/>
        <v>0</v>
      </c>
      <c r="R18" s="83">
        <f t="shared" si="22"/>
        <v>0</v>
      </c>
      <c r="S18" s="88" t="str">
        <f t="shared" si="23"/>
        <v>$.00</v>
      </c>
      <c r="AA18" s="166" t="str">
        <f>IF(L18="lifetime", "one-time cost", IF(D18='Master Data'!$B$8, AD18 &amp; AE18, AD18 &amp; AE18 &amp; AC18))</f>
        <v>one-time cost</v>
      </c>
      <c r="AB18" s="208" t="str">
        <f t="shared" si="12"/>
        <v>x/lifetime</v>
      </c>
      <c r="AC18" s="166" t="str">
        <f ca="1">IF(Table15[[#This Row],[Duration (Years):]]&lt;&gt;'Master Data'!$B$8,CONCATENATE(",",CHAR(10),"for ",Table15[[#This Row],[Duration (Years):]]," years"),"lifelong")</f>
        <v>lifelong</v>
      </c>
      <c r="AD18" s="166" t="str">
        <f t="shared" si="13"/>
        <v>one-time cost</v>
      </c>
      <c r="AE18" s="166" t="str">
        <f t="shared" si="14"/>
        <v>one-time cost</v>
      </c>
    </row>
    <row r="19" spans="1:31" ht="28.5" x14ac:dyDescent="0.2">
      <c r="A19" s="93"/>
      <c r="B19" s="82">
        <f ca="1">'Master Data'!$B$6</f>
        <v>126.3</v>
      </c>
      <c r="C19" s="82">
        <f ca="1">'Master Data'!$B$7</f>
        <v>136.30000000000001</v>
      </c>
      <c r="D19" s="82">
        <f t="shared" ca="1" si="15"/>
        <v>10</v>
      </c>
      <c r="E19" s="83" cm="1">
        <f t="array" ref="E19">SUMPRODUCT(
  ('Service to CPT Map'!$A$2:$A$1017=$A19)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19" s="83" cm="1">
        <f t="array" ref="F19">SUMPRODUCT(
  ('Service to CPT Map'!$A$2:$A$1017=$A19)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Map'!$A$2:$A$1017=$A19)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Map'!$A$2:$A$1017=$A19)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19" s="84" t="str">
        <f t="shared" si="16"/>
        <v>$0.00</v>
      </c>
      <c r="H19" s="85"/>
      <c r="I19" s="85"/>
      <c r="J19" s="85"/>
      <c r="K19" s="85"/>
      <c r="L19" s="103" t="str">
        <f t="shared" si="17"/>
        <v>lifetime</v>
      </c>
      <c r="M19" s="86" t="str">
        <f>IF(L19="lifetime",
    IF(I19&lt;&gt;"", H19 &amp; "-" &amp; I19 &amp; "x/lifetime", H19 &amp; "x/lifetime"),
    IF(D19='Master Data'!$B$8, AD19 &amp; AE19, AD19 &amp; AE19 &amp; AC19))</f>
        <v>x/lifetime</v>
      </c>
      <c r="N19" s="83">
        <f t="shared" si="18"/>
        <v>0</v>
      </c>
      <c r="O19" s="83">
        <f t="shared" si="19"/>
        <v>0</v>
      </c>
      <c r="P19" s="87" t="str">
        <f t="shared" si="20"/>
        <v>$0.00</v>
      </c>
      <c r="Q19" s="83">
        <f t="shared" si="21"/>
        <v>0</v>
      </c>
      <c r="R19" s="83">
        <f t="shared" si="22"/>
        <v>0</v>
      </c>
      <c r="S19" s="88" t="str">
        <f t="shared" si="23"/>
        <v>$.00</v>
      </c>
      <c r="AA19" s="166" t="str">
        <f>IF(L19="lifetime", "one-time cost", IF(D19='Master Data'!$B$8, AD19 &amp; AE19, AD19 &amp; AE19 &amp; AC19))</f>
        <v>one-time cost</v>
      </c>
      <c r="AB19" s="208" t="str">
        <f t="shared" si="12"/>
        <v>x/lifetime</v>
      </c>
      <c r="AC19" s="166" t="str">
        <f ca="1">IF(Table15[[#This Row],[Duration (Years):]]&lt;&gt;'Master Data'!$B$8,CONCATENATE(",",CHAR(10),"for ",Table15[[#This Row],[Duration (Years):]]," years"),"lifelong")</f>
        <v>lifelong</v>
      </c>
      <c r="AD19" s="166" t="str">
        <f t="shared" si="13"/>
        <v>one-time cost</v>
      </c>
      <c r="AE19" s="166" t="str">
        <f t="shared" si="14"/>
        <v>one-time cost</v>
      </c>
    </row>
    <row r="20" spans="1:31" ht="28.5" x14ac:dyDescent="0.2">
      <c r="A20" s="93"/>
      <c r="B20" s="82">
        <f ca="1">'Master Data'!$B$6</f>
        <v>126.3</v>
      </c>
      <c r="C20" s="82">
        <f ca="1">'Master Data'!$B$7</f>
        <v>136.30000000000001</v>
      </c>
      <c r="D20" s="82">
        <f t="shared" ca="1" si="15"/>
        <v>10</v>
      </c>
      <c r="E20" s="83" cm="1">
        <f t="array" ref="E20">SUMPRODUCT(
  ('Service to CPT Map'!$A$2:$A$1017=$A20)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20" s="83" cm="1">
        <f t="array" ref="F20">SUMPRODUCT(
  ('Service to CPT Map'!$A$2:$A$1017=$A20)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Map'!$A$2:$A$1017=$A20)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Map'!$A$2:$A$1017=$A20)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20" s="84" t="str">
        <f t="shared" si="16"/>
        <v>$0.00</v>
      </c>
      <c r="H20" s="85"/>
      <c r="I20" s="85"/>
      <c r="J20" s="85"/>
      <c r="K20" s="85"/>
      <c r="L20" s="103" t="str">
        <f t="shared" si="17"/>
        <v>lifetime</v>
      </c>
      <c r="M20" s="86" t="str">
        <f>IF(L20="lifetime",
    IF(I20&lt;&gt;"", H20 &amp; "-" &amp; I20 &amp; "x/lifetime", H20 &amp; "x/lifetime"),
    IF(D20='Master Data'!$B$8, AD20 &amp; AE20, AD20 &amp; AE20 &amp; AC20))</f>
        <v>x/lifetime</v>
      </c>
      <c r="N20" s="83">
        <f t="shared" si="18"/>
        <v>0</v>
      </c>
      <c r="O20" s="83">
        <f t="shared" si="19"/>
        <v>0</v>
      </c>
      <c r="P20" s="87" t="str">
        <f t="shared" si="20"/>
        <v>$0.00</v>
      </c>
      <c r="Q20" s="83">
        <f t="shared" si="21"/>
        <v>0</v>
      </c>
      <c r="R20" s="83">
        <f t="shared" si="22"/>
        <v>0</v>
      </c>
      <c r="S20" s="88" t="str">
        <f t="shared" si="23"/>
        <v>$.00</v>
      </c>
      <c r="AA20" s="166" t="str">
        <f>IF(L20="lifetime", "one-time cost", IF(D20='Master Data'!$B$8, AD20 &amp; AE20, AD20 &amp; AE20 &amp; AC20))</f>
        <v>one-time cost</v>
      </c>
      <c r="AB20" s="208" t="str">
        <f t="shared" si="12"/>
        <v>x/lifetime</v>
      </c>
      <c r="AC20" s="166" t="str">
        <f ca="1">IF(Table15[[#This Row],[Duration (Years):]]&lt;&gt;'Master Data'!$B$8,CONCATENATE(",",CHAR(10),"for ",Table15[[#This Row],[Duration (Years):]]," years"),"lifelong")</f>
        <v>lifelong</v>
      </c>
      <c r="AD20" s="166" t="str">
        <f t="shared" si="13"/>
        <v>one-time cost</v>
      </c>
      <c r="AE20" s="166" t="str">
        <f t="shared" si="14"/>
        <v>one-time cost</v>
      </c>
    </row>
    <row r="21" spans="1:31" ht="28.5" x14ac:dyDescent="0.2">
      <c r="A21" s="93"/>
      <c r="B21" s="82">
        <f ca="1">'Master Data'!$B$6</f>
        <v>126.3</v>
      </c>
      <c r="C21" s="82">
        <f ca="1">'Master Data'!$B$7</f>
        <v>136.30000000000001</v>
      </c>
      <c r="D21" s="82">
        <f t="shared" ca="1" si="15"/>
        <v>10</v>
      </c>
      <c r="E21" s="83" cm="1">
        <f t="array" ref="E21">SUMPRODUCT(
  ('Service to CPT Map'!$A$2:$A$1017=$A21)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21" s="83" cm="1">
        <f t="array" ref="F21">SUMPRODUCT(
  ('Service to CPT Map'!$A$2:$A$1017=$A21)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Map'!$A$2:$A$1017=$A21)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Map'!$A$2:$A$1017=$A21)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21" s="84" t="str">
        <f t="shared" si="16"/>
        <v>$0.00</v>
      </c>
      <c r="H21" s="85"/>
      <c r="I21" s="85"/>
      <c r="J21" s="85"/>
      <c r="K21" s="85"/>
      <c r="L21" s="103" t="str">
        <f t="shared" si="17"/>
        <v>lifetime</v>
      </c>
      <c r="M21" s="86" t="str">
        <f>IF(L21="lifetime",
    IF(I21&lt;&gt;"", H21 &amp; "-" &amp; I21 &amp; "x/lifetime", H21 &amp; "x/lifetime"),
    IF(D21='Master Data'!$B$8, AD21 &amp; AE21, AD21 &amp; AE21 &amp; AC21))</f>
        <v>x/lifetime</v>
      </c>
      <c r="N21" s="83">
        <f t="shared" si="18"/>
        <v>0</v>
      </c>
      <c r="O21" s="83">
        <f t="shared" si="19"/>
        <v>0</v>
      </c>
      <c r="P21" s="87" t="str">
        <f t="shared" si="20"/>
        <v>$0.00</v>
      </c>
      <c r="Q21" s="83">
        <f t="shared" si="21"/>
        <v>0</v>
      </c>
      <c r="R21" s="83">
        <f t="shared" si="22"/>
        <v>0</v>
      </c>
      <c r="S21" s="88" t="str">
        <f t="shared" si="23"/>
        <v>$.00</v>
      </c>
      <c r="AA21" s="166" t="str">
        <f>IF(L21="lifetime", "one-time cost", IF(D21='Master Data'!$B$8, AD21 &amp; AE21, AD21 &amp; AE21 &amp; AC21))</f>
        <v>one-time cost</v>
      </c>
      <c r="AB21" s="208" t="str">
        <f t="shared" si="12"/>
        <v>x/lifetime</v>
      </c>
      <c r="AC21" s="166" t="str">
        <f ca="1">IF(Table15[[#This Row],[Duration (Years):]]&lt;&gt;'Master Data'!$B$8,CONCATENATE(",",CHAR(10),"for ",Table15[[#This Row],[Duration (Years):]]," years"),"lifelong")</f>
        <v>lifelong</v>
      </c>
      <c r="AD21" s="166" t="str">
        <f t="shared" si="13"/>
        <v>one-time cost</v>
      </c>
      <c r="AE21" s="166" t="str">
        <f t="shared" si="14"/>
        <v>one-time cost</v>
      </c>
    </row>
    <row r="22" spans="1:31" ht="28.5" x14ac:dyDescent="0.2">
      <c r="A22" s="93"/>
      <c r="B22" s="82">
        <f ca="1">'Master Data'!$B$6</f>
        <v>126.3</v>
      </c>
      <c r="C22" s="82">
        <f ca="1">'Master Data'!$B$7</f>
        <v>136.30000000000001</v>
      </c>
      <c r="D22" s="82">
        <f t="shared" ca="1" si="15"/>
        <v>10</v>
      </c>
      <c r="E22" s="83" cm="1">
        <f t="array" ref="E22">SUMPRODUCT(
  ('Service to CPT Map'!$A$2:$A$1017=$A22)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22" s="83" cm="1">
        <f t="array" ref="F22">SUMPRODUCT(
  ('Service to CPT Map'!$A$2:$A$1017=$A22)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Map'!$A$2:$A$1017=$A22)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Map'!$A$2:$A$1017=$A22)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22" s="84" t="str">
        <f t="shared" si="16"/>
        <v>$0.00</v>
      </c>
      <c r="H22" s="85"/>
      <c r="I22" s="85"/>
      <c r="J22" s="85"/>
      <c r="K22" s="85"/>
      <c r="L22" s="103" t="str">
        <f t="shared" si="17"/>
        <v>lifetime</v>
      </c>
      <c r="M22" s="86" t="str">
        <f>IF(L22="lifetime",
    IF(I22&lt;&gt;"", H22 &amp; "-" &amp; I22 &amp; "x/lifetime", H22 &amp; "x/lifetime"),
    IF(D22='Master Data'!$B$8, AD22 &amp; AE22, AD22 &amp; AE22 &amp; AC22))</f>
        <v>x/lifetime</v>
      </c>
      <c r="N22" s="83">
        <f t="shared" si="18"/>
        <v>0</v>
      </c>
      <c r="O22" s="83">
        <f t="shared" si="19"/>
        <v>0</v>
      </c>
      <c r="P22" s="87" t="str">
        <f t="shared" si="20"/>
        <v>$0.00</v>
      </c>
      <c r="Q22" s="83">
        <f t="shared" si="21"/>
        <v>0</v>
      </c>
      <c r="R22" s="83">
        <f t="shared" si="22"/>
        <v>0</v>
      </c>
      <c r="S22" s="88" t="str">
        <f t="shared" si="23"/>
        <v>$.00</v>
      </c>
      <c r="AA22" s="166" t="str">
        <f>IF(L22="lifetime", "one-time cost", IF(D22='Master Data'!$B$8, AD22 &amp; AE22, AD22 &amp; AE22 &amp; AC22))</f>
        <v>one-time cost</v>
      </c>
      <c r="AB22" s="208" t="str">
        <f t="shared" si="12"/>
        <v>x/lifetime</v>
      </c>
      <c r="AC22" s="166" t="str">
        <f ca="1">IF(Table15[[#This Row],[Duration (Years):]]&lt;&gt;'Master Data'!$B$8,CONCATENATE(",",CHAR(10),"for ",Table15[[#This Row],[Duration (Years):]]," years"),"lifelong")</f>
        <v>lifelong</v>
      </c>
      <c r="AD22" s="166" t="str">
        <f t="shared" si="13"/>
        <v>one-time cost</v>
      </c>
      <c r="AE22" s="166" t="str">
        <f t="shared" si="14"/>
        <v>one-time cost</v>
      </c>
    </row>
    <row r="23" spans="1:31" ht="28.5" x14ac:dyDescent="0.2">
      <c r="A23" s="93"/>
      <c r="B23" s="82">
        <f ca="1">'Master Data'!$B$6</f>
        <v>126.3</v>
      </c>
      <c r="C23" s="82">
        <f ca="1">'Master Data'!$B$7</f>
        <v>136.30000000000001</v>
      </c>
      <c r="D23" s="82">
        <f t="shared" ca="1" si="15"/>
        <v>10</v>
      </c>
      <c r="E23" s="83" cm="1">
        <f t="array" ref="E23">SUMPRODUCT(
  ('Service to CPT Map'!$A$2:$A$1017=$A23)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23" s="83" cm="1">
        <f t="array" ref="F23">SUMPRODUCT(
  ('Service to CPT Map'!$A$2:$A$1017=$A23)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Map'!$A$2:$A$1017=$A23)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Map'!$A$2:$A$1017=$A23)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23" s="84" t="str">
        <f t="shared" si="16"/>
        <v>$0.00</v>
      </c>
      <c r="H23" s="85"/>
      <c r="I23" s="85"/>
      <c r="J23" s="85"/>
      <c r="K23" s="85"/>
      <c r="L23" s="103" t="str">
        <f t="shared" si="17"/>
        <v>lifetime</v>
      </c>
      <c r="M23" s="86" t="str">
        <f>IF(L23="lifetime",
    IF(I23&lt;&gt;"", H23 &amp; "-" &amp; I23 &amp; "x/lifetime", H23 &amp; "x/lifetime"),
    IF(D23='Master Data'!$B$8, AD23 &amp; AE23, AD23 &amp; AE23 &amp; AC23))</f>
        <v>x/lifetime</v>
      </c>
      <c r="N23" s="83">
        <f t="shared" si="18"/>
        <v>0</v>
      </c>
      <c r="O23" s="83">
        <f t="shared" si="19"/>
        <v>0</v>
      </c>
      <c r="P23" s="87" t="str">
        <f t="shared" si="20"/>
        <v>$0.00</v>
      </c>
      <c r="Q23" s="83">
        <f t="shared" si="21"/>
        <v>0</v>
      </c>
      <c r="R23" s="83">
        <f t="shared" si="22"/>
        <v>0</v>
      </c>
      <c r="S23" s="88" t="str">
        <f t="shared" si="23"/>
        <v>$.00</v>
      </c>
      <c r="AA23" s="166" t="str">
        <f>IF(L23="lifetime", "one-time cost", IF(D23='Master Data'!$B$8, AD23 &amp; AE23, AD23 &amp; AE23 &amp; AC23))</f>
        <v>one-time cost</v>
      </c>
      <c r="AB23" s="208" t="str">
        <f t="shared" si="12"/>
        <v>x/lifetime</v>
      </c>
      <c r="AC23" s="166" t="str">
        <f ca="1">IF(Table15[[#This Row],[Duration (Years):]]&lt;&gt;'Master Data'!$B$8,CONCATENATE(",",CHAR(10),"for ",Table15[[#This Row],[Duration (Years):]]," years"),"lifelong")</f>
        <v>lifelong</v>
      </c>
      <c r="AD23" s="166" t="str">
        <f t="shared" si="13"/>
        <v>one-time cost</v>
      </c>
      <c r="AE23" s="166" t="str">
        <f t="shared" si="14"/>
        <v>one-time cost</v>
      </c>
    </row>
    <row r="24" spans="1:31" ht="28.5" x14ac:dyDescent="0.2">
      <c r="A24" s="93"/>
      <c r="B24" s="82">
        <f ca="1">'Master Data'!$B$6</f>
        <v>126.3</v>
      </c>
      <c r="C24" s="82">
        <f ca="1">'Master Data'!$B$7</f>
        <v>136.30000000000001</v>
      </c>
      <c r="D24" s="82">
        <f t="shared" ca="1" si="15"/>
        <v>10</v>
      </c>
      <c r="E24" s="83" cm="1">
        <f t="array" ref="E24">SUMPRODUCT(
  ('Service to CPT Map'!$A$2:$A$1017=$A24)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24" s="83" cm="1">
        <f t="array" ref="F24">SUMPRODUCT(
  ('Service to CPT Map'!$A$2:$A$1017=$A24)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Map'!$A$2:$A$1017=$A24)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Map'!$A$2:$A$1017=$A24)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24" s="84" t="str">
        <f t="shared" si="16"/>
        <v>$0.00</v>
      </c>
      <c r="H24" s="85"/>
      <c r="I24" s="85"/>
      <c r="J24" s="85"/>
      <c r="K24" s="85"/>
      <c r="L24" s="103" t="str">
        <f t="shared" si="17"/>
        <v>lifetime</v>
      </c>
      <c r="M24" s="86" t="str">
        <f>IF(L24="lifetime",
    IF(I24&lt;&gt;"", H24 &amp; "-" &amp; I24 &amp; "x/lifetime", H24 &amp; "x/lifetime"),
    IF(D24='Master Data'!$B$8, AD24 &amp; AE24, AD24 &amp; AE24 &amp; AC24))</f>
        <v>x/lifetime</v>
      </c>
      <c r="N24" s="83">
        <f t="shared" si="18"/>
        <v>0</v>
      </c>
      <c r="O24" s="83">
        <f t="shared" si="19"/>
        <v>0</v>
      </c>
      <c r="P24" s="87" t="str">
        <f t="shared" si="20"/>
        <v>$0.00</v>
      </c>
      <c r="Q24" s="83">
        <f t="shared" si="21"/>
        <v>0</v>
      </c>
      <c r="R24" s="83">
        <f t="shared" si="22"/>
        <v>0</v>
      </c>
      <c r="S24" s="88" t="str">
        <f t="shared" si="23"/>
        <v>$.00</v>
      </c>
      <c r="AA24" s="166" t="str">
        <f>IF(L24="lifetime", "one-time cost", IF(D24='Master Data'!$B$8, AD24 &amp; AE24, AD24 &amp; AE24 &amp; AC24))</f>
        <v>one-time cost</v>
      </c>
      <c r="AB24" s="208" t="str">
        <f t="shared" si="12"/>
        <v>x/lifetime</v>
      </c>
      <c r="AC24" s="166" t="str">
        <f ca="1">IF(Table15[[#This Row],[Duration (Years):]]&lt;&gt;'Master Data'!$B$8,CONCATENATE(",",CHAR(10),"for ",Table15[[#This Row],[Duration (Years):]]," years"),"lifelong")</f>
        <v>lifelong</v>
      </c>
      <c r="AD24" s="166" t="str">
        <f t="shared" si="13"/>
        <v>one-time cost</v>
      </c>
      <c r="AE24" s="166" t="str">
        <f t="shared" si="14"/>
        <v>one-time cost</v>
      </c>
    </row>
    <row r="25" spans="1:31" ht="29.25" thickBot="1" x14ac:dyDescent="0.25">
      <c r="A25" s="93"/>
      <c r="B25" s="82">
        <f ca="1">'Master Data'!$B$6</f>
        <v>126.3</v>
      </c>
      <c r="C25" s="82">
        <f ca="1">'Master Data'!$B$7</f>
        <v>136.30000000000001</v>
      </c>
      <c r="D25" s="82">
        <f t="shared" ca="1" si="15"/>
        <v>10</v>
      </c>
      <c r="E25" s="83" cm="1">
        <f t="array" ref="E25">SUMPRODUCT(
  ('Service to CPT Map'!$A$2:$A$1017=$A25) *
  ('Service to CPT Map'!$B$2:$B$1017="Low")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</f>
        <v>0</v>
      </c>
      <c r="F25" s="83" cm="1">
        <f t="array" ref="F25">SUMPRODUCT(
  ('Service to CPT Map'!$A$2:$A$1017=$A25) *
  ('Service to CPT Map'!$B$2:$B$1017="High") *
  ISNUMBER(MATCH(
    'Service to CPT Map'!$D$2:$D$1017,
    {"Medical","Medical - Sedation","Anesthesia"},
    0
  )) *
  IFERROR(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
    ),
    0
  )
)
+
MAX(
  SUMPRODUCT(
    ('Service to CPT Map'!$A$2:$A$1017=$A25) *
    ('Service to CPT Map'!$B$2:$B$1017="High") *
    ('Service to CPT Map'!$D$2:$D$1017="ASC")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),
  SUMPRODUCT(
    ('Service to CPT Map'!$A$2:$A$1017=$A25) *
    ('Service to CPT Map'!$B$2:$B$1017="High") *
    ('Service to CPT Map'!$D$2:$D$1017="Outpatient") *
    IFERROR(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
      ),
      0
    )
  )
)</f>
        <v>0</v>
      </c>
      <c r="G25" s="84" t="str">
        <f t="shared" si="16"/>
        <v>$0.00</v>
      </c>
      <c r="H25" s="85"/>
      <c r="I25" s="85"/>
      <c r="J25" s="85"/>
      <c r="K25" s="85"/>
      <c r="L25" s="103" t="str">
        <f t="shared" si="17"/>
        <v>lifetime</v>
      </c>
      <c r="M25" s="86" t="str">
        <f>IF(L25="lifetime",
    IF(I25&lt;&gt;"", H25 &amp; "-" &amp; I25 &amp; "x/lifetime", H25 &amp; "x/lifetime"),
    IF(D25='Master Data'!$B$8, AD25 &amp; AE25, AD25 &amp; AE25 &amp; AC25))</f>
        <v>x/lifetime</v>
      </c>
      <c r="N25" s="83">
        <f t="shared" si="18"/>
        <v>0</v>
      </c>
      <c r="O25" s="83">
        <f t="shared" si="19"/>
        <v>0</v>
      </c>
      <c r="P25" s="87" t="str">
        <f t="shared" si="20"/>
        <v>$0.00</v>
      </c>
      <c r="Q25" s="83">
        <f t="shared" si="21"/>
        <v>0</v>
      </c>
      <c r="R25" s="83">
        <f t="shared" si="22"/>
        <v>0</v>
      </c>
      <c r="S25" s="88" t="str">
        <f t="shared" si="23"/>
        <v>$.00</v>
      </c>
      <c r="AA25" s="166" t="str">
        <f>IF(L25="lifetime", "one-time cost", IF(D25='Master Data'!$B$8, AD25 &amp; AE25, AD25 &amp; AE25 &amp; AC25))</f>
        <v>one-time cost</v>
      </c>
      <c r="AB25" s="208" t="str">
        <f t="shared" si="12"/>
        <v>x/lifetime</v>
      </c>
      <c r="AC25" s="166" t="str">
        <f ca="1">IF(Table15[[#This Row],[Duration (Years):]]&lt;&gt;'Master Data'!$B$8,CONCATENATE(",",CHAR(10),"for ",Table15[[#This Row],[Duration (Years):]]," years"),"lifelong")</f>
        <v>lifelong</v>
      </c>
      <c r="AD25" s="166" t="str">
        <f t="shared" si="13"/>
        <v>one-time cost</v>
      </c>
      <c r="AE25" s="166" t="str">
        <f t="shared" si="14"/>
        <v>one-time cost</v>
      </c>
    </row>
    <row r="26" spans="1:31" ht="39.75" thickTop="1" thickBot="1" x14ac:dyDescent="0.25">
      <c r="A26" s="343" t="s">
        <v>32</v>
      </c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44"/>
      <c r="M26" s="344"/>
      <c r="N26" s="69"/>
      <c r="O26" s="69"/>
      <c r="P26" s="70" t="str">
        <f ca="1">IF(U3="same",IF(SUM(Table15[Annual Cost Max:])=0,"$0.00",CONCATENATE(TEXT(SUM(AnnMin),"$#,##0.00"),CHAR(10)," - ",CHAR(10),TEXT(SUM(AnnMax),"$#,##0.00"))),"Variable by year")</f>
        <v>$0.00</v>
      </c>
      <c r="Q26" s="69"/>
      <c r="R26" s="69"/>
      <c r="S26" s="71" t="str">
        <f>IF(SUM(OneTimeMax)=0,"$0.00",CONCATENATE(TEXT(SUM(OneTimeMin),"$#,##0.00"),CHAR(10)," - ",CHAR(10),TEXT(SUM(OneTimeMax),"$#,##0.00")))</f>
        <v>$16,263.00
 - 
$144,711.00</v>
      </c>
      <c r="AA26" s="166" t="e">
        <f>IF(L26="lifetime", "one-time cost", IF(D26='Master Data'!$B$8, AD26 &amp; AE26, AD26 &amp; AE26 &amp; AC26))</f>
        <v>#VALUE!</v>
      </c>
      <c r="AB26" s="208" t="str">
        <f t="shared" si="12"/>
        <v>ongoing cost</v>
      </c>
      <c r="AC26" s="166" t="e">
        <f>IF(Table15[[#This Row],[Duration (Years):]]&lt;&gt;'Master Data'!$B$8,CONCATENATE(",",CHAR(10),"for ",Table15[[#This Row],[Duration (Years):]]," years"),"lifelong")</f>
        <v>#VALUE!</v>
      </c>
      <c r="AD26" s="166" t="str">
        <f t="shared" si="13"/>
        <v>x/</v>
      </c>
      <c r="AE26" s="166">
        <f t="shared" si="14"/>
        <v>0</v>
      </c>
    </row>
    <row r="27" spans="1:31" ht="15" thickTop="1" x14ac:dyDescent="0.2">
      <c r="A27" s="10"/>
      <c r="B27" s="11"/>
      <c r="C27" s="11"/>
      <c r="D27" s="11"/>
      <c r="E27" s="9"/>
      <c r="F27" s="9"/>
      <c r="G27" s="12"/>
      <c r="H27" s="13"/>
      <c r="I27" s="13"/>
      <c r="J27" s="13"/>
      <c r="K27" s="13"/>
      <c r="L27" s="10"/>
      <c r="M27" s="14"/>
      <c r="N27" s="9"/>
      <c r="O27" s="9"/>
      <c r="P27" s="15"/>
      <c r="Q27" s="9"/>
      <c r="R27" s="9"/>
      <c r="S27" s="15"/>
      <c r="AA27" s="166" t="e">
        <f>IF(L27="lifetime", "one-time cost", IF(D27='Master Data'!$B$8, AD27 &amp; AE27, AD27 &amp; AE27 &amp; AC27))</f>
        <v>#VALUE!</v>
      </c>
      <c r="AB27" s="208" t="str">
        <f t="shared" si="12"/>
        <v>ongoing cost</v>
      </c>
      <c r="AC27" s="166" t="e">
        <f>IF(Table15[[#This Row],[Duration (Years):]]&lt;&gt;'Master Data'!$B$8,CONCATENATE(",",CHAR(10),"for ",Table15[[#This Row],[Duration (Years):]]," years"),"lifelong")</f>
        <v>#VALUE!</v>
      </c>
      <c r="AD27" s="166" t="str">
        <f t="shared" si="13"/>
        <v>x/</v>
      </c>
      <c r="AE27" s="166">
        <f t="shared" si="14"/>
        <v>0</v>
      </c>
    </row>
    <row r="28" spans="1:31" x14ac:dyDescent="0.2">
      <c r="A28" s="9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AA28" s="166" t="e">
        <f>IF(L28="lifetime", "one-time cost", IF(D28='Master Data'!$B$8, AD28 &amp; AE28, AD28 &amp; AE28 &amp; AC28))</f>
        <v>#VALUE!</v>
      </c>
      <c r="AB28" s="208" t="str">
        <f t="shared" si="12"/>
        <v>ongoing cost</v>
      </c>
      <c r="AC28" s="166" t="e">
        <f>IF(Table15[[#This Row],[Duration (Years):]]&lt;&gt;'Master Data'!$B$8,CONCATENATE(",",CHAR(10),"for ",Table15[[#This Row],[Duration (Years):]]," years"),"lifelong")</f>
        <v>#VALUE!</v>
      </c>
      <c r="AD28" s="166" t="str">
        <f t="shared" si="13"/>
        <v>x/</v>
      </c>
      <c r="AE28" s="166">
        <f t="shared" si="14"/>
        <v>0</v>
      </c>
    </row>
    <row r="29" spans="1:31" x14ac:dyDescent="0.2">
      <c r="A29" s="100"/>
      <c r="AA29" s="166" t="e">
        <f>IF(L29="lifetime", "one-time cost", IF(D29='Master Data'!$B$8, AD29 &amp; AE29, AD29 &amp; AE29 &amp; AC29))</f>
        <v>#VALUE!</v>
      </c>
      <c r="AB29" s="208" t="str">
        <f t="shared" si="12"/>
        <v>ongoing cost</v>
      </c>
      <c r="AC29" s="166" t="e">
        <f>IF(Table15[[#This Row],[Duration (Years):]]&lt;&gt;'Master Data'!$B$8,CONCATENATE(",",CHAR(10),"for ",Table15[[#This Row],[Duration (Years):]]," years"),"lifelong")</f>
        <v>#VALUE!</v>
      </c>
      <c r="AD29" s="166" t="str">
        <f t="shared" si="13"/>
        <v>x/</v>
      </c>
      <c r="AE29" s="166">
        <f t="shared" si="14"/>
        <v>0</v>
      </c>
    </row>
    <row r="30" spans="1:31" x14ac:dyDescent="0.2">
      <c r="AA30" s="166" t="e">
        <f>IF(L30="lifetime", "one-time cost", IF(D30='Master Data'!$B$8, AD30 &amp; AE30, AD30 &amp; AE30 &amp; AC30))</f>
        <v>#VALUE!</v>
      </c>
      <c r="AB30" s="208" t="str">
        <f t="shared" si="12"/>
        <v>ongoing cost</v>
      </c>
      <c r="AC30" s="166" t="e">
        <f>IF(Table15[[#This Row],[Duration (Years):]]&lt;&gt;'Master Data'!$B$8,CONCATENATE(",",CHAR(10),"for ",Table15[[#This Row],[Duration (Years):]]," years"),"lifelong")</f>
        <v>#VALUE!</v>
      </c>
      <c r="AD30" s="166" t="str">
        <f t="shared" si="13"/>
        <v>x/</v>
      </c>
      <c r="AE30" s="166">
        <f t="shared" si="14"/>
        <v>0</v>
      </c>
    </row>
    <row r="31" spans="1:31" x14ac:dyDescent="0.2">
      <c r="AA31" s="166" t="e">
        <f>IF(L31="lifetime", "one-time cost", IF(D31='Master Data'!$B$8, AD31 &amp; AE31, AD31 &amp; AE31 &amp; AC31))</f>
        <v>#VALUE!</v>
      </c>
      <c r="AB31" s="208" t="str">
        <f t="shared" si="12"/>
        <v>ongoing cost</v>
      </c>
      <c r="AC31" s="166" t="e">
        <f>IF(Table15[[#This Row],[Duration (Years):]]&lt;&gt;'Master Data'!$B$8,CONCATENATE(",",CHAR(10),"for ",Table15[[#This Row],[Duration (Years):]]," years"),"lifelong")</f>
        <v>#VALUE!</v>
      </c>
      <c r="AD31" s="166" t="str">
        <f t="shared" si="13"/>
        <v>x/</v>
      </c>
      <c r="AE31" s="166">
        <f t="shared" si="14"/>
        <v>0</v>
      </c>
    </row>
    <row r="32" spans="1:31" x14ac:dyDescent="0.2">
      <c r="AA32" s="166" t="e">
        <f>IF(L32="lifetime", "one-time cost", IF(D32='Master Data'!$B$8, AD32 &amp; AE32, AD32 &amp; AE32 &amp; AC32))</f>
        <v>#VALUE!</v>
      </c>
      <c r="AB32" s="208" t="str">
        <f t="shared" si="12"/>
        <v>ongoing cost</v>
      </c>
      <c r="AC32" s="166" t="e">
        <f>IF(Table15[[#This Row],[Duration (Years):]]&lt;&gt;'Master Data'!$B$8,CONCATENATE(",",CHAR(10),"for ",Table15[[#This Row],[Duration (Years):]]," years"),"lifelong")</f>
        <v>#VALUE!</v>
      </c>
      <c r="AD32" s="166" t="str">
        <f t="shared" si="13"/>
        <v>x/</v>
      </c>
      <c r="AE32" s="166">
        <f t="shared" si="14"/>
        <v>0</v>
      </c>
    </row>
    <row r="33" spans="27:31" x14ac:dyDescent="0.2">
      <c r="AA33" s="166" t="e">
        <f>IF(L33="lifetime", "one-time cost", IF(D33='Master Data'!$B$8, AD33 &amp; AE33, AD33 &amp; AE33 &amp; AC33))</f>
        <v>#VALUE!</v>
      </c>
      <c r="AB33" s="208" t="str">
        <f t="shared" si="12"/>
        <v>ongoing cost</v>
      </c>
      <c r="AC33" s="166" t="e">
        <f>IF(Table15[[#This Row],[Duration (Years):]]&lt;&gt;'Master Data'!$B$8,CONCATENATE(",",CHAR(10),"for ",Table15[[#This Row],[Duration (Years):]]," years"),"lifelong")</f>
        <v>#VALUE!</v>
      </c>
      <c r="AD33" s="166" t="str">
        <f t="shared" si="13"/>
        <v>x/</v>
      </c>
      <c r="AE33" s="166">
        <f t="shared" si="14"/>
        <v>0</v>
      </c>
    </row>
    <row r="34" spans="27:31" x14ac:dyDescent="0.2">
      <c r="AA34" s="166" t="e">
        <f>IF(L34="lifetime", "one-time cost", IF(D34='Master Data'!$B$8, AD34 &amp; AE34, AD34 &amp; AE34 &amp; AC34))</f>
        <v>#VALUE!</v>
      </c>
      <c r="AB34" s="208" t="str">
        <f t="shared" si="12"/>
        <v>ongoing cost</v>
      </c>
      <c r="AC34" s="166" t="e">
        <f>IF(Table15[[#This Row],[Duration (Years):]]&lt;&gt;'Master Data'!$B$8,CONCATENATE(",",CHAR(10),"for ",Table15[[#This Row],[Duration (Years):]]," years"),"lifelong")</f>
        <v>#VALUE!</v>
      </c>
      <c r="AD34" s="166" t="str">
        <f t="shared" si="13"/>
        <v>x/</v>
      </c>
      <c r="AE34" s="166">
        <f t="shared" si="14"/>
        <v>0</v>
      </c>
    </row>
    <row r="35" spans="27:31" x14ac:dyDescent="0.2">
      <c r="AA35" s="166" t="e">
        <f>IF(L35="lifetime", "one-time cost", IF(D35='Master Data'!$B$8, AD35 &amp; AE35, AD35 &amp; AE35 &amp; AC35))</f>
        <v>#VALUE!</v>
      </c>
      <c r="AB35" s="208" t="str">
        <f t="shared" si="12"/>
        <v>ongoing cost</v>
      </c>
      <c r="AC35" s="166" t="e">
        <f>IF(Table15[[#This Row],[Duration (Years):]]&lt;&gt;'Master Data'!$B$8,CONCATENATE(",",CHAR(10),"for ",Table15[[#This Row],[Duration (Years):]]," years"),"lifelong")</f>
        <v>#VALUE!</v>
      </c>
      <c r="AD35" s="166" t="str">
        <f t="shared" si="13"/>
        <v>x/</v>
      </c>
      <c r="AE35" s="166">
        <f t="shared" si="14"/>
        <v>0</v>
      </c>
    </row>
    <row r="36" spans="27:31" x14ac:dyDescent="0.2">
      <c r="AA36" s="166" t="e">
        <f>IF(L36="lifetime", "one-time cost", IF(D36='Master Data'!$B$8, AD36 &amp; AE36, AD36 &amp; AE36 &amp; AC36))</f>
        <v>#VALUE!</v>
      </c>
      <c r="AB36" s="208" t="str">
        <f t="shared" si="12"/>
        <v>ongoing cost</v>
      </c>
      <c r="AC36" s="166" t="e">
        <f>IF(Table15[[#This Row],[Duration (Years):]]&lt;&gt;'Master Data'!$B$8,CONCATENATE(",",CHAR(10),"for ",Table15[[#This Row],[Duration (Years):]]," years"),"lifelong")</f>
        <v>#VALUE!</v>
      </c>
      <c r="AD36" s="166" t="str">
        <f t="shared" si="13"/>
        <v>x/</v>
      </c>
      <c r="AE36" s="166">
        <f t="shared" si="14"/>
        <v>0</v>
      </c>
    </row>
    <row r="37" spans="27:31" x14ac:dyDescent="0.2">
      <c r="AA37" s="166" t="e">
        <f>IF(L37="lifetime", "one-time cost", IF(D37='Master Data'!$B$8, AD37 &amp; AE37, AD37 &amp; AE37 &amp; AC37))</f>
        <v>#VALUE!</v>
      </c>
      <c r="AB37" s="208" t="str">
        <f t="shared" si="12"/>
        <v>ongoing cost</v>
      </c>
      <c r="AC37" s="166" t="e">
        <f>IF(Table15[[#This Row],[Duration (Years):]]&lt;&gt;'Master Data'!$B$8,CONCATENATE(",",CHAR(10),"for ",Table15[[#This Row],[Duration (Years):]]," years"),"lifelong")</f>
        <v>#VALUE!</v>
      </c>
      <c r="AD37" s="166" t="str">
        <f t="shared" si="13"/>
        <v>x/</v>
      </c>
      <c r="AE37" s="166">
        <f t="shared" si="14"/>
        <v>0</v>
      </c>
    </row>
    <row r="38" spans="27:31" x14ac:dyDescent="0.2">
      <c r="AA38" s="166" t="e">
        <f>IF(L38="lifetime", "one-time cost", IF(D38='Master Data'!$B$8, AD38 &amp; AE38, AD38 &amp; AE38 &amp; AC38))</f>
        <v>#VALUE!</v>
      </c>
      <c r="AB38" s="208" t="str">
        <f t="shared" si="12"/>
        <v>ongoing cost</v>
      </c>
      <c r="AC38" s="166" t="e">
        <f>IF(Table15[[#This Row],[Duration (Years):]]&lt;&gt;'Master Data'!$B$8,CONCATENATE(",",CHAR(10),"for ",Table15[[#This Row],[Duration (Years):]]," years"),"lifelong")</f>
        <v>#VALUE!</v>
      </c>
      <c r="AD38" s="166" t="str">
        <f t="shared" si="13"/>
        <v>x/</v>
      </c>
      <c r="AE38" s="166">
        <f t="shared" si="14"/>
        <v>0</v>
      </c>
    </row>
    <row r="39" spans="27:31" x14ac:dyDescent="0.2">
      <c r="AA39" s="166" t="e">
        <f>IF(L58="lifetime", "one-time cost", IF(D58='Master Data'!$B$8, AD39 &amp; AE39, AD39 &amp; AE39 &amp; AC39))</f>
        <v>#VALUE!</v>
      </c>
      <c r="AB39" s="208" t="str">
        <f>IF(L58="lifetime", IF(I58&lt;&gt;"", H58 &amp; "-" &amp; I58 &amp; "x/lifetime", H58 &amp; "x/lifetime"), "ongoing cost")</f>
        <v>ongoing cost</v>
      </c>
      <c r="AC39" s="166" t="e">
        <f>IF(Table15[[#This Row],[Duration (Years):]]&lt;&gt;'Master Data'!$B$8,CONCATENATE(",",CHAR(10),"for ",Table15[[#This Row],[Duration (Years):]]," years"),"lifelong")</f>
        <v>#VALUE!</v>
      </c>
      <c r="AD39" s="166" t="str">
        <f>IF(L58="lifetime", "one-time cost", IF(I58&lt;&gt;"", H58 &amp; "-" &amp; I58 &amp; "x/", H58 &amp; "x/"))</f>
        <v>x/</v>
      </c>
      <c r="AE39" s="166">
        <f>IF(L58="lifetime", "one-time cost", IF(K58&lt;&gt;"", J58 &amp; "-" &amp; K58 &amp; " " &amp; L58, IF(J58&gt;1, J58 &amp; " " &amp; L58, L58)))</f>
        <v>0</v>
      </c>
    </row>
    <row r="40" spans="27:31" x14ac:dyDescent="0.2">
      <c r="AA40" s="166" t="e">
        <f>IF(L59="lifetime", "one-time cost", IF(D59='Master Data'!$B$8, AD40 &amp; AE40, AD40 &amp; AE40 &amp; AC40))</f>
        <v>#VALUE!</v>
      </c>
      <c r="AB40" s="208" t="str">
        <f>IF(L59="lifetime", IF(I59&lt;&gt;"", H59 &amp; "-" &amp; I59 &amp; "x/lifetime", H59 &amp; "x/lifetime"), "ongoing cost")</f>
        <v>ongoing cost</v>
      </c>
      <c r="AC40" s="166" t="e">
        <f>IF(Table15[[#This Row],[Duration (Years):]]&lt;&gt;'Master Data'!$B$8,CONCATENATE(",",CHAR(10),"for ",Table15[[#This Row],[Duration (Years):]]," years"),"lifelong")</f>
        <v>#VALUE!</v>
      </c>
      <c r="AD40" s="166" t="str">
        <f>IF(L59="lifetime", "one-time cost", IF(I59&lt;&gt;"", H59 &amp; "-" &amp; I59 &amp; "x/", H59 &amp; "x/"))</f>
        <v>x/</v>
      </c>
      <c r="AE40" s="166">
        <f>IF(L59="lifetime", "one-time cost", IF(K59&lt;&gt;"", J59 &amp; "-" &amp; K59 &amp; " " &amp; L59, IF(J59&gt;1, J59 &amp; " " &amp; L59, L59)))</f>
        <v>0</v>
      </c>
    </row>
    <row r="41" spans="27:31" x14ac:dyDescent="0.2">
      <c r="AA41" s="166" t="e">
        <f>IF(L60="lifetime", "one-time cost", IF(D60='Master Data'!$B$8, AD41 &amp; AE41, AD41 &amp; AE41 &amp; AC41))</f>
        <v>#VALUE!</v>
      </c>
      <c r="AB41" s="208" t="str">
        <f>IF(L60="lifetime", IF(I60&lt;&gt;"", H60 &amp; "-" &amp; I60 &amp; "x/lifetime", H60 &amp; "x/lifetime"), "ongoing cost")</f>
        <v>ongoing cost</v>
      </c>
      <c r="AC41" s="166" t="e">
        <f>IF(Table15[[#This Row],[Duration (Years):]]&lt;&gt;'Master Data'!$B$8,CONCATENATE(",",CHAR(10),"for ",Table15[[#This Row],[Duration (Years):]]," years"),"lifelong")</f>
        <v>#VALUE!</v>
      </c>
      <c r="AD41" s="166" t="str">
        <f>IF(L60="lifetime", "one-time cost", IF(I60&lt;&gt;"", H60 &amp; "-" &amp; I60 &amp; "x/", H60 &amp; "x/"))</f>
        <v>x/</v>
      </c>
      <c r="AE41" s="166">
        <f>IF(L60="lifetime", "one-time cost", IF(K60&lt;&gt;"", J60 &amp; "-" &amp; K60 &amp; " " &amp; L60, IF(J60&gt;1, J60 &amp; " " &amp; L60, L60)))</f>
        <v>0</v>
      </c>
    </row>
    <row r="42" spans="27:31" x14ac:dyDescent="0.2">
      <c r="AA42" s="166" t="e">
        <f>IF(L61="lifetime", "one-time cost", IF(D61='Master Data'!$B$8, AD42 &amp; AE42, AD42 &amp; AE42 &amp; AC42))</f>
        <v>#VALUE!</v>
      </c>
      <c r="AB42" s="208" t="str">
        <f>IF(L61="lifetime", IF(I61&lt;&gt;"", H61 &amp; "-" &amp; I61 &amp; "x/lifetime", H61 &amp; "x/lifetime"), "ongoing cost")</f>
        <v>ongoing cost</v>
      </c>
      <c r="AC42" s="166" t="e">
        <f>IF(Table15[[#This Row],[Duration (Years):]]&lt;&gt;'Master Data'!$B$8,CONCATENATE(",",CHAR(10),"for ",Table15[[#This Row],[Duration (Years):]]," years"),"lifelong")</f>
        <v>#VALUE!</v>
      </c>
      <c r="AD42" s="166" t="str">
        <f>IF(L61="lifetime", "one-time cost", IF(I61&lt;&gt;"", H61 &amp; "-" &amp; I61 &amp; "x/", H61 &amp; "x/"))</f>
        <v>x/</v>
      </c>
      <c r="AE42" s="166">
        <f>IF(L61="lifetime", "one-time cost", IF(K61&lt;&gt;"", J61 &amp; "-" &amp; K61 &amp; " " &amp; L61, IF(J61&gt;1, J61 &amp; " " &amp; L61, L61)))</f>
        <v>0</v>
      </c>
    </row>
  </sheetData>
  <sortState xmlns:xlrd2="http://schemas.microsoft.com/office/spreadsheetml/2017/richdata2" ref="A3:S4">
    <sortCondition ref="D3"/>
    <sortCondition ref="A3"/>
  </sortState>
  <mergeCells count="3">
    <mergeCell ref="A1:S1"/>
    <mergeCell ref="A26:M26"/>
    <mergeCell ref="V3:W3"/>
  </mergeCells>
  <hyperlinks>
    <hyperlink ref="V3" location="Procedure1!A1" display="Link to copy/paste table here" xr:uid="{5CCB500B-B705-4CDE-ADD9-3155B6B32102}"/>
    <hyperlink ref="V3:W3" location="Therapies!A1" display="Link to copy/paste table here" xr:uid="{73D1B854-47A0-4F9D-9E08-8BF18DC86627}"/>
  </hyperlinks>
  <pageMargins left="0.25" right="0.25" top="0.75" bottom="0.75" header="0.3" footer="0.3"/>
  <pageSetup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35"/>
  <sheetViews>
    <sheetView workbookViewId="0">
      <selection activeCell="X13" sqref="X13"/>
    </sheetView>
  </sheetViews>
  <sheetFormatPr defaultColWidth="9.140625" defaultRowHeight="14.25" x14ac:dyDescent="0.2"/>
  <cols>
    <col min="1" max="1" width="19.7109375" style="54" customWidth="1"/>
    <col min="2" max="3" width="9.7109375" style="55" hidden="1" customWidth="1"/>
    <col min="4" max="4" width="13.42578125" style="55" customWidth="1"/>
    <col min="5" max="6" width="13.28515625" style="56" customWidth="1"/>
    <col min="7" max="7" width="15.7109375" style="57" hidden="1" customWidth="1"/>
    <col min="8" max="11" width="8.7109375" style="58" customWidth="1"/>
    <col min="12" max="12" width="10.85546875" style="54" customWidth="1"/>
    <col min="13" max="13" width="17.7109375" style="59" customWidth="1"/>
    <col min="14" max="15" width="12.28515625" style="56" hidden="1" customWidth="1"/>
    <col min="16" max="16" width="14.7109375" style="60" customWidth="1"/>
    <col min="17" max="18" width="12.28515625" style="56" hidden="1" customWidth="1"/>
    <col min="19" max="19" width="14.7109375" style="60" customWidth="1"/>
    <col min="20" max="20" width="9.140625" style="46"/>
    <col min="21" max="21" width="0" style="46" hidden="1" customWidth="1"/>
    <col min="22" max="26" width="9.140625" style="46"/>
    <col min="27" max="31" width="9.140625" style="46" hidden="1" customWidth="1"/>
    <col min="32" max="32" width="9.140625" style="46" customWidth="1"/>
    <col min="33" max="16384" width="9.140625" style="46"/>
  </cols>
  <sheetData>
    <row r="1" spans="1:31" ht="30" customHeight="1" thickTop="1" x14ac:dyDescent="0.2">
      <c r="A1" s="340" t="s">
        <v>59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2"/>
    </row>
    <row r="2" spans="1:31" s="47" customFormat="1" ht="57.75" thickBot="1" x14ac:dyDescent="0.3">
      <c r="A2" s="105" t="s">
        <v>33</v>
      </c>
      <c r="B2" s="106" t="s">
        <v>15</v>
      </c>
      <c r="C2" s="106" t="s">
        <v>16</v>
      </c>
      <c r="D2" s="106" t="s">
        <v>17</v>
      </c>
      <c r="E2" s="107" t="s">
        <v>18</v>
      </c>
      <c r="F2" s="107" t="s">
        <v>19</v>
      </c>
      <c r="G2" s="107" t="s">
        <v>29</v>
      </c>
      <c r="H2" s="108" t="s">
        <v>20</v>
      </c>
      <c r="I2" s="108" t="s">
        <v>21</v>
      </c>
      <c r="J2" s="108" t="s">
        <v>22</v>
      </c>
      <c r="K2" s="108" t="s">
        <v>23</v>
      </c>
      <c r="L2" s="109" t="s">
        <v>24</v>
      </c>
      <c r="M2" s="109" t="s">
        <v>30</v>
      </c>
      <c r="N2" s="107" t="s">
        <v>25</v>
      </c>
      <c r="O2" s="107" t="s">
        <v>26</v>
      </c>
      <c r="P2" s="109" t="s">
        <v>31</v>
      </c>
      <c r="Q2" s="107" t="s">
        <v>27</v>
      </c>
      <c r="R2" s="107" t="s">
        <v>28</v>
      </c>
      <c r="S2" s="110" t="s">
        <v>34</v>
      </c>
      <c r="U2" s="7" t="s">
        <v>48</v>
      </c>
      <c r="AA2" s="207" t="s">
        <v>148</v>
      </c>
      <c r="AB2" s="207" t="s">
        <v>144</v>
      </c>
      <c r="AC2" s="207" t="s">
        <v>145</v>
      </c>
      <c r="AD2" s="207" t="s">
        <v>146</v>
      </c>
      <c r="AE2" s="207" t="s">
        <v>147</v>
      </c>
    </row>
    <row r="3" spans="1:31" ht="44.25" customHeight="1" thickTop="1" x14ac:dyDescent="0.25">
      <c r="A3" s="34" t="s">
        <v>170</v>
      </c>
      <c r="B3" s="35">
        <f ca="1">'Master Data'!$B$6</f>
        <v>126.3</v>
      </c>
      <c r="C3" s="35">
        <f ca="1">'Master Data'!$B$7</f>
        <v>136.30000000000001</v>
      </c>
      <c r="D3" s="35">
        <f ca="1">ROUND(C3-B3,1)</f>
        <v>10</v>
      </c>
      <c r="E3" s="36" cm="1">
        <f t="array" ref="E3">IF(
  OR($A3="Chest X-ray",$A3="Chest CT Scan"),
  MIN(
    IF(
      ('Service to CPT Map'!$A$2:$A$1017=$A3)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Map'!$A$2:$A$1017=$A3)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88</v>
      </c>
      <c r="F3" s="36" cm="1">
        <f t="array" ref="F3">_xlfn.LET(
  _xlpm.HighCalc,
  IF(
    OR($A3="Chest X-ray",$A3="Chest CT Scan"),
    MAX(
      IF(
        ('Service to CPT Map'!$A$2:$A$1018=$A3)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Map'!$A$2:$A$1018=$A3)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Map'!$A$2:$A$1018=$A3)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Map'!$A$2:$A$1018=$A3)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E3, _xlpm.HighCalc)
)</f>
        <v>1887</v>
      </c>
      <c r="G3" s="37" t="str">
        <f>IF(E3&lt;F3,CONCATENATE(TEXT(E3,"$#,##0.00"),CHAR(10)," - ",CHAR(10),TEXT(F3,"$#,##0.00")),TEXT(E3,"$#,##0.00"))</f>
        <v>$88.00
 - 
$1,887.00</v>
      </c>
      <c r="H3" s="38">
        <v>7</v>
      </c>
      <c r="I3" s="38"/>
      <c r="J3" s="38"/>
      <c r="K3" s="38"/>
      <c r="L3" s="48" t="str">
        <f>IF(LEN(K3)=0,IF(LEN(J3)=0,"lifetime",IF(J3=1,"year","years")),"years")</f>
        <v>lifetime</v>
      </c>
      <c r="M3" s="39" t="str">
        <f>IF(L3="lifetime",
    IF(I3&lt;&gt;"", H3 &amp; "-" &amp; I3 &amp; "x/lifetime", H3 &amp; "x/lifetime"),
    IF(D3='Master Data'!$B$8, AD3 &amp; AE3, AD3 &amp; AE3 &amp; AC3))</f>
        <v>7x/lifetime</v>
      </c>
      <c r="N3" s="36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3" s="36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3" s="49" t="str">
        <f>IF(N3&lt;O3,CONCATENATE(TEXT(N3,"$#,##0.00"),CHAR(10)," - ",CHAR(10),TEXT(O3,"$#,##0.00")),TEXT(N3,"$0.00"))</f>
        <v>$0.00</v>
      </c>
      <c r="Q3" s="36">
        <f>ROUND(IF(TimeValue="lifetime",MinCost*MinFreq,0),2)</f>
        <v>616</v>
      </c>
      <c r="R3" s="36">
        <f>ROUND(IF(AND(TimeValue="lifetime",MaxFreq&lt;1),MinFreq*MaxCost,IF(AND(TimeValue="lifetime",MaxFreq&gt;=1),MaxFreq*MaxCost,0)),2)</f>
        <v>13209</v>
      </c>
      <c r="S3" s="50" t="str">
        <f t="shared" ref="S3:S23" si="0">IF(Q3&lt;R3,CONCATENATE(TEXT(Q3,"$#,##0.00"),CHAR(10)," - ",CHAR(10),TEXT(R3,"$#,##0.00")),TEXT(Q3,"$#,##0.00"))</f>
        <v>$616.00
 - 
$13,209.00</v>
      </c>
      <c r="U3" s="46" t="str">
        <f t="array" aca="1" ref="U3" ca="1">IF(AND(ROUND(Table13[Duration (Years):],1)='Master Data'!$B$8),"same","different")</f>
        <v>same</v>
      </c>
      <c r="V3" s="345" t="s">
        <v>133</v>
      </c>
      <c r="W3" s="345"/>
      <c r="AA3" s="166" t="str">
        <f>IF(L3="lifetime", "one-time cost", IF(D3='Master Data'!$B$8, AD3 &amp; AE3, AD3 &amp; AE3 &amp; AC3))</f>
        <v>one-time cost</v>
      </c>
      <c r="AB3" s="208" t="str">
        <f>IF(L3="lifetime", IF(I3&lt;&gt;"", H3 &amp; "-" &amp; I3 &amp; "x/lifetime", H3 &amp; "x/lifetime"), "ongoing cost")</f>
        <v>7x/lifetime</v>
      </c>
      <c r="AC3" s="166" t="str">
        <f ca="1">IF(Table13[[#This Row],[Duration (Years):]]&lt;&gt;'Master Data'!$B$8,CONCATENATE(",",CHAR(10),"for ",Table13[[#This Row],[Duration (Years):]]," years"),"lifelong")</f>
        <v>lifelong</v>
      </c>
      <c r="AD3" s="166" t="str">
        <f>IF(L3="lifetime", "one-time cost", IF(I3&lt;&gt;"", H3 &amp; "-" &amp; I3 &amp; "x/", H3 &amp; "x/"))</f>
        <v>one-time cost</v>
      </c>
      <c r="AE3" s="166" t="str">
        <f>IF(L3="lifetime", "one-time cost", IF(K3&lt;&gt;"", J3 &amp; "-" &amp; K3 &amp; " " &amp; L3, IF(J3&gt;1, J3 &amp; " " &amp; L3, L3)))</f>
        <v>one-time cost</v>
      </c>
    </row>
    <row r="4" spans="1:31" ht="44.25" customHeight="1" x14ac:dyDescent="0.2">
      <c r="A4" s="28" t="s">
        <v>170</v>
      </c>
      <c r="B4" s="29">
        <f ca="1">'Master Data'!$B$6</f>
        <v>126.3</v>
      </c>
      <c r="C4" s="29">
        <f ca="1">'Master Data'!$B$7</f>
        <v>136.30000000000001</v>
      </c>
      <c r="D4" s="29">
        <f ca="1">ROUND(C4-B4,1)</f>
        <v>10</v>
      </c>
      <c r="E4" s="30" cm="1">
        <f t="array" ref="E4">IF(
  OR($A4="Chest X-ray",$A4="Chest CT Scan"),
  MIN(
    IF(
      ('Service to CPT Map'!$A$2:$A$1017=$A4)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Map'!$A$2:$A$1017=$A4)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88</v>
      </c>
      <c r="F4" s="30" cm="1">
        <f t="array" ref="F4">_xlfn.LET(
  _xlpm.HighCalc,
  IF(
    OR($A4="Chest X-ray",$A4="Chest CT Scan"),
    MAX(
      IF(
        ('Service to CPT Map'!$A$2:$A$1018=$A4)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Map'!$A$2:$A$1018=$A4)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Map'!$A$2:$A$1018=$A4)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Map'!$A$2:$A$1018=$A4)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E4, _xlpm.HighCalc)
)</f>
        <v>1887</v>
      </c>
      <c r="G4" s="31" t="str">
        <f t="shared" ref="G4:G15" si="1">IF(E4&lt;F4,CONCATENATE(TEXT(E4,"$#,##0.00"),CHAR(10)," - ",CHAR(10),TEXT(F4,"$#,##0.00")),TEXT(E4,"$#,##0.00"))</f>
        <v>$88.00
 - 
$1,887.00</v>
      </c>
      <c r="H4" s="32">
        <v>16</v>
      </c>
      <c r="I4" s="32">
        <v>36</v>
      </c>
      <c r="J4" s="32"/>
      <c r="K4" s="32"/>
      <c r="L4" s="51" t="str">
        <f>IF(LEN(K4)=0,IF(LEN(J4)=0,"lifetime",IF(J4=1,"year","years")),"years")</f>
        <v>lifetime</v>
      </c>
      <c r="M4" s="33" t="str">
        <f>IF(L4="lifetime",
    IF(I4&lt;&gt;"", H4 &amp; "-" &amp; I4 &amp; "x/lifetime", H4 &amp; "x/lifetime"),
    IF(D4='Master Data'!$B$8, AD4 &amp; AE4, AD4 &amp; AE4 &amp; AC4))</f>
        <v>16-36x/lifetime</v>
      </c>
      <c r="N4" s="30">
        <f t="shared" ref="N4:N15" si="2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4" s="30">
        <f t="shared" ref="O4:O15" si="3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4" s="52" t="str">
        <f t="shared" ref="P4:P15" si="4">IF(N4&lt;O4,CONCATENATE(TEXT(N4,"$#,##0.00"),CHAR(10)," - ",CHAR(10),TEXT(O4,"$#,##0.00")),TEXT(N4,"$0.00"))</f>
        <v>$0.00</v>
      </c>
      <c r="Q4" s="30">
        <f t="shared" ref="Q4:Q15" si="5">ROUND(IF(TimeValue="lifetime",MinCost*MinFreq,0),2)</f>
        <v>1408</v>
      </c>
      <c r="R4" s="30">
        <f t="shared" ref="R4:R15" si="6">ROUND(IF(AND(TimeValue="lifetime",MaxFreq&lt;1),MinFreq*MaxCost,IF(AND(TimeValue="lifetime",MaxFreq&gt;=1),MaxFreq*MaxCost,0)),2)</f>
        <v>67932</v>
      </c>
      <c r="S4" s="53" t="str">
        <f t="shared" si="0"/>
        <v>$1,408.00
 - 
$67,932.00</v>
      </c>
      <c r="AA4" s="166" t="str">
        <f>IF(L4="lifetime", "one-time cost", IF(D4='Master Data'!$B$8, AD4 &amp; AE4, AD4 &amp; AE4 &amp; AC4))</f>
        <v>one-time cost</v>
      </c>
      <c r="AB4" s="208" t="str">
        <f>IF(L4="lifetime", IF(I4&lt;&gt;"", H4 &amp; "-" &amp; I4 &amp; "x/lifetime", H4 &amp; "x/lifetime"), "ongoing cost")</f>
        <v>16-36x/lifetime</v>
      </c>
      <c r="AC4" s="166" t="str">
        <f ca="1">IF(Table13[[#This Row],[Duration (Years):]]&lt;&gt;'Master Data'!$B$8,CONCATENATE(",",CHAR(10),"for ",Table13[[#This Row],[Duration (Years):]]," years"),"lifelong")</f>
        <v>lifelong</v>
      </c>
      <c r="AD4" s="166" t="str">
        <f>IF(L4="lifetime", "one-time cost", IF(I4&lt;&gt;"", H4 &amp; "-" &amp; I4 &amp; "x/", H4 &amp; "x/"))</f>
        <v>one-time cost</v>
      </c>
      <c r="AE4" s="166" t="str">
        <f>IF(L4="lifetime", "one-time cost", IF(K4&lt;&gt;"", J4 &amp; "-" &amp; K4 &amp; " " &amp; L4, IF(J4&gt;1, J4 &amp; " " &amp; L4, L4)))</f>
        <v>one-time cost</v>
      </c>
    </row>
    <row r="5" spans="1:31" ht="44.25" customHeight="1" x14ac:dyDescent="0.2">
      <c r="A5" s="28" t="s">
        <v>171</v>
      </c>
      <c r="B5" s="29">
        <f ca="1">'Master Data'!$B$6</f>
        <v>126.3</v>
      </c>
      <c r="C5" s="29">
        <f ca="1">'Master Data'!$B$7</f>
        <v>136.30000000000001</v>
      </c>
      <c r="D5" s="29">
        <f ca="1">ROUND(C5-B5,1)</f>
        <v>10</v>
      </c>
      <c r="E5" s="30" cm="1">
        <f t="array" ref="E5">IF(
  OR($A5="Chest X-ray",$A5="Chest CT Scan"),
  MIN(
    IF(
      ('Service to CPT Map'!$A$2:$A$1017=$A5)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Map'!$A$2:$A$1017=$A5)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126</v>
      </c>
      <c r="F5" s="30" cm="1">
        <f t="array" ref="F5">_xlfn.LET(
  _xlpm.HighCalc,
  IF(
    OR($A5="Chest X-ray",$A5="Chest CT Scan"),
    MAX(
      IF(
        ('Service to CPT Map'!$A$2:$A$1018=$A5)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Map'!$A$2:$A$1018=$A5)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Map'!$A$2:$A$1018=$A5)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Map'!$A$2:$A$1018=$A5)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E5, _xlpm.HighCalc)
)</f>
        <v>525</v>
      </c>
      <c r="G5" s="31" t="str">
        <f t="shared" si="1"/>
        <v>$126.00
 - 
$525.00</v>
      </c>
      <c r="H5" s="32">
        <v>7</v>
      </c>
      <c r="I5" s="32"/>
      <c r="J5" s="32"/>
      <c r="K5" s="32"/>
      <c r="L5" s="51" t="str">
        <f>IF(LEN(K5)=0,IF(LEN(J5)=0,"lifetime",IF(J5=1,"year","years")),"years")</f>
        <v>lifetime</v>
      </c>
      <c r="M5" s="33" t="str">
        <f>IF(L5="lifetime",
    IF(I5&lt;&gt;"", H5 &amp; "-" &amp; I5 &amp; "x/lifetime", H5 &amp; "x/lifetime"),
    IF(D5='Master Data'!$B$8, AD5 &amp; AE5, AD5 &amp; AE5 &amp; AC5))</f>
        <v>7x/lifetime</v>
      </c>
      <c r="N5" s="30">
        <f t="shared" si="2"/>
        <v>0</v>
      </c>
      <c r="O5" s="30">
        <f t="shared" si="3"/>
        <v>0</v>
      </c>
      <c r="P5" s="52" t="str">
        <f t="shared" si="4"/>
        <v>$0.00</v>
      </c>
      <c r="Q5" s="30">
        <f t="shared" si="5"/>
        <v>882</v>
      </c>
      <c r="R5" s="30">
        <f t="shared" si="6"/>
        <v>3675</v>
      </c>
      <c r="S5" s="53" t="str">
        <f t="shared" si="0"/>
        <v>$882.00
 - 
$3,675.00</v>
      </c>
      <c r="AA5" s="166" t="str">
        <f>IF(L5="lifetime", "one-time cost", IF(D5='Master Data'!$B$8, AD5 &amp; AE5, AD5 &amp; AE5 &amp; AC5))</f>
        <v>one-time cost</v>
      </c>
      <c r="AB5" s="208" t="str">
        <f t="shared" ref="AB5:AB13" si="7">IF(L5="lifetime", IF(I5&lt;&gt;"", H5 &amp; "-" &amp; I5 &amp; "x/lifetime", H5 &amp; "x/lifetime"), "ongoing cost")</f>
        <v>7x/lifetime</v>
      </c>
      <c r="AC5" s="166" t="str">
        <f ca="1">IF(Table13[[#This Row],[Duration (Years):]]&lt;&gt;'Master Data'!$B$8,CONCATENATE(",",CHAR(10),"for ",Table13[[#This Row],[Duration (Years):]]," years"),"lifelong")</f>
        <v>lifelong</v>
      </c>
      <c r="AD5" s="166" t="str">
        <f t="shared" ref="AD5:AD13" si="8">IF(L5="lifetime", "one-time cost", IF(I5&lt;&gt;"", H5 &amp; "-" &amp; I5 &amp; "x/", H5 &amp; "x/"))</f>
        <v>one-time cost</v>
      </c>
      <c r="AE5" s="166" t="str">
        <f t="shared" ref="AE5:AE13" si="9">IF(L5="lifetime", "one-time cost", IF(K5&lt;&gt;"", J5 &amp; "-" &amp; K5 &amp; " " &amp; L5, IF(J5&gt;1, J5 &amp; " " &amp; L5, L5)))</f>
        <v>one-time cost</v>
      </c>
    </row>
    <row r="6" spans="1:31" ht="44.25" customHeight="1" x14ac:dyDescent="0.2">
      <c r="A6" s="28" t="s">
        <v>171</v>
      </c>
      <c r="B6" s="29">
        <f ca="1">'Master Data'!$B$6</f>
        <v>126.3</v>
      </c>
      <c r="C6" s="29">
        <f ca="1">'Master Data'!$B$7</f>
        <v>136.30000000000001</v>
      </c>
      <c r="D6" s="29">
        <f ca="1">ROUND(C6-B6,1)</f>
        <v>10</v>
      </c>
      <c r="E6" s="30" cm="1">
        <f t="array" ref="E6">IF(
  OR($A6="Chest X-ray",$A6="Chest CT Scan"),
  MIN(
    IF(
      ('Service to CPT Map'!$A$2:$A$1017=$A6)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Map'!$A$2:$A$1017=$A6)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126</v>
      </c>
      <c r="F6" s="30" cm="1">
        <f t="array" ref="F6">_xlfn.LET(
  _xlpm.HighCalc,
  IF(
    OR($A6="Chest X-ray",$A6="Chest CT Scan"),
    MAX(
      IF(
        ('Service to CPT Map'!$A$2:$A$1018=$A6)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Map'!$A$2:$A$1018=$A6)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Map'!$A$2:$A$1018=$A6)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Map'!$A$2:$A$1018=$A6)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E6, _xlpm.HighCalc)
)</f>
        <v>525</v>
      </c>
      <c r="G6" s="31" t="str">
        <f t="shared" si="1"/>
        <v>$126.00
 - 
$525.00</v>
      </c>
      <c r="H6" s="32">
        <v>16</v>
      </c>
      <c r="I6" s="32">
        <v>36</v>
      </c>
      <c r="J6" s="32"/>
      <c r="K6" s="32"/>
      <c r="L6" s="51" t="str">
        <f>IF(LEN(K6)=0,IF(LEN(J6)=0,"lifetime",IF(J6=1,"year","years")),"years")</f>
        <v>lifetime</v>
      </c>
      <c r="M6" s="33" t="str">
        <f>IF(L6="lifetime",
    IF(I6&lt;&gt;"", H6 &amp; "-" &amp; I6 &amp; "x/lifetime", H6 &amp; "x/lifetime"),
    IF(D6='Master Data'!$B$8, AD6 &amp; AE6, AD6 &amp; AE6 &amp; AC6))</f>
        <v>16-36x/lifetime</v>
      </c>
      <c r="N6" s="30">
        <f t="shared" si="2"/>
        <v>0</v>
      </c>
      <c r="O6" s="30">
        <f t="shared" si="3"/>
        <v>0</v>
      </c>
      <c r="P6" s="52" t="str">
        <f t="shared" si="4"/>
        <v>$0.00</v>
      </c>
      <c r="Q6" s="30">
        <f t="shared" si="5"/>
        <v>2016</v>
      </c>
      <c r="R6" s="30">
        <f t="shared" si="6"/>
        <v>18900</v>
      </c>
      <c r="S6" s="53" t="str">
        <f t="shared" si="0"/>
        <v>$2,016.00
 - 
$18,900.00</v>
      </c>
      <c r="AA6" s="166" t="str">
        <f>IF(L6="lifetime", "one-time cost", IF(D6='Master Data'!$B$8, AD6 &amp; AE6, AD6 &amp; AE6 &amp; AC6))</f>
        <v>one-time cost</v>
      </c>
      <c r="AB6" s="208" t="str">
        <f t="shared" si="7"/>
        <v>16-36x/lifetime</v>
      </c>
      <c r="AC6" s="166" t="str">
        <f ca="1">IF(Table13[[#This Row],[Duration (Years):]]&lt;&gt;'Master Data'!$B$8,CONCATENATE(",",CHAR(10),"for ",Table13[[#This Row],[Duration (Years):]]," years"),"lifelong")</f>
        <v>lifelong</v>
      </c>
      <c r="AD6" s="166" t="str">
        <f t="shared" si="8"/>
        <v>one-time cost</v>
      </c>
      <c r="AE6" s="166" t="str">
        <f t="shared" si="9"/>
        <v>one-time cost</v>
      </c>
    </row>
    <row r="7" spans="1:31" ht="44.25" customHeight="1" x14ac:dyDescent="0.2">
      <c r="A7" s="28" t="s">
        <v>172</v>
      </c>
      <c r="B7" s="29">
        <f ca="1">'Master Data'!$B$6</f>
        <v>126.3</v>
      </c>
      <c r="C7" s="29">
        <f ca="1">'Master Data'!$B$7</f>
        <v>136.30000000000001</v>
      </c>
      <c r="D7" s="29">
        <f t="shared" ref="D7:D15" ca="1" si="10">ROUND(C7-B7,1)</f>
        <v>10</v>
      </c>
      <c r="E7" s="30" cm="1">
        <f t="array" ref="E7">IF(
  OR($A7="Chest X-ray",$A7="Chest CT Scan"),
  MIN(
    IF(
      ('Service to CPT Map'!$A$2:$A$1017=$A7)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Map'!$A$2:$A$1017=$A7)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843</v>
      </c>
      <c r="F7" s="30" cm="1">
        <f t="array" ref="F7">_xlfn.LET(
  _xlpm.HighCalc,
  IF(
    OR($A7="Chest X-ray",$A7="Chest CT Scan"),
    MAX(
      IF(
        ('Service to CPT Map'!$A$2:$A$1018=$A7)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Map'!$A$2:$A$1018=$A7)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Map'!$A$2:$A$1018=$A7)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Map'!$A$2:$A$1018=$A7)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E7, _xlpm.HighCalc)
)</f>
        <v>7172</v>
      </c>
      <c r="G7" s="31" t="str">
        <f t="shared" si="1"/>
        <v>$843.00
 - 
$7,172.00</v>
      </c>
      <c r="H7" s="32">
        <v>7</v>
      </c>
      <c r="I7" s="32"/>
      <c r="J7" s="32"/>
      <c r="K7" s="32"/>
      <c r="L7" s="51" t="str">
        <f t="shared" ref="L7:L15" si="11">IF(LEN(K7)=0,IF(LEN(J7)=0,"lifetime",IF(J7=1,"year","years")),"years")</f>
        <v>lifetime</v>
      </c>
      <c r="M7" s="33" t="str">
        <f>IF(L7="lifetime",
    IF(I7&lt;&gt;"", H7 &amp; "-" &amp; I7 &amp; "x/lifetime", H7 &amp; "x/lifetime"),
    IF(D7='Master Data'!$B$8, AD7 &amp; AE7, AD7 &amp; AE7 &amp; AC7))</f>
        <v>7x/lifetime</v>
      </c>
      <c r="N7" s="30">
        <f t="shared" si="2"/>
        <v>0</v>
      </c>
      <c r="O7" s="30">
        <f t="shared" si="3"/>
        <v>0</v>
      </c>
      <c r="P7" s="52" t="str">
        <f t="shared" si="4"/>
        <v>$0.00</v>
      </c>
      <c r="Q7" s="30">
        <f t="shared" si="5"/>
        <v>5901</v>
      </c>
      <c r="R7" s="30">
        <f t="shared" si="6"/>
        <v>50204</v>
      </c>
      <c r="S7" s="53" t="str">
        <f t="shared" si="0"/>
        <v>$5,901.00
 - 
$50,204.00</v>
      </c>
      <c r="AA7" s="166" t="str">
        <f>IF(L7="lifetime", "one-time cost", IF(D7='Master Data'!$B$8, AD7 &amp; AE7, AD7 &amp; AE7 &amp; AC7))</f>
        <v>one-time cost</v>
      </c>
      <c r="AB7" s="208" t="str">
        <f t="shared" si="7"/>
        <v>7x/lifetime</v>
      </c>
      <c r="AC7" s="166" t="str">
        <f ca="1">IF(Table13[[#This Row],[Duration (Years):]]&lt;&gt;'Master Data'!$B$8,CONCATENATE(",",CHAR(10),"for ",Table13[[#This Row],[Duration (Years):]]," years"),"lifelong")</f>
        <v>lifelong</v>
      </c>
      <c r="AD7" s="166" t="str">
        <f t="shared" si="8"/>
        <v>one-time cost</v>
      </c>
      <c r="AE7" s="166" t="str">
        <f t="shared" si="9"/>
        <v>one-time cost</v>
      </c>
    </row>
    <row r="8" spans="1:31" ht="44.25" customHeight="1" x14ac:dyDescent="0.2">
      <c r="A8" s="28" t="s">
        <v>172</v>
      </c>
      <c r="B8" s="29">
        <f ca="1">'Master Data'!$B$6</f>
        <v>126.3</v>
      </c>
      <c r="C8" s="29">
        <f ca="1">'Master Data'!$B$7</f>
        <v>136.30000000000001</v>
      </c>
      <c r="D8" s="29">
        <f t="shared" ca="1" si="10"/>
        <v>10</v>
      </c>
      <c r="E8" s="30" cm="1">
        <f t="array" ref="E8">IF(
  OR($A8="Chest X-ray",$A8="Chest CT Scan"),
  MIN(
    IF(
      ('Service to CPT Map'!$A$2:$A$1017=$A8)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Map'!$A$2:$A$1017=$A8)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843</v>
      </c>
      <c r="F8" s="30" cm="1">
        <f t="array" ref="F8">_xlfn.LET(
  _xlpm.HighCalc,
  IF(
    OR($A8="Chest X-ray",$A8="Chest CT Scan"),
    MAX(
      IF(
        ('Service to CPT Map'!$A$2:$A$1018=$A8)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Map'!$A$2:$A$1018=$A8)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Map'!$A$2:$A$1018=$A8)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Map'!$A$2:$A$1018=$A8)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E8, _xlpm.HighCalc)
)</f>
        <v>7172</v>
      </c>
      <c r="G8" s="31" t="str">
        <f t="shared" si="1"/>
        <v>$843.00
 - 
$7,172.00</v>
      </c>
      <c r="H8" s="32">
        <v>16</v>
      </c>
      <c r="I8" s="32">
        <v>36</v>
      </c>
      <c r="J8" s="32"/>
      <c r="K8" s="32"/>
      <c r="L8" s="51" t="str">
        <f t="shared" si="11"/>
        <v>lifetime</v>
      </c>
      <c r="M8" s="33" t="str">
        <f>IF(L8="lifetime",
    IF(I8&lt;&gt;"", H8 &amp; "-" &amp; I8 &amp; "x/lifetime", H8 &amp; "x/lifetime"),
    IF(D8='Master Data'!$B$8, AD8 &amp; AE8, AD8 &amp; AE8 &amp; AC8))</f>
        <v>16-36x/lifetime</v>
      </c>
      <c r="N8" s="30">
        <f t="shared" si="2"/>
        <v>0</v>
      </c>
      <c r="O8" s="30">
        <f t="shared" si="3"/>
        <v>0</v>
      </c>
      <c r="P8" s="52" t="str">
        <f t="shared" si="4"/>
        <v>$0.00</v>
      </c>
      <c r="Q8" s="30">
        <f t="shared" si="5"/>
        <v>13488</v>
      </c>
      <c r="R8" s="30">
        <f t="shared" si="6"/>
        <v>258192</v>
      </c>
      <c r="S8" s="53" t="str">
        <f t="shared" si="0"/>
        <v>$13,488.00
 - 
$258,192.00</v>
      </c>
      <c r="AA8" s="166" t="str">
        <f>IF(L8="lifetime", "one-time cost", IF(D8='Master Data'!$B$8, AD8 &amp; AE8, AD8 &amp; AE8 &amp; AC8))</f>
        <v>one-time cost</v>
      </c>
      <c r="AB8" s="208" t="str">
        <f t="shared" si="7"/>
        <v>16-36x/lifetime</v>
      </c>
      <c r="AC8" s="166" t="str">
        <f ca="1">IF(Table13[[#This Row],[Duration (Years):]]&lt;&gt;'Master Data'!$B$8,CONCATENATE(",",CHAR(10),"for ",Table13[[#This Row],[Duration (Years):]]," years"),"lifelong")</f>
        <v>lifelong</v>
      </c>
      <c r="AD8" s="166" t="str">
        <f t="shared" si="8"/>
        <v>one-time cost</v>
      </c>
      <c r="AE8" s="166" t="str">
        <f t="shared" si="9"/>
        <v>one-time cost</v>
      </c>
    </row>
    <row r="9" spans="1:31" ht="44.25" customHeight="1" x14ac:dyDescent="0.2">
      <c r="A9" s="28" t="s">
        <v>173</v>
      </c>
      <c r="B9" s="29">
        <f ca="1">'Master Data'!$B$6</f>
        <v>126.3</v>
      </c>
      <c r="C9" s="29">
        <f ca="1">'Master Data'!$B$7</f>
        <v>136.30000000000001</v>
      </c>
      <c r="D9" s="29">
        <f t="shared" ca="1" si="10"/>
        <v>10</v>
      </c>
      <c r="E9" s="30" cm="1">
        <f t="array" ref="E9">IF(
  OR($A9="Chest X-ray",$A9="Chest CT Scan"),
  MIN(
    IF(
      ('Service to CPT Map'!$A$2:$A$1017=$A9)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Map'!$A$2:$A$1017=$A9)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157</v>
      </c>
      <c r="F9" s="30" cm="1">
        <f t="array" ref="F9">_xlfn.LET(
  _xlpm.HighCalc,
  IF(
    OR($A9="Chest X-ray",$A9="Chest CT Scan"),
    MAX(
      IF(
        ('Service to CPT Map'!$A$2:$A$1018=$A9)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Map'!$A$2:$A$1018=$A9)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Map'!$A$2:$A$1018=$A9)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Map'!$A$2:$A$1018=$A9)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E9, _xlpm.HighCalc)
)</f>
        <v>157</v>
      </c>
      <c r="G9" s="31" t="str">
        <f t="shared" si="1"/>
        <v>$157.00</v>
      </c>
      <c r="H9" s="32">
        <v>7</v>
      </c>
      <c r="I9" s="32"/>
      <c r="J9" s="32"/>
      <c r="K9" s="32"/>
      <c r="L9" s="51" t="str">
        <f t="shared" si="11"/>
        <v>lifetime</v>
      </c>
      <c r="M9" s="33" t="str">
        <f>IF(L9="lifetime",
    IF(I9&lt;&gt;"", H9 &amp; "-" &amp; I9 &amp; "x/lifetime", H9 &amp; "x/lifetime"),
    IF(D9='Master Data'!$B$8, AD9 &amp; AE9, AD9 &amp; AE9 &amp; AC9))</f>
        <v>7x/lifetime</v>
      </c>
      <c r="N9" s="30">
        <f t="shared" si="2"/>
        <v>0</v>
      </c>
      <c r="O9" s="30">
        <f t="shared" si="3"/>
        <v>0</v>
      </c>
      <c r="P9" s="52" t="str">
        <f t="shared" si="4"/>
        <v>$0.00</v>
      </c>
      <c r="Q9" s="30">
        <f t="shared" si="5"/>
        <v>1099</v>
      </c>
      <c r="R9" s="30">
        <f t="shared" si="6"/>
        <v>1099</v>
      </c>
      <c r="S9" s="53" t="str">
        <f t="shared" si="0"/>
        <v>$1,099.00</v>
      </c>
      <c r="AA9" s="166" t="str">
        <f>IF(L9="lifetime", "one-time cost", IF(D9='Master Data'!$B$8, AD9 &amp; AE9, AD9 &amp; AE9 &amp; AC9))</f>
        <v>one-time cost</v>
      </c>
      <c r="AB9" s="208" t="str">
        <f t="shared" si="7"/>
        <v>7x/lifetime</v>
      </c>
      <c r="AC9" s="166" t="str">
        <f ca="1">IF(Table13[[#This Row],[Duration (Years):]]&lt;&gt;'Master Data'!$B$8,CONCATENATE(",",CHAR(10),"for ",Table13[[#This Row],[Duration (Years):]]," years"),"lifelong")</f>
        <v>lifelong</v>
      </c>
      <c r="AD9" s="166" t="str">
        <f t="shared" si="8"/>
        <v>one-time cost</v>
      </c>
      <c r="AE9" s="166" t="str">
        <f t="shared" si="9"/>
        <v>one-time cost</v>
      </c>
    </row>
    <row r="10" spans="1:31" ht="44.25" customHeight="1" x14ac:dyDescent="0.2">
      <c r="A10" s="28" t="s">
        <v>173</v>
      </c>
      <c r="B10" s="29">
        <f ca="1">'Master Data'!$B$6</f>
        <v>126.3</v>
      </c>
      <c r="C10" s="29">
        <f ca="1">'Master Data'!$B$7</f>
        <v>136.30000000000001</v>
      </c>
      <c r="D10" s="29">
        <f t="shared" ca="1" si="10"/>
        <v>10</v>
      </c>
      <c r="E10" s="30" cm="1">
        <f t="array" ref="E10">IF(
  OR($A10="Chest X-ray",$A10="Chest CT Scan"),
  MIN(
    IF(
      ('Service to CPT Map'!$A$2:$A$1017=$A10)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Map'!$A$2:$A$1017=$A10)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157</v>
      </c>
      <c r="F10" s="30" cm="1">
        <f t="array" ref="F10">_xlfn.LET(
  _xlpm.HighCalc,
  IF(
    OR($A10="Chest X-ray",$A10="Chest CT Scan"),
    MAX(
      IF(
        ('Service to CPT Map'!$A$2:$A$1018=$A10)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Map'!$A$2:$A$1018=$A10)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Map'!$A$2:$A$1018=$A10)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Map'!$A$2:$A$1018=$A10)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E10, _xlpm.HighCalc)
)</f>
        <v>157</v>
      </c>
      <c r="G10" s="31" t="str">
        <f t="shared" si="1"/>
        <v>$157.00</v>
      </c>
      <c r="H10" s="32">
        <v>16</v>
      </c>
      <c r="I10" s="32">
        <v>36</v>
      </c>
      <c r="J10" s="32"/>
      <c r="K10" s="32"/>
      <c r="L10" s="51" t="str">
        <f t="shared" si="11"/>
        <v>lifetime</v>
      </c>
      <c r="M10" s="33" t="str">
        <f>IF(L10="lifetime",
    IF(I10&lt;&gt;"", H10 &amp; "-" &amp; I10 &amp; "x/lifetime", H10 &amp; "x/lifetime"),
    IF(D10='Master Data'!$B$8, AD10 &amp; AE10, AD10 &amp; AE10 &amp; AC10))</f>
        <v>16-36x/lifetime</v>
      </c>
      <c r="N10" s="30">
        <f t="shared" si="2"/>
        <v>0</v>
      </c>
      <c r="O10" s="30">
        <f t="shared" si="3"/>
        <v>0</v>
      </c>
      <c r="P10" s="52" t="str">
        <f t="shared" si="4"/>
        <v>$0.00</v>
      </c>
      <c r="Q10" s="30">
        <f t="shared" si="5"/>
        <v>2512</v>
      </c>
      <c r="R10" s="30">
        <f t="shared" si="6"/>
        <v>5652</v>
      </c>
      <c r="S10" s="53" t="str">
        <f t="shared" si="0"/>
        <v>$2,512.00
 - 
$5,652.00</v>
      </c>
      <c r="AA10" s="166" t="str">
        <f>IF(L10="lifetime", "one-time cost", IF(D10='Master Data'!$B$8, AD10 &amp; AE10, AD10 &amp; AE10 &amp; AC10))</f>
        <v>one-time cost</v>
      </c>
      <c r="AB10" s="208" t="str">
        <f t="shared" si="7"/>
        <v>16-36x/lifetime</v>
      </c>
      <c r="AC10" s="166" t="str">
        <f ca="1">IF(Table13[[#This Row],[Duration (Years):]]&lt;&gt;'Master Data'!$B$8,CONCATENATE(",",CHAR(10),"for ",Table13[[#This Row],[Duration (Years):]]," years"),"lifelong")</f>
        <v>lifelong</v>
      </c>
      <c r="AD10" s="166" t="str">
        <f t="shared" si="8"/>
        <v>one-time cost</v>
      </c>
      <c r="AE10" s="166" t="str">
        <f t="shared" si="9"/>
        <v>one-time cost</v>
      </c>
    </row>
    <row r="11" spans="1:31" ht="44.25" customHeight="1" x14ac:dyDescent="0.2">
      <c r="A11" s="28" t="s">
        <v>174</v>
      </c>
      <c r="B11" s="29">
        <f ca="1">'Master Data'!$B$6</f>
        <v>126.3</v>
      </c>
      <c r="C11" s="29">
        <f ca="1">'Master Data'!$B$7</f>
        <v>136.30000000000001</v>
      </c>
      <c r="D11" s="29">
        <f t="shared" ca="1" si="10"/>
        <v>10</v>
      </c>
      <c r="E11" s="30" cm="1">
        <f t="array" ref="E11">IF(
  OR($A11="Chest X-ray",$A11="Chest CT Scan"),
  MIN(
    IF(
      ('Service to CPT Map'!$A$2:$A$1017=$A11)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Map'!$A$2:$A$1017=$A11)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109</v>
      </c>
      <c r="F11" s="30" cm="1">
        <f t="array" ref="F11">_xlfn.LET(
  _xlpm.HighCalc,
  IF(
    OR($A11="Chest X-ray",$A11="Chest CT Scan"),
    MAX(
      IF(
        ('Service to CPT Map'!$A$2:$A$1018=$A11)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Map'!$A$2:$A$1018=$A11)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Map'!$A$2:$A$1018=$A11)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Map'!$A$2:$A$1018=$A11)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E11, _xlpm.HighCalc)
)</f>
        <v>109</v>
      </c>
      <c r="G11" s="31" t="str">
        <f t="shared" si="1"/>
        <v>$109.00</v>
      </c>
      <c r="H11" s="32">
        <v>7</v>
      </c>
      <c r="I11" s="32"/>
      <c r="J11" s="32"/>
      <c r="K11" s="32"/>
      <c r="L11" s="51" t="str">
        <f t="shared" si="11"/>
        <v>lifetime</v>
      </c>
      <c r="M11" s="33" t="str">
        <f>IF(L11="lifetime",
    IF(I11&lt;&gt;"", H11 &amp; "-" &amp; I11 &amp; "x/lifetime", H11 &amp; "x/lifetime"),
    IF(D11='Master Data'!$B$8, AD11 &amp; AE11, AD11 &amp; AE11 &amp; AC11))</f>
        <v>7x/lifetime</v>
      </c>
      <c r="N11" s="30">
        <f t="shared" si="2"/>
        <v>0</v>
      </c>
      <c r="O11" s="30">
        <f t="shared" si="3"/>
        <v>0</v>
      </c>
      <c r="P11" s="52" t="str">
        <f t="shared" si="4"/>
        <v>$0.00</v>
      </c>
      <c r="Q11" s="30">
        <f t="shared" si="5"/>
        <v>763</v>
      </c>
      <c r="R11" s="30">
        <f t="shared" si="6"/>
        <v>763</v>
      </c>
      <c r="S11" s="53" t="str">
        <f t="shared" si="0"/>
        <v>$763.00</v>
      </c>
      <c r="AA11" s="166" t="str">
        <f>IF(L11="lifetime", "one-time cost", IF(D11='Master Data'!$B$8, AD11 &amp; AE11, AD11 &amp; AE11 &amp; AC11))</f>
        <v>one-time cost</v>
      </c>
      <c r="AB11" s="208" t="str">
        <f t="shared" si="7"/>
        <v>7x/lifetime</v>
      </c>
      <c r="AC11" s="166" t="str">
        <f ca="1">IF(Table13[[#This Row],[Duration (Years):]]&lt;&gt;'Master Data'!$B$8,CONCATENATE(",",CHAR(10),"for ",Table13[[#This Row],[Duration (Years):]]," years"),"lifelong")</f>
        <v>lifelong</v>
      </c>
      <c r="AD11" s="166" t="str">
        <f t="shared" si="8"/>
        <v>one-time cost</v>
      </c>
      <c r="AE11" s="166" t="str">
        <f t="shared" si="9"/>
        <v>one-time cost</v>
      </c>
    </row>
    <row r="12" spans="1:31" ht="44.25" customHeight="1" x14ac:dyDescent="0.2">
      <c r="A12" s="28" t="s">
        <v>174</v>
      </c>
      <c r="B12" s="29">
        <f ca="1">'Master Data'!$B$6</f>
        <v>126.3</v>
      </c>
      <c r="C12" s="29">
        <f ca="1">'Master Data'!$B$7</f>
        <v>136.30000000000001</v>
      </c>
      <c r="D12" s="29">
        <f t="shared" ca="1" si="10"/>
        <v>10</v>
      </c>
      <c r="E12" s="30" cm="1">
        <f t="array" ref="E12">IF(
  OR($A12="Chest X-ray",$A12="Chest CT Scan"),
  MIN(
    IF(
      ('Service to CPT Map'!$A$2:$A$1017=$A12)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Map'!$A$2:$A$1017=$A12)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109</v>
      </c>
      <c r="F12" s="30" cm="1">
        <f t="array" ref="F12">_xlfn.LET(
  _xlpm.HighCalc,
  IF(
    OR($A12="Chest X-ray",$A12="Chest CT Scan"),
    MAX(
      IF(
        ('Service to CPT Map'!$A$2:$A$1018=$A12)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Map'!$A$2:$A$1018=$A12)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Map'!$A$2:$A$1018=$A12)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Map'!$A$2:$A$1018=$A12)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E12, _xlpm.HighCalc)
)</f>
        <v>109</v>
      </c>
      <c r="G12" s="31" t="str">
        <f t="shared" si="1"/>
        <v>$109.00</v>
      </c>
      <c r="H12" s="32">
        <v>16</v>
      </c>
      <c r="I12" s="32">
        <v>36</v>
      </c>
      <c r="J12" s="32"/>
      <c r="K12" s="32"/>
      <c r="L12" s="51" t="str">
        <f t="shared" si="11"/>
        <v>lifetime</v>
      </c>
      <c r="M12" s="33" t="str">
        <f>IF(L12="lifetime",
    IF(I12&lt;&gt;"", H12 &amp; "-" &amp; I12 &amp; "x/lifetime", H12 &amp; "x/lifetime"),
    IF(D12='Master Data'!$B$8, AD12 &amp; AE12, AD12 &amp; AE12 &amp; AC12))</f>
        <v>16-36x/lifetime</v>
      </c>
      <c r="N12" s="30">
        <f t="shared" si="2"/>
        <v>0</v>
      </c>
      <c r="O12" s="30">
        <f t="shared" si="3"/>
        <v>0</v>
      </c>
      <c r="P12" s="52" t="str">
        <f t="shared" si="4"/>
        <v>$0.00</v>
      </c>
      <c r="Q12" s="30">
        <f t="shared" si="5"/>
        <v>1744</v>
      </c>
      <c r="R12" s="30">
        <f t="shared" si="6"/>
        <v>3924</v>
      </c>
      <c r="S12" s="53" t="str">
        <f t="shared" si="0"/>
        <v>$1,744.00
 - 
$3,924.00</v>
      </c>
      <c r="AA12" s="166" t="str">
        <f>IF(L12="lifetime", "one-time cost", IF(D12='Master Data'!$B$8, AD12 &amp; AE12, AD12 &amp; AE12 &amp; AC12))</f>
        <v>one-time cost</v>
      </c>
      <c r="AB12" s="208" t="str">
        <f t="shared" si="7"/>
        <v>16-36x/lifetime</v>
      </c>
      <c r="AC12" s="166" t="str">
        <f ca="1">IF(Table13[[#This Row],[Duration (Years):]]&lt;&gt;'Master Data'!$B$8,CONCATENATE(",",CHAR(10),"for ",Table13[[#This Row],[Duration (Years):]]," years"),"lifelong")</f>
        <v>lifelong</v>
      </c>
      <c r="AD12" s="166" t="str">
        <f t="shared" si="8"/>
        <v>one-time cost</v>
      </c>
      <c r="AE12" s="166" t="str">
        <f t="shared" si="9"/>
        <v>one-time cost</v>
      </c>
    </row>
    <row r="13" spans="1:31" ht="44.25" customHeight="1" x14ac:dyDescent="0.2">
      <c r="A13" s="28" t="s">
        <v>238</v>
      </c>
      <c r="B13" s="29">
        <f ca="1">'Master Data'!$B$6</f>
        <v>126.3</v>
      </c>
      <c r="C13" s="29">
        <f ca="1">'Master Data'!$B$7</f>
        <v>136.30000000000001</v>
      </c>
      <c r="D13" s="29">
        <f t="shared" ca="1" si="10"/>
        <v>10</v>
      </c>
      <c r="E13" s="30" cm="1">
        <f t="array" ref="E13">IF(
  OR($A13="Chest X-ray",$A13="Chest CT Scan"),
  MIN(
    IF(
      ('Service to CPT Map'!$A$2:$A$1017=$A13)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Map'!$A$2:$A$1017=$A13)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48</v>
      </c>
      <c r="F13" s="30" cm="1">
        <f t="array" ref="F13">_xlfn.LET(
  _xlpm.HighCalc,
  IF(
    OR($A13="Chest X-ray",$A13="Chest CT Scan"),
    MAX(
      IF(
        ('Service to CPT Map'!$A$2:$A$1018=$A13)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Map'!$A$2:$A$1018=$A13)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Map'!$A$2:$A$1018=$A13)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Map'!$A$2:$A$1018=$A13)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E13, _xlpm.HighCalc)
)</f>
        <v>48</v>
      </c>
      <c r="G13" s="31" t="str">
        <f t="shared" si="1"/>
        <v>$48.00</v>
      </c>
      <c r="H13" s="32">
        <v>7</v>
      </c>
      <c r="I13" s="32"/>
      <c r="J13" s="32"/>
      <c r="K13" s="32"/>
      <c r="L13" s="51" t="str">
        <f t="shared" si="11"/>
        <v>lifetime</v>
      </c>
      <c r="M13" s="33" t="str">
        <f>IF(L13="lifetime",
    IF(I13&lt;&gt;"", H13 &amp; "-" &amp; I13 &amp; "x/lifetime", H13 &amp; "x/lifetime"),
    IF(D13='Master Data'!$B$8, AD13 &amp; AE13, AD13 &amp; AE13 &amp; AC13))</f>
        <v>7x/lifetime</v>
      </c>
      <c r="N13" s="30">
        <f t="shared" si="2"/>
        <v>0</v>
      </c>
      <c r="O13" s="30">
        <f t="shared" si="3"/>
        <v>0</v>
      </c>
      <c r="P13" s="52" t="str">
        <f t="shared" si="4"/>
        <v>$0.00</v>
      </c>
      <c r="Q13" s="30">
        <f t="shared" si="5"/>
        <v>336</v>
      </c>
      <c r="R13" s="30">
        <f t="shared" si="6"/>
        <v>336</v>
      </c>
      <c r="S13" s="53" t="str">
        <f t="shared" si="0"/>
        <v>$336.00</v>
      </c>
      <c r="AA13" s="166" t="str">
        <f>IF(L13="lifetime", "one-time cost", IF(D13='Master Data'!$B$8, AD13 &amp; AE13, AD13 &amp; AE13 &amp; AC13))</f>
        <v>one-time cost</v>
      </c>
      <c r="AB13" s="208" t="str">
        <f t="shared" si="7"/>
        <v>7x/lifetime</v>
      </c>
      <c r="AC13" s="166" t="str">
        <f ca="1">IF(Table13[[#This Row],[Duration (Years):]]&lt;&gt;'Master Data'!$B$8,CONCATENATE(",",CHAR(10),"for ",Table13[[#This Row],[Duration (Years):]]," years"),"lifelong")</f>
        <v>lifelong</v>
      </c>
      <c r="AD13" s="166" t="str">
        <f t="shared" si="8"/>
        <v>one-time cost</v>
      </c>
      <c r="AE13" s="166" t="str">
        <f t="shared" si="9"/>
        <v>one-time cost</v>
      </c>
    </row>
    <row r="14" spans="1:31" ht="44.25" customHeight="1" x14ac:dyDescent="0.2">
      <c r="A14" s="28" t="s">
        <v>238</v>
      </c>
      <c r="B14" s="29">
        <f ca="1">'Master Data'!$B$6</f>
        <v>126.3</v>
      </c>
      <c r="C14" s="29">
        <f ca="1">'Master Data'!$B$7</f>
        <v>136.30000000000001</v>
      </c>
      <c r="D14" s="29">
        <f t="shared" ca="1" si="10"/>
        <v>10</v>
      </c>
      <c r="E14" s="30" cm="1">
        <f t="array" ref="E14">IF(
  OR($A14="Chest X-ray",$A14="Chest CT Scan"),
  MIN(
    IF(
      ('Service to CPT Map'!$A$2:$A$1017=$A14)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Map'!$A$2:$A$1017=$A14)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48</v>
      </c>
      <c r="F14" s="30" cm="1">
        <f t="array" ref="F14">_xlfn.LET(
  _xlpm.HighCalc,
  IF(
    OR($A14="Chest X-ray",$A14="Chest CT Scan"),
    MAX(
      IF(
        ('Service to CPT Map'!$A$2:$A$1018=$A14)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Map'!$A$2:$A$1018=$A14)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Map'!$A$2:$A$1018=$A14)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Map'!$A$2:$A$1018=$A14)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E14, _xlpm.HighCalc)
)</f>
        <v>48</v>
      </c>
      <c r="G14" s="31" t="str">
        <f t="shared" si="1"/>
        <v>$48.00</v>
      </c>
      <c r="H14" s="32">
        <v>16</v>
      </c>
      <c r="I14" s="32">
        <v>36</v>
      </c>
      <c r="J14" s="32"/>
      <c r="K14" s="32"/>
      <c r="L14" s="51" t="str">
        <f t="shared" si="11"/>
        <v>lifetime</v>
      </c>
      <c r="M14" s="33" t="str">
        <f>IF(L14="lifetime",
    IF(I14&lt;&gt;"", H14 &amp; "-" &amp; I14 &amp; "x/lifetime", H14 &amp; "x/lifetime"),
    IF(D14='Master Data'!$B$8, AD14 &amp; AE14, AD14 &amp; AE14 &amp; AC14))</f>
        <v>16-36x/lifetime</v>
      </c>
      <c r="N14" s="30">
        <f t="shared" si="2"/>
        <v>0</v>
      </c>
      <c r="O14" s="30">
        <f t="shared" si="3"/>
        <v>0</v>
      </c>
      <c r="P14" s="52" t="str">
        <f t="shared" si="4"/>
        <v>$0.00</v>
      </c>
      <c r="Q14" s="30">
        <f t="shared" si="5"/>
        <v>768</v>
      </c>
      <c r="R14" s="30">
        <f t="shared" si="6"/>
        <v>1728</v>
      </c>
      <c r="S14" s="53" t="str">
        <f t="shared" si="0"/>
        <v>$768.00
 - 
$1,728.00</v>
      </c>
      <c r="AA14" s="166" t="str">
        <f>IF(L14="lifetime", "one-time cost", IF(D14='Master Data'!$B$8, AD14 &amp; AE14, AD14 &amp; AE14 &amp; AC14))</f>
        <v>one-time cost</v>
      </c>
      <c r="AB14" s="208" t="str">
        <f t="shared" ref="AB14:AB27" si="12">IF(L14="lifetime", IF(I14&lt;&gt;"", H14 &amp; "-" &amp; I14 &amp; "x/lifetime", H14 &amp; "x/lifetime"), "ongoing cost")</f>
        <v>16-36x/lifetime</v>
      </c>
      <c r="AC14" s="166" t="str">
        <f ca="1">IF(Table13[[#This Row],[Duration (Years):]]&lt;&gt;'Master Data'!$B$8,CONCATENATE(",",CHAR(10),"for ",Table13[[#This Row],[Duration (Years):]]," years"),"lifelong")</f>
        <v>lifelong</v>
      </c>
      <c r="AD14" s="166" t="str">
        <f t="shared" ref="AD14:AD27" si="13">IF(L14="lifetime", "one-time cost", IF(I14&lt;&gt;"", H14 &amp; "-" &amp; I14 &amp; "x/", H14 &amp; "x/"))</f>
        <v>one-time cost</v>
      </c>
      <c r="AE14" s="166" t="str">
        <f t="shared" ref="AE14:AE27" si="14">IF(L14="lifetime", "one-time cost", IF(K14&lt;&gt;"", J14 &amp; "-" &amp; K14 &amp; " " &amp; L14, IF(J14&gt;1, J14 &amp; " " &amp; L14, L14)))</f>
        <v>one-time cost</v>
      </c>
    </row>
    <row r="15" spans="1:31" ht="44.25" customHeight="1" x14ac:dyDescent="0.2">
      <c r="A15" s="28" t="s">
        <v>175</v>
      </c>
      <c r="B15" s="29">
        <f ca="1">'Master Data'!$B$6</f>
        <v>126.3</v>
      </c>
      <c r="C15" s="29">
        <f ca="1">'Master Data'!$B$7</f>
        <v>136.30000000000001</v>
      </c>
      <c r="D15" s="29">
        <f t="shared" ca="1" si="10"/>
        <v>10</v>
      </c>
      <c r="E15" s="30" cm="1">
        <f t="array" ref="E15">IF(
  OR($A15="Chest X-ray",$A15="Chest CT Scan"),
  MIN(
    IF(
      ('Service to CPT Map'!$A$2:$A$1017=$A15)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Map'!$A$2:$A$1017=$A15)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1518</v>
      </c>
      <c r="F15" s="30" cm="1">
        <f t="array" ref="F15">_xlfn.LET(
  _xlpm.HighCalc,
  IF(
    OR($A15="Chest X-ray",$A15="Chest CT Scan"),
    MAX(
      IF(
        ('Service to CPT Map'!$A$2:$A$1018=$A15)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Map'!$A$2:$A$1018=$A15)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Map'!$A$2:$A$1018=$A15)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Map'!$A$2:$A$1018=$A15)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E15, _xlpm.HighCalc)
)</f>
        <v>7485</v>
      </c>
      <c r="G15" s="31" t="str">
        <f t="shared" si="1"/>
        <v>$1,518.00
 - 
$7,485.00</v>
      </c>
      <c r="H15" s="32">
        <v>5</v>
      </c>
      <c r="I15" s="32">
        <v>10</v>
      </c>
      <c r="J15" s="32"/>
      <c r="K15" s="32"/>
      <c r="L15" s="51" t="str">
        <f t="shared" si="11"/>
        <v>lifetime</v>
      </c>
      <c r="M15" s="33" t="str">
        <f>IF(L15="lifetime",
    IF(I15&lt;&gt;"", H15 &amp; "-" &amp; I15 &amp; "x/lifetime", H15 &amp; "x/lifetime"),
    IF(D15='Master Data'!$B$8, AD15 &amp; AE15, AD15 &amp; AE15 &amp; AC15))</f>
        <v>5-10x/lifetime</v>
      </c>
      <c r="N15" s="30">
        <f t="shared" si="2"/>
        <v>0</v>
      </c>
      <c r="O15" s="30">
        <f t="shared" si="3"/>
        <v>0</v>
      </c>
      <c r="P15" s="52" t="str">
        <f t="shared" si="4"/>
        <v>$0.00</v>
      </c>
      <c r="Q15" s="30">
        <f t="shared" si="5"/>
        <v>7590</v>
      </c>
      <c r="R15" s="30">
        <f t="shared" si="6"/>
        <v>74850</v>
      </c>
      <c r="S15" s="53" t="str">
        <f t="shared" si="0"/>
        <v>$7,590.00
 - 
$74,850.00</v>
      </c>
      <c r="AA15" s="166" t="str">
        <f>IF(L15="lifetime", "one-time cost", IF(D15='Master Data'!$B$8, AD15 &amp; AE15, AD15 &amp; AE15 &amp; AC15))</f>
        <v>one-time cost</v>
      </c>
      <c r="AB15" s="208" t="str">
        <f t="shared" si="12"/>
        <v>5-10x/lifetime</v>
      </c>
      <c r="AC15" s="166" t="str">
        <f ca="1">IF(Table13[[#This Row],[Duration (Years):]]&lt;&gt;'Master Data'!$B$8,CONCATENATE(",",CHAR(10),"for ",Table13[[#This Row],[Duration (Years):]]," years"),"lifelong")</f>
        <v>lifelong</v>
      </c>
      <c r="AD15" s="166" t="str">
        <f t="shared" si="13"/>
        <v>one-time cost</v>
      </c>
      <c r="AE15" s="166" t="str">
        <f t="shared" si="14"/>
        <v>one-time cost</v>
      </c>
    </row>
    <row r="16" spans="1:31" ht="44.25" customHeight="1" x14ac:dyDescent="0.2">
      <c r="A16" s="28" t="s">
        <v>176</v>
      </c>
      <c r="B16" s="29">
        <f ca="1">'Master Data'!$B$6</f>
        <v>126.3</v>
      </c>
      <c r="C16" s="29">
        <f ca="1">'Master Data'!$B$7</f>
        <v>136.30000000000001</v>
      </c>
      <c r="D16" s="29">
        <f t="shared" ref="D16:D23" ca="1" si="15">ROUND(C16-B16,1)</f>
        <v>10</v>
      </c>
      <c r="E16" s="30" cm="1">
        <f t="array" ref="E16">IF(
  OR($A16="Chest X-ray",$A16="Chest CT Scan"),
  MIN(
    IF(
      ('Service to CPT Map'!$A$2:$A$1017=$A16)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Map'!$A$2:$A$1017=$A16)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157</v>
      </c>
      <c r="F16" s="30" cm="1">
        <f t="array" ref="F16">_xlfn.LET(
  _xlpm.HighCalc,
  IF(
    OR($A16="Chest X-ray",$A16="Chest CT Scan"),
    MAX(
      IF(
        ('Service to CPT Map'!$A$2:$A$1018=$A16)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Map'!$A$2:$A$1018=$A16)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Map'!$A$2:$A$1018=$A16)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Map'!$A$2:$A$1018=$A16)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E16, _xlpm.HighCalc)
)</f>
        <v>157</v>
      </c>
      <c r="G16" s="31" t="str">
        <f t="shared" ref="G16:G23" si="16">IF(E16&lt;F16,CONCATENATE(TEXT(E16,"$#,##0.00"),CHAR(10)," - ",CHAR(10),TEXT(F16,"$#,##0.00")),TEXT(E16,"$#,##0.00"))</f>
        <v>$157.00</v>
      </c>
      <c r="H16" s="32">
        <v>20</v>
      </c>
      <c r="I16" s="32">
        <v>40</v>
      </c>
      <c r="J16" s="32"/>
      <c r="K16" s="32"/>
      <c r="L16" s="51" t="str">
        <f t="shared" ref="L16:L23" si="17">IF(LEN(K16)=0,IF(LEN(J16)=0,"lifetime",IF(J16=1,"year","years")),"years")</f>
        <v>lifetime</v>
      </c>
      <c r="M16" s="33" t="str">
        <f>IF(L16="lifetime",
    IF(I16&lt;&gt;"", H16 &amp; "-" &amp; I16 &amp; "x/lifetime", H16 &amp; "x/lifetime"),
    IF(D16='Master Data'!$B$8, AD16 &amp; AE16, AD16 &amp; AE16 &amp; AC16))</f>
        <v>20-40x/lifetime</v>
      </c>
      <c r="N16" s="30">
        <f t="shared" ref="N16:N23" si="18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6" s="30">
        <f t="shared" ref="O16:O23" si="19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6" s="52" t="str">
        <f t="shared" ref="P16:P23" si="20">IF(N16&lt;O16,CONCATENATE(TEXT(N16,"$#,##0.00"),CHAR(10)," - ",CHAR(10),TEXT(O16,"$#,##0.00")),TEXT(N16,"$0.00"))</f>
        <v>$0.00</v>
      </c>
      <c r="Q16" s="30">
        <f t="shared" ref="Q16:Q23" si="21">ROUND(IF(TimeValue="lifetime",MinCost*MinFreq,0),2)</f>
        <v>3140</v>
      </c>
      <c r="R16" s="30">
        <f t="shared" ref="R16:R23" si="22">ROUND(IF(AND(TimeValue="lifetime",MaxFreq&lt;1),MinFreq*MaxCost,IF(AND(TimeValue="lifetime",MaxFreq&gt;=1),MaxFreq*MaxCost,0)),2)</f>
        <v>6280</v>
      </c>
      <c r="S16" s="53" t="str">
        <f t="shared" si="0"/>
        <v>$3,140.00
 - 
$6,280.00</v>
      </c>
      <c r="AA16" s="166" t="str">
        <f>IF(L16="lifetime", "one-time cost", IF(D16='Master Data'!$B$8, AD16 &amp; AE16, AD16 &amp; AE16 &amp; AC16))</f>
        <v>one-time cost</v>
      </c>
      <c r="AB16" s="208" t="str">
        <f t="shared" si="12"/>
        <v>20-40x/lifetime</v>
      </c>
      <c r="AC16" s="166" t="str">
        <f ca="1">IF(Table13[[#This Row],[Duration (Years):]]&lt;&gt;'Master Data'!$B$8,CONCATENATE(",",CHAR(10),"for ",Table13[[#This Row],[Duration (Years):]]," years"),"lifelong")</f>
        <v>lifelong</v>
      </c>
      <c r="AD16" s="166" t="str">
        <f t="shared" si="13"/>
        <v>one-time cost</v>
      </c>
      <c r="AE16" s="166" t="str">
        <f t="shared" si="14"/>
        <v>one-time cost</v>
      </c>
    </row>
    <row r="17" spans="1:31" ht="44.25" customHeight="1" x14ac:dyDescent="0.2">
      <c r="A17" s="28" t="s">
        <v>239</v>
      </c>
      <c r="B17" s="29">
        <f ca="1">'Master Data'!$B$6</f>
        <v>126.3</v>
      </c>
      <c r="C17" s="29">
        <f ca="1">'Master Data'!$B$7</f>
        <v>136.30000000000001</v>
      </c>
      <c r="D17" s="29">
        <f t="shared" ca="1" si="15"/>
        <v>10</v>
      </c>
      <c r="E17" s="30" cm="1">
        <f t="array" ref="E17">IF(
  OR($A17="Chest X-ray",$A17="Chest CT Scan"),
  MIN(
    IF(
      ('Service to CPT Map'!$A$2:$A$1017=$A17)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Map'!$A$2:$A$1017=$A17)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454</v>
      </c>
      <c r="F17" s="30" cm="1">
        <f t="array" ref="F17">_xlfn.LET(
  _xlpm.HighCalc,
  IF(
    OR($A17="Chest X-ray",$A17="Chest CT Scan"),
    MAX(
      IF(
        ('Service to CPT Map'!$A$2:$A$1018=$A17)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Map'!$A$2:$A$1018=$A17)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Map'!$A$2:$A$1018=$A17)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Map'!$A$2:$A$1018=$A17)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E17, _xlpm.HighCalc)
)</f>
        <v>454</v>
      </c>
      <c r="G17" s="31" t="str">
        <f t="shared" si="16"/>
        <v>$454.00</v>
      </c>
      <c r="H17" s="32">
        <v>20</v>
      </c>
      <c r="I17" s="32">
        <v>40</v>
      </c>
      <c r="J17" s="32"/>
      <c r="K17" s="32"/>
      <c r="L17" s="51" t="str">
        <f t="shared" si="17"/>
        <v>lifetime</v>
      </c>
      <c r="M17" s="33" t="str">
        <f>IF(L17="lifetime",
    IF(I17&lt;&gt;"", H17 &amp; "-" &amp; I17 &amp; "x/lifetime", H17 &amp; "x/lifetime"),
    IF(D17='Master Data'!$B$8, AD17 &amp; AE17, AD17 &amp; AE17 &amp; AC17))</f>
        <v>20-40x/lifetime</v>
      </c>
      <c r="N17" s="30">
        <f t="shared" si="18"/>
        <v>0</v>
      </c>
      <c r="O17" s="30">
        <f t="shared" si="19"/>
        <v>0</v>
      </c>
      <c r="P17" s="52" t="str">
        <f t="shared" si="20"/>
        <v>$0.00</v>
      </c>
      <c r="Q17" s="30">
        <f t="shared" si="21"/>
        <v>9080</v>
      </c>
      <c r="R17" s="30">
        <f t="shared" si="22"/>
        <v>18160</v>
      </c>
      <c r="S17" s="53" t="str">
        <f t="shared" si="0"/>
        <v>$9,080.00
 - 
$18,160.00</v>
      </c>
      <c r="AA17" s="166" t="str">
        <f>IF(L17="lifetime", "one-time cost", IF(D17='Master Data'!$B$8, AD17 &amp; AE17, AD17 &amp; AE17 &amp; AC17))</f>
        <v>one-time cost</v>
      </c>
      <c r="AB17" s="208" t="str">
        <f t="shared" si="12"/>
        <v>20-40x/lifetime</v>
      </c>
      <c r="AC17" s="166" t="str">
        <f ca="1">IF(Table13[[#This Row],[Duration (Years):]]&lt;&gt;'Master Data'!$B$8,CONCATENATE(",",CHAR(10),"for ",Table13[[#This Row],[Duration (Years):]]," years"),"lifelong")</f>
        <v>lifelong</v>
      </c>
      <c r="AD17" s="166" t="str">
        <f t="shared" si="13"/>
        <v>one-time cost</v>
      </c>
      <c r="AE17" s="166" t="str">
        <f t="shared" si="14"/>
        <v>one-time cost</v>
      </c>
    </row>
    <row r="18" spans="1:31" ht="44.25" customHeight="1" x14ac:dyDescent="0.2">
      <c r="A18" s="289" t="s">
        <v>177</v>
      </c>
      <c r="B18" s="290">
        <f ca="1">'Master Data'!$B$6</f>
        <v>126.3</v>
      </c>
      <c r="C18" s="290">
        <f ca="1">'Master Data'!$B$7</f>
        <v>136.30000000000001</v>
      </c>
      <c r="D18" s="290">
        <f t="shared" ca="1" si="15"/>
        <v>10</v>
      </c>
      <c r="E18" s="291" cm="1">
        <f t="array" ref="E18">IF(
  OR($A18="Chest X-ray",$A18="Chest CT Scan"),
  MIN(
    IF(
      ('Service to CPT Map'!$A$2:$A$1017=$A18)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Map'!$A$2:$A$1017=$A18)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3249</v>
      </c>
      <c r="F18" s="291" cm="1">
        <f t="array" ref="F18">_xlfn.LET(
  _xlpm.HighCalc,
  IF(
    OR($A18="Chest X-ray",$A18="Chest CT Scan"),
    MAX(
      IF(
        ('Service to CPT Map'!$A$2:$A$1018=$A18)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Map'!$A$2:$A$1018=$A18)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Map'!$A$2:$A$1018=$A18)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Map'!$A$2:$A$1018=$A18)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E18, _xlpm.HighCalc)
)</f>
        <v>3249</v>
      </c>
      <c r="G18" s="292" t="str">
        <f t="shared" si="16"/>
        <v>$3,249.00</v>
      </c>
      <c r="H18" s="293">
        <v>20</v>
      </c>
      <c r="I18" s="293">
        <v>40</v>
      </c>
      <c r="J18" s="293"/>
      <c r="K18" s="293"/>
      <c r="L18" s="294" t="str">
        <f t="shared" si="17"/>
        <v>lifetime</v>
      </c>
      <c r="M18" s="295" t="str">
        <f>IF(L18="lifetime",
    IF(I18&lt;&gt;"", H18 &amp; "-" &amp; I18 &amp; "x/lifetime", H18 &amp; "x/lifetime"),
    IF(D18='Master Data'!$B$8, AD18 &amp; AE18, AD18 &amp; AE18 &amp; AC18))</f>
        <v>20-40x/lifetime</v>
      </c>
      <c r="N18" s="291">
        <f t="shared" si="18"/>
        <v>0</v>
      </c>
      <c r="O18" s="291">
        <f t="shared" si="19"/>
        <v>0</v>
      </c>
      <c r="P18" s="296" t="str">
        <f t="shared" si="20"/>
        <v>$0.00</v>
      </c>
      <c r="Q18" s="291">
        <f t="shared" si="21"/>
        <v>64980</v>
      </c>
      <c r="R18" s="291">
        <f t="shared" si="22"/>
        <v>129960</v>
      </c>
      <c r="S18" s="297" t="str">
        <f t="shared" si="0"/>
        <v>$64,980.00
 - 
$129,960.00</v>
      </c>
      <c r="T18" s="94"/>
      <c r="U18" s="94"/>
      <c r="V18" s="94"/>
      <c r="AA18" s="166" t="str">
        <f>IF(L18="lifetime", "one-time cost", IF(D18='Master Data'!$B$8, AD18 &amp; AE18, AD18 &amp; AE18 &amp; AC18))</f>
        <v>one-time cost</v>
      </c>
      <c r="AB18" s="208" t="str">
        <f t="shared" si="12"/>
        <v>20-40x/lifetime</v>
      </c>
      <c r="AC18" s="166" t="str">
        <f ca="1">IF(Table13[[#This Row],[Duration (Years):]]&lt;&gt;'Master Data'!$B$8,CONCATENATE(",",CHAR(10),"for ",Table13[[#This Row],[Duration (Years):]]," years"),"lifelong")</f>
        <v>lifelong</v>
      </c>
      <c r="AD18" s="166" t="str">
        <f t="shared" si="13"/>
        <v>one-time cost</v>
      </c>
      <c r="AE18" s="166" t="str">
        <f t="shared" si="14"/>
        <v>one-time cost</v>
      </c>
    </row>
    <row r="19" spans="1:31" ht="44.25" customHeight="1" x14ac:dyDescent="0.2">
      <c r="A19" s="289" t="s">
        <v>240</v>
      </c>
      <c r="B19" s="290">
        <f ca="1">'Master Data'!$B$6</f>
        <v>126.3</v>
      </c>
      <c r="C19" s="290">
        <f ca="1">'Master Data'!$B$7</f>
        <v>136.30000000000001</v>
      </c>
      <c r="D19" s="290">
        <f t="shared" ca="1" si="15"/>
        <v>10</v>
      </c>
      <c r="E19" s="291" cm="1">
        <f t="array" ref="E19">IF(
  OR($A19="Chest X-ray",$A19="Chest CT Scan"),
  MIN(
    IF(
      ('Service to CPT Map'!$A$2:$A$1017=$A19)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Map'!$A$2:$A$1017=$A19)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354</v>
      </c>
      <c r="F19" s="291" cm="1">
        <f t="array" ref="F19">_xlfn.LET(
  _xlpm.HighCalc,
  IF(
    OR($A19="Chest X-ray",$A19="Chest CT Scan"),
    MAX(
      IF(
        ('Service to CPT Map'!$A$2:$A$1018=$A19)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Map'!$A$2:$A$1018=$A19)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Map'!$A$2:$A$1018=$A19)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Map'!$A$2:$A$1018=$A19)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E19, _xlpm.HighCalc)
)</f>
        <v>354</v>
      </c>
      <c r="G19" s="292" t="str">
        <f t="shared" si="16"/>
        <v>$354.00</v>
      </c>
      <c r="H19" s="293">
        <v>20</v>
      </c>
      <c r="I19" s="293">
        <v>40</v>
      </c>
      <c r="J19" s="293"/>
      <c r="K19" s="293"/>
      <c r="L19" s="294" t="str">
        <f t="shared" si="17"/>
        <v>lifetime</v>
      </c>
      <c r="M19" s="295" t="str">
        <f>IF(L19="lifetime",
    IF(I19&lt;&gt;"", H19 &amp; "-" &amp; I19 &amp; "x/lifetime", H19 &amp; "x/lifetime"),
    IF(D19='Master Data'!$B$8, AD19 &amp; AE19, AD19 &amp; AE19 &amp; AC19))</f>
        <v>20-40x/lifetime</v>
      </c>
      <c r="N19" s="291">
        <f t="shared" si="18"/>
        <v>0</v>
      </c>
      <c r="O19" s="291">
        <f t="shared" si="19"/>
        <v>0</v>
      </c>
      <c r="P19" s="296" t="str">
        <f t="shared" si="20"/>
        <v>$0.00</v>
      </c>
      <c r="Q19" s="291">
        <f t="shared" si="21"/>
        <v>7080</v>
      </c>
      <c r="R19" s="291">
        <f t="shared" si="22"/>
        <v>14160</v>
      </c>
      <c r="S19" s="297" t="str">
        <f t="shared" si="0"/>
        <v>$7,080.00
 - 
$14,160.00</v>
      </c>
      <c r="AA19" s="166" t="str">
        <f>IF(L19="lifetime", "one-time cost", IF(D19='Master Data'!$B$8, AD19 &amp; AE19, AD19 &amp; AE19 &amp; AC19))</f>
        <v>one-time cost</v>
      </c>
      <c r="AB19" s="208" t="str">
        <f t="shared" si="12"/>
        <v>20-40x/lifetime</v>
      </c>
      <c r="AC19" s="166" t="str">
        <f ca="1">IF(Table13[[#This Row],[Duration (Years):]]&lt;&gt;'Master Data'!$B$8,CONCATENATE(",",CHAR(10),"for ",Table13[[#This Row],[Duration (Years):]]," years"),"lifelong")</f>
        <v>lifelong</v>
      </c>
      <c r="AD19" s="166" t="str">
        <f t="shared" si="13"/>
        <v>one-time cost</v>
      </c>
      <c r="AE19" s="166" t="str">
        <f t="shared" si="14"/>
        <v>one-time cost</v>
      </c>
    </row>
    <row r="20" spans="1:31" ht="44.25" customHeight="1" x14ac:dyDescent="0.2">
      <c r="A20" s="289"/>
      <c r="B20" s="290">
        <f ca="1">'Master Data'!$B$6</f>
        <v>126.3</v>
      </c>
      <c r="C20" s="290">
        <f ca="1">'Master Data'!$B$7</f>
        <v>136.30000000000001</v>
      </c>
      <c r="D20" s="290">
        <f t="shared" ca="1" si="15"/>
        <v>10</v>
      </c>
      <c r="E20" s="291" cm="1">
        <f t="array" ref="E20">IF(
  OR($A20="Chest X-ray",$A20="Chest CT Scan"),
  MIN(
    IF(
      ('Service to CPT Map'!$A$2:$A$1017=$A20)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Map'!$A$2:$A$1017=$A20)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0</v>
      </c>
      <c r="F20" s="291" cm="1">
        <f t="array" ref="F20">_xlfn.LET(
  _xlpm.HighCalc,
  IF(
    OR($A20="Chest X-ray",$A20="Chest CT Scan"),
    MAX(
      IF(
        ('Service to CPT Map'!$A$2:$A$1018=$A20)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Map'!$A$2:$A$1018=$A20)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Map'!$A$2:$A$1018=$A20)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Map'!$A$2:$A$1018=$A20)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E20, _xlpm.HighCalc)
)</f>
        <v>0</v>
      </c>
      <c r="G20" s="292" t="str">
        <f t="shared" si="16"/>
        <v>$0.00</v>
      </c>
      <c r="H20" s="293"/>
      <c r="I20" s="293"/>
      <c r="J20" s="293"/>
      <c r="K20" s="293"/>
      <c r="L20" s="294" t="str">
        <f t="shared" si="17"/>
        <v>lifetime</v>
      </c>
      <c r="M20" s="295" t="str">
        <f>IF(L20="lifetime",
    IF(I20&lt;&gt;"", H20 &amp; "-" &amp; I20 &amp; "x/lifetime", H20 &amp; "x/lifetime"),
    IF(D20='Master Data'!$B$8, AD20 &amp; AE20, AD20 &amp; AE20 &amp; AC20))</f>
        <v>x/lifetime</v>
      </c>
      <c r="N20" s="291">
        <f t="shared" si="18"/>
        <v>0</v>
      </c>
      <c r="O20" s="291">
        <f t="shared" si="19"/>
        <v>0</v>
      </c>
      <c r="P20" s="296" t="str">
        <f t="shared" si="20"/>
        <v>$0.00</v>
      </c>
      <c r="Q20" s="291">
        <f t="shared" si="21"/>
        <v>0</v>
      </c>
      <c r="R20" s="291">
        <f t="shared" si="22"/>
        <v>0</v>
      </c>
      <c r="S20" s="297" t="str">
        <f t="shared" si="0"/>
        <v>$0.00</v>
      </c>
      <c r="AA20" s="166" t="str">
        <f>IF(L20="lifetime", "one-time cost", IF(D20='Master Data'!$B$8, AD20 &amp; AE20, AD20 &amp; AE20 &amp; AC20))</f>
        <v>one-time cost</v>
      </c>
      <c r="AB20" s="208" t="str">
        <f t="shared" si="12"/>
        <v>x/lifetime</v>
      </c>
      <c r="AC20" s="166" t="str">
        <f ca="1">IF(Table13[[#This Row],[Duration (Years):]]&lt;&gt;'Master Data'!$B$8,CONCATENATE(",",CHAR(10),"for ",Table13[[#This Row],[Duration (Years):]]," years"),"lifelong")</f>
        <v>lifelong</v>
      </c>
      <c r="AD20" s="166" t="str">
        <f t="shared" si="13"/>
        <v>one-time cost</v>
      </c>
      <c r="AE20" s="166" t="str">
        <f t="shared" si="14"/>
        <v>one-time cost</v>
      </c>
    </row>
    <row r="21" spans="1:31" ht="44.25" customHeight="1" x14ac:dyDescent="0.2">
      <c r="A21" s="289"/>
      <c r="B21" s="290">
        <f ca="1">'Master Data'!$B$6</f>
        <v>126.3</v>
      </c>
      <c r="C21" s="290">
        <f ca="1">'Master Data'!$B$7</f>
        <v>136.30000000000001</v>
      </c>
      <c r="D21" s="290">
        <f t="shared" ca="1" si="15"/>
        <v>10</v>
      </c>
      <c r="E21" s="291" cm="1">
        <f t="array" ref="E21">IF(
  OR($A21="Chest X-ray",$A21="Chest CT Scan"),
  MIN(
    IF(
      ('Service to CPT Map'!$A$2:$A$1017=$A21)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Map'!$A$2:$A$1017=$A21)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0</v>
      </c>
      <c r="F21" s="291" cm="1">
        <f t="array" ref="F21">_xlfn.LET(
  _xlpm.HighCalc,
  IF(
    OR($A21="Chest X-ray",$A21="Chest CT Scan"),
    MAX(
      IF(
        ('Service to CPT Map'!$A$2:$A$1018=$A21)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Map'!$A$2:$A$1018=$A21)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Map'!$A$2:$A$1018=$A21)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Map'!$A$2:$A$1018=$A21)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E21, _xlpm.HighCalc)
)</f>
        <v>0</v>
      </c>
      <c r="G21" s="292" t="str">
        <f t="shared" si="16"/>
        <v>$0.00</v>
      </c>
      <c r="H21" s="293"/>
      <c r="I21" s="293"/>
      <c r="J21" s="293"/>
      <c r="K21" s="293"/>
      <c r="L21" s="294" t="str">
        <f t="shared" si="17"/>
        <v>lifetime</v>
      </c>
      <c r="M21" s="295" t="str">
        <f>IF(L21="lifetime",
    IF(I21&lt;&gt;"", H21 &amp; "-" &amp; I21 &amp; "x/lifetime", H21 &amp; "x/lifetime"),
    IF(D21='Master Data'!$B$8, AD21 &amp; AE21, AD21 &amp; AE21 &amp; AC21))</f>
        <v>x/lifetime</v>
      </c>
      <c r="N21" s="291">
        <f t="shared" si="18"/>
        <v>0</v>
      </c>
      <c r="O21" s="291">
        <f t="shared" si="19"/>
        <v>0</v>
      </c>
      <c r="P21" s="296" t="str">
        <f t="shared" si="20"/>
        <v>$0.00</v>
      </c>
      <c r="Q21" s="291">
        <f t="shared" si="21"/>
        <v>0</v>
      </c>
      <c r="R21" s="291">
        <f t="shared" si="22"/>
        <v>0</v>
      </c>
      <c r="S21" s="297" t="str">
        <f t="shared" si="0"/>
        <v>$0.00</v>
      </c>
      <c r="AA21" s="166" t="str">
        <f>IF(L21="lifetime", "one-time cost", IF(D21='Master Data'!$B$8, AD21 &amp; AE21, AD21 &amp; AE21 &amp; AC21))</f>
        <v>one-time cost</v>
      </c>
      <c r="AB21" s="208" t="str">
        <f t="shared" si="12"/>
        <v>x/lifetime</v>
      </c>
      <c r="AC21" s="166" t="str">
        <f ca="1">IF(Table13[[#This Row],[Duration (Years):]]&lt;&gt;'Master Data'!$B$8,CONCATENATE(",",CHAR(10),"for ",Table13[[#This Row],[Duration (Years):]]," years"),"lifelong")</f>
        <v>lifelong</v>
      </c>
      <c r="AD21" s="166" t="str">
        <f t="shared" si="13"/>
        <v>one-time cost</v>
      </c>
      <c r="AE21" s="166" t="str">
        <f t="shared" si="14"/>
        <v>one-time cost</v>
      </c>
    </row>
    <row r="22" spans="1:31" ht="44.25" customHeight="1" x14ac:dyDescent="0.2">
      <c r="A22" s="289"/>
      <c r="B22" s="290">
        <f ca="1">'Master Data'!$B$6</f>
        <v>126.3</v>
      </c>
      <c r="C22" s="290">
        <f ca="1">'Master Data'!$B$7</f>
        <v>136.30000000000001</v>
      </c>
      <c r="D22" s="290">
        <f t="shared" ca="1" si="15"/>
        <v>10</v>
      </c>
      <c r="E22" s="291" cm="1">
        <f t="array" ref="E22">IF(
  OR($A22="Chest X-ray",$A22="Chest CT Scan"),
  MIN(
    IF(
      ('Service to CPT Map'!$A$2:$A$1017=$A22)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Map'!$A$2:$A$1017=$A22)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0</v>
      </c>
      <c r="F22" s="291" cm="1">
        <f t="array" ref="F22">_xlfn.LET(
  _xlpm.HighCalc,
  IF(
    OR($A22="Chest X-ray",$A22="Chest CT Scan"),
    MAX(
      IF(
        ('Service to CPT Map'!$A$2:$A$1018=$A22)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Map'!$A$2:$A$1018=$A22)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Map'!$A$2:$A$1018=$A22)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Map'!$A$2:$A$1018=$A22)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E22, _xlpm.HighCalc)
)</f>
        <v>0</v>
      </c>
      <c r="G22" s="292" t="str">
        <f t="shared" si="16"/>
        <v>$0.00</v>
      </c>
      <c r="H22" s="293"/>
      <c r="I22" s="293"/>
      <c r="J22" s="293"/>
      <c r="K22" s="293"/>
      <c r="L22" s="294" t="str">
        <f t="shared" si="17"/>
        <v>lifetime</v>
      </c>
      <c r="M22" s="295" t="str">
        <f>IF(L22="lifetime",
    IF(I22&lt;&gt;"", H22 &amp; "-" &amp; I22 &amp; "x/lifetime", H22 &amp; "x/lifetime"),
    IF(D22='Master Data'!$B$8, AD22 &amp; AE22, AD22 &amp; AE22 &amp; AC22))</f>
        <v>x/lifetime</v>
      </c>
      <c r="N22" s="291">
        <f t="shared" si="18"/>
        <v>0</v>
      </c>
      <c r="O22" s="291">
        <f t="shared" si="19"/>
        <v>0</v>
      </c>
      <c r="P22" s="296" t="str">
        <f t="shared" si="20"/>
        <v>$0.00</v>
      </c>
      <c r="Q22" s="291">
        <f t="shared" si="21"/>
        <v>0</v>
      </c>
      <c r="R22" s="291">
        <f t="shared" si="22"/>
        <v>0</v>
      </c>
      <c r="S22" s="297" t="str">
        <f t="shared" si="0"/>
        <v>$0.00</v>
      </c>
      <c r="AA22" s="166" t="str">
        <f>IF(L22="lifetime", "one-time cost", IF(D22='Master Data'!$B$8, AD22 &amp; AE22, AD22 &amp; AE22 &amp; AC22))</f>
        <v>one-time cost</v>
      </c>
      <c r="AB22" s="208" t="str">
        <f t="shared" si="12"/>
        <v>x/lifetime</v>
      </c>
      <c r="AC22" s="166" t="str">
        <f ca="1">IF(Table13[[#This Row],[Duration (Years):]]&lt;&gt;'Master Data'!$B$8,CONCATENATE(",",CHAR(10),"for ",Table13[[#This Row],[Duration (Years):]]," years"),"lifelong")</f>
        <v>lifelong</v>
      </c>
      <c r="AD22" s="166" t="str">
        <f t="shared" si="13"/>
        <v>one-time cost</v>
      </c>
      <c r="AE22" s="166" t="str">
        <f t="shared" si="14"/>
        <v>one-time cost</v>
      </c>
    </row>
    <row r="23" spans="1:31" ht="44.25" customHeight="1" thickBot="1" x14ac:dyDescent="0.25">
      <c r="A23" s="307"/>
      <c r="B23" s="308">
        <f ca="1">'Master Data'!$B$6</f>
        <v>126.3</v>
      </c>
      <c r="C23" s="308">
        <f ca="1">'Master Data'!$B$7</f>
        <v>136.30000000000001</v>
      </c>
      <c r="D23" s="308">
        <f t="shared" ca="1" si="15"/>
        <v>10</v>
      </c>
      <c r="E23" s="309" cm="1">
        <f t="array" ref="E23">IF(
  OR($A23="Chest X-ray",$A23="Chest CT Scan"),
  MIN(
    IF(
      ('Service to CPT Map'!$A$2:$A$1017=$A23)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Map'!$A$2:$A$1017=$A23)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0</v>
      </c>
      <c r="F23" s="309" cm="1">
        <f t="array" ref="F23">_xlfn.LET(
  _xlpm.HighCalc,
  IF(
    OR($A23="Chest X-ray",$A23="Chest CT Scan"),
    MAX(
      IF(
        ('Service to CPT Map'!$A$2:$A$1018=$A23)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Map'!$A$2:$A$1018=$A23)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Map'!$A$2:$A$1018=$A23)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Map'!$A$2:$A$1018=$A23)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E23, _xlpm.HighCalc)
)</f>
        <v>0</v>
      </c>
      <c r="G23" s="310" t="str">
        <f t="shared" si="16"/>
        <v>$0.00</v>
      </c>
      <c r="H23" s="311"/>
      <c r="I23" s="311"/>
      <c r="J23" s="311"/>
      <c r="K23" s="311"/>
      <c r="L23" s="312" t="str">
        <f t="shared" si="17"/>
        <v>lifetime</v>
      </c>
      <c r="M23" s="313" t="str">
        <f>IF(L23="lifetime",
    IF(I23&lt;&gt;"", H23 &amp; "-" &amp; I23 &amp; "x/lifetime", H23 &amp; "x/lifetime"),
    IF(D23='Master Data'!$B$8, AD23 &amp; AE23, AD23 &amp; AE23 &amp; AC23))</f>
        <v>x/lifetime</v>
      </c>
      <c r="N23" s="309">
        <f t="shared" si="18"/>
        <v>0</v>
      </c>
      <c r="O23" s="309">
        <f t="shared" si="19"/>
        <v>0</v>
      </c>
      <c r="P23" s="314" t="str">
        <f t="shared" si="20"/>
        <v>$0.00</v>
      </c>
      <c r="Q23" s="309">
        <f t="shared" si="21"/>
        <v>0</v>
      </c>
      <c r="R23" s="309">
        <f t="shared" si="22"/>
        <v>0</v>
      </c>
      <c r="S23" s="315" t="str">
        <f t="shared" si="0"/>
        <v>$0.00</v>
      </c>
      <c r="AA23" s="166" t="str">
        <f>IF(L23="lifetime", "one-time cost", IF(D23='Master Data'!$B$8, AD23 &amp; AE23, AD23 &amp; AE23 &amp; AC23))</f>
        <v>one-time cost</v>
      </c>
      <c r="AB23" s="208" t="str">
        <f t="shared" si="12"/>
        <v>x/lifetime</v>
      </c>
      <c r="AC23" s="166" t="str">
        <f ca="1">IF(Table13[[#This Row],[Duration (Years):]]&lt;&gt;'Master Data'!$B$8,CONCATENATE(",",CHAR(10),"for ",Table13[[#This Row],[Duration (Years):]]," years"),"lifelong")</f>
        <v>lifelong</v>
      </c>
      <c r="AD23" s="166" t="str">
        <f t="shared" si="13"/>
        <v>one-time cost</v>
      </c>
      <c r="AE23" s="166" t="str">
        <f t="shared" si="14"/>
        <v>one-time cost</v>
      </c>
    </row>
    <row r="24" spans="1:31" ht="29.25" thickTop="1" x14ac:dyDescent="0.2">
      <c r="A24" s="28"/>
      <c r="B24" s="29">
        <f ca="1">'Master Data'!$B$6</f>
        <v>126.3</v>
      </c>
      <c r="C24" s="29">
        <f ca="1">'Master Data'!$B$7</f>
        <v>136.30000000000001</v>
      </c>
      <c r="D24" s="29">
        <f ca="1">ROUND(C24-B24,1)</f>
        <v>10</v>
      </c>
      <c r="E24" s="30" cm="1">
        <f t="array" ref="E24">IF(
  OR($A24="Chest X-ray",$A24="Chest CT Scan"),
  MIN(
    IF(
      ('Service to CPT Map'!$A$2:$A$1017=$A24)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Map'!$A$2:$A$1017=$A24)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0</v>
      </c>
      <c r="F24" s="30" cm="1">
        <f t="array" ref="F24">_xlfn.LET(
  _xlpm.HighCalc,
  IF(
    OR($A24="Chest X-ray",$A24="Chest CT Scan"),
    MAX(
      IF(
        ('Service to CPT Map'!$A$2:$A$1018=$A24)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Map'!$A$2:$A$1018=$A24)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Map'!$A$2:$A$1018=$A24)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Map'!$A$2:$A$1018=$A24)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E24, _xlpm.HighCalc)
)</f>
        <v>0</v>
      </c>
      <c r="G24" s="31" t="str">
        <f>IF(E24&lt;F24,CONCATENATE(TEXT(E24,"$#,##0.00"),CHAR(10)," - ",CHAR(10),TEXT(F24,"$#,##0.00")),TEXT(E24,"$#,##0.00"))</f>
        <v>$0.00</v>
      </c>
      <c r="H24" s="32"/>
      <c r="I24" s="32"/>
      <c r="J24" s="32"/>
      <c r="K24" s="32"/>
      <c r="L24" s="51" t="str">
        <f>IF(LEN(K24)=0,IF(LEN(J24)=0,"lifetime",IF(J24=1,"year","years")),"years")</f>
        <v>lifetime</v>
      </c>
      <c r="M24" s="33" t="str">
        <f>IF(L24="lifetime",
    IF(I24&lt;&gt;"", H24 &amp; "-" &amp; I24 &amp; "x/lifetime", H24 &amp; "x/lifetime"),
    IF(D24='Master Data'!$B$8, AD24 &amp; AE24, AD24 &amp; AE24 &amp; AC24))</f>
        <v>x/lifetime</v>
      </c>
      <c r="N24" s="30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24" s="30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24" s="52" t="str">
        <f>IF(N24&lt;O24,CONCATENATE(TEXT(N24,"$#,##0.00"),CHAR(10)," - ",CHAR(10),TEXT(O24,"$#,##0.00")),TEXT(N24,"$0.00"))</f>
        <v>$0.00</v>
      </c>
      <c r="Q24" s="30">
        <f>ROUND(IF(TimeValue="lifetime",MinCost*MinFreq,0),2)</f>
        <v>0</v>
      </c>
      <c r="R24" s="30">
        <f>ROUND(IF(AND(TimeValue="lifetime",MaxFreq&lt;1),MinFreq*MaxCost,IF(AND(TimeValue="lifetime",MaxFreq&gt;=1),MaxFreq*MaxCost,0)),2)</f>
        <v>0</v>
      </c>
      <c r="S24" s="53" t="str">
        <f>IF(Q24&lt;R24,CONCATENATE(TEXT(Q24,"$#,##0.00"),CHAR(10)," - ",CHAR(10),TEXT(R24,"$#,##0.00")),TEXT(Q24,"$#,##0.00"))</f>
        <v>$0.00</v>
      </c>
      <c r="AA24" s="166" t="str">
        <f>IF(L24="lifetime", "one-time cost", IF(D24='Master Data'!$B$8, AD24 &amp; AE24, AD24 &amp; AE24 &amp; AC24))</f>
        <v>one-time cost</v>
      </c>
      <c r="AB24" s="208" t="str">
        <f t="shared" si="12"/>
        <v>x/lifetime</v>
      </c>
      <c r="AC24" s="166" t="str">
        <f ca="1">IF(Table13[[#This Row],[Duration (Years):]]&lt;&gt;'Master Data'!$B$8,CONCATENATE(",",CHAR(10),"for ",Table13[[#This Row],[Duration (Years):]]," years"),"lifelong")</f>
        <v>lifelong</v>
      </c>
      <c r="AD24" s="166" t="str">
        <f t="shared" si="13"/>
        <v>one-time cost</v>
      </c>
      <c r="AE24" s="166" t="str">
        <f t="shared" si="14"/>
        <v>one-time cost</v>
      </c>
    </row>
    <row r="25" spans="1:31" ht="29.25" thickBot="1" x14ac:dyDescent="0.25">
      <c r="A25" s="28"/>
      <c r="B25" s="29">
        <f ca="1">'Master Data'!$B$6</f>
        <v>126.3</v>
      </c>
      <c r="C25" s="29">
        <f ca="1">'Master Data'!$B$7</f>
        <v>136.30000000000001</v>
      </c>
      <c r="D25" s="29">
        <f ca="1">ROUND(C25-B25,1)</f>
        <v>10</v>
      </c>
      <c r="E25" s="30" cm="1">
        <f t="array" ref="E25">IF(
  OR($A25="Chest X-ray",$A25="Chest CT Scan"),
  MIN(
    IF(
      ('Service to CPT Map'!$A$2:$A$1017=$A25) *
      ('Service to CPT Map'!$B$2:$B$1017="Low"),
      _xlfn.XLOOKUP(
        'Service to CPT Map'!$C$2:$C$1017,
        'Cost Data Sheet'!$A$2:$A$1006,
        CHOOSE(
          MATCH('Master Data'!$B$19,
            {"Los Angeles","San Diego","San Francisco","Palo Alto"},0),
          'Cost Data Sheet'!$B$2:$B$1006,
          'Cost Data Sheet'!$C$2:$C$1006,
          'Cost Data Sheet'!$D$2:$D$1006,
          'Cost Data Sheet'!$E$2:$E$1006
        ),
        0
      )
    )
  ),
  SUMPRODUCT(
    ('Service to CPT Map'!$A$2:$A$1017=$A25) *
    ('Service to CPT Map'!$B$2:$B$1017="Low") *
    _xlfn.XLOOKUP(
      'Service to CPT Map'!$C$2:$C$1017,
      'Cost Data Sheet'!$A$2:$A$1006,
      CHOOSE(
        MATCH('Master Data'!$B$19,
          {"Los Angeles","San Diego","San Francisco","Palo Alto"},0),
        'Cost Data Sheet'!$B$2:$B$1006,
        'Cost Data Sheet'!$C$2:$C$1006,
        'Cost Data Sheet'!$D$2:$D$1006,
        'Cost Data Sheet'!$E$2:$E$1006
      ),
      0
    )
  )
)</f>
        <v>0</v>
      </c>
      <c r="F25" s="30" cm="1">
        <f t="array" ref="F25">_xlfn.LET(
  _xlpm.HighCalc,
  IF(
    OR($A25="Chest X-ray",$A25="Chest CT Scan"),
    MAX(
      IF(
        ('Service to CPT Map'!$A$2:$A$1018=$A25) *
        ('Service to CPT Map'!$B$2:$B$1018="High") *
        ('Service to CPT Map'!$D$2:$D$1018="Outpatient"),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),
    SUMPRODUCT(
      ('Service to CPT Map'!$A$2:$A$1018=$A25) *
      ('Service to CPT Map'!$B$2:$B$1018="High") *
      ISNUMBER(MATCH(
        'Service to CPT Map'!$D$2:$D$1018,
        {"Medical","Medical - Sedation","Anesthesia"},
        0
      )) *
      _xlfn.XLOOKUP(
        'Service to CPT Map'!$C$2:$C$1018,
        'Cost Data Sheet'!$A$2:$A$1007,
        CHOOSE(
          MATCH('Master Data'!$B$19,
            {"Los Angeles","San Diego","San Francisco","Palo Alto"},0),
          'Cost Data Sheet'!$B$2:$B$1007,
          'Cost Data Sheet'!$C$2:$C$1007,
          'Cost Data Sheet'!$D$2:$D$1007,
          'Cost Data Sheet'!$E$2:$E$1007
        ),
        0
      )
    )
    +
    MAX(
      SUMPRODUCT(
        ('Service to CPT Map'!$A$2:$A$1018=$A25) *
        ('Service to CPT Map'!$B$2:$B$1018="High") *
        ('Service to CPT Map'!$D$2:$D$1018="ASC")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),
      SUMPRODUCT(
        ('Service to CPT Map'!$A$2:$A$1018=$A25) *
        ('Service to CPT Map'!$B$2:$B$1018="High") *
        ('Service to CPT Map'!$D$2:$D$1018="Outpatient") *
        _xlfn.XLOOKUP(
          'Service to CPT Map'!$C$2:$C$1018,
          'Cost Data Sheet'!$A$2:$A$1007,
          CHOOSE(
            MATCH('Master Data'!$B$19,
              {"Los Angeles","San Diego","San Francisco","Palo Alto"},0),
            'Cost Data Sheet'!$B$2:$B$1007,
            'Cost Data Sheet'!$C$2:$C$1007,
            'Cost Data Sheet'!$D$2:$D$1007,
            'Cost Data Sheet'!$E$2:$E$1007
          ),
          0
        )
      )
    )
  ),
  IF(_xlpm.HighCalc=0, E25, _xlpm.HighCalc)
)</f>
        <v>0</v>
      </c>
      <c r="G25" s="31" t="str">
        <f>IF(E25&lt;F25,CONCATENATE(TEXT(E25,"$#,##0.00"),CHAR(10)," - ",CHAR(10),TEXT(F25,"$#,##0.00")),TEXT(E25,"$#,##0.00"))</f>
        <v>$0.00</v>
      </c>
      <c r="H25" s="32"/>
      <c r="I25" s="32"/>
      <c r="J25" s="32"/>
      <c r="K25" s="32"/>
      <c r="L25" s="51" t="str">
        <f>IF(LEN(K25)=0,IF(LEN(J25)=0,"lifetime",IF(J25=1,"year","years")),"years")</f>
        <v>lifetime</v>
      </c>
      <c r="M25" s="33" t="str">
        <f>IF(L25="lifetime",
    IF(I25&lt;&gt;"", H25 &amp; "-" &amp; I25 &amp; "x/lifetime", H25 &amp; "x/lifetime"),
    IF(D25='Master Data'!$B$8, AD25 &amp; AE25, AD25 &amp; AE25 &amp; AC25))</f>
        <v>x/lifetime</v>
      </c>
      <c r="N25" s="30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25" s="30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25" s="52" t="str">
        <f>IF(N25&lt;O25,CONCATENATE(TEXT(N25,"$#,##0.00"),CHAR(10)," - ",CHAR(10),TEXT(O25,"$#,##0.00")),TEXT(N25,"$0.00"))</f>
        <v>$0.00</v>
      </c>
      <c r="Q25" s="30">
        <f>ROUND(IF(TimeValue="lifetime",MinCost*MinFreq,0),2)</f>
        <v>0</v>
      </c>
      <c r="R25" s="30">
        <f>ROUND(IF(AND(TimeValue="lifetime",MaxFreq&lt;1),MinFreq*MaxCost,IF(AND(TimeValue="lifetime",MaxFreq&gt;=1),MaxFreq*MaxCost,0)),2)</f>
        <v>0</v>
      </c>
      <c r="S25" s="53" t="str">
        <f>IF(Q25&lt;R25,CONCATENATE(TEXT(Q25,"$#,##0.00"),CHAR(10)," - ",CHAR(10),TEXT(R25,"$#,##0.00")),TEXT(Q25,"$#,##0.00"))</f>
        <v>$0.00</v>
      </c>
      <c r="AA25" s="166" t="str">
        <f>IF(L25="lifetime", "one-time cost", IF(D25='Master Data'!$B$8, AD25 &amp; AE25, AD25 &amp; AE25 &amp; AC25))</f>
        <v>one-time cost</v>
      </c>
      <c r="AB25" s="208" t="str">
        <f t="shared" si="12"/>
        <v>x/lifetime</v>
      </c>
      <c r="AC25" s="166" t="str">
        <f ca="1">IF(Table13[[#This Row],[Duration (Years):]]&lt;&gt;'Master Data'!$B$8,CONCATENATE(",",CHAR(10),"for ",Table13[[#This Row],[Duration (Years):]]," years"),"lifelong")</f>
        <v>lifelong</v>
      </c>
      <c r="AD25" s="166" t="str">
        <f t="shared" si="13"/>
        <v>one-time cost</v>
      </c>
      <c r="AE25" s="166" t="str">
        <f t="shared" si="14"/>
        <v>one-time cost</v>
      </c>
    </row>
    <row r="26" spans="1:31" ht="39.75" thickTop="1" thickBot="1" x14ac:dyDescent="0.25">
      <c r="A26" s="343" t="s">
        <v>32</v>
      </c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44"/>
      <c r="M26" s="344"/>
      <c r="N26" s="69"/>
      <c r="O26" s="69"/>
      <c r="P26" s="70" t="str">
        <f ca="1">IF(U3="same",IF(SUM(Table13[Annual Cost Max:])=0,"$0.00",CONCATENATE(TEXT(SUM(AnnMin),"$#,##0.00"),CHAR(10)," - ",CHAR(10),TEXT(SUM(AnnMax),"$#,##0.00"))),"Variable by year")</f>
        <v>$0.00</v>
      </c>
      <c r="Q26" s="69"/>
      <c r="R26" s="69"/>
      <c r="S26" s="71" t="str">
        <f>IF(SUM(OneTimeMax)=0,"$0.00",CONCATENATE(TEXT(SUM(OneTimeMin),"$#,##0.00"),CHAR(10)," - ",CHAR(10),TEXT(SUM(OneTimeMax),"$#,##0.00")))</f>
        <v>$123,403.00
 - 
$669,024.00</v>
      </c>
      <c r="AA26" s="166" t="e">
        <f>IF(L26="lifetime", "one-time cost", IF(D26='Master Data'!$B$8, AD26 &amp; AE26, AD26 &amp; AE26 &amp; AC26))</f>
        <v>#VALUE!</v>
      </c>
      <c r="AB26" s="208" t="str">
        <f t="shared" si="12"/>
        <v>ongoing cost</v>
      </c>
      <c r="AC26" s="166" t="e">
        <f>IF(Table13[[#This Row],[Duration (Years):]]&lt;&gt;'Master Data'!$B$8,CONCATENATE(",",CHAR(10),"for ",Table13[[#This Row],[Duration (Years):]]," years"),"lifelong")</f>
        <v>#VALUE!</v>
      </c>
      <c r="AD26" s="166" t="str">
        <f t="shared" si="13"/>
        <v>x/</v>
      </c>
      <c r="AE26" s="166">
        <f t="shared" si="14"/>
        <v>0</v>
      </c>
    </row>
    <row r="27" spans="1:31" ht="15" thickTop="1" x14ac:dyDescent="0.2">
      <c r="AA27" s="166" t="e">
        <f>IF(L27="lifetime", "one-time cost", IF(D27='Master Data'!$B$8, AD27 &amp; AE27, AD27 &amp; AE27 &amp; AC27))</f>
        <v>#VALUE!</v>
      </c>
      <c r="AB27" s="208" t="str">
        <f t="shared" si="12"/>
        <v>ongoing cost</v>
      </c>
      <c r="AC27" s="166" t="e">
        <f>IF(Table13[[#This Row],[Duration (Years):]]&lt;&gt;'Master Data'!$B$8,CONCATENATE(",",CHAR(10),"for ",Table13[[#This Row],[Duration (Years):]]," years"),"lifelong")</f>
        <v>#VALUE!</v>
      </c>
      <c r="AD27" s="166" t="str">
        <f t="shared" si="13"/>
        <v>x/</v>
      </c>
      <c r="AE27" s="166">
        <f t="shared" si="14"/>
        <v>0</v>
      </c>
    </row>
    <row r="28" spans="1:31" x14ac:dyDescent="0.2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AA28" s="166" t="e">
        <f>IF(L38="lifetime", "one-time cost", IF(D38='Master Data'!$B$8, AD28 &amp; AE28, AD28 &amp; AE28 &amp; AC28))</f>
        <v>#VALUE!</v>
      </c>
      <c r="AB28" s="208" t="str">
        <f t="shared" ref="AB28:AB35" si="23">IF(L38="lifetime", IF(I38&lt;&gt;"", H38 &amp; "-" &amp; I38 &amp; "x/lifetime", H38 &amp; "x/lifetime"), "ongoing cost")</f>
        <v>ongoing cost</v>
      </c>
      <c r="AC28" s="166" t="e">
        <f>IF(Table13[[#This Row],[Duration (Years):]]&lt;&gt;'Master Data'!$B$8,CONCATENATE(",",CHAR(10),"for ",Table13[[#This Row],[Duration (Years):]]," years"),"lifelong")</f>
        <v>#VALUE!</v>
      </c>
      <c r="AD28" s="166" t="str">
        <f t="shared" ref="AD28:AD35" si="24">IF(L38="lifetime", "one-time cost", IF(I38&lt;&gt;"", H38 &amp; "-" &amp; I38 &amp; "x/", H38 &amp; "x/"))</f>
        <v>x/</v>
      </c>
      <c r="AE28" s="166">
        <f t="shared" ref="AE28:AE35" si="25">IF(L38="lifetime", "one-time cost", IF(K38&lt;&gt;"", J38 &amp; "-" &amp; K38 &amp; " " &amp; L38, IF(J38&gt;1, J38 &amp; " " &amp; L38, L38)))</f>
        <v>0</v>
      </c>
    </row>
    <row r="29" spans="1:31" x14ac:dyDescent="0.2">
      <c r="A29" s="100"/>
      <c r="D29" s="100" t="s">
        <v>70</v>
      </c>
      <c r="AA29" s="166" t="e">
        <f>IF(L39="lifetime", "one-time cost", IF(D39='Master Data'!$B$8, AD29 &amp; AE29, AD29 &amp; AE29 &amp; AC29))</f>
        <v>#VALUE!</v>
      </c>
      <c r="AB29" s="208" t="str">
        <f t="shared" si="23"/>
        <v>ongoing cost</v>
      </c>
      <c r="AC29" s="166" t="e">
        <f>IF(Table13[[#This Row],[Duration (Years):]]&lt;&gt;'Master Data'!$B$8,CONCATENATE(",",CHAR(10),"for ",Table13[[#This Row],[Duration (Years):]]," years"),"lifelong")</f>
        <v>#VALUE!</v>
      </c>
      <c r="AD29" s="166" t="str">
        <f t="shared" si="24"/>
        <v>x/</v>
      </c>
      <c r="AE29" s="166">
        <f t="shared" si="25"/>
        <v>0</v>
      </c>
    </row>
    <row r="30" spans="1:31" x14ac:dyDescent="0.2">
      <c r="AA30" s="166" t="e">
        <f>IF(L40="lifetime", "one-time cost", IF(D40='Master Data'!$B$8, AD30 &amp; AE30, AD30 &amp; AE30 &amp; AC30))</f>
        <v>#VALUE!</v>
      </c>
      <c r="AB30" s="208" t="str">
        <f t="shared" si="23"/>
        <v>ongoing cost</v>
      </c>
      <c r="AC30" s="166" t="e">
        <f>IF(Table13[[#This Row],[Duration (Years):]]&lt;&gt;'Master Data'!$B$8,CONCATENATE(",",CHAR(10),"for ",Table13[[#This Row],[Duration (Years):]]," years"),"lifelong")</f>
        <v>#VALUE!</v>
      </c>
      <c r="AD30" s="166" t="str">
        <f t="shared" si="24"/>
        <v>x/</v>
      </c>
      <c r="AE30" s="166">
        <f t="shared" si="25"/>
        <v>0</v>
      </c>
    </row>
    <row r="31" spans="1:31" x14ac:dyDescent="0.2">
      <c r="AA31" s="166" t="e">
        <f>IF(L41="lifetime", "one-time cost", IF(D41='Master Data'!$B$8, AD31 &amp; AE31, AD31 &amp; AE31 &amp; AC31))</f>
        <v>#VALUE!</v>
      </c>
      <c r="AB31" s="208" t="str">
        <f t="shared" si="23"/>
        <v>ongoing cost</v>
      </c>
      <c r="AC31" s="166" t="e">
        <f>IF(Table13[[#This Row],[Duration (Years):]]&lt;&gt;'Master Data'!$B$8,CONCATENATE(",",CHAR(10),"for ",Table13[[#This Row],[Duration (Years):]]," years"),"lifelong")</f>
        <v>#VALUE!</v>
      </c>
      <c r="AD31" s="166" t="str">
        <f t="shared" si="24"/>
        <v>x/</v>
      </c>
      <c r="AE31" s="166">
        <f t="shared" si="25"/>
        <v>0</v>
      </c>
    </row>
    <row r="32" spans="1:31" x14ac:dyDescent="0.2">
      <c r="AA32" s="166" t="e">
        <f>IF(L42="lifetime", "one-time cost", IF(D42='Master Data'!$B$8, AD32 &amp; AE32, AD32 &amp; AE32 &amp; AC32))</f>
        <v>#VALUE!</v>
      </c>
      <c r="AB32" s="208" t="str">
        <f t="shared" si="23"/>
        <v>ongoing cost</v>
      </c>
      <c r="AC32" s="166" t="e">
        <f>IF(Table13[[#This Row],[Duration (Years):]]&lt;&gt;'Master Data'!$B$8,CONCATENATE(",",CHAR(10),"for ",Table13[[#This Row],[Duration (Years):]]," years"),"lifelong")</f>
        <v>#VALUE!</v>
      </c>
      <c r="AD32" s="166" t="str">
        <f t="shared" si="24"/>
        <v>x/</v>
      </c>
      <c r="AE32" s="166">
        <f t="shared" si="25"/>
        <v>0</v>
      </c>
    </row>
    <row r="33" spans="27:31" x14ac:dyDescent="0.2">
      <c r="AA33" s="166" t="e">
        <f>IF(L43="lifetime", "one-time cost", IF(D43='Master Data'!$B$8, AD33 &amp; AE33, AD33 &amp; AE33 &amp; AC33))</f>
        <v>#VALUE!</v>
      </c>
      <c r="AB33" s="208" t="str">
        <f t="shared" si="23"/>
        <v>ongoing cost</v>
      </c>
      <c r="AC33" s="166" t="e">
        <f>IF(Table13[[#This Row],[Duration (Years):]]&lt;&gt;'Master Data'!$B$8,CONCATENATE(",",CHAR(10),"for ",Table13[[#This Row],[Duration (Years):]]," years"),"lifelong")</f>
        <v>#VALUE!</v>
      </c>
      <c r="AD33" s="166" t="str">
        <f t="shared" si="24"/>
        <v>x/</v>
      </c>
      <c r="AE33" s="166">
        <f t="shared" si="25"/>
        <v>0</v>
      </c>
    </row>
    <row r="34" spans="27:31" x14ac:dyDescent="0.2">
      <c r="AA34" s="166" t="e">
        <f>IF(L44="lifetime", "one-time cost", IF(D44='Master Data'!$B$8, AD34 &amp; AE34, AD34 &amp; AE34 &amp; AC34))</f>
        <v>#VALUE!</v>
      </c>
      <c r="AB34" s="208" t="str">
        <f t="shared" si="23"/>
        <v>ongoing cost</v>
      </c>
      <c r="AC34" s="166" t="e">
        <f>IF(Table13[[#This Row],[Duration (Years):]]&lt;&gt;'Master Data'!$B$8,CONCATENATE(",",CHAR(10),"for ",Table13[[#This Row],[Duration (Years):]]," years"),"lifelong")</f>
        <v>#VALUE!</v>
      </c>
      <c r="AD34" s="166" t="str">
        <f t="shared" si="24"/>
        <v>x/</v>
      </c>
      <c r="AE34" s="166">
        <f t="shared" si="25"/>
        <v>0</v>
      </c>
    </row>
    <row r="35" spans="27:31" x14ac:dyDescent="0.2">
      <c r="AA35" s="166" t="e">
        <f>IF(L45="lifetime", "one-time cost", IF(D45='Master Data'!$B$8, AD35 &amp; AE35, AD35 &amp; AE35 &amp; AC35))</f>
        <v>#VALUE!</v>
      </c>
      <c r="AB35" s="208" t="str">
        <f t="shared" si="23"/>
        <v>ongoing cost</v>
      </c>
      <c r="AC35" s="166" t="e">
        <f>IF(Table13[[#This Row],[Duration (Years):]]&lt;&gt;'Master Data'!$B$8,CONCATENATE(",",CHAR(10),"for ",Table13[[#This Row],[Duration (Years):]]," years"),"lifelong")</f>
        <v>#VALUE!</v>
      </c>
      <c r="AD35" s="166" t="str">
        <f t="shared" si="24"/>
        <v>x/</v>
      </c>
      <c r="AE35" s="166">
        <f t="shared" si="25"/>
        <v>0</v>
      </c>
    </row>
  </sheetData>
  <sortState xmlns:xlrd2="http://schemas.microsoft.com/office/spreadsheetml/2017/richdata2" ref="A3:S3">
    <sortCondition ref="D3"/>
    <sortCondition ref="A3"/>
  </sortState>
  <mergeCells count="3">
    <mergeCell ref="A1:S1"/>
    <mergeCell ref="A26:M26"/>
    <mergeCell ref="V3:W3"/>
  </mergeCells>
  <hyperlinks>
    <hyperlink ref="V3" location="Procedure1!A1" display="Link to copy/paste table here" xr:uid="{F29B784D-60A9-48AD-A048-BAF59B490491}"/>
    <hyperlink ref="V3:W3" location="Diagnotics!A1" display="Link to copy/paste table here" xr:uid="{7D4FD2C7-F818-4EDE-89E5-FD88C8A888B8}"/>
  </hyperlinks>
  <pageMargins left="0.25" right="0.25" top="0.75" bottom="0.75" header="0.3" footer="0.3"/>
  <pageSetup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51"/>
  <sheetViews>
    <sheetView workbookViewId="0">
      <selection sqref="A1:S1"/>
    </sheetView>
  </sheetViews>
  <sheetFormatPr defaultColWidth="9.140625" defaultRowHeight="14.25" x14ac:dyDescent="0.2"/>
  <cols>
    <col min="1" max="1" width="19.7109375" style="54" customWidth="1"/>
    <col min="2" max="3" width="9.7109375" style="55" hidden="1" customWidth="1"/>
    <col min="4" max="4" width="13.42578125" style="55" customWidth="1"/>
    <col min="5" max="6" width="13.28515625" style="56" customWidth="1"/>
    <col min="7" max="7" width="15.7109375" style="57" hidden="1" customWidth="1"/>
    <col min="8" max="11" width="8.7109375" style="58" customWidth="1"/>
    <col min="12" max="12" width="10.85546875" style="54" customWidth="1"/>
    <col min="13" max="13" width="17.7109375" style="59" customWidth="1"/>
    <col min="14" max="15" width="12.28515625" style="56" hidden="1" customWidth="1"/>
    <col min="16" max="16" width="14.7109375" style="60" customWidth="1"/>
    <col min="17" max="18" width="12.28515625" style="56" hidden="1" customWidth="1"/>
    <col min="19" max="19" width="14.7109375" style="60" customWidth="1"/>
    <col min="20" max="20" width="9.140625" style="46"/>
    <col min="21" max="21" width="0" style="46" hidden="1" customWidth="1"/>
    <col min="22" max="26" width="9.140625" style="46"/>
    <col min="27" max="31" width="9.140625" style="46" hidden="1" customWidth="1"/>
    <col min="32" max="32" width="9.140625" style="46"/>
    <col min="33" max="35" width="15.85546875" style="46" customWidth="1"/>
    <col min="36" max="16384" width="9.140625" style="46"/>
  </cols>
  <sheetData>
    <row r="1" spans="1:34" ht="30" customHeight="1" thickTop="1" x14ac:dyDescent="0.2">
      <c r="A1" s="340" t="s">
        <v>60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2"/>
    </row>
    <row r="2" spans="1:34" s="47" customFormat="1" ht="57.75" thickBot="1" x14ac:dyDescent="0.3">
      <c r="A2" s="105" t="s">
        <v>33</v>
      </c>
      <c r="B2" s="106" t="s">
        <v>15</v>
      </c>
      <c r="C2" s="106" t="s">
        <v>16</v>
      </c>
      <c r="D2" s="106" t="s">
        <v>17</v>
      </c>
      <c r="E2" s="107" t="s">
        <v>18</v>
      </c>
      <c r="F2" s="107" t="s">
        <v>19</v>
      </c>
      <c r="G2" s="107" t="s">
        <v>29</v>
      </c>
      <c r="H2" s="108" t="s">
        <v>20</v>
      </c>
      <c r="I2" s="108" t="s">
        <v>21</v>
      </c>
      <c r="J2" s="108" t="s">
        <v>22</v>
      </c>
      <c r="K2" s="108" t="s">
        <v>23</v>
      </c>
      <c r="L2" s="109" t="s">
        <v>24</v>
      </c>
      <c r="M2" s="109" t="s">
        <v>30</v>
      </c>
      <c r="N2" s="107" t="s">
        <v>25</v>
      </c>
      <c r="O2" s="107" t="s">
        <v>26</v>
      </c>
      <c r="P2" s="109" t="s">
        <v>31</v>
      </c>
      <c r="Q2" s="107" t="s">
        <v>27</v>
      </c>
      <c r="R2" s="107" t="s">
        <v>28</v>
      </c>
      <c r="S2" s="110" t="s">
        <v>34</v>
      </c>
      <c r="U2" s="7" t="s">
        <v>48</v>
      </c>
      <c r="AA2" s="207" t="s">
        <v>148</v>
      </c>
      <c r="AB2" s="207" t="s">
        <v>144</v>
      </c>
      <c r="AC2" s="207" t="s">
        <v>145</v>
      </c>
      <c r="AD2" s="207" t="s">
        <v>146</v>
      </c>
      <c r="AE2" s="207" t="s">
        <v>147</v>
      </c>
    </row>
    <row r="3" spans="1:34" ht="45" customHeight="1" thickTop="1" x14ac:dyDescent="0.25">
      <c r="A3" s="28" t="s">
        <v>242</v>
      </c>
      <c r="B3" s="35">
        <f ca="1">'Master Data'!$B$6</f>
        <v>126.3</v>
      </c>
      <c r="C3" s="35">
        <f ca="1">'Master Data'!$B$7</f>
        <v>136.30000000000001</v>
      </c>
      <c r="D3" s="35">
        <f ca="1">ROUND(C3-B3,1)</f>
        <v>10</v>
      </c>
      <c r="E3" s="36" cm="1">
        <f t="array" ref="E3">IF(
  A3="",
  0,
  IF(
    A3="COVID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MATCH(A3,'Meds Sheet'!$A$2:$A$16,0),
        _xlfn.SWITCH(
          'Master Data'!$B$19,
          "Los Angeles",{2,3,4},
          "San Diego",{5,6,7},
          "San Francisco",{8,9,10},
          "Palo Alto",{11,12,13}
        )
      )
    )
  )
)</f>
        <v>1.33</v>
      </c>
      <c r="F3" s="36" cm="1">
        <f t="array" ref="F3">IF(
  A3="",
  0,
  IF(
    A3="COVID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MATCH(A3,'Meds Sheet'!$A$2:$A$16,0),
        _xlfn.SWITCH(
          'Master Data'!$B$19,
          "Los Angeles",{2,3,4},
          "San Diego",{5,6,7},
          "San Francisco",{8,9,10},
          "Palo Alto",{11,12,13}
        )
      )
    )
  )
)</f>
        <v>20.98</v>
      </c>
      <c r="G3" s="37" t="str">
        <f t="shared" ref="G3:G13" si="0">IF(E3&lt;F3,CONCATENATE(TEXT(E3,"$#,##0.00"),CHAR(10)," - ",CHAR(10),TEXT(F3,"$#,##0.00")),TEXT(E3,"$#,##0.00"))</f>
        <v>$1.33
 - 
$20.98</v>
      </c>
      <c r="H3" s="38">
        <v>3650</v>
      </c>
      <c r="I3" s="38">
        <v>7300</v>
      </c>
      <c r="J3" s="38"/>
      <c r="K3" s="38"/>
      <c r="L3" s="48" t="str">
        <f>IF(LEN(K3)=0,IF(LEN(J3)=0,"lifetime",IF(J3=1,"year","years")),"years")</f>
        <v>lifetime</v>
      </c>
      <c r="M3" s="39" t="str">
        <f>IF(L3="lifetime",
    IF(I3&lt;&gt;"", H3 &amp; "-" &amp; I3 &amp; "x/lifetime", H3 &amp; "x/lifetime"),
    IF(D3='Master Data'!$B$8, AD3 &amp; AE3, AD3 &amp; AE3 &amp; AC3))</f>
        <v>3650-7300x/lifetime</v>
      </c>
      <c r="N3" s="36">
        <f t="shared" ref="N3:N13" si="1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3" s="30">
        <f t="shared" ref="O3:O13" si="2">IFERROR(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,0)</f>
        <v>0</v>
      </c>
      <c r="P3" s="36" t="str">
        <f t="shared" ref="P3:P13" si="3">IFERROR(IF(N3&lt;O3,CONCATENATE(TEXT(N3,"$#,##0.00"),CHAR(10)," - ",CHAR(10),TEXT(O3,"$#,##0.00")),TEXT(N3,"$0.00")),0)</f>
        <v>$0.00</v>
      </c>
      <c r="Q3" s="36">
        <f t="shared" ref="Q3:Q13" si="4">ROUND(IF(TimeValue="lifetime",MinCost*MinFreq,0),2)</f>
        <v>4854.5</v>
      </c>
      <c r="R3" s="36">
        <f t="shared" ref="R3:R13" si="5">ROUND(IF(AND(TimeValue="lifetime",MaxFreq&lt;1),MinFreq*MaxCost,IF(AND(TimeValue="lifetime",MaxFreq&gt;=1),MaxFreq*MaxCost,0)),2)</f>
        <v>153154</v>
      </c>
      <c r="S3" s="50" t="str">
        <f t="shared" ref="S3:S13" si="6">IF(Q3&lt;R3,CONCATENATE(TEXT(Q3,"$#,##0.00"),CHAR(10)," - ",CHAR(10),TEXT(R3,"$#,##0.00")),TEXT(Q3,"$0.00"))</f>
        <v>$4,854.50
 - 
$153,154.00</v>
      </c>
      <c r="U3" s="8" t="str">
        <f t="array" aca="1" ref="U3" ca="1">IF(AND(ROUND(Table1[Duration (Years):],1)='Master Data'!$B$8),"same","different")</f>
        <v>same</v>
      </c>
      <c r="V3" s="345" t="s">
        <v>133</v>
      </c>
      <c r="W3" s="345"/>
      <c r="AA3" s="166" t="str">
        <f>IF(L3="lifetime", "one-time cost", IF(D3='Master Data'!$B$8, AD3 &amp; AE3, AD3 &amp; AE3 &amp; AC3))</f>
        <v>one-time cost</v>
      </c>
      <c r="AB3" s="208" t="str">
        <f>IF(L3="lifetime", IF(I3&lt;&gt;"", H3 &amp; "-" &amp; I3 &amp; "x/lifetime", H3 &amp; "x/lifetime"), "ongoing cost")</f>
        <v>3650-7300x/lifetime</v>
      </c>
      <c r="AC3" s="166" t="str">
        <f ca="1">IF(Table1[[#This Row],[Duration (Years):]]&lt;&gt;'Master Data'!$B$8,CONCATENATE(",",CHAR(10),"for ",Table1[[#This Row],[Duration (Years):]]," years"),"lifelong")</f>
        <v>lifelong</v>
      </c>
      <c r="AD3" s="166" t="str">
        <f>IF(L3="lifetime", "one-time cost", IF(I3&lt;&gt;"", H3 &amp; "-" &amp; I3 &amp; "x/", H3 &amp; "x/"))</f>
        <v>one-time cost</v>
      </c>
      <c r="AE3" s="166" t="str">
        <f>IF(L3="lifetime", "one-time cost", IF(K3&lt;&gt;"", J3 &amp; "-" &amp; K3 &amp; " " &amp; L3, IF(J3&gt;1, J3 &amp; " " &amp; L3, L3)))</f>
        <v>one-time cost</v>
      </c>
      <c r="AF3" s="306"/>
      <c r="AG3" s="326">
        <f>Table1[[#This Row],[Min Cost of Visit:]]*2*365</f>
        <v>970.90000000000009</v>
      </c>
      <c r="AH3" s="326">
        <f>Table1[[#This Row],[Max Cost of Visit:]]*2*365</f>
        <v>15315.4</v>
      </c>
    </row>
    <row r="4" spans="1:34" ht="45" customHeight="1" x14ac:dyDescent="0.2">
      <c r="A4" s="40" t="s">
        <v>213</v>
      </c>
      <c r="B4" s="29">
        <f ca="1">'Master Data'!$B$6</f>
        <v>126.3</v>
      </c>
      <c r="C4" s="29">
        <f ca="1">'Master Data'!$B$7</f>
        <v>136.30000000000001</v>
      </c>
      <c r="D4" s="29">
        <f ca="1">ROUND(C4-B4,1)</f>
        <v>10</v>
      </c>
      <c r="E4" s="30" cm="1">
        <f t="array" ref="E4">IF(
  A4="",
  0,
  IF(
    A4="COVID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MATCH(A4,'Meds Sheet'!$A$2:$A$16,0),
        _xlfn.SWITCH(
          'Master Data'!$B$19,
          "Los Angeles",{2,3,4},
          "San Diego",{5,6,7},
          "San Francisco",{8,9,10},
          "Palo Alto",{11,12,13}
        )
      )
    )
  )
)</f>
        <v>2.4900000000000002</v>
      </c>
      <c r="F4" s="30" cm="1">
        <f t="array" ref="F4">IF(
  A4="",
  0,
  IF(
    A4="COVID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MATCH(A4,'Meds Sheet'!$A$2:$A$16,0),
        _xlfn.SWITCH(
          'Master Data'!$B$19,
          "Los Angeles",{2,3,4},
          "San Diego",{5,6,7},
          "San Francisco",{8,9,10},
          "Palo Alto",{11,12,13}
        )
      )
    )
  )
)</f>
        <v>6.76</v>
      </c>
      <c r="G4" s="31" t="str">
        <f t="shared" si="0"/>
        <v>$2.49
 - 
$6.76</v>
      </c>
      <c r="H4" s="32">
        <v>3650</v>
      </c>
      <c r="I4" s="32">
        <v>7300</v>
      </c>
      <c r="J4" s="32"/>
      <c r="K4" s="32"/>
      <c r="L4" s="51" t="str">
        <f>IF(LEN(K4)=0,IF(LEN(J4)=0,"lifetime",IF(J4=1,"year","years")),"years")</f>
        <v>lifetime</v>
      </c>
      <c r="M4" s="33" t="str">
        <f>IF(L4="lifetime",
    IF(I4&lt;&gt;"", H4 &amp; "-" &amp; I4 &amp; "x/lifetime", H4 &amp; "x/lifetime"),
    IF(D4='Master Data'!$B$8, AD4 &amp; AE4, AD4 &amp; AE4 &amp; AC4))</f>
        <v>3650-7300x/lifetime</v>
      </c>
      <c r="N4" s="30">
        <f t="shared" si="1"/>
        <v>0</v>
      </c>
      <c r="O4" s="30">
        <f t="shared" si="2"/>
        <v>0</v>
      </c>
      <c r="P4" s="30" t="str">
        <f t="shared" si="3"/>
        <v>$0.00</v>
      </c>
      <c r="Q4" s="30">
        <f t="shared" si="4"/>
        <v>9088.5</v>
      </c>
      <c r="R4" s="30">
        <f t="shared" si="5"/>
        <v>49348</v>
      </c>
      <c r="S4" s="53" t="str">
        <f t="shared" si="6"/>
        <v>$9,088.50
 - 
$49,348.00</v>
      </c>
      <c r="AA4" s="166" t="str">
        <f>IF(L4="lifetime", "one-time cost", IF(D4='Master Data'!$B$8, AD4 &amp; AE4, AD4 &amp; AE4 &amp; AC4))</f>
        <v>one-time cost</v>
      </c>
      <c r="AB4" s="208" t="str">
        <f t="shared" ref="AB4:AB11" si="7">IF(L4="lifetime", IF(I4&lt;&gt;"", H4 &amp; "-" &amp; I4 &amp; "x/lifetime", H4 &amp; "x/lifetime"), "ongoing cost")</f>
        <v>3650-7300x/lifetime</v>
      </c>
      <c r="AC4" s="166" t="str">
        <f ca="1">IF(Table1[[#This Row],[Duration (Years):]]&lt;&gt;'Master Data'!$B$8,CONCATENATE(",",CHAR(10),"for ",Table1[[#This Row],[Duration (Years):]]," years"),"lifelong")</f>
        <v>lifelong</v>
      </c>
      <c r="AD4" s="166" t="str">
        <f t="shared" ref="AD4:AD11" si="8">IF(L4="lifetime", "one-time cost", IF(I4&lt;&gt;"", H4 &amp; "-" &amp; I4 &amp; "x/", H4 &amp; "x/"))</f>
        <v>one-time cost</v>
      </c>
      <c r="AE4" s="166" t="str">
        <f t="shared" ref="AE4:AE11" si="9">IF(L4="lifetime", "one-time cost", IF(K4&lt;&gt;"", J4 &amp; "-" &amp; K4 &amp; " " &amp; L4, IF(J4&gt;1, J4 &amp; " " &amp; L4, L4)))</f>
        <v>one-time cost</v>
      </c>
      <c r="AG4" s="326">
        <f>Table1[[#This Row],[Min Cost of Visit:]]*2*365</f>
        <v>1817.7</v>
      </c>
      <c r="AH4" s="326">
        <f>Table1[[#This Row],[Max Cost of Visit:]]*2*365</f>
        <v>4934.8</v>
      </c>
    </row>
    <row r="5" spans="1:34" ht="45" customHeight="1" x14ac:dyDescent="0.2">
      <c r="A5" s="93" t="s">
        <v>223</v>
      </c>
      <c r="B5" s="41">
        <f ca="1">'Master Data'!$B$6</f>
        <v>126.3</v>
      </c>
      <c r="C5" s="41">
        <f ca="1">'Master Data'!$B$7</f>
        <v>136.30000000000001</v>
      </c>
      <c r="D5" s="41">
        <f ca="1">ROUND(C5-B5,1)</f>
        <v>10</v>
      </c>
      <c r="E5" s="42" cm="1">
        <f t="array" ref="E5">IF(
  A5="",
  0,
  IF(
    A5="COVID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MATCH(A5,'Meds Sheet'!$A$2:$A$16,0),
        _xlfn.SWITCH(
          'Master Data'!$B$19,
          "Los Angeles",{2,3,4},
          "San Diego",{5,6,7},
          "San Francisco",{8,9,10},
          "Palo Alto",{11,12,13}
        )
      )
    )
  )
)</f>
        <v>0.67</v>
      </c>
      <c r="F5" s="42" cm="1">
        <f t="array" ref="F5">IF(
  A5="",
  0,
  IF(
    A5="COVID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MATCH(A5,'Meds Sheet'!$A$2:$A$16,0),
        _xlfn.SWITCH(
          'Master Data'!$B$19,
          "Los Angeles",{2,3,4},
          "San Diego",{5,6,7},
          "San Francisco",{8,9,10},
          "Palo Alto",{11,12,13}
        )
      )
    )
  )
)</f>
        <v>0.99</v>
      </c>
      <c r="G5" s="43" t="str">
        <f t="shared" si="0"/>
        <v>$0.67
 - 
$0.99</v>
      </c>
      <c r="H5" s="44">
        <v>1825</v>
      </c>
      <c r="I5" s="44">
        <v>3650</v>
      </c>
      <c r="J5" s="44"/>
      <c r="K5" s="44"/>
      <c r="L5" s="51" t="str">
        <f t="shared" ref="L5:L13" si="10">IF(LEN(K5)=0,IF(LEN(J5)=0,"lifetime",IF(J5=1,"year","years")),"years")</f>
        <v>lifetime</v>
      </c>
      <c r="M5" s="45" t="str">
        <f>IF(L5="lifetime",
    IF(I5&lt;&gt;"", H5 &amp; "-" &amp; I5 &amp; "x/lifetime", H5 &amp; "x/lifetime"),
    IF(D5='Master Data'!$B$8, AD5 &amp; AE5, AD5 &amp; AE5 &amp; AC5))</f>
        <v>1825-3650x/lifetime</v>
      </c>
      <c r="N5" s="42">
        <f t="shared" si="1"/>
        <v>0</v>
      </c>
      <c r="O5" s="42">
        <f t="shared" si="2"/>
        <v>0</v>
      </c>
      <c r="P5" s="42" t="str">
        <f t="shared" si="3"/>
        <v>$0.00</v>
      </c>
      <c r="Q5" s="42">
        <f t="shared" si="4"/>
        <v>1222.75</v>
      </c>
      <c r="R5" s="42">
        <f t="shared" si="5"/>
        <v>3613.5</v>
      </c>
      <c r="S5" s="66" t="str">
        <f t="shared" si="6"/>
        <v>$1,222.75
 - 
$3,613.50</v>
      </c>
      <c r="AA5" s="166" t="str">
        <f>IF(L5="lifetime", "one-time cost", IF(D5='Master Data'!$B$8, AD5 &amp; AE5, AD5 &amp; AE5 &amp; AC5))</f>
        <v>one-time cost</v>
      </c>
      <c r="AB5" s="208" t="str">
        <f t="shared" si="7"/>
        <v>1825-3650x/lifetime</v>
      </c>
      <c r="AC5" s="166" t="str">
        <f ca="1">IF(Table1[[#This Row],[Duration (Years):]]&lt;&gt;'Master Data'!$B$8,CONCATENATE(",",CHAR(10),"for ",Table1[[#This Row],[Duration (Years):]]," years"),"lifelong")</f>
        <v>lifelong</v>
      </c>
      <c r="AD5" s="166" t="str">
        <f t="shared" si="8"/>
        <v>one-time cost</v>
      </c>
      <c r="AE5" s="166" t="str">
        <f t="shared" si="9"/>
        <v>one-time cost</v>
      </c>
      <c r="AG5" s="326">
        <f>Table1[[#This Row],[Min Cost of Visit:]]*365</f>
        <v>244.55</v>
      </c>
      <c r="AH5" s="326">
        <f>Table1[[#This Row],[Max Cost of Visit:]]*365</f>
        <v>361.35</v>
      </c>
    </row>
    <row r="6" spans="1:34" ht="45" customHeight="1" x14ac:dyDescent="0.2">
      <c r="A6" s="93" t="s">
        <v>224</v>
      </c>
      <c r="B6" s="82">
        <f ca="1">'Master Data'!$B$6</f>
        <v>126.3</v>
      </c>
      <c r="C6" s="82">
        <f ca="1">'Master Data'!$B$7</f>
        <v>136.30000000000001</v>
      </c>
      <c r="D6" s="82">
        <f t="shared" ref="D6:D13" ca="1" si="11">ROUND(C6-B6,1)</f>
        <v>10</v>
      </c>
      <c r="E6" s="83" cm="1">
        <f t="array" ref="E6">IF(
  A6="",
  0,
  IF(
    A6="COVID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MATCH(A6,'Meds Sheet'!$A$2:$A$16,0),
        _xlfn.SWITCH(
          'Master Data'!$B$19,
          "Los Angeles",{2,3,4},
          "San Diego",{5,6,7},
          "San Francisco",{8,9,10},
          "Palo Alto",{11,12,13}
        )
      )
    )
  )
)</f>
        <v>8.15</v>
      </c>
      <c r="F6" s="83" cm="1">
        <f t="array" ref="F6">IF(
  A6="",
  0,
  IF(
    A6="COVID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MATCH(A6,'Meds Sheet'!$A$2:$A$16,0),
        _xlfn.SWITCH(
          'Master Data'!$B$19,
          "Los Angeles",{2,3,4},
          "San Diego",{5,6,7},
          "San Francisco",{8,9,10},
          "Palo Alto",{11,12,13}
        )
      )
    )
  )
)</f>
        <v>16.16</v>
      </c>
      <c r="G6" s="84" t="str">
        <f t="shared" si="0"/>
        <v>$8.15
 - 
$16.16</v>
      </c>
      <c r="H6" s="85">
        <v>3650</v>
      </c>
      <c r="I6" s="85">
        <v>7300</v>
      </c>
      <c r="J6" s="85"/>
      <c r="K6" s="85"/>
      <c r="L6" s="51" t="str">
        <f t="shared" si="10"/>
        <v>lifetime</v>
      </c>
      <c r="M6" s="86" t="str">
        <f>IF(L6="lifetime",
    IF(I6&lt;&gt;"", H6 &amp; "-" &amp; I6 &amp; "x/lifetime", H6 &amp; "x/lifetime"),
    IF(D6='Master Data'!$B$8, AD6 &amp; AE6, AD6 &amp; AE6 &amp; AC6))</f>
        <v>3650-7300x/lifetime</v>
      </c>
      <c r="N6" s="83">
        <f t="shared" si="1"/>
        <v>0</v>
      </c>
      <c r="O6" s="83">
        <f t="shared" si="2"/>
        <v>0</v>
      </c>
      <c r="P6" s="83" t="str">
        <f t="shared" si="3"/>
        <v>$0.00</v>
      </c>
      <c r="Q6" s="83">
        <f t="shared" si="4"/>
        <v>29747.5</v>
      </c>
      <c r="R6" s="83">
        <f t="shared" si="5"/>
        <v>117968</v>
      </c>
      <c r="S6" s="88" t="str">
        <f t="shared" si="6"/>
        <v>$29,747.50
 - 
$117,968.00</v>
      </c>
      <c r="AA6" s="166" t="str">
        <f>IF(L6="lifetime", "one-time cost", IF(D6='Master Data'!$B$8, AD6 &amp; AE6, AD6 &amp; AE6 &amp; AC6))</f>
        <v>one-time cost</v>
      </c>
      <c r="AB6" s="208" t="str">
        <f t="shared" si="7"/>
        <v>3650-7300x/lifetime</v>
      </c>
      <c r="AC6" s="166" t="str">
        <f ca="1">IF(Table1[[#This Row],[Duration (Years):]]&lt;&gt;'Master Data'!$B$8,CONCATENATE(",",CHAR(10),"for ",Table1[[#This Row],[Duration (Years):]]," years"),"lifelong")</f>
        <v>lifelong</v>
      </c>
      <c r="AD6" s="166" t="str">
        <f t="shared" si="8"/>
        <v>one-time cost</v>
      </c>
      <c r="AE6" s="166" t="str">
        <f t="shared" si="9"/>
        <v>one-time cost</v>
      </c>
      <c r="AG6" s="326">
        <f>Table1[[#This Row],[Min Cost of Visit:]]*2*365</f>
        <v>5949.5</v>
      </c>
      <c r="AH6" s="326">
        <f>Table1[[#This Row],[Max Cost of Visit:]]*2*365</f>
        <v>11796.8</v>
      </c>
    </row>
    <row r="7" spans="1:34" ht="45" customHeight="1" x14ac:dyDescent="0.2">
      <c r="A7" s="93" t="s">
        <v>225</v>
      </c>
      <c r="B7" s="82">
        <f ca="1">'Master Data'!$B$6</f>
        <v>126.3</v>
      </c>
      <c r="C7" s="82">
        <f ca="1">'Master Data'!$B$7</f>
        <v>136.30000000000001</v>
      </c>
      <c r="D7" s="82">
        <f t="shared" ca="1" si="11"/>
        <v>10</v>
      </c>
      <c r="E7" s="83" cm="1">
        <f t="array" ref="E7">IF(
  A7="",
  0,
  IF(
    A7="COVID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MATCH(A7,'Meds Sheet'!$A$2:$A$16,0),
        _xlfn.SWITCH(
          'Master Data'!$B$19,
          "Los Angeles",{2,3,4},
          "San Diego",{5,6,7},
          "San Francisco",{8,9,10},
          "Palo Alto",{11,12,13}
        )
      )
    )
  )
)</f>
        <v>0.93</v>
      </c>
      <c r="F7" s="83" cm="1">
        <f t="array" ref="F7">IF(
  A7="",
  0,
  IF(
    A7="COVID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MATCH(A7,'Meds Sheet'!$A$2:$A$16,0),
        _xlfn.SWITCH(
          'Master Data'!$B$19,
          "Los Angeles",{2,3,4},
          "San Diego",{5,6,7},
          "San Francisco",{8,9,10},
          "Palo Alto",{11,12,13}
        )
      )
    )
  )
)</f>
        <v>2.44</v>
      </c>
      <c r="G7" s="84" t="str">
        <f t="shared" si="0"/>
        <v>$0.93
 - 
$2.44</v>
      </c>
      <c r="H7" s="85">
        <v>780</v>
      </c>
      <c r="I7" s="85">
        <v>1560</v>
      </c>
      <c r="J7" s="85"/>
      <c r="K7" s="85"/>
      <c r="L7" s="51" t="str">
        <f t="shared" si="10"/>
        <v>lifetime</v>
      </c>
      <c r="M7" s="86" t="str">
        <f>IF(L7="lifetime",
    IF(I7&lt;&gt;"", H7 &amp; "-" &amp; I7 &amp; "x/lifetime", H7 &amp; "x/lifetime"),
    IF(D7='Master Data'!$B$8, AD7 &amp; AE7, AD7 &amp; AE7 &amp; AC7))</f>
        <v>780-1560x/lifetime</v>
      </c>
      <c r="N7" s="83">
        <f t="shared" si="1"/>
        <v>0</v>
      </c>
      <c r="O7" s="83">
        <f t="shared" si="2"/>
        <v>0</v>
      </c>
      <c r="P7" s="83" t="str">
        <f t="shared" si="3"/>
        <v>$0.00</v>
      </c>
      <c r="Q7" s="83">
        <f t="shared" si="4"/>
        <v>725.4</v>
      </c>
      <c r="R7" s="83">
        <f t="shared" si="5"/>
        <v>3806.4</v>
      </c>
      <c r="S7" s="88" t="str">
        <f t="shared" si="6"/>
        <v>$725.40
 - 
$3,806.40</v>
      </c>
      <c r="AA7" s="166" t="str">
        <f>IF(L7="lifetime", "one-time cost", IF(D7='Master Data'!$B$8, AD7 &amp; AE7, AD7 &amp; AE7 &amp; AC7))</f>
        <v>one-time cost</v>
      </c>
      <c r="AB7" s="208" t="str">
        <f t="shared" si="7"/>
        <v>780-1560x/lifetime</v>
      </c>
      <c r="AC7" s="166" t="str">
        <f ca="1">IF(Table1[[#This Row],[Duration (Years):]]&lt;&gt;'Master Data'!$B$8,CONCATENATE(",",CHAR(10),"for ",Table1[[#This Row],[Duration (Years):]]," years"),"lifelong")</f>
        <v>lifelong</v>
      </c>
      <c r="AD7" s="166" t="str">
        <f t="shared" si="8"/>
        <v>one-time cost</v>
      </c>
      <c r="AE7" s="166" t="str">
        <f t="shared" si="9"/>
        <v>one-time cost</v>
      </c>
      <c r="AG7" s="326">
        <f>Table1[[#This Row],[Min Cost of Visit:]]*3*52</f>
        <v>145.08000000000001</v>
      </c>
      <c r="AH7" s="326">
        <f>Table1[[#This Row],[Max Cost of Visit:]]*3*52</f>
        <v>380.64</v>
      </c>
    </row>
    <row r="8" spans="1:34" ht="45" customHeight="1" x14ac:dyDescent="0.2">
      <c r="A8" s="93" t="s">
        <v>226</v>
      </c>
      <c r="B8" s="82">
        <f ca="1">'Master Data'!$B$6</f>
        <v>126.3</v>
      </c>
      <c r="C8" s="82">
        <f ca="1">'Master Data'!$B$7</f>
        <v>136.30000000000001</v>
      </c>
      <c r="D8" s="82">
        <f t="shared" ca="1" si="11"/>
        <v>10</v>
      </c>
      <c r="E8" s="83" cm="1">
        <f t="array" ref="E8">IF(
  A8="",
  0,
  IF(
    A8="COVID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MATCH(A8,'Meds Sheet'!$A$2:$A$16,0),
        _xlfn.SWITCH(
          'Master Data'!$B$19,
          "Los Angeles",{2,3,4},
          "San Diego",{5,6,7},
          "San Francisco",{8,9,10},
          "Palo Alto",{11,12,13}
        )
      )
    )
  )
)</f>
        <v>36.78</v>
      </c>
      <c r="F8" s="83" cm="1">
        <f t="array" ref="F8">IF(
  A8="",
  0,
  IF(
    A8="COVID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MATCH(A8,'Meds Sheet'!$A$2:$A$16,0),
        _xlfn.SWITCH(
          'Master Data'!$B$19,
          "Los Angeles",{2,3,4},
          "San Diego",{5,6,7},
          "San Francisco",{8,9,10},
          "Palo Alto",{11,12,13}
        )
      )
    )
  )
)</f>
        <v>58.55</v>
      </c>
      <c r="G8" s="84" t="str">
        <f t="shared" si="0"/>
        <v>$36.78
 - 
$58.55</v>
      </c>
      <c r="H8" s="85">
        <v>3650</v>
      </c>
      <c r="I8" s="85">
        <v>7300</v>
      </c>
      <c r="J8" s="85"/>
      <c r="K8" s="85"/>
      <c r="L8" s="51" t="str">
        <f t="shared" si="10"/>
        <v>lifetime</v>
      </c>
      <c r="M8" s="86" t="str">
        <f>IF(L8="lifetime",
    IF(I8&lt;&gt;"", H8 &amp; "-" &amp; I8 &amp; "x/lifetime", H8 &amp; "x/lifetime"),
    IF(D8='Master Data'!$B$8, AD8 &amp; AE8, AD8 &amp; AE8 &amp; AC8))</f>
        <v>3650-7300x/lifetime</v>
      </c>
      <c r="N8" s="83">
        <f t="shared" si="1"/>
        <v>0</v>
      </c>
      <c r="O8" s="83">
        <f t="shared" si="2"/>
        <v>0</v>
      </c>
      <c r="P8" s="83" t="str">
        <f t="shared" si="3"/>
        <v>$0.00</v>
      </c>
      <c r="Q8" s="83">
        <f t="shared" si="4"/>
        <v>134247</v>
      </c>
      <c r="R8" s="83">
        <f t="shared" si="5"/>
        <v>427415</v>
      </c>
      <c r="S8" s="88" t="str">
        <f t="shared" si="6"/>
        <v>$134,247.00
 - 
$427,415.00</v>
      </c>
      <c r="AA8" s="166" t="str">
        <f>IF(L8="lifetime", "one-time cost", IF(D8='Master Data'!$B$8, AD8 &amp; AE8, AD8 &amp; AE8 &amp; AC8))</f>
        <v>one-time cost</v>
      </c>
      <c r="AB8" s="208" t="str">
        <f t="shared" si="7"/>
        <v>3650-7300x/lifetime</v>
      </c>
      <c r="AC8" s="166" t="str">
        <f ca="1">IF(Table1[[#This Row],[Duration (Years):]]&lt;&gt;'Master Data'!$B$8,CONCATENATE(",",CHAR(10),"for ",Table1[[#This Row],[Duration (Years):]]," years"),"lifelong")</f>
        <v>lifelong</v>
      </c>
      <c r="AD8" s="166" t="str">
        <f t="shared" si="8"/>
        <v>one-time cost</v>
      </c>
      <c r="AE8" s="166" t="str">
        <f t="shared" si="9"/>
        <v>one-time cost</v>
      </c>
      <c r="AG8" s="326">
        <f>Table1[[#This Row],[Min Cost of Visit:]]*2*365</f>
        <v>26849.4</v>
      </c>
      <c r="AH8" s="326">
        <f>Table1[[#This Row],[Max Cost of Visit:]]*2*365</f>
        <v>42741.5</v>
      </c>
    </row>
    <row r="9" spans="1:34" ht="45" customHeight="1" x14ac:dyDescent="0.2">
      <c r="A9" s="93" t="s">
        <v>227</v>
      </c>
      <c r="B9" s="82">
        <f ca="1">'Master Data'!$B$6</f>
        <v>126.3</v>
      </c>
      <c r="C9" s="82">
        <f ca="1">'Master Data'!$B$7</f>
        <v>136.30000000000001</v>
      </c>
      <c r="D9" s="82">
        <f t="shared" ca="1" si="11"/>
        <v>10</v>
      </c>
      <c r="E9" s="83" cm="1">
        <f t="array" ref="E9">IF(
  A9="",
  0,
  IF(
    A9="COVID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MATCH(A9,'Meds Sheet'!$A$2:$A$16,0),
        _xlfn.SWITCH(
          'Master Data'!$B$19,
          "Los Angeles",{2,3,4},
          "San Diego",{5,6,7},
          "San Francisco",{8,9,10},
          "Palo Alto",{11,12,13}
        )
      )
    )
  )
)</f>
        <v>24.77</v>
      </c>
      <c r="F9" s="83" cm="1">
        <f t="array" ref="F9">IF(
  A9="",
  0,
  IF(
    A9="COVID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MATCH(A9,'Meds Sheet'!$A$2:$A$16,0),
        _xlfn.SWITCH(
          'Master Data'!$B$19,
          "Los Angeles",{2,3,4},
          "San Diego",{5,6,7},
          "San Francisco",{8,9,10},
          "Palo Alto",{11,12,13}
        )
      )
    )
  )
)</f>
        <v>63.02</v>
      </c>
      <c r="G9" s="84" t="str">
        <f t="shared" si="0"/>
        <v>$24.77
 - 
$63.02</v>
      </c>
      <c r="H9" s="85">
        <v>5475</v>
      </c>
      <c r="I9" s="85">
        <v>10950</v>
      </c>
      <c r="J9" s="85"/>
      <c r="K9" s="85"/>
      <c r="L9" s="51" t="str">
        <f t="shared" si="10"/>
        <v>lifetime</v>
      </c>
      <c r="M9" s="86" t="str">
        <f>IF(L9="lifetime",
    IF(I9&lt;&gt;"", H9 &amp; "-" &amp; I9 &amp; "x/lifetime", H9 &amp; "x/lifetime"),
    IF(D9='Master Data'!$B$8, AD9 &amp; AE9, AD9 &amp; AE9 &amp; AC9))</f>
        <v>5475-10950x/lifetime</v>
      </c>
      <c r="N9" s="83">
        <f t="shared" si="1"/>
        <v>0</v>
      </c>
      <c r="O9" s="83">
        <f t="shared" si="2"/>
        <v>0</v>
      </c>
      <c r="P9" s="83" t="str">
        <f t="shared" si="3"/>
        <v>$0.00</v>
      </c>
      <c r="Q9" s="83">
        <f t="shared" si="4"/>
        <v>135615.75</v>
      </c>
      <c r="R9" s="83">
        <f t="shared" si="5"/>
        <v>690069</v>
      </c>
      <c r="S9" s="88" t="str">
        <f t="shared" si="6"/>
        <v>$135,615.75
 - 
$690,069.00</v>
      </c>
      <c r="AA9" s="166" t="str">
        <f>IF(L9="lifetime", "one-time cost", IF(D9='Master Data'!$B$8, AD9 &amp; AE9, AD9 &amp; AE9 &amp; AC9))</f>
        <v>one-time cost</v>
      </c>
      <c r="AB9" s="208" t="str">
        <f t="shared" si="7"/>
        <v>5475-10950x/lifetime</v>
      </c>
      <c r="AC9" s="166" t="str">
        <f ca="1">IF(Table1[[#This Row],[Duration (Years):]]&lt;&gt;'Master Data'!$B$8,CONCATENATE(",",CHAR(10),"for ",Table1[[#This Row],[Duration (Years):]]," years"),"lifelong")</f>
        <v>lifelong</v>
      </c>
      <c r="AD9" s="166" t="str">
        <f t="shared" si="8"/>
        <v>one-time cost</v>
      </c>
      <c r="AE9" s="166" t="str">
        <f t="shared" si="9"/>
        <v>one-time cost</v>
      </c>
      <c r="AG9" s="326">
        <f>Table1[[#This Row],[Min Cost of Visit:]]*3*365</f>
        <v>27123.15</v>
      </c>
      <c r="AH9" s="326">
        <f>Table1[[#This Row],[Max Cost of Visit:]]*3*365</f>
        <v>69006.899999999994</v>
      </c>
    </row>
    <row r="10" spans="1:34" ht="45" customHeight="1" x14ac:dyDescent="0.2">
      <c r="A10" s="93" t="s">
        <v>228</v>
      </c>
      <c r="B10" s="82">
        <f ca="1">'Master Data'!$B$6</f>
        <v>126.3</v>
      </c>
      <c r="C10" s="82">
        <f ca="1">'Master Data'!$B$7</f>
        <v>136.30000000000001</v>
      </c>
      <c r="D10" s="82">
        <f t="shared" ca="1" si="11"/>
        <v>10</v>
      </c>
      <c r="E10" s="83" cm="1">
        <f t="array" ref="E10">IF(
  A10="",
  0,
  IF(
    A10="COVID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MATCH(A10,'Meds Sheet'!$A$2:$A$16,0),
        _xlfn.SWITCH(
          'Master Data'!$B$19,
          "Los Angeles",{2,3,4},
          "San Diego",{5,6,7},
          "San Francisco",{8,9,10},
          "Palo Alto",{11,12,13}
        )
      )
    )
  )
)</f>
        <v>5.96</v>
      </c>
      <c r="F10" s="83" cm="1">
        <f t="array" ref="F10">IF(
  A10="",
  0,
  IF(
    A10="COVID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MATCH(A10,'Meds Sheet'!$A$2:$A$16,0),
        _xlfn.SWITCH(
          'Master Data'!$B$19,
          "Los Angeles",{2,3,4},
          "San Diego",{5,6,7},
          "San Francisco",{8,9,10},
          "Palo Alto",{11,12,13}
        )
      )
    )
  )
)</f>
        <v>6.34</v>
      </c>
      <c r="G10" s="84" t="str">
        <f t="shared" si="0"/>
        <v>$5.96
 - 
$6.34</v>
      </c>
      <c r="H10" s="85">
        <v>1825</v>
      </c>
      <c r="I10" s="85">
        <v>3650</v>
      </c>
      <c r="J10" s="85"/>
      <c r="K10" s="85"/>
      <c r="L10" s="51" t="str">
        <f t="shared" si="10"/>
        <v>lifetime</v>
      </c>
      <c r="M10" s="86" t="str">
        <f>IF(L10="lifetime",
    IF(I10&lt;&gt;"", H10 &amp; "-" &amp; I10 &amp; "x/lifetime", H10 &amp; "x/lifetime"),
    IF(D10='Master Data'!$B$8, AD10 &amp; AE10, AD10 &amp; AE10 &amp; AC10))</f>
        <v>1825-3650x/lifetime</v>
      </c>
      <c r="N10" s="83">
        <f t="shared" si="1"/>
        <v>0</v>
      </c>
      <c r="O10" s="83">
        <f t="shared" si="2"/>
        <v>0</v>
      </c>
      <c r="P10" s="83" t="str">
        <f t="shared" si="3"/>
        <v>$0.00</v>
      </c>
      <c r="Q10" s="83">
        <f t="shared" si="4"/>
        <v>10877</v>
      </c>
      <c r="R10" s="83">
        <f t="shared" si="5"/>
        <v>23141</v>
      </c>
      <c r="S10" s="88" t="str">
        <f t="shared" si="6"/>
        <v>$10,877.00
 - 
$23,141.00</v>
      </c>
      <c r="AA10" s="166" t="str">
        <f>IF(L10="lifetime", "one-time cost", IF(D10='Master Data'!$B$8, AD10 &amp; AE10, AD10 &amp; AE10 &amp; AC10))</f>
        <v>one-time cost</v>
      </c>
      <c r="AB10" s="208" t="str">
        <f t="shared" si="7"/>
        <v>1825-3650x/lifetime</v>
      </c>
      <c r="AC10" s="166" t="str">
        <f ca="1">IF(Table1[[#This Row],[Duration (Years):]]&lt;&gt;'Master Data'!$B$8,CONCATENATE(",",CHAR(10),"for ",Table1[[#This Row],[Duration (Years):]]," years"),"lifelong")</f>
        <v>lifelong</v>
      </c>
      <c r="AD10" s="166" t="str">
        <f t="shared" si="8"/>
        <v>one-time cost</v>
      </c>
      <c r="AE10" s="166" t="str">
        <f t="shared" si="9"/>
        <v>one-time cost</v>
      </c>
      <c r="AG10" s="326">
        <f>Table1[[#This Row],[Min Cost of Visit:]]*365</f>
        <v>2175.4</v>
      </c>
      <c r="AH10" s="326">
        <f>Table1[[#This Row],[Max Cost of Visit:]]*365</f>
        <v>2314.1</v>
      </c>
    </row>
    <row r="11" spans="1:34" ht="45" customHeight="1" x14ac:dyDescent="0.2">
      <c r="A11" s="93" t="s">
        <v>229</v>
      </c>
      <c r="B11" s="82">
        <f ca="1">'Master Data'!$B$6</f>
        <v>126.3</v>
      </c>
      <c r="C11" s="82">
        <f ca="1">'Master Data'!$B$7</f>
        <v>136.30000000000001</v>
      </c>
      <c r="D11" s="82">
        <f t="shared" ca="1" si="11"/>
        <v>10</v>
      </c>
      <c r="E11" s="83" cm="1">
        <f t="array" ref="E11">IF(
  A11="",
  0,
  IF(
    A11="COVID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MATCH(A11,'Meds Sheet'!$A$2:$A$16,0),
        _xlfn.SWITCH(
          'Master Data'!$B$19,
          "Los Angeles",{2,3,4},
          "San Diego",{5,6,7},
          "San Francisco",{8,9,10},
          "Palo Alto",{11,12,13}
        )
      )
    )
  )
)</f>
        <v>2.95</v>
      </c>
      <c r="F11" s="83" cm="1">
        <f t="array" ref="F11">IF(
  A11="",
  0,
  IF(
    A11="COVID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MATCH(A11,'Meds Sheet'!$A$2:$A$16,0),
        _xlfn.SWITCH(
          'Master Data'!$B$19,
          "Los Angeles",{2,3,4},
          "San Diego",{5,6,7},
          "San Francisco",{8,9,10},
          "Palo Alto",{11,12,13}
        )
      )
    )
  )
)</f>
        <v>4.1399999999999997</v>
      </c>
      <c r="G11" s="84" t="str">
        <f t="shared" si="0"/>
        <v>$2.95
 - 
$4.14</v>
      </c>
      <c r="H11" s="85">
        <v>1825</v>
      </c>
      <c r="I11" s="85">
        <v>3650</v>
      </c>
      <c r="J11" s="85"/>
      <c r="K11" s="85"/>
      <c r="L11" s="51" t="str">
        <f t="shared" si="10"/>
        <v>lifetime</v>
      </c>
      <c r="M11" s="86" t="str">
        <f>IF(L11="lifetime",
    IF(I11&lt;&gt;"", H11 &amp; "-" &amp; I11 &amp; "x/lifetime", H11 &amp; "x/lifetime"),
    IF(D11='Master Data'!$B$8, AD11 &amp; AE11, AD11 &amp; AE11 &amp; AC11))</f>
        <v>1825-3650x/lifetime</v>
      </c>
      <c r="N11" s="83">
        <f t="shared" si="1"/>
        <v>0</v>
      </c>
      <c r="O11" s="83">
        <f t="shared" si="2"/>
        <v>0</v>
      </c>
      <c r="P11" s="83" t="str">
        <f t="shared" si="3"/>
        <v>$0.00</v>
      </c>
      <c r="Q11" s="83">
        <f t="shared" si="4"/>
        <v>5383.75</v>
      </c>
      <c r="R11" s="83">
        <f t="shared" si="5"/>
        <v>15111</v>
      </c>
      <c r="S11" s="88" t="str">
        <f t="shared" si="6"/>
        <v>$5,383.75
 - 
$15,111.00</v>
      </c>
      <c r="AA11" s="166" t="str">
        <f>IF(L11="lifetime", "one-time cost", IF(D11='Master Data'!$B$8, AD11 &amp; AE11, AD11 &amp; AE11 &amp; AC11))</f>
        <v>one-time cost</v>
      </c>
      <c r="AB11" s="208" t="str">
        <f t="shared" si="7"/>
        <v>1825-3650x/lifetime</v>
      </c>
      <c r="AC11" s="166" t="str">
        <f ca="1">IF(Table1[[#This Row],[Duration (Years):]]&lt;&gt;'Master Data'!$B$8,CONCATENATE(",",CHAR(10),"for ",Table1[[#This Row],[Duration (Years):]]," years"),"lifelong")</f>
        <v>lifelong</v>
      </c>
      <c r="AD11" s="166" t="str">
        <f t="shared" si="8"/>
        <v>one-time cost</v>
      </c>
      <c r="AE11" s="166" t="str">
        <f t="shared" si="9"/>
        <v>one-time cost</v>
      </c>
      <c r="AG11" s="326">
        <f>Table1[[#This Row],[Min Cost of Visit:]]*365</f>
        <v>1076.75</v>
      </c>
      <c r="AH11" s="326">
        <f>Table1[[#This Row],[Max Cost of Visit:]]*365</f>
        <v>1511.1</v>
      </c>
    </row>
    <row r="12" spans="1:34" ht="45" customHeight="1" x14ac:dyDescent="0.2">
      <c r="A12" s="93" t="s">
        <v>230</v>
      </c>
      <c r="B12" s="82">
        <f ca="1">'Master Data'!$B$6</f>
        <v>126.3</v>
      </c>
      <c r="C12" s="82">
        <f ca="1">'Master Data'!$B$7</f>
        <v>136.30000000000001</v>
      </c>
      <c r="D12" s="82">
        <f t="shared" ca="1" si="11"/>
        <v>10</v>
      </c>
      <c r="E12" s="83" cm="1">
        <f t="array" ref="E12">IF(
  A12="",
  0,
  IF(
    A12="COVID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MATCH(A12,'Meds Sheet'!$A$2:$A$16,0),
        _xlfn.SWITCH(
          'Master Data'!$B$19,
          "Los Angeles",{2,3,4},
          "San Diego",{5,6,7},
          "San Francisco",{8,9,10},
          "Palo Alto",{11,12,13}
        )
      )
    )
  )
)</f>
        <v>0.44916666666666666</v>
      </c>
      <c r="F12" s="83" cm="1">
        <f t="array" ref="F12">IF(
  A12="",
  0,
  IF(
    A12="COVID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MATCH(A12,'Meds Sheet'!$A$2:$A$16,0),
        _xlfn.SWITCH(
          'Master Data'!$B$19,
          "Los Angeles",{2,3,4},
          "San Diego",{5,6,7},
          "San Francisco",{8,9,10},
          "Palo Alto",{11,12,13}
        )
      )
    )
  )
)</f>
        <v>0.72</v>
      </c>
      <c r="G12" s="84" t="str">
        <f t="shared" si="0"/>
        <v>$0.45
 - 
$0.72</v>
      </c>
      <c r="H12" s="85">
        <v>3650</v>
      </c>
      <c r="I12" s="85">
        <v>7300</v>
      </c>
      <c r="J12" s="85"/>
      <c r="K12" s="85"/>
      <c r="L12" s="51" t="str">
        <f t="shared" si="10"/>
        <v>lifetime</v>
      </c>
      <c r="M12" s="86" t="str">
        <f>IF(L12="lifetime",
    IF(I12&lt;&gt;"", H12 &amp; "-" &amp; I12 &amp; "x/lifetime", H12 &amp; "x/lifetime"),
    IF(D12='Master Data'!$B$8, AD12 &amp; AE12, AD12 &amp; AE12 &amp; AC12))</f>
        <v>3650-7300x/lifetime</v>
      </c>
      <c r="N12" s="83">
        <f t="shared" si="1"/>
        <v>0</v>
      </c>
      <c r="O12" s="83">
        <f t="shared" si="2"/>
        <v>0</v>
      </c>
      <c r="P12" s="83" t="str">
        <f t="shared" si="3"/>
        <v>$0.00</v>
      </c>
      <c r="Q12" s="83">
        <f t="shared" si="4"/>
        <v>1639.46</v>
      </c>
      <c r="R12" s="83">
        <f t="shared" si="5"/>
        <v>5256</v>
      </c>
      <c r="S12" s="88" t="str">
        <f t="shared" si="6"/>
        <v>$1,639.46
 - 
$5,256.00</v>
      </c>
      <c r="AA12" s="166" t="str">
        <f>IF(L12="lifetime", "one-time cost", IF(D12='Master Data'!$B$8, AD12 &amp; AE12, AD12 &amp; AE12 &amp; AC12))</f>
        <v>one-time cost</v>
      </c>
      <c r="AB12" s="208" t="str">
        <f>IF(L12="lifetime", IF(I12&lt;&gt;"", H12 &amp; "-" &amp; I12 &amp; "x/lifetime", H12 &amp; "x/lifetime"), "ongoing cost")</f>
        <v>3650-7300x/lifetime</v>
      </c>
      <c r="AC12" s="166" t="str">
        <f ca="1">IF(Table1[[#This Row],[Duration (Years):]]&lt;&gt;'Master Data'!$B$8,CONCATENATE(",",CHAR(10),"for ",Table1[[#This Row],[Duration (Years):]]," years"),"lifelong")</f>
        <v>lifelong</v>
      </c>
      <c r="AD12" s="166" t="str">
        <f>IF(L12="lifetime", "one-time cost", IF(I12&lt;&gt;"", H12 &amp; "-" &amp; I12 &amp; "x/", H12 &amp; "x/"))</f>
        <v>one-time cost</v>
      </c>
      <c r="AE12" s="166" t="str">
        <f>IF(L12="lifetime", "one-time cost", IF(K12&lt;&gt;"", J12 &amp; "-" &amp; K12 &amp; " " &amp; L12, IF(J12&gt;1, J12 &amp; " " &amp; L12, L12)))</f>
        <v>one-time cost</v>
      </c>
      <c r="AG12" s="326">
        <f>Table1[[#This Row],[Min Cost of Visit:]]*2*365</f>
        <v>327.89166666666665</v>
      </c>
      <c r="AH12" s="326">
        <f>Table1[[#This Row],[Max Cost of Visit:]]*2*365</f>
        <v>525.6</v>
      </c>
    </row>
    <row r="13" spans="1:34" ht="45" customHeight="1" x14ac:dyDescent="0.2">
      <c r="A13" s="93" t="s">
        <v>231</v>
      </c>
      <c r="B13" s="82">
        <f ca="1">'Master Data'!$B$6</f>
        <v>126.3</v>
      </c>
      <c r="C13" s="82">
        <f ca="1">'Master Data'!$B$7</f>
        <v>136.30000000000001</v>
      </c>
      <c r="D13" s="82">
        <f t="shared" ca="1" si="11"/>
        <v>10</v>
      </c>
      <c r="E13" s="83" cm="1">
        <f t="array" ref="E13">IF(
  A13="",
  0,
  IF(
    A13="COVID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MATCH(A13,'Meds Sheet'!$A$2:$A$16,0),
        _xlfn.SWITCH(
          'Master Data'!$B$19,
          "Los Angeles",{2,3,4},
          "San Diego",{5,6,7},
          "San Francisco",{8,9,10},
          "Palo Alto",{11,12,13}
        )
      )
    )
  )
)</f>
        <v>0.13</v>
      </c>
      <c r="F13" s="83" cm="1">
        <f t="array" ref="F13">IF(
  A13="",
  0,
  IF(
    A13="COVID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MATCH(A13,'Meds Sheet'!$A$2:$A$16,0),
        _xlfn.SWITCH(
          'Master Data'!$B$19,
          "Los Angeles",{2,3,4},
          "San Diego",{5,6,7},
          "San Francisco",{8,9,10},
          "Palo Alto",{11,12,13}
        )
      )
    )
  )
)</f>
        <v>0.2</v>
      </c>
      <c r="G13" s="84" t="str">
        <f t="shared" si="0"/>
        <v>$0.13
 - 
$0.20</v>
      </c>
      <c r="H13" s="85">
        <v>1825</v>
      </c>
      <c r="I13" s="85">
        <v>3650</v>
      </c>
      <c r="J13" s="85"/>
      <c r="K13" s="85"/>
      <c r="L13" s="51" t="str">
        <f t="shared" si="10"/>
        <v>lifetime</v>
      </c>
      <c r="M13" s="86" t="str">
        <f>IF(L13="lifetime",
    IF(I13&lt;&gt;"", H13 &amp; "-" &amp; I13 &amp; "x/lifetime", H13 &amp; "x/lifetime"),
    IF(D13='Master Data'!$B$8, AD13 &amp; AE13, AD13 &amp; AE13 &amp; AC13))</f>
        <v>1825-3650x/lifetime</v>
      </c>
      <c r="N13" s="83">
        <f t="shared" si="1"/>
        <v>0</v>
      </c>
      <c r="O13" s="83">
        <f t="shared" si="2"/>
        <v>0</v>
      </c>
      <c r="P13" s="83" t="str">
        <f t="shared" si="3"/>
        <v>$0.00</v>
      </c>
      <c r="Q13" s="83">
        <f t="shared" si="4"/>
        <v>237.25</v>
      </c>
      <c r="R13" s="83">
        <f t="shared" si="5"/>
        <v>730</v>
      </c>
      <c r="S13" s="88" t="str">
        <f t="shared" si="6"/>
        <v>$237.25
 - 
$730.00</v>
      </c>
      <c r="AA13" s="166" t="str">
        <f>IF(L13="lifetime", "one-time cost", IF(D13='Master Data'!$B$8, AD13 &amp; AE13, AD13 &amp; AE13 &amp; AC13))</f>
        <v>one-time cost</v>
      </c>
      <c r="AB13" s="208" t="str">
        <f t="shared" ref="AB13:AB39" si="12">IF(L13="lifetime", IF(I13&lt;&gt;"", H13 &amp; "-" &amp; I13 &amp; "x/lifetime", H13 &amp; "x/lifetime"), "ongoing cost")</f>
        <v>1825-3650x/lifetime</v>
      </c>
      <c r="AC13" s="166" t="str">
        <f ca="1">IF(Table1[[#This Row],[Duration (Years):]]&lt;&gt;'Master Data'!$B$8,CONCATENATE(",",CHAR(10),"for ",Table1[[#This Row],[Duration (Years):]]," years"),"lifelong")</f>
        <v>lifelong</v>
      </c>
      <c r="AD13" s="166" t="str">
        <f t="shared" ref="AD13:AD39" si="13">IF(L13="lifetime", "one-time cost", IF(I13&lt;&gt;"", H13 &amp; "-" &amp; I13 &amp; "x/", H13 &amp; "x/"))</f>
        <v>one-time cost</v>
      </c>
      <c r="AE13" s="166" t="str">
        <f t="shared" ref="AE13:AE39" si="14">IF(L13="lifetime", "one-time cost", IF(K13&lt;&gt;"", J13 &amp; "-" &amp; K13 &amp; " " &amp; L13, IF(J13&gt;1, J13 &amp; " " &amp; L13, L13)))</f>
        <v>one-time cost</v>
      </c>
      <c r="AG13" s="326">
        <f>Table1[[#This Row],[Min Cost of Visit:]]*365</f>
        <v>47.45</v>
      </c>
      <c r="AH13" s="326">
        <f>Table1[[#This Row],[Max Cost of Visit:]]*365</f>
        <v>73</v>
      </c>
    </row>
    <row r="14" spans="1:34" ht="45.75" customHeight="1" x14ac:dyDescent="0.2">
      <c r="A14" s="93" t="s">
        <v>178</v>
      </c>
      <c r="B14" s="82">
        <f ca="1">'Master Data'!$B$6</f>
        <v>126.3</v>
      </c>
      <c r="C14" s="82">
        <f ca="1">'Master Data'!$B$7</f>
        <v>136.30000000000001</v>
      </c>
      <c r="D14" s="82">
        <f t="shared" ref="D14:D21" ca="1" si="15">ROUND(C14-B14,1)</f>
        <v>10</v>
      </c>
      <c r="E14" s="83" cm="1">
        <f t="array" ref="E14">IF(
  A14="",
  0,
  IF(
    A14="COVID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MATCH(A14,'Meds Sheet'!$A$2:$A$16,0),
        _xlfn.SWITCH(
          'Master Data'!$B$19,
          "Los Angeles",{2,3,4},
          "San Diego",{5,6,7},
          "San Francisco",{8,9,10},
          "Palo Alto",{11,12,13}
        )
      )
    )
  )
)</f>
        <v>65.28</v>
      </c>
      <c r="F14" s="83" cm="1">
        <f t="array" ref="F14">IF(
  A14="",
  0,
  IF(
    A14="COVID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MATCH(A14,'Meds Sheet'!$A$2:$A$16,0),
        _xlfn.SWITCH(
          'Master Data'!$B$19,
          "Los Angeles",{2,3,4},
          "San Diego",{5,6,7},
          "San Francisco",{8,9,10},
          "Palo Alto",{11,12,13}
        )
      )
    )
  )
)</f>
        <v>65.28</v>
      </c>
      <c r="G14" s="84" t="str">
        <f t="shared" ref="G14:G21" si="16">IF(E14&lt;F14,CONCATENATE(TEXT(E14,"$#,##0.00"),CHAR(10)," - ",CHAR(10),TEXT(F14,"$#,##0.00")),TEXT(E14,"$#,##0.00"))</f>
        <v>$65.28</v>
      </c>
      <c r="H14" s="85">
        <v>5</v>
      </c>
      <c r="I14" s="85">
        <v>10</v>
      </c>
      <c r="J14" s="85"/>
      <c r="K14" s="85"/>
      <c r="L14" s="103" t="str">
        <f t="shared" ref="L14:L21" si="17">IF(LEN(K14)=0,IF(LEN(J14)=0,"lifetime",IF(J14=1,"year","years")),"years")</f>
        <v>lifetime</v>
      </c>
      <c r="M14" s="86" t="str">
        <f>IF(L14="lifetime",
    IF(I14&lt;&gt;"", H14 &amp; "-" &amp; I14 &amp; "x/lifetime", H14 &amp; "x/lifetime"),
    IF(D14='Master Data'!$B$8, AD14 &amp; AE14, AD14 &amp; AE14 &amp; AC14))</f>
        <v>5-10x/lifetime</v>
      </c>
      <c r="N14" s="83">
        <f t="shared" ref="N14:N21" si="18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4" s="83">
        <f t="shared" ref="O14:O21" si="19">IFERROR(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,0)</f>
        <v>0</v>
      </c>
      <c r="P14" s="83" t="str">
        <f t="shared" ref="P14:P21" si="20">IFERROR(IF(N14&lt;O14,CONCATENATE(TEXT(N14,"$#,##0.00"),CHAR(10)," - ",CHAR(10),TEXT(O14,"$#,##0.00")),TEXT(N14,"$0.00")),0)</f>
        <v>$0.00</v>
      </c>
      <c r="Q14" s="83">
        <f t="shared" ref="Q14:Q21" si="21">ROUND(IF(TimeValue="lifetime",MinCost*MinFreq,0),2)</f>
        <v>326.39999999999998</v>
      </c>
      <c r="R14" s="83">
        <f t="shared" ref="R14:R21" si="22">ROUND(IF(AND(TimeValue="lifetime",MaxFreq&lt;1),MinFreq*MaxCost,IF(AND(TimeValue="lifetime",MaxFreq&gt;=1),MaxFreq*MaxCost,0)),2)</f>
        <v>652.79999999999995</v>
      </c>
      <c r="S14" s="88" t="str">
        <f t="shared" ref="S14:S21" si="23">IF(Q14&lt;R14,CONCATENATE(TEXT(Q14,"$#,##0.00"),CHAR(10)," - ",CHAR(10),TEXT(R14,"$#,##0.00")),TEXT(Q14,"$0.00"))</f>
        <v>$326.40
 - 
$652.80</v>
      </c>
      <c r="AA14" s="166" t="str">
        <f>IF(L14="lifetime", "one-time cost", IF(D14='Master Data'!$B$8, AD14 &amp; AE14, AD14 &amp; AE14 &amp; AC14))</f>
        <v>one-time cost</v>
      </c>
      <c r="AB14" s="208" t="str">
        <f t="shared" si="12"/>
        <v>5-10x/lifetime</v>
      </c>
      <c r="AC14" s="166" t="str">
        <f ca="1">IF(Table1[[#This Row],[Duration (Years):]]&lt;&gt;'Master Data'!$B$8,CONCATENATE(",",CHAR(10),"for ",Table1[[#This Row],[Duration (Years):]]," years"),"lifelong")</f>
        <v>lifelong</v>
      </c>
      <c r="AD14" s="166" t="str">
        <f t="shared" si="13"/>
        <v>one-time cost</v>
      </c>
      <c r="AE14" s="166" t="str">
        <f t="shared" si="14"/>
        <v>one-time cost</v>
      </c>
      <c r="AG14" s="326">
        <f>Table1[[#This Row],[Min Cost of Visit:]]</f>
        <v>65.28</v>
      </c>
      <c r="AH14" s="326">
        <f>Table1[[#This Row],[Min Cost of Visit:]]</f>
        <v>65.28</v>
      </c>
    </row>
    <row r="15" spans="1:34" ht="45.75" customHeight="1" x14ac:dyDescent="0.2">
      <c r="A15" s="93" t="s">
        <v>241</v>
      </c>
      <c r="B15" s="82">
        <f ca="1">'Master Data'!$B$6</f>
        <v>126.3</v>
      </c>
      <c r="C15" s="82">
        <f ca="1">'Master Data'!$B$7</f>
        <v>136.30000000000001</v>
      </c>
      <c r="D15" s="82">
        <f t="shared" ca="1" si="15"/>
        <v>10</v>
      </c>
      <c r="E15" s="83" cm="1">
        <f t="array" ref="E15">IF(
  A15="",
  0,
  IF(
    A15="COVID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MATCH(A15,'Meds Sheet'!$A$2:$A$16,0),
        _xlfn.SWITCH(
          'Master Data'!$B$19,
          "Los Angeles",{2,3,4},
          "San Diego",{5,6,7},
          "San Francisco",{8,9,10},
          "Palo Alto",{11,12,13}
        )
      )
    )
  )
)</f>
        <v>235</v>
      </c>
      <c r="F15" s="83" cm="1">
        <f t="array" ref="F15">IF(
  A15="",
  0,
  IF(
    A15="COVID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MATCH(A15,'Meds Sheet'!$A$2:$A$16,0),
        _xlfn.SWITCH(
          'Master Data'!$B$19,
          "Los Angeles",{2,3,4},
          "San Diego",{5,6,7},
          "San Francisco",{8,9,10},
          "Palo Alto",{11,12,13}
        )
      )
    )
  )
)</f>
        <v>235</v>
      </c>
      <c r="G15" s="84" t="str">
        <f t="shared" si="16"/>
        <v>$235.00</v>
      </c>
      <c r="H15" s="85">
        <v>5</v>
      </c>
      <c r="I15" s="85">
        <v>10</v>
      </c>
      <c r="J15" s="85"/>
      <c r="K15" s="85"/>
      <c r="L15" s="103" t="str">
        <f t="shared" si="17"/>
        <v>lifetime</v>
      </c>
      <c r="M15" s="86" t="str">
        <f>IF(L15="lifetime",
    IF(I15&lt;&gt;"", H15 &amp; "-" &amp; I15 &amp; "x/lifetime", H15 &amp; "x/lifetime"),
    IF(D15='Master Data'!$B$8, AD15 &amp; AE15, AD15 &amp; AE15 &amp; AC15))</f>
        <v>5-10x/lifetime</v>
      </c>
      <c r="N15" s="83">
        <f t="shared" si="18"/>
        <v>0</v>
      </c>
      <c r="O15" s="83">
        <f t="shared" si="19"/>
        <v>0</v>
      </c>
      <c r="P15" s="83" t="str">
        <f t="shared" si="20"/>
        <v>$0.00</v>
      </c>
      <c r="Q15" s="83">
        <f t="shared" si="21"/>
        <v>1175</v>
      </c>
      <c r="R15" s="83">
        <f t="shared" si="22"/>
        <v>2350</v>
      </c>
      <c r="S15" s="88" t="str">
        <f t="shared" si="23"/>
        <v>$1,175.00
 - 
$2,350.00</v>
      </c>
      <c r="AA15" s="166" t="str">
        <f>IF(L15="lifetime", "one-time cost", IF(D15='Master Data'!$B$8, AD15 &amp; AE15, AD15 &amp; AE15 &amp; AC15))</f>
        <v>one-time cost</v>
      </c>
      <c r="AB15" s="208" t="str">
        <f t="shared" si="12"/>
        <v>5-10x/lifetime</v>
      </c>
      <c r="AC15" s="166" t="str">
        <f ca="1">IF(Table1[[#This Row],[Duration (Years):]]&lt;&gt;'Master Data'!$B$8,CONCATENATE(",",CHAR(10),"for ",Table1[[#This Row],[Duration (Years):]]," years"),"lifelong")</f>
        <v>lifelong</v>
      </c>
      <c r="AD15" s="166" t="str">
        <f t="shared" si="13"/>
        <v>one-time cost</v>
      </c>
      <c r="AE15" s="166" t="str">
        <f t="shared" si="14"/>
        <v>one-time cost</v>
      </c>
      <c r="AG15" s="326">
        <f>Table1[[#This Row],[Min Cost of Visit:]]</f>
        <v>235</v>
      </c>
      <c r="AH15" s="326">
        <f>Table1[[#This Row],[Min Cost of Visit:]]</f>
        <v>235</v>
      </c>
    </row>
    <row r="16" spans="1:34" ht="45.75" customHeight="1" x14ac:dyDescent="0.2">
      <c r="A16" s="93" t="s">
        <v>232</v>
      </c>
      <c r="B16" s="299">
        <f ca="1">'Master Data'!$B$6</f>
        <v>126.3</v>
      </c>
      <c r="C16" s="299">
        <f ca="1">'Master Data'!$B$7</f>
        <v>136.30000000000001</v>
      </c>
      <c r="D16" s="299">
        <f t="shared" ca="1" si="15"/>
        <v>10</v>
      </c>
      <c r="E16" s="300" cm="1">
        <f t="array" ref="E16">IF(
  A16="",
  0,
  IF(
    A16="COVID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MATCH(A16,'Meds Sheet'!$A$2:$A$16,0),
        _xlfn.SWITCH(
          'Master Data'!$B$19,
          "Los Angeles",{2,3,4},
          "San Diego",{5,6,7},
          "San Francisco",{8,9,10},
          "Palo Alto",{11,12,13}
        )
      )
    )
  )
)</f>
        <v>0.23</v>
      </c>
      <c r="F16" s="300" cm="1">
        <f t="array" ref="F16">IF(
  A16="",
  0,
  IF(
    A16="COVID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MATCH(A16,'Meds Sheet'!$A$2:$A$16,0),
        _xlfn.SWITCH(
          'Master Data'!$B$19,
          "Los Angeles",{2,3,4},
          "San Diego",{5,6,7},
          "San Francisco",{8,9,10},
          "Palo Alto",{11,12,13}
        )
      )
    )
  )
)</f>
        <v>0.33</v>
      </c>
      <c r="G16" s="301" t="str">
        <f t="shared" si="16"/>
        <v>$0.23
 - 
$0.33</v>
      </c>
      <c r="H16" s="302">
        <v>1825</v>
      </c>
      <c r="I16" s="302">
        <v>3650</v>
      </c>
      <c r="J16" s="302"/>
      <c r="K16" s="302"/>
      <c r="L16" s="303" t="str">
        <f t="shared" si="17"/>
        <v>lifetime</v>
      </c>
      <c r="M16" s="304" t="str">
        <f>IF(L16="lifetime",
    IF(I16&lt;&gt;"", H16 &amp; "-" &amp; I16 &amp; "x/lifetime", H16 &amp; "x/lifetime"),
    IF(D16='Master Data'!$B$8, AD16 &amp; AE16, AD16 &amp; AE16 &amp; AC16))</f>
        <v>1825-3650x/lifetime</v>
      </c>
      <c r="N16" s="300">
        <f t="shared" si="18"/>
        <v>0</v>
      </c>
      <c r="O16" s="300">
        <f t="shared" si="19"/>
        <v>0</v>
      </c>
      <c r="P16" s="300" t="str">
        <f t="shared" si="20"/>
        <v>$0.00</v>
      </c>
      <c r="Q16" s="300">
        <f t="shared" si="21"/>
        <v>419.75</v>
      </c>
      <c r="R16" s="300">
        <f t="shared" si="22"/>
        <v>1204.5</v>
      </c>
      <c r="S16" s="305" t="str">
        <f t="shared" si="23"/>
        <v>$419.75
 - 
$1,204.50</v>
      </c>
      <c r="T16" s="94"/>
      <c r="U16" s="94"/>
      <c r="V16" s="94"/>
      <c r="AA16" s="166" t="str">
        <f>IF(L16="lifetime", "one-time cost", IF(D16='Master Data'!$B$8, AD16 &amp; AE16, AD16 &amp; AE16 &amp; AC16))</f>
        <v>one-time cost</v>
      </c>
      <c r="AB16" s="208" t="str">
        <f t="shared" si="12"/>
        <v>1825-3650x/lifetime</v>
      </c>
      <c r="AC16" s="166" t="str">
        <f ca="1">IF(Table1[[#This Row],[Duration (Years):]]&lt;&gt;'Master Data'!$B$8,CONCATENATE(",",CHAR(10),"for ",Table1[[#This Row],[Duration (Years):]]," years"),"lifelong")</f>
        <v>lifelong</v>
      </c>
      <c r="AD16" s="166" t="str">
        <f t="shared" si="13"/>
        <v>one-time cost</v>
      </c>
      <c r="AE16" s="166" t="str">
        <f t="shared" si="14"/>
        <v>one-time cost</v>
      </c>
      <c r="AG16" s="326">
        <f>Table1[[#This Row],[Min Cost of Visit:]]*365</f>
        <v>83.95</v>
      </c>
      <c r="AH16" s="326">
        <f>Table1[[#This Row],[Max Cost of Visit:]]*365</f>
        <v>120.45</v>
      </c>
    </row>
    <row r="17" spans="1:34" ht="45.75" customHeight="1" x14ac:dyDescent="0.2">
      <c r="A17" s="298" t="s">
        <v>233</v>
      </c>
      <c r="B17" s="299">
        <f ca="1">'Master Data'!$B$6</f>
        <v>126.3</v>
      </c>
      <c r="C17" s="299">
        <f ca="1">'Master Data'!$B$7</f>
        <v>136.30000000000001</v>
      </c>
      <c r="D17" s="299">
        <f t="shared" ca="1" si="15"/>
        <v>10</v>
      </c>
      <c r="E17" s="300" cm="1">
        <f t="array" ref="E17">IF(
  A17="",
  0,
  IF(
    A17="COVID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MATCH(A17,'Meds Sheet'!$A$2:$A$16,0),
        _xlfn.SWITCH(
          'Master Data'!$B$19,
          "Los Angeles",{2,3,4},
          "San Diego",{5,6,7},
          "San Francisco",{8,9,10},
          "Palo Alto",{11,12,13}
        )
      )
    )
  )
)</f>
        <v>0.2</v>
      </c>
      <c r="F17" s="300" cm="1">
        <f t="array" ref="F17">IF(
  A17="",
  0,
  IF(
    A17="COVID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MATCH(A17,'Meds Sheet'!$A$2:$A$16,0),
        _xlfn.SWITCH(
          'Master Data'!$B$19,
          "Los Angeles",{2,3,4},
          "San Diego",{5,6,7},
          "San Francisco",{8,9,10},
          "Palo Alto",{11,12,13}
        )
      )
    )
  )
)</f>
        <v>0.31</v>
      </c>
      <c r="G17" s="301" t="str">
        <f t="shared" si="16"/>
        <v>$0.20
 - 
$0.31</v>
      </c>
      <c r="H17" s="302">
        <v>1825</v>
      </c>
      <c r="I17" s="302">
        <v>3650</v>
      </c>
      <c r="J17" s="302"/>
      <c r="K17" s="302"/>
      <c r="L17" s="303" t="str">
        <f t="shared" si="17"/>
        <v>lifetime</v>
      </c>
      <c r="M17" s="304" t="str">
        <f>IF(L17="lifetime",
    IF(I17&lt;&gt;"", H17 &amp; "-" &amp; I17 &amp; "x/lifetime", H17 &amp; "x/lifetime"),
    IF(D17='Master Data'!$B$8, AD17 &amp; AE17, AD17 &amp; AE17 &amp; AC17))</f>
        <v>1825-3650x/lifetime</v>
      </c>
      <c r="N17" s="300">
        <f t="shared" si="18"/>
        <v>0</v>
      </c>
      <c r="O17" s="300">
        <f t="shared" si="19"/>
        <v>0</v>
      </c>
      <c r="P17" s="300" t="str">
        <f t="shared" si="20"/>
        <v>$0.00</v>
      </c>
      <c r="Q17" s="300">
        <f t="shared" si="21"/>
        <v>365</v>
      </c>
      <c r="R17" s="300">
        <f t="shared" si="22"/>
        <v>1131.5</v>
      </c>
      <c r="S17" s="305" t="str">
        <f t="shared" si="23"/>
        <v>$365.00
 - 
$1,131.50</v>
      </c>
      <c r="AA17" s="166" t="str">
        <f>IF(L17="lifetime", "one-time cost", IF(D17='Master Data'!$B$8, AD17 &amp; AE17, AD17 &amp; AE17 &amp; AC17))</f>
        <v>one-time cost</v>
      </c>
      <c r="AB17" s="208" t="str">
        <f t="shared" si="12"/>
        <v>1825-3650x/lifetime</v>
      </c>
      <c r="AC17" s="166" t="str">
        <f ca="1">IF(Table1[[#This Row],[Duration (Years):]]&lt;&gt;'Master Data'!$B$8,CONCATENATE(",",CHAR(10),"for ",Table1[[#This Row],[Duration (Years):]]," years"),"lifelong")</f>
        <v>lifelong</v>
      </c>
      <c r="AD17" s="166" t="str">
        <f t="shared" si="13"/>
        <v>one-time cost</v>
      </c>
      <c r="AE17" s="166" t="str">
        <f t="shared" si="14"/>
        <v>one-time cost</v>
      </c>
      <c r="AG17" s="326">
        <f>Table1[[#This Row],[Min Cost of Visit:]]*365</f>
        <v>73</v>
      </c>
      <c r="AH17" s="326">
        <f>Table1[[#This Row],[Max Cost of Visit:]]*365</f>
        <v>113.15</v>
      </c>
    </row>
    <row r="18" spans="1:34" ht="45.75" customHeight="1" x14ac:dyDescent="0.2">
      <c r="A18" s="298" t="s">
        <v>234</v>
      </c>
      <c r="B18" s="299">
        <f ca="1">'Master Data'!$B$6</f>
        <v>126.3</v>
      </c>
      <c r="C18" s="299">
        <f ca="1">'Master Data'!$B$7</f>
        <v>136.30000000000001</v>
      </c>
      <c r="D18" s="299">
        <f t="shared" ca="1" si="15"/>
        <v>10</v>
      </c>
      <c r="E18" s="300" cm="1">
        <f t="array" ref="E18">IF(
  A18="",
  0,
  IF(
    A18="COVID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MATCH(A18,'Meds Sheet'!$A$2:$A$16,0),
        _xlfn.SWITCH(
          'Master Data'!$B$19,
          "Los Angeles",{2,3,4},
          "San Diego",{5,6,7},
          "San Francisco",{8,9,10},
          "Palo Alto",{11,12,13}
        )
      )
    )
  )
)</f>
        <v>0.11</v>
      </c>
      <c r="F18" s="300" cm="1">
        <f t="array" ref="F18">IF(
  A18="",
  0,
  IF(
    A18="COVID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MATCH(A18,'Meds Sheet'!$A$2:$A$16,0),
        _xlfn.SWITCH(
          'Master Data'!$B$19,
          "Los Angeles",{2,3,4},
          "San Diego",{5,6,7},
          "San Francisco",{8,9,10},
          "Palo Alto",{11,12,13}
        )
      )
    )
  )
)</f>
        <v>0.31</v>
      </c>
      <c r="G18" s="301" t="str">
        <f t="shared" si="16"/>
        <v>$0.11
 - 
$0.31</v>
      </c>
      <c r="H18" s="302">
        <v>1825</v>
      </c>
      <c r="I18" s="302">
        <v>3650</v>
      </c>
      <c r="J18" s="302"/>
      <c r="K18" s="302"/>
      <c r="L18" s="303" t="str">
        <f t="shared" si="17"/>
        <v>lifetime</v>
      </c>
      <c r="M18" s="304" t="str">
        <f>IF(L18="lifetime",
    IF(I18&lt;&gt;"", H18 &amp; "-" &amp; I18 &amp; "x/lifetime", H18 &amp; "x/lifetime"),
    IF(D18='Master Data'!$B$8, AD18 &amp; AE18, AD18 &amp; AE18 &amp; AC18))</f>
        <v>1825-3650x/lifetime</v>
      </c>
      <c r="N18" s="300">
        <f t="shared" si="18"/>
        <v>0</v>
      </c>
      <c r="O18" s="300">
        <f t="shared" si="19"/>
        <v>0</v>
      </c>
      <c r="P18" s="300" t="str">
        <f t="shared" si="20"/>
        <v>$0.00</v>
      </c>
      <c r="Q18" s="300">
        <f t="shared" si="21"/>
        <v>200.75</v>
      </c>
      <c r="R18" s="300">
        <f t="shared" si="22"/>
        <v>1131.5</v>
      </c>
      <c r="S18" s="305" t="str">
        <f t="shared" si="23"/>
        <v>$200.75
 - 
$1,131.50</v>
      </c>
      <c r="AA18" s="166" t="str">
        <f>IF(L18="lifetime", "one-time cost", IF(D18='Master Data'!$B$8, AD18 &amp; AE18, AD18 &amp; AE18 &amp; AC18))</f>
        <v>one-time cost</v>
      </c>
      <c r="AB18" s="208" t="str">
        <f t="shared" si="12"/>
        <v>1825-3650x/lifetime</v>
      </c>
      <c r="AC18" s="166" t="str">
        <f ca="1">IF(Table1[[#This Row],[Duration (Years):]]&lt;&gt;'Master Data'!$B$8,CONCATENATE(",",CHAR(10),"for ",Table1[[#This Row],[Duration (Years):]]," years"),"lifelong")</f>
        <v>lifelong</v>
      </c>
      <c r="AD18" s="166" t="str">
        <f t="shared" si="13"/>
        <v>one-time cost</v>
      </c>
      <c r="AE18" s="166" t="str">
        <f t="shared" si="14"/>
        <v>one-time cost</v>
      </c>
      <c r="AG18" s="326">
        <f>Table1[[#This Row],[Min Cost of Visit:]]*365</f>
        <v>40.15</v>
      </c>
      <c r="AH18" s="326">
        <f>Table1[[#This Row],[Max Cost of Visit:]]*365</f>
        <v>113.15</v>
      </c>
    </row>
    <row r="19" spans="1:34" ht="45.75" customHeight="1" x14ac:dyDescent="0.2">
      <c r="A19" s="298"/>
      <c r="B19" s="299">
        <f ca="1">'Master Data'!$B$6</f>
        <v>126.3</v>
      </c>
      <c r="C19" s="299">
        <f ca="1">'Master Data'!$B$7</f>
        <v>136.30000000000001</v>
      </c>
      <c r="D19" s="299">
        <f t="shared" ca="1" si="15"/>
        <v>10</v>
      </c>
      <c r="E19" s="300" cm="1">
        <f t="array" ref="E19">IF(
  A19="",
  0,
  IF(
    A19="COVID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MATCH(A19,'Meds Sheet'!$A$2:$A$16,0),
        _xlfn.SWITCH(
          'Master Data'!$B$19,
          "Los Angeles",{2,3,4},
          "San Diego",{5,6,7},
          "San Francisco",{8,9,10},
          "Palo Alto",{11,12,13}
        )
      )
    )
  )
)</f>
        <v>0</v>
      </c>
      <c r="F19" s="300" cm="1">
        <f t="array" ref="F19">IF(
  A19="",
  0,
  IF(
    A19="COVID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MATCH(A19,'Meds Sheet'!$A$2:$A$16,0),
        _xlfn.SWITCH(
          'Master Data'!$B$19,
          "Los Angeles",{2,3,4},
          "San Diego",{5,6,7},
          "San Francisco",{8,9,10},
          "Palo Alto",{11,12,13}
        )
      )
    )
  )
)</f>
        <v>0</v>
      </c>
      <c r="G19" s="301" t="str">
        <f t="shared" si="16"/>
        <v>$0.00</v>
      </c>
      <c r="H19" s="302"/>
      <c r="I19" s="302"/>
      <c r="J19" s="302"/>
      <c r="K19" s="302"/>
      <c r="L19" s="303" t="str">
        <f t="shared" si="17"/>
        <v>lifetime</v>
      </c>
      <c r="M19" s="304" t="str">
        <f>IF(L19="lifetime",
    IF(I19&lt;&gt;"", H19 &amp; "-" &amp; I19 &amp; "x/lifetime", H19 &amp; "x/lifetime"),
    IF(D19='Master Data'!$B$8, AD19 &amp; AE19, AD19 &amp; AE19 &amp; AC19))</f>
        <v>x/lifetime</v>
      </c>
      <c r="N19" s="300">
        <f t="shared" si="18"/>
        <v>0</v>
      </c>
      <c r="O19" s="300">
        <f t="shared" si="19"/>
        <v>0</v>
      </c>
      <c r="P19" s="300" t="str">
        <f t="shared" si="20"/>
        <v>$0.00</v>
      </c>
      <c r="Q19" s="300">
        <f t="shared" si="21"/>
        <v>0</v>
      </c>
      <c r="R19" s="300">
        <f t="shared" si="22"/>
        <v>0</v>
      </c>
      <c r="S19" s="305" t="str">
        <f t="shared" si="23"/>
        <v>$0.00</v>
      </c>
      <c r="AA19" s="166" t="str">
        <f>IF(L19="lifetime", "one-time cost", IF(D19='Master Data'!$B$8, AD19 &amp; AE19, AD19 &amp; AE19 &amp; AC19))</f>
        <v>one-time cost</v>
      </c>
      <c r="AB19" s="208" t="str">
        <f t="shared" si="12"/>
        <v>x/lifetime</v>
      </c>
      <c r="AC19" s="166" t="str">
        <f ca="1">IF(Table1[[#This Row],[Duration (Years):]]&lt;&gt;'Master Data'!$B$8,CONCATENATE(",",CHAR(10),"for ",Table1[[#This Row],[Duration (Years):]]," years"),"lifelong")</f>
        <v>lifelong</v>
      </c>
      <c r="AD19" s="166" t="str">
        <f t="shared" si="13"/>
        <v>one-time cost</v>
      </c>
      <c r="AE19" s="166" t="str">
        <f t="shared" si="14"/>
        <v>one-time cost</v>
      </c>
    </row>
    <row r="20" spans="1:34" ht="28.5" x14ac:dyDescent="0.2">
      <c r="A20" s="298"/>
      <c r="B20" s="299">
        <f ca="1">'Master Data'!$B$6</f>
        <v>126.3</v>
      </c>
      <c r="C20" s="299">
        <f ca="1">'Master Data'!$B$7</f>
        <v>136.30000000000001</v>
      </c>
      <c r="D20" s="299">
        <f t="shared" ca="1" si="15"/>
        <v>10</v>
      </c>
      <c r="E20" s="300" cm="1">
        <f t="array" ref="E20">IF(
  A20="",
  0,
  IF(
    A20="COVID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MATCH(A20,'Meds Sheet'!$A$2:$A$16,0),
        _xlfn.SWITCH(
          'Master Data'!$B$19,
          "Los Angeles",{2,3,4},
          "San Diego",{5,6,7},
          "San Francisco",{8,9,10},
          "Palo Alto",{11,12,13}
        )
      )
    )
  )
)</f>
        <v>0</v>
      </c>
      <c r="F20" s="300" cm="1">
        <f t="array" ref="F20">IF(
  A20="",
  0,
  IF(
    A20="COVID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MATCH(A20,'Meds Sheet'!$A$2:$A$16,0),
        _xlfn.SWITCH(
          'Master Data'!$B$19,
          "Los Angeles",{2,3,4},
          "San Diego",{5,6,7},
          "San Francisco",{8,9,10},
          "Palo Alto",{11,12,13}
        )
      )
    )
  )
)</f>
        <v>0</v>
      </c>
      <c r="G20" s="301" t="str">
        <f t="shared" si="16"/>
        <v>$0.00</v>
      </c>
      <c r="H20" s="302"/>
      <c r="I20" s="302"/>
      <c r="J20" s="302"/>
      <c r="K20" s="302"/>
      <c r="L20" s="303" t="str">
        <f t="shared" si="17"/>
        <v>lifetime</v>
      </c>
      <c r="M20" s="304" t="str">
        <f>IF(L20="lifetime",
    IF(I20&lt;&gt;"", H20 &amp; "-" &amp; I20 &amp; "x/lifetime", H20 &amp; "x/lifetime"),
    IF(D20='Master Data'!$B$8, AD20 &amp; AE20, AD20 &amp; AE20 &amp; AC20))</f>
        <v>x/lifetime</v>
      </c>
      <c r="N20" s="300">
        <f t="shared" si="18"/>
        <v>0</v>
      </c>
      <c r="O20" s="300">
        <f t="shared" si="19"/>
        <v>0</v>
      </c>
      <c r="P20" s="300" t="str">
        <f t="shared" si="20"/>
        <v>$0.00</v>
      </c>
      <c r="Q20" s="300">
        <f t="shared" si="21"/>
        <v>0</v>
      </c>
      <c r="R20" s="300">
        <f t="shared" si="22"/>
        <v>0</v>
      </c>
      <c r="S20" s="305" t="str">
        <f t="shared" si="23"/>
        <v>$0.00</v>
      </c>
      <c r="AA20" s="166" t="str">
        <f>IF(L20="lifetime", "one-time cost", IF(D20='Master Data'!$B$8, AD20 &amp; AE20, AD20 &amp; AE20 &amp; AC20))</f>
        <v>one-time cost</v>
      </c>
      <c r="AB20" s="208" t="str">
        <f t="shared" si="12"/>
        <v>x/lifetime</v>
      </c>
      <c r="AC20" s="166" t="str">
        <f ca="1">IF(Table1[[#This Row],[Duration (Years):]]&lt;&gt;'Master Data'!$B$8,CONCATENATE(",",CHAR(10),"for ",Table1[[#This Row],[Duration (Years):]]," years"),"lifelong")</f>
        <v>lifelong</v>
      </c>
      <c r="AD20" s="166" t="str">
        <f t="shared" si="13"/>
        <v>one-time cost</v>
      </c>
      <c r="AE20" s="166" t="str">
        <f t="shared" si="14"/>
        <v>one-time cost</v>
      </c>
      <c r="AG20" s="327" cm="1">
        <f t="array" ref="AG20">SUM(AG3:AG18*5)</f>
        <v>336125.75833333336</v>
      </c>
      <c r="AH20" s="327" cm="1">
        <f t="array" ref="AH20">SUM(AH3:AH18*10)</f>
        <v>1496082.2</v>
      </c>
    </row>
    <row r="21" spans="1:34" ht="28.5" x14ac:dyDescent="0.2">
      <c r="A21" s="298"/>
      <c r="B21" s="299">
        <f ca="1">'Master Data'!$B$6</f>
        <v>126.3</v>
      </c>
      <c r="C21" s="299">
        <f ca="1">'Master Data'!$B$7</f>
        <v>136.30000000000001</v>
      </c>
      <c r="D21" s="299">
        <f t="shared" ca="1" si="15"/>
        <v>10</v>
      </c>
      <c r="E21" s="300" cm="1">
        <f t="array" ref="E21">IF(
  A21="",
  0,
  IF(
    A21="COVID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MATCH(A21,'Meds Sheet'!$A$2:$A$16,0),
        _xlfn.SWITCH(
          'Master Data'!$B$19,
          "Los Angeles",{2,3,4},
          "San Diego",{5,6,7},
          "San Francisco",{8,9,10},
          "Palo Alto",{11,12,13}
        )
      )
    )
  )
)</f>
        <v>0</v>
      </c>
      <c r="F21" s="300" cm="1">
        <f t="array" ref="F21">IF(
  A21="",
  0,
  IF(
    A21="COVID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MATCH(A21,'Meds Sheet'!$A$2:$A$16,0),
        _xlfn.SWITCH(
          'Master Data'!$B$19,
          "Los Angeles",{2,3,4},
          "San Diego",{5,6,7},
          "San Francisco",{8,9,10},
          "Palo Alto",{11,12,13}
        )
      )
    )
  )
)</f>
        <v>0</v>
      </c>
      <c r="G21" s="301" t="str">
        <f t="shared" si="16"/>
        <v>$0.00</v>
      </c>
      <c r="H21" s="302"/>
      <c r="I21" s="302"/>
      <c r="J21" s="302"/>
      <c r="K21" s="302"/>
      <c r="L21" s="303" t="str">
        <f t="shared" si="17"/>
        <v>lifetime</v>
      </c>
      <c r="M21" s="304" t="str">
        <f>IF(L21="lifetime",
    IF(I21&lt;&gt;"", H21 &amp; "-" &amp; I21 &amp; "x/lifetime", H21 &amp; "x/lifetime"),
    IF(D21='Master Data'!$B$8, AD21 &amp; AE21, AD21 &amp; AE21 &amp; AC21))</f>
        <v>x/lifetime</v>
      </c>
      <c r="N21" s="300">
        <f t="shared" si="18"/>
        <v>0</v>
      </c>
      <c r="O21" s="300">
        <f t="shared" si="19"/>
        <v>0</v>
      </c>
      <c r="P21" s="300" t="str">
        <f t="shared" si="20"/>
        <v>$0.00</v>
      </c>
      <c r="Q21" s="300">
        <f t="shared" si="21"/>
        <v>0</v>
      </c>
      <c r="R21" s="300">
        <f t="shared" si="22"/>
        <v>0</v>
      </c>
      <c r="S21" s="305" t="str">
        <f t="shared" si="23"/>
        <v>$0.00</v>
      </c>
      <c r="AA21" s="166" t="str">
        <f>IF(L21="lifetime", "one-time cost", IF(D21='Master Data'!$B$8, AD21 &amp; AE21, AD21 &amp; AE21 &amp; AC21))</f>
        <v>one-time cost</v>
      </c>
      <c r="AB21" s="208" t="str">
        <f t="shared" si="12"/>
        <v>x/lifetime</v>
      </c>
      <c r="AC21" s="166" t="str">
        <f ca="1">IF(Table1[[#This Row],[Duration (Years):]]&lt;&gt;'Master Data'!$B$8,CONCATENATE(",",CHAR(10),"for ",Table1[[#This Row],[Duration (Years):]]," years"),"lifelong")</f>
        <v>lifelong</v>
      </c>
      <c r="AD21" s="166" t="str">
        <f t="shared" si="13"/>
        <v>one-time cost</v>
      </c>
      <c r="AE21" s="166" t="str">
        <f t="shared" si="14"/>
        <v>one-time cost</v>
      </c>
    </row>
    <row r="22" spans="1:34" ht="28.5" x14ac:dyDescent="0.2">
      <c r="A22" s="93"/>
      <c r="B22" s="82">
        <f ca="1">'Master Data'!$B$6</f>
        <v>126.3</v>
      </c>
      <c r="C22" s="82">
        <f ca="1">'Master Data'!$B$7</f>
        <v>136.30000000000001</v>
      </c>
      <c r="D22" s="82">
        <f ca="1">ROUND(C22-B22,1)</f>
        <v>10</v>
      </c>
      <c r="E22" s="83" cm="1">
        <f t="array" ref="E22">IF(
  A22="",
  0,
  IF(
    A22="COVID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MATCH(A22,'Meds Sheet'!$A$2:$A$16,0),
        _xlfn.SWITCH(
          'Master Data'!$B$19,
          "Los Angeles",{2,3,4},
          "San Diego",{5,6,7},
          "San Francisco",{8,9,10},
          "Palo Alto",{11,12,13}
        )
      )
    )
  )
)</f>
        <v>0</v>
      </c>
      <c r="F22" s="83" cm="1">
        <f t="array" ref="F22">IF(
  A22="",
  0,
  IF(
    A22="COVID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MATCH(A22,'Meds Sheet'!$A$2:$A$16,0),
        _xlfn.SWITCH(
          'Master Data'!$B$19,
          "Los Angeles",{2,3,4},
          "San Diego",{5,6,7},
          "San Francisco",{8,9,10},
          "Palo Alto",{11,12,13}
        )
      )
    )
  )
)</f>
        <v>0</v>
      </c>
      <c r="G22" s="84" t="str">
        <f>IF(E22&lt;F22,CONCATENATE(TEXT(E22,"$#,##0.00"),CHAR(10)," - ",CHAR(10),TEXT(F22,"$#,##0.00")),TEXT(E22,"$#,##0.00"))</f>
        <v>$0.00</v>
      </c>
      <c r="H22" s="85"/>
      <c r="I22" s="85"/>
      <c r="J22" s="85"/>
      <c r="K22" s="85"/>
      <c r="L22" s="103" t="str">
        <f>IF(LEN(K22)=0,IF(LEN(J22)=0,"lifetime",IF(J22=1,"year","years")),"years")</f>
        <v>lifetime</v>
      </c>
      <c r="M22" s="86" t="str">
        <f>IF(L22="lifetime",
    IF(I22&lt;&gt;"", H22 &amp; "-" &amp; I22 &amp; "x/lifetime", H22 &amp; "x/lifetime"),
    IF(D22='Master Data'!$B$8, AD22 &amp; AE22, AD22 &amp; AE22 &amp; AC22))</f>
        <v>x/lifetime</v>
      </c>
      <c r="N22" s="83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22" s="83">
        <f>IFERROR(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,0)</f>
        <v>0</v>
      </c>
      <c r="P22" s="83" t="str">
        <f>IFERROR(IF(N22&lt;O22,CONCATENATE(TEXT(N22,"$#,##0.00"),CHAR(10)," - ",CHAR(10),TEXT(O22,"$#,##0.00")),TEXT(N22,"$0.00")),0)</f>
        <v>$0.00</v>
      </c>
      <c r="Q22" s="83">
        <f>ROUND(IF(TimeValue="lifetime",MinCost*MinFreq,0),2)</f>
        <v>0</v>
      </c>
      <c r="R22" s="83">
        <f>ROUND(IF(AND(TimeValue="lifetime",MaxFreq&lt;1),MinFreq*MaxCost,IF(AND(TimeValue="lifetime",MaxFreq&gt;=1),MaxFreq*MaxCost,0)),2)</f>
        <v>0</v>
      </c>
      <c r="S22" s="88" t="str">
        <f>IF(Q22&lt;R22,CONCATENATE(TEXT(Q22,"$#,##0.00"),CHAR(10)," - ",CHAR(10),TEXT(R22,"$#,##0.00")),TEXT(Q22,"$0.00"))</f>
        <v>$0.00</v>
      </c>
      <c r="AA22" s="166" t="str">
        <f>IF(L22="lifetime", "one-time cost", IF(D22='Master Data'!$B$8, AD22 &amp; AE22, AD22 &amp; AE22 &amp; AC22))</f>
        <v>one-time cost</v>
      </c>
      <c r="AB22" s="208" t="str">
        <f t="shared" si="12"/>
        <v>x/lifetime</v>
      </c>
      <c r="AC22" s="166" t="str">
        <f ca="1">IF(Table1[[#This Row],[Duration (Years):]]&lt;&gt;'Master Data'!$B$8,CONCATENATE(",",CHAR(10),"for ",Table1[[#This Row],[Duration (Years):]]," years"),"lifelong")</f>
        <v>lifelong</v>
      </c>
      <c r="AD22" s="166" t="str">
        <f t="shared" si="13"/>
        <v>one-time cost</v>
      </c>
      <c r="AE22" s="166" t="str">
        <f t="shared" si="14"/>
        <v>one-time cost</v>
      </c>
    </row>
    <row r="23" spans="1:34" ht="28.5" x14ac:dyDescent="0.2">
      <c r="A23" s="93"/>
      <c r="B23" s="82">
        <f ca="1">'Master Data'!$B$6</f>
        <v>126.3</v>
      </c>
      <c r="C23" s="82">
        <f ca="1">'Master Data'!$B$7</f>
        <v>136.30000000000001</v>
      </c>
      <c r="D23" s="82">
        <f ca="1">ROUND(C23-B23,1)</f>
        <v>10</v>
      </c>
      <c r="E23" s="83" cm="1">
        <f t="array" ref="E23">IF(
  A23="",
  0,
  IF(
    A23="COVID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MATCH(A23,'Meds Sheet'!$A$2:$A$16,0),
        _xlfn.SWITCH(
          'Master Data'!$B$19,
          "Los Angeles",{2,3,4},
          "San Diego",{5,6,7},
          "San Francisco",{8,9,10},
          "Palo Alto",{11,12,13}
        )
      )
    )
  )
)</f>
        <v>0</v>
      </c>
      <c r="F23" s="83" cm="1">
        <f t="array" ref="F23">IF(
  A23="",
  0,
  IF(
    A23="COVID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MATCH(A23,'Meds Sheet'!$A$2:$A$16,0),
        _xlfn.SWITCH(
          'Master Data'!$B$19,
          "Los Angeles",{2,3,4},
          "San Diego",{5,6,7},
          "San Francisco",{8,9,10},
          "Palo Alto",{11,12,13}
        )
      )
    )
  )
)</f>
        <v>0</v>
      </c>
      <c r="G23" s="84" t="str">
        <f>IF(E23&lt;F23,CONCATENATE(TEXT(E23,"$#,##0.00"),CHAR(10)," - ",CHAR(10),TEXT(F23,"$#,##0.00")),TEXT(E23,"$#,##0.00"))</f>
        <v>$0.00</v>
      </c>
      <c r="H23" s="85"/>
      <c r="I23" s="85"/>
      <c r="J23" s="85"/>
      <c r="K23" s="85"/>
      <c r="L23" s="103" t="str">
        <f>IF(LEN(K23)=0,IF(LEN(J23)=0,"lifetime",IF(J23=1,"year","years")),"years")</f>
        <v>lifetime</v>
      </c>
      <c r="M23" s="86" t="str">
        <f>IF(L23="lifetime",
    IF(I23&lt;&gt;"", H23 &amp; "-" &amp; I23 &amp; "x/lifetime", H23 &amp; "x/lifetime"),
    IF(D23='Master Data'!$B$8, AD23 &amp; AE23, AD23 &amp; AE23 &amp; AC23))</f>
        <v>x/lifetime</v>
      </c>
      <c r="N23" s="83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23" s="83">
        <f>IFERROR(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,0)</f>
        <v>0</v>
      </c>
      <c r="P23" s="83" t="str">
        <f>IFERROR(IF(N23&lt;O23,CONCATENATE(TEXT(N23,"$#,##0.00"),CHAR(10)," - ",CHAR(10),TEXT(O23,"$#,##0.00")),TEXT(N23,"$0.00")),0)</f>
        <v>$0.00</v>
      </c>
      <c r="Q23" s="83">
        <f>ROUND(IF(TimeValue="lifetime",MinCost*MinFreq,0),2)</f>
        <v>0</v>
      </c>
      <c r="R23" s="83">
        <f>ROUND(IF(AND(TimeValue="lifetime",MaxFreq&lt;1),MinFreq*MaxCost,IF(AND(TimeValue="lifetime",MaxFreq&gt;=1),MaxFreq*MaxCost,0)),2)</f>
        <v>0</v>
      </c>
      <c r="S23" s="88" t="str">
        <f>IF(Q23&lt;R23,CONCATENATE(TEXT(Q23,"$#,##0.00"),CHAR(10)," - ",CHAR(10),TEXT(R23,"$#,##0.00")),TEXT(Q23,"$0.00"))</f>
        <v>$0.00</v>
      </c>
      <c r="AA23" s="166" t="str">
        <f>IF(L23="lifetime", "one-time cost", IF(D23='Master Data'!$B$8, AD23 &amp; AE23, AD23 &amp; AE23 &amp; AC23))</f>
        <v>one-time cost</v>
      </c>
      <c r="AB23" s="208" t="str">
        <f t="shared" si="12"/>
        <v>x/lifetime</v>
      </c>
      <c r="AC23" s="166" t="str">
        <f ca="1">IF(Table1[[#This Row],[Duration (Years):]]&lt;&gt;'Master Data'!$B$8,CONCATENATE(",",CHAR(10),"for ",Table1[[#This Row],[Duration (Years):]]," years"),"lifelong")</f>
        <v>lifelong</v>
      </c>
      <c r="AD23" s="166" t="str">
        <f t="shared" si="13"/>
        <v>one-time cost</v>
      </c>
      <c r="AE23" s="166" t="str">
        <f t="shared" si="14"/>
        <v>one-time cost</v>
      </c>
    </row>
    <row r="24" spans="1:34" ht="28.5" x14ac:dyDescent="0.2">
      <c r="A24" s="93"/>
      <c r="B24" s="82">
        <f ca="1">'Master Data'!$B$6</f>
        <v>126.3</v>
      </c>
      <c r="C24" s="82">
        <f ca="1">'Master Data'!$B$7</f>
        <v>136.30000000000001</v>
      </c>
      <c r="D24" s="82">
        <f ca="1">ROUND(C24-B24,1)</f>
        <v>10</v>
      </c>
      <c r="E24" s="83" cm="1">
        <f t="array" ref="E24">IF(
  A24="",
  0,
  IF(
    A24="COVID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MATCH(A24,'Meds Sheet'!$A$2:$A$16,0),
        _xlfn.SWITCH(
          'Master Data'!$B$19,
          "Los Angeles",{2,3,4},
          "San Diego",{5,6,7},
          "San Francisco",{8,9,10},
          "Palo Alto",{11,12,13}
        )
      )
    )
  )
)</f>
        <v>0</v>
      </c>
      <c r="F24" s="83" cm="1">
        <f t="array" ref="F24">IF(
  A24="",
  0,
  IF(
    A24="COVID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MATCH(A24,'Meds Sheet'!$A$2:$A$16,0),
        _xlfn.SWITCH(
          'Master Data'!$B$19,
          "Los Angeles",{2,3,4},
          "San Diego",{5,6,7},
          "San Francisco",{8,9,10},
          "Palo Alto",{11,12,13}
        )
      )
    )
  )
)</f>
        <v>0</v>
      </c>
      <c r="G24" s="84" t="str">
        <f>IF(E24&lt;F24,CONCATENATE(TEXT(E24,"$#,##0.00"),CHAR(10)," - ",CHAR(10),TEXT(F24,"$#,##0.00")),TEXT(E24,"$#,##0.00"))</f>
        <v>$0.00</v>
      </c>
      <c r="H24" s="85"/>
      <c r="I24" s="85"/>
      <c r="J24" s="85"/>
      <c r="K24" s="85"/>
      <c r="L24" s="103" t="str">
        <f>IF(LEN(K24)=0,IF(LEN(J24)=0,"lifetime",IF(J24=1,"year","years")),"years")</f>
        <v>lifetime</v>
      </c>
      <c r="M24" s="86" t="str">
        <f>IF(L24="lifetime",
    IF(I24&lt;&gt;"", H24 &amp; "-" &amp; I24 &amp; "x/lifetime", H24 &amp; "x/lifetime"),
    IF(D24='Master Data'!$B$8, AD24 &amp; AE24, AD24 &amp; AE24 &amp; AC24))</f>
        <v>x/lifetime</v>
      </c>
      <c r="N24" s="83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24" s="83">
        <f>IFERROR(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,0)</f>
        <v>0</v>
      </c>
      <c r="P24" s="83" t="str">
        <f>IFERROR(IF(N24&lt;O24,CONCATENATE(TEXT(N24,"$#,##0.00"),CHAR(10)," - ",CHAR(10),TEXT(O24,"$#,##0.00")),TEXT(N24,"$0.00")),0)</f>
        <v>$0.00</v>
      </c>
      <c r="Q24" s="83">
        <f>ROUND(IF(TimeValue="lifetime",MinCost*MinFreq,0),2)</f>
        <v>0</v>
      </c>
      <c r="R24" s="83">
        <f>ROUND(IF(AND(TimeValue="lifetime",MaxFreq&lt;1),MinFreq*MaxCost,IF(AND(TimeValue="lifetime",MaxFreq&gt;=1),MaxFreq*MaxCost,0)),2)</f>
        <v>0</v>
      </c>
      <c r="S24" s="88" t="str">
        <f>IF(Q24&lt;R24,CONCATENATE(TEXT(Q24,"$#,##0.00"),CHAR(10)," - ",CHAR(10),TEXT(R24,"$#,##0.00")),TEXT(Q24,"$0.00"))</f>
        <v>$0.00</v>
      </c>
      <c r="AA24" s="166" t="str">
        <f>IF(L24="lifetime", "one-time cost", IF(D24='Master Data'!$B$8, AD24 &amp; AE24, AD24 &amp; AE24 &amp; AC24))</f>
        <v>one-time cost</v>
      </c>
      <c r="AB24" s="208" t="str">
        <f t="shared" si="12"/>
        <v>x/lifetime</v>
      </c>
      <c r="AC24" s="166" t="str">
        <f ca="1">IF(Table1[[#This Row],[Duration (Years):]]&lt;&gt;'Master Data'!$B$8,CONCATENATE(",",CHAR(10),"for ",Table1[[#This Row],[Duration (Years):]]," years"),"lifelong")</f>
        <v>lifelong</v>
      </c>
      <c r="AD24" s="166" t="str">
        <f t="shared" si="13"/>
        <v>one-time cost</v>
      </c>
      <c r="AE24" s="166" t="str">
        <f t="shared" si="14"/>
        <v>one-time cost</v>
      </c>
    </row>
    <row r="25" spans="1:34" ht="29.25" thickBot="1" x14ac:dyDescent="0.25">
      <c r="A25" s="93"/>
      <c r="B25" s="82">
        <f ca="1">'Master Data'!$B$6</f>
        <v>126.3</v>
      </c>
      <c r="C25" s="82">
        <f ca="1">'Master Data'!$B$7</f>
        <v>136.30000000000001</v>
      </c>
      <c r="D25" s="82">
        <f ca="1">ROUND(C25-B25,1)</f>
        <v>10</v>
      </c>
      <c r="E25" s="83" cm="1">
        <f t="array" ref="E25">IF(
  A25="",
  0,
  IF(
    A25="COVID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MIN(
      INDEX(
        'Meds Sheet'!$A$2:$M$16,
        MATCH(A25,'Meds Sheet'!$A$2:$A$16,0),
        _xlfn.SWITCH(
          'Master Data'!$B$19,
          "Los Angeles",{2,3,4},
          "San Diego",{5,6,7},
          "San Francisco",{8,9,10},
          "Palo Alto",{11,12,13}
        )
      )
    )
  )
)</f>
        <v>0</v>
      </c>
      <c r="F25" s="83" cm="1">
        <f t="array" ref="F25">IF(
  A25="",
  0,
  IF(
    A25="COVID Vaccine",
    _xlfn.XLOOKUP(
      90480,
      'Cost Data Sheet'!$A$2:$A$1006,
      _xlfn.SWITCH(
        'Master Data'!$B$19,
        "Los Angeles",'Cost Data Sheet'!$B$2:$B$1006,
        "San Diego",'Cost Data Sheet'!$C$2:$C$1006,
        "San Francisco",'Cost Data Sheet'!$D$2:$D$1006,
        "Palo Alto",'Cost Data Sheet'!$E$2:$E$1006
      ),
      0
    ),
    MAX(
      INDEX(
        'Meds Sheet'!$A$2:$M$16,
        MATCH(A25,'Meds Sheet'!$A$2:$A$16,0),
        _xlfn.SWITCH(
          'Master Data'!$B$19,
          "Los Angeles",{2,3,4},
          "San Diego",{5,6,7},
          "San Francisco",{8,9,10},
          "Palo Alto",{11,12,13}
        )
      )
    )
  )
)</f>
        <v>0</v>
      </c>
      <c r="G25" s="84" t="str">
        <f>IF(E25&lt;F25,CONCATENATE(TEXT(E25,"$#,##0.00"),CHAR(10)," - ",CHAR(10),TEXT(F25,"$#,##0.00")),TEXT(E25,"$#,##0.00"))</f>
        <v>$0.00</v>
      </c>
      <c r="H25" s="85"/>
      <c r="I25" s="85"/>
      <c r="J25" s="85"/>
      <c r="K25" s="85"/>
      <c r="L25" s="103" t="str">
        <f>IF(LEN(K25)=0,IF(LEN(J25)=0,"lifetime",IF(J25=1,"year","years")),"years")</f>
        <v>lifetime</v>
      </c>
      <c r="M25" s="86" t="str">
        <f>IF(L25="lifetime",
    IF(I25&lt;&gt;"", H25 &amp; "-" &amp; I25 &amp; "x/lifetime", H25 &amp; "x/lifetime"),
    IF(D25='Master Data'!$B$8, AD25 &amp; AE25, AD25 &amp; AE25 &amp; AC25))</f>
        <v>x/lifetime</v>
      </c>
      <c r="N25" s="83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25" s="83">
        <f>IFERROR(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,0)</f>
        <v>0</v>
      </c>
      <c r="P25" s="83" t="str">
        <f>IFERROR(IF(N25&lt;O25,CONCATENATE(TEXT(N25,"$#,##0.00"),CHAR(10)," - ",CHAR(10),TEXT(O25,"$#,##0.00")),TEXT(N25,"$0.00")),0)</f>
        <v>$0.00</v>
      </c>
      <c r="Q25" s="83">
        <f>ROUND(IF(TimeValue="lifetime",MinCost*MinFreq,0),2)</f>
        <v>0</v>
      </c>
      <c r="R25" s="83">
        <f>ROUND(IF(AND(TimeValue="lifetime",MaxFreq&lt;1),MinFreq*MaxCost,IF(AND(TimeValue="lifetime",MaxFreq&gt;=1),MaxFreq*MaxCost,0)),2)</f>
        <v>0</v>
      </c>
      <c r="S25" s="88" t="str">
        <f>IF(Q25&lt;R25,CONCATENATE(TEXT(Q25,"$#,##0.00"),CHAR(10)," - ",CHAR(10),TEXT(R25,"$#,##0.00")),TEXT(Q25,"$0.00"))</f>
        <v>$0.00</v>
      </c>
      <c r="AA25" s="166" t="str">
        <f>IF(L25="lifetime", "one-time cost", IF(D25='Master Data'!$B$8, AD25 &amp; AE25, AD25 &amp; AE25 &amp; AC25))</f>
        <v>one-time cost</v>
      </c>
      <c r="AB25" s="208" t="str">
        <f t="shared" si="12"/>
        <v>x/lifetime</v>
      </c>
      <c r="AC25" s="166" t="str">
        <f ca="1">IF(Table1[[#This Row],[Duration (Years):]]&lt;&gt;'Master Data'!$B$8,CONCATENATE(",",CHAR(10),"for ",Table1[[#This Row],[Duration (Years):]]," years"),"lifelong")</f>
        <v>lifelong</v>
      </c>
      <c r="AD25" s="166" t="str">
        <f t="shared" si="13"/>
        <v>one-time cost</v>
      </c>
      <c r="AE25" s="166" t="str">
        <f t="shared" si="14"/>
        <v>one-time cost</v>
      </c>
    </row>
    <row r="26" spans="1:34" ht="39.75" thickTop="1" thickBot="1" x14ac:dyDescent="0.25">
      <c r="A26" s="343" t="s">
        <v>32</v>
      </c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44"/>
      <c r="M26" s="344"/>
      <c r="N26" s="69"/>
      <c r="O26" s="69"/>
      <c r="P26" s="70" t="str">
        <f ca="1">IF(U3="same",IF(SUM(Table1[Annual Cost Max:])=0,"$0.00",CONCATENATE(TEXT(SUM(AnnMin),"$#,##0.00"),CHAR(10)," - ",CHAR(10),TEXT(SUM(AnnMax),"$#,##0.00"))),"Variable by year")</f>
        <v>$0.00</v>
      </c>
      <c r="Q26" s="69"/>
      <c r="R26" s="69"/>
      <c r="S26" s="71" t="str">
        <f>IF(SUM(OneTimeMax)=0,"$0.00",CONCATENATE(TEXT(SUM(OneTimeMin),"$#,##0.00"),CHAR(10)," - ",CHAR(10),TEXT(SUM(OneTimeMax),"$#,##0.00")))</f>
        <v>$336,125.76
 - 
$1,496,082.20</v>
      </c>
      <c r="AA26" s="166" t="e">
        <f>IF(L26="lifetime", "one-time cost", IF(D26='Master Data'!$B$8, AD26 &amp; AE26, AD26 &amp; AE26 &amp; AC26))</f>
        <v>#VALUE!</v>
      </c>
      <c r="AB26" s="208" t="str">
        <f t="shared" si="12"/>
        <v>ongoing cost</v>
      </c>
      <c r="AC26" s="166" t="e">
        <f>IF(Table1[[#This Row],[Duration (Years):]]&lt;&gt;'Master Data'!$B$8,CONCATENATE(",",CHAR(10),"for ",Table1[[#This Row],[Duration (Years):]]," years"),"lifelong")</f>
        <v>#VALUE!</v>
      </c>
      <c r="AD26" s="166" t="str">
        <f t="shared" si="13"/>
        <v>x/</v>
      </c>
      <c r="AE26" s="166">
        <f t="shared" si="14"/>
        <v>0</v>
      </c>
    </row>
    <row r="27" spans="1:34" ht="15" thickTop="1" x14ac:dyDescent="0.2">
      <c r="A27" s="10"/>
      <c r="B27" s="11"/>
      <c r="C27" s="11"/>
      <c r="D27" s="11"/>
      <c r="E27" s="9"/>
      <c r="F27" s="9"/>
      <c r="G27" s="12"/>
      <c r="H27" s="13"/>
      <c r="I27" s="13"/>
      <c r="J27" s="13"/>
      <c r="K27" s="13"/>
      <c r="L27" s="10"/>
      <c r="M27" s="14"/>
      <c r="N27" s="9"/>
      <c r="O27" s="9"/>
      <c r="P27" s="15"/>
      <c r="Q27" s="9"/>
      <c r="R27" s="9"/>
      <c r="S27" s="15"/>
      <c r="AA27" s="166" t="e">
        <f>IF(L27="lifetime", "one-time cost", IF(D27='Master Data'!$B$8, AD27 &amp; AE27, AD27 &amp; AE27 &amp; AC27))</f>
        <v>#VALUE!</v>
      </c>
      <c r="AB27" s="208" t="str">
        <f t="shared" si="12"/>
        <v>ongoing cost</v>
      </c>
      <c r="AC27" s="166" t="e">
        <f>IF(Table1[[#This Row],[Duration (Years):]]&lt;&gt;'Master Data'!$B$8,CONCATENATE(",",CHAR(10),"for ",Table1[[#This Row],[Duration (Years):]]," years"),"lifelong")</f>
        <v>#VALUE!</v>
      </c>
      <c r="AD27" s="166" t="str">
        <f t="shared" si="13"/>
        <v>x/</v>
      </c>
      <c r="AE27" s="166">
        <f t="shared" si="14"/>
        <v>0</v>
      </c>
    </row>
    <row r="28" spans="1:34" x14ac:dyDescent="0.2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AA28" s="166" t="e">
        <f>IF(L28="lifetime", "one-time cost", IF(D28='Master Data'!$B$8, AD28 &amp; AE28, AD28 &amp; AE28 &amp; AC28))</f>
        <v>#VALUE!</v>
      </c>
      <c r="AB28" s="208" t="str">
        <f t="shared" si="12"/>
        <v>ongoing cost</v>
      </c>
      <c r="AC28" s="166" t="e">
        <f>IF(Table1[[#This Row],[Duration (Years):]]&lt;&gt;'Master Data'!$B$8,CONCATENATE(",",CHAR(10),"for ",Table1[[#This Row],[Duration (Years):]]," years"),"lifelong")</f>
        <v>#VALUE!</v>
      </c>
      <c r="AD28" s="166" t="str">
        <f t="shared" si="13"/>
        <v>x/</v>
      </c>
      <c r="AE28" s="166">
        <f t="shared" si="14"/>
        <v>0</v>
      </c>
    </row>
    <row r="29" spans="1:34" x14ac:dyDescent="0.2">
      <c r="A29" s="10"/>
      <c r="B29" s="11"/>
      <c r="C29" s="11"/>
      <c r="D29" s="11"/>
      <c r="E29" s="9"/>
      <c r="F29" s="9"/>
      <c r="G29" s="12"/>
      <c r="H29" s="13"/>
      <c r="I29" s="13"/>
      <c r="J29" s="13"/>
      <c r="K29" s="13"/>
      <c r="L29" s="10"/>
      <c r="M29" s="14"/>
      <c r="N29" s="9"/>
      <c r="O29" s="9"/>
      <c r="P29" s="15"/>
      <c r="Q29" s="9"/>
      <c r="R29" s="9"/>
      <c r="S29" s="15"/>
      <c r="AA29" s="166" t="e">
        <f>IF(L29="lifetime", "one-time cost", IF(D29='Master Data'!$B$8, AD29 &amp; AE29, AD29 &amp; AE29 &amp; AC29))</f>
        <v>#VALUE!</v>
      </c>
      <c r="AB29" s="208" t="str">
        <f t="shared" si="12"/>
        <v>ongoing cost</v>
      </c>
      <c r="AC29" s="166" t="e">
        <f>IF(Table1[[#This Row],[Duration (Years):]]&lt;&gt;'Master Data'!$B$8,CONCATENATE(",",CHAR(10),"for ",Table1[[#This Row],[Duration (Years):]]," years"),"lifelong")</f>
        <v>#VALUE!</v>
      </c>
      <c r="AD29" s="166" t="str">
        <f t="shared" si="13"/>
        <v>x/</v>
      </c>
      <c r="AE29" s="166">
        <f t="shared" si="14"/>
        <v>0</v>
      </c>
    </row>
    <row r="30" spans="1:34" x14ac:dyDescent="0.2">
      <c r="A30" s="10"/>
      <c r="B30" s="11"/>
      <c r="C30" s="11"/>
      <c r="D30" s="11"/>
      <c r="E30" s="9"/>
      <c r="F30" s="9"/>
      <c r="G30" s="12"/>
      <c r="H30" s="13"/>
      <c r="I30" s="13"/>
      <c r="J30" s="13"/>
      <c r="K30" s="13"/>
      <c r="L30" s="10"/>
      <c r="M30" s="14"/>
      <c r="N30" s="9"/>
      <c r="O30" s="9"/>
      <c r="P30" s="15"/>
      <c r="Q30" s="9"/>
      <c r="R30" s="9"/>
      <c r="S30" s="15"/>
      <c r="AA30" s="166" t="e">
        <f>IF(L30="lifetime", "one-time cost", IF(D30='Master Data'!$B$8, AD30 &amp; AE30, AD30 &amp; AE30 &amp; AC30))</f>
        <v>#VALUE!</v>
      </c>
      <c r="AB30" s="208" t="str">
        <f t="shared" si="12"/>
        <v>ongoing cost</v>
      </c>
      <c r="AC30" s="166" t="e">
        <f>IF(Table1[[#This Row],[Duration (Years):]]&lt;&gt;'Master Data'!$B$8,CONCATENATE(",",CHAR(10),"for ",Table1[[#This Row],[Duration (Years):]]," years"),"lifelong")</f>
        <v>#VALUE!</v>
      </c>
      <c r="AD30" s="166" t="str">
        <f t="shared" si="13"/>
        <v>x/</v>
      </c>
      <c r="AE30" s="166">
        <f t="shared" si="14"/>
        <v>0</v>
      </c>
    </row>
    <row r="31" spans="1:34" x14ac:dyDescent="0.2">
      <c r="A31" s="10"/>
      <c r="B31" s="11"/>
      <c r="C31" s="11"/>
      <c r="D31" s="11"/>
      <c r="E31" s="9"/>
      <c r="F31" s="9"/>
      <c r="G31" s="12"/>
      <c r="H31" s="13"/>
      <c r="I31" s="13"/>
      <c r="J31" s="13"/>
      <c r="K31" s="13"/>
      <c r="L31" s="10"/>
      <c r="M31" s="14"/>
      <c r="N31" s="9"/>
      <c r="O31" s="9"/>
      <c r="P31" s="15"/>
      <c r="Q31" s="9"/>
      <c r="R31" s="9"/>
      <c r="S31" s="15"/>
      <c r="AA31" s="166" t="e">
        <f>IF(L31="lifetime", "one-time cost", IF(D31='Master Data'!$B$8, AD31 &amp; AE31, AD31 &amp; AE31 &amp; AC31))</f>
        <v>#VALUE!</v>
      </c>
      <c r="AB31" s="208" t="str">
        <f t="shared" si="12"/>
        <v>ongoing cost</v>
      </c>
      <c r="AC31" s="166" t="e">
        <f>IF(Table1[[#This Row],[Duration (Years):]]&lt;&gt;'Master Data'!$B$8,CONCATENATE(",",CHAR(10),"for ",Table1[[#This Row],[Duration (Years):]]," years"),"lifelong")</f>
        <v>#VALUE!</v>
      </c>
      <c r="AD31" s="166" t="str">
        <f t="shared" si="13"/>
        <v>x/</v>
      </c>
      <c r="AE31" s="166">
        <f t="shared" si="14"/>
        <v>0</v>
      </c>
    </row>
    <row r="32" spans="1:34" x14ac:dyDescent="0.2">
      <c r="A32" s="10"/>
      <c r="B32" s="11"/>
      <c r="C32" s="11"/>
      <c r="D32" s="11"/>
      <c r="E32" s="9"/>
      <c r="F32" s="9"/>
      <c r="G32" s="12"/>
      <c r="H32" s="13"/>
      <c r="I32" s="13"/>
      <c r="J32" s="13"/>
      <c r="K32" s="13"/>
      <c r="L32" s="10"/>
      <c r="M32" s="14"/>
      <c r="N32" s="9"/>
      <c r="O32" s="9"/>
      <c r="P32" s="15"/>
      <c r="Q32" s="9"/>
      <c r="R32" s="9"/>
      <c r="S32" s="15"/>
      <c r="AA32" s="166" t="e">
        <f>IF(L32="lifetime", "one-time cost", IF(D32='Master Data'!$B$8, AD32 &amp; AE32, AD32 &amp; AE32 &amp; AC32))</f>
        <v>#VALUE!</v>
      </c>
      <c r="AB32" s="208" t="str">
        <f t="shared" si="12"/>
        <v>ongoing cost</v>
      </c>
      <c r="AC32" s="166" t="e">
        <f>IF(Table1[[#This Row],[Duration (Years):]]&lt;&gt;'Master Data'!$B$8,CONCATENATE(",",CHAR(10),"for ",Table1[[#This Row],[Duration (Years):]]," years"),"lifelong")</f>
        <v>#VALUE!</v>
      </c>
      <c r="AD32" s="166" t="str">
        <f t="shared" si="13"/>
        <v>x/</v>
      </c>
      <c r="AE32" s="166">
        <f t="shared" si="14"/>
        <v>0</v>
      </c>
    </row>
    <row r="33" spans="1:31" x14ac:dyDescent="0.2">
      <c r="A33" s="10"/>
      <c r="B33" s="11"/>
      <c r="C33" s="11"/>
      <c r="D33" s="11"/>
      <c r="E33" s="9"/>
      <c r="F33" s="9"/>
      <c r="G33" s="12"/>
      <c r="H33" s="13"/>
      <c r="I33" s="13"/>
      <c r="J33" s="13"/>
      <c r="K33" s="13"/>
      <c r="L33" s="10"/>
      <c r="M33" s="14"/>
      <c r="N33" s="9"/>
      <c r="O33" s="9"/>
      <c r="P33" s="15"/>
      <c r="Q33" s="9"/>
      <c r="R33" s="9"/>
      <c r="S33" s="15"/>
      <c r="AA33" s="166" t="e">
        <f>IF(L33="lifetime", "one-time cost", IF(D33='Master Data'!$B$8, AD33 &amp; AE33, AD33 &amp; AE33 &amp; AC33))</f>
        <v>#VALUE!</v>
      </c>
      <c r="AB33" s="208" t="str">
        <f t="shared" si="12"/>
        <v>ongoing cost</v>
      </c>
      <c r="AC33" s="166" t="e">
        <f>IF(Table1[[#This Row],[Duration (Years):]]&lt;&gt;'Master Data'!$B$8,CONCATENATE(",",CHAR(10),"for ",Table1[[#This Row],[Duration (Years):]]," years"),"lifelong")</f>
        <v>#VALUE!</v>
      </c>
      <c r="AD33" s="166" t="str">
        <f t="shared" si="13"/>
        <v>x/</v>
      </c>
      <c r="AE33" s="166">
        <f t="shared" si="14"/>
        <v>0</v>
      </c>
    </row>
    <row r="34" spans="1:31" x14ac:dyDescent="0.2">
      <c r="A34" s="10"/>
      <c r="B34" s="11"/>
      <c r="C34" s="11"/>
      <c r="D34" s="11"/>
      <c r="E34" s="9"/>
      <c r="F34" s="9"/>
      <c r="G34" s="12"/>
      <c r="H34" s="13"/>
      <c r="I34" s="13"/>
      <c r="J34" s="13"/>
      <c r="K34" s="13"/>
      <c r="L34" s="10"/>
      <c r="M34" s="14"/>
      <c r="N34" s="9"/>
      <c r="O34" s="9"/>
      <c r="P34" s="15"/>
      <c r="Q34" s="9"/>
      <c r="R34" s="9"/>
      <c r="S34" s="15"/>
      <c r="AA34" s="166" t="e">
        <f>IF(L34="lifetime", "one-time cost", IF(D34='Master Data'!$B$8, AD34 &amp; AE34, AD34 &amp; AE34 &amp; AC34))</f>
        <v>#VALUE!</v>
      </c>
      <c r="AB34" s="208" t="str">
        <f t="shared" si="12"/>
        <v>ongoing cost</v>
      </c>
      <c r="AC34" s="166" t="e">
        <f>IF(Table1[[#This Row],[Duration (Years):]]&lt;&gt;'Master Data'!$B$8,CONCATENATE(",",CHAR(10),"for ",Table1[[#This Row],[Duration (Years):]]," years"),"lifelong")</f>
        <v>#VALUE!</v>
      </c>
      <c r="AD34" s="166" t="str">
        <f t="shared" si="13"/>
        <v>x/</v>
      </c>
      <c r="AE34" s="166">
        <f t="shared" si="14"/>
        <v>0</v>
      </c>
    </row>
    <row r="35" spans="1:31" x14ac:dyDescent="0.2">
      <c r="A35" s="10"/>
      <c r="B35" s="11"/>
      <c r="C35" s="11"/>
      <c r="D35" s="11"/>
      <c r="E35" s="9"/>
      <c r="F35" s="9"/>
      <c r="G35" s="12"/>
      <c r="H35" s="13"/>
      <c r="I35" s="13"/>
      <c r="J35" s="13"/>
      <c r="K35" s="13"/>
      <c r="L35" s="10"/>
      <c r="M35" s="14"/>
      <c r="N35" s="9"/>
      <c r="O35" s="9"/>
      <c r="P35" s="15"/>
      <c r="Q35" s="9"/>
      <c r="R35" s="9"/>
      <c r="S35" s="15"/>
      <c r="AA35" s="166" t="e">
        <f>IF(L35="lifetime", "one-time cost", IF(D35='Master Data'!$B$8, AD35 &amp; AE35, AD35 &amp; AE35 &amp; AC35))</f>
        <v>#VALUE!</v>
      </c>
      <c r="AB35" s="208" t="str">
        <f t="shared" si="12"/>
        <v>ongoing cost</v>
      </c>
      <c r="AC35" s="166" t="e">
        <f>IF(Table1[[#This Row],[Duration (Years):]]&lt;&gt;'Master Data'!$B$8,CONCATENATE(",",CHAR(10),"for ",Table1[[#This Row],[Duration (Years):]]," years"),"lifelong")</f>
        <v>#VALUE!</v>
      </c>
      <c r="AD35" s="166" t="str">
        <f t="shared" si="13"/>
        <v>x/</v>
      </c>
      <c r="AE35" s="166">
        <f t="shared" si="14"/>
        <v>0</v>
      </c>
    </row>
    <row r="36" spans="1:31" x14ac:dyDescent="0.2">
      <c r="AA36" s="166" t="e">
        <f>IF(L36="lifetime", "one-time cost", IF(D36='Master Data'!$B$8, AD36 &amp; AE36, AD36 &amp; AE36 &amp; AC36))</f>
        <v>#VALUE!</v>
      </c>
      <c r="AB36" s="208" t="str">
        <f t="shared" si="12"/>
        <v>ongoing cost</v>
      </c>
      <c r="AC36" s="166" t="e">
        <f>IF(Table1[[#This Row],[Duration (Years):]]&lt;&gt;'Master Data'!$B$8,CONCATENATE(",",CHAR(10),"for ",Table1[[#This Row],[Duration (Years):]]," years"),"lifelong")</f>
        <v>#VALUE!</v>
      </c>
      <c r="AD36" s="166" t="str">
        <f t="shared" si="13"/>
        <v>x/</v>
      </c>
      <c r="AE36" s="166">
        <f t="shared" si="14"/>
        <v>0</v>
      </c>
    </row>
    <row r="37" spans="1:31" x14ac:dyDescent="0.2">
      <c r="AA37" s="166" t="e">
        <f>IF(L37="lifetime", "one-time cost", IF(D37='Master Data'!$B$8, AD37 &amp; AE37, AD37 &amp; AE37 &amp; AC37))</f>
        <v>#VALUE!</v>
      </c>
      <c r="AB37" s="208" t="str">
        <f t="shared" si="12"/>
        <v>ongoing cost</v>
      </c>
      <c r="AC37" s="166" t="e">
        <f>IF(Table1[[#This Row],[Duration (Years):]]&lt;&gt;'Master Data'!$B$8,CONCATENATE(",",CHAR(10),"for ",Table1[[#This Row],[Duration (Years):]]," years"),"lifelong")</f>
        <v>#VALUE!</v>
      </c>
      <c r="AD37" s="166" t="str">
        <f t="shared" si="13"/>
        <v>x/</v>
      </c>
      <c r="AE37" s="166">
        <f t="shared" si="14"/>
        <v>0</v>
      </c>
    </row>
    <row r="38" spans="1:31" x14ac:dyDescent="0.2">
      <c r="AA38" s="166" t="e">
        <f>IF(L38="lifetime", "one-time cost", IF(D38='Master Data'!$B$8, AD38 &amp; AE38, AD38 &amp; AE38 &amp; AC38))</f>
        <v>#VALUE!</v>
      </c>
      <c r="AB38" s="208" t="str">
        <f t="shared" si="12"/>
        <v>ongoing cost</v>
      </c>
      <c r="AC38" s="166" t="e">
        <f>IF(Table1[[#This Row],[Duration (Years):]]&lt;&gt;'Master Data'!$B$8,CONCATENATE(",",CHAR(10),"for ",Table1[[#This Row],[Duration (Years):]]," years"),"lifelong")</f>
        <v>#VALUE!</v>
      </c>
      <c r="AD38" s="166" t="str">
        <f t="shared" si="13"/>
        <v>x/</v>
      </c>
      <c r="AE38" s="166">
        <f t="shared" si="14"/>
        <v>0</v>
      </c>
    </row>
    <row r="39" spans="1:31" x14ac:dyDescent="0.2">
      <c r="AA39" s="166" t="e">
        <f>IF(L39="lifetime", "one-time cost", IF(D39='Master Data'!$B$8, AD39 &amp; AE39, AD39 &amp; AE39 &amp; AC39))</f>
        <v>#VALUE!</v>
      </c>
      <c r="AB39" s="208" t="str">
        <f t="shared" si="12"/>
        <v>ongoing cost</v>
      </c>
      <c r="AC39" s="166" t="e">
        <f>IF(Table1[[#This Row],[Duration (Years):]]&lt;&gt;'Master Data'!$B$8,CONCATENATE(",",CHAR(10),"for ",Table1[[#This Row],[Duration (Years):]]," years"),"lifelong")</f>
        <v>#VALUE!</v>
      </c>
      <c r="AD39" s="166" t="str">
        <f t="shared" si="13"/>
        <v>x/</v>
      </c>
      <c r="AE39" s="166">
        <f t="shared" si="14"/>
        <v>0</v>
      </c>
    </row>
    <row r="40" spans="1:31" x14ac:dyDescent="0.2">
      <c r="AA40" s="166" t="e">
        <f>IF(L50="lifetime", "one-time cost", IF(D50='Master Data'!$B$8, AD40 &amp; AE40, AD40 &amp; AE40 &amp; AC40))</f>
        <v>#VALUE!</v>
      </c>
      <c r="AB40" s="208" t="str">
        <f t="shared" ref="AB40:AB51" si="24">IF(L50="lifetime", IF(I50&lt;&gt;"", H50 &amp; "-" &amp; I50 &amp; "x/lifetime", H50 &amp; "x/lifetime"), "ongoing cost")</f>
        <v>ongoing cost</v>
      </c>
      <c r="AC40" s="166" t="e">
        <f>IF(Table1[[#This Row],[Duration (Years):]]&lt;&gt;'Master Data'!$B$8,CONCATENATE(",",CHAR(10),"for ",Table1[[#This Row],[Duration (Years):]]," years"),"lifelong")</f>
        <v>#VALUE!</v>
      </c>
      <c r="AD40" s="166" t="str">
        <f t="shared" ref="AD40:AD51" si="25">IF(L50="lifetime", "one-time cost", IF(I50&lt;&gt;"", H50 &amp; "-" &amp; I50 &amp; "x/", H50 &amp; "x/"))</f>
        <v>x/</v>
      </c>
      <c r="AE40" s="166">
        <f t="shared" ref="AE40:AE51" si="26">IF(L50="lifetime", "one-time cost", IF(K50&lt;&gt;"", J50 &amp; "-" &amp; K50 &amp; " " &amp; L50, IF(J50&gt;1, J50 &amp; " " &amp; L50, L50)))</f>
        <v>0</v>
      </c>
    </row>
    <row r="41" spans="1:31" x14ac:dyDescent="0.2">
      <c r="AA41" s="166" t="e">
        <f>IF(L51="lifetime", "one-time cost", IF(D51='Master Data'!$B$8, AD41 &amp; AE41, AD41 &amp; AE41 &amp; AC41))</f>
        <v>#VALUE!</v>
      </c>
      <c r="AB41" s="208" t="str">
        <f t="shared" si="24"/>
        <v>ongoing cost</v>
      </c>
      <c r="AC41" s="166" t="e">
        <f>IF(Table1[[#This Row],[Duration (Years):]]&lt;&gt;'Master Data'!$B$8,CONCATENATE(",",CHAR(10),"for ",Table1[[#This Row],[Duration (Years):]]," years"),"lifelong")</f>
        <v>#VALUE!</v>
      </c>
      <c r="AD41" s="166" t="str">
        <f t="shared" si="25"/>
        <v>x/</v>
      </c>
      <c r="AE41" s="166">
        <f t="shared" si="26"/>
        <v>0</v>
      </c>
    </row>
    <row r="42" spans="1:31" x14ac:dyDescent="0.2">
      <c r="AA42" s="166" t="e">
        <f>IF(L52="lifetime", "one-time cost", IF(D52='Master Data'!$B$8, AD42 &amp; AE42, AD42 &amp; AE42 &amp; AC42))</f>
        <v>#VALUE!</v>
      </c>
      <c r="AB42" s="208" t="str">
        <f t="shared" si="24"/>
        <v>ongoing cost</v>
      </c>
      <c r="AC42" s="166" t="e">
        <f>IF(Table1[[#This Row],[Duration (Years):]]&lt;&gt;'Master Data'!$B$8,CONCATENATE(",",CHAR(10),"for ",Table1[[#This Row],[Duration (Years):]]," years"),"lifelong")</f>
        <v>#VALUE!</v>
      </c>
      <c r="AD42" s="166" t="str">
        <f t="shared" si="25"/>
        <v>x/</v>
      </c>
      <c r="AE42" s="166">
        <f t="shared" si="26"/>
        <v>0</v>
      </c>
    </row>
    <row r="43" spans="1:31" x14ac:dyDescent="0.2">
      <c r="AA43" s="166" t="e">
        <f>IF(L53="lifetime", "one-time cost", IF(D53='Master Data'!$B$8, AD43 &amp; AE43, AD43 &amp; AE43 &amp; AC43))</f>
        <v>#VALUE!</v>
      </c>
      <c r="AB43" s="208" t="str">
        <f t="shared" si="24"/>
        <v>ongoing cost</v>
      </c>
      <c r="AC43" s="166" t="e">
        <f>IF(Table1[[#This Row],[Duration (Years):]]&lt;&gt;'Master Data'!$B$8,CONCATENATE(",",CHAR(10),"for ",Table1[[#This Row],[Duration (Years):]]," years"),"lifelong")</f>
        <v>#VALUE!</v>
      </c>
      <c r="AD43" s="166" t="str">
        <f t="shared" si="25"/>
        <v>x/</v>
      </c>
      <c r="AE43" s="166">
        <f t="shared" si="26"/>
        <v>0</v>
      </c>
    </row>
    <row r="44" spans="1:31" x14ac:dyDescent="0.2">
      <c r="AA44" s="166" t="e">
        <f>IF(L54="lifetime", "one-time cost", IF(D54='Master Data'!$B$8, AD44 &amp; AE44, AD44 &amp; AE44 &amp; AC44))</f>
        <v>#VALUE!</v>
      </c>
      <c r="AB44" s="208" t="str">
        <f t="shared" si="24"/>
        <v>ongoing cost</v>
      </c>
      <c r="AC44" s="166" t="e">
        <f>IF(Table1[[#This Row],[Duration (Years):]]&lt;&gt;'Master Data'!$B$8,CONCATENATE(",",CHAR(10),"for ",Table1[[#This Row],[Duration (Years):]]," years"),"lifelong")</f>
        <v>#VALUE!</v>
      </c>
      <c r="AD44" s="166" t="str">
        <f t="shared" si="25"/>
        <v>x/</v>
      </c>
      <c r="AE44" s="166">
        <f t="shared" si="26"/>
        <v>0</v>
      </c>
    </row>
    <row r="45" spans="1:31" x14ac:dyDescent="0.2">
      <c r="AA45" s="166" t="e">
        <f>IF(L55="lifetime", "one-time cost", IF(D55='Master Data'!$B$8, AD45 &amp; AE45, AD45 &amp; AE45 &amp; AC45))</f>
        <v>#VALUE!</v>
      </c>
      <c r="AB45" s="208" t="str">
        <f t="shared" si="24"/>
        <v>ongoing cost</v>
      </c>
      <c r="AC45" s="166" t="e">
        <f>IF(Table1[[#This Row],[Duration (Years):]]&lt;&gt;'Master Data'!$B$8,CONCATENATE(",",CHAR(10),"for ",Table1[[#This Row],[Duration (Years):]]," years"),"lifelong")</f>
        <v>#VALUE!</v>
      </c>
      <c r="AD45" s="166" t="str">
        <f t="shared" si="25"/>
        <v>x/</v>
      </c>
      <c r="AE45" s="166">
        <f t="shared" si="26"/>
        <v>0</v>
      </c>
    </row>
    <row r="46" spans="1:31" x14ac:dyDescent="0.2">
      <c r="AA46" s="166" t="e">
        <f>IF(L56="lifetime", "one-time cost", IF(D56='Master Data'!$B$8, AD46 &amp; AE46, AD46 &amp; AE46 &amp; AC46))</f>
        <v>#VALUE!</v>
      </c>
      <c r="AB46" s="208" t="str">
        <f t="shared" si="24"/>
        <v>ongoing cost</v>
      </c>
      <c r="AC46" s="166" t="e">
        <f>IF(Table1[[#This Row],[Duration (Years):]]&lt;&gt;'Master Data'!$B$8,CONCATENATE(",",CHAR(10),"for ",Table1[[#This Row],[Duration (Years):]]," years"),"lifelong")</f>
        <v>#VALUE!</v>
      </c>
      <c r="AD46" s="166" t="str">
        <f t="shared" si="25"/>
        <v>x/</v>
      </c>
      <c r="AE46" s="166">
        <f t="shared" si="26"/>
        <v>0</v>
      </c>
    </row>
    <row r="47" spans="1:31" x14ac:dyDescent="0.2">
      <c r="AA47" s="166" t="e">
        <f>IF(L57="lifetime", "one-time cost", IF(D57='Master Data'!$B$8, AD47 &amp; AE47, AD47 &amp; AE47 &amp; AC47))</f>
        <v>#VALUE!</v>
      </c>
      <c r="AB47" s="208" t="str">
        <f t="shared" si="24"/>
        <v>ongoing cost</v>
      </c>
      <c r="AC47" s="166" t="e">
        <f>IF(Table1[[#This Row],[Duration (Years):]]&lt;&gt;'Master Data'!$B$8,CONCATENATE(",",CHAR(10),"for ",Table1[[#This Row],[Duration (Years):]]," years"),"lifelong")</f>
        <v>#VALUE!</v>
      </c>
      <c r="AD47" s="166" t="str">
        <f t="shared" si="25"/>
        <v>x/</v>
      </c>
      <c r="AE47" s="166">
        <f t="shared" si="26"/>
        <v>0</v>
      </c>
    </row>
    <row r="48" spans="1:31" x14ac:dyDescent="0.2">
      <c r="AA48" s="166" t="e">
        <f>IF(L58="lifetime", "one-time cost", IF(D58='Master Data'!$B$8, AD48 &amp; AE48, AD48 &amp; AE48 &amp; AC48))</f>
        <v>#VALUE!</v>
      </c>
      <c r="AB48" s="208" t="str">
        <f t="shared" si="24"/>
        <v>ongoing cost</v>
      </c>
      <c r="AC48" s="166" t="e">
        <f>IF(Table1[[#This Row],[Duration (Years):]]&lt;&gt;'Master Data'!$B$8,CONCATENATE(",",CHAR(10),"for ",Table1[[#This Row],[Duration (Years):]]," years"),"lifelong")</f>
        <v>#VALUE!</v>
      </c>
      <c r="AD48" s="166" t="str">
        <f t="shared" si="25"/>
        <v>x/</v>
      </c>
      <c r="AE48" s="166">
        <f t="shared" si="26"/>
        <v>0</v>
      </c>
    </row>
    <row r="49" spans="27:31" x14ac:dyDescent="0.2">
      <c r="AA49" s="166" t="e">
        <f>IF(L59="lifetime", "one-time cost", IF(D59='Master Data'!$B$8, AD49 &amp; AE49, AD49 &amp; AE49 &amp; AC49))</f>
        <v>#VALUE!</v>
      </c>
      <c r="AB49" s="208" t="str">
        <f t="shared" si="24"/>
        <v>ongoing cost</v>
      </c>
      <c r="AC49" s="166" t="e">
        <f>IF(Table1[[#This Row],[Duration (Years):]]&lt;&gt;'Master Data'!$B$8,CONCATENATE(",",CHAR(10),"for ",Table1[[#This Row],[Duration (Years):]]," years"),"lifelong")</f>
        <v>#VALUE!</v>
      </c>
      <c r="AD49" s="166" t="str">
        <f t="shared" si="25"/>
        <v>x/</v>
      </c>
      <c r="AE49" s="166">
        <f t="shared" si="26"/>
        <v>0</v>
      </c>
    </row>
    <row r="50" spans="27:31" x14ac:dyDescent="0.2">
      <c r="AA50" s="166" t="e">
        <f>IF(L60="lifetime", "one-time cost", IF(D60='Master Data'!$B$8, AD50 &amp; AE50, AD50 &amp; AE50 &amp; AC50))</f>
        <v>#VALUE!</v>
      </c>
      <c r="AB50" s="208" t="str">
        <f t="shared" si="24"/>
        <v>ongoing cost</v>
      </c>
      <c r="AC50" s="166" t="e">
        <f>IF(Table1[[#This Row],[Duration (Years):]]&lt;&gt;'Master Data'!$B$8,CONCATENATE(",",CHAR(10),"for ",Table1[[#This Row],[Duration (Years):]]," years"),"lifelong")</f>
        <v>#VALUE!</v>
      </c>
      <c r="AD50" s="166" t="str">
        <f t="shared" si="25"/>
        <v>x/</v>
      </c>
      <c r="AE50" s="166">
        <f t="shared" si="26"/>
        <v>0</v>
      </c>
    </row>
    <row r="51" spans="27:31" x14ac:dyDescent="0.2">
      <c r="AA51" s="166" t="e">
        <f>IF(L61="lifetime", "one-time cost", IF(D61='Master Data'!$B$8, AD51 &amp; AE51, AD51 &amp; AE51 &amp; AC51))</f>
        <v>#VALUE!</v>
      </c>
      <c r="AB51" s="208" t="str">
        <f t="shared" si="24"/>
        <v>ongoing cost</v>
      </c>
      <c r="AC51" s="166" t="e">
        <f>IF(Table1[[#This Row],[Duration (Years):]]&lt;&gt;'Master Data'!$B$8,CONCATENATE(",",CHAR(10),"for ",Table1[[#This Row],[Duration (Years):]]," years"),"lifelong")</f>
        <v>#VALUE!</v>
      </c>
      <c r="AD51" s="166" t="str">
        <f t="shared" si="25"/>
        <v>x/</v>
      </c>
      <c r="AE51" s="166">
        <f t="shared" si="26"/>
        <v>0</v>
      </c>
    </row>
  </sheetData>
  <sortState xmlns:xlrd2="http://schemas.microsoft.com/office/spreadsheetml/2017/richdata2" ref="A3:S5">
    <sortCondition ref="D3"/>
    <sortCondition ref="A3"/>
  </sortState>
  <mergeCells count="3">
    <mergeCell ref="A1:S1"/>
    <mergeCell ref="A26:M26"/>
    <mergeCell ref="V3:W3"/>
  </mergeCells>
  <hyperlinks>
    <hyperlink ref="V3" location="Procedure1!A1" display="Link to copy/paste table here" xr:uid="{C9039B95-52E4-49E3-ACB5-04C0C61514D3}"/>
    <hyperlink ref="V3:W3" location="Meds!A1" display="Link to copy/paste table here" xr:uid="{1C28FF37-FDF7-42EF-97DE-F8FAAD1B34C2}"/>
  </hyperlinks>
  <pageMargins left="0.25" right="0.25" top="0.75" bottom="0.75" header="0.3" footer="0.3"/>
  <pageSetup orientation="landscape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55"/>
  <sheetViews>
    <sheetView workbookViewId="0">
      <selection sqref="A1:S1"/>
    </sheetView>
  </sheetViews>
  <sheetFormatPr defaultColWidth="9.140625" defaultRowHeight="12.75" x14ac:dyDescent="0.2"/>
  <cols>
    <col min="1" max="1" width="19.7109375" style="10" customWidth="1"/>
    <col min="2" max="3" width="9.7109375" style="11" hidden="1" customWidth="1"/>
    <col min="4" max="4" width="13.42578125" style="11" customWidth="1"/>
    <col min="5" max="6" width="13.28515625" style="9" customWidth="1"/>
    <col min="7" max="7" width="15.7109375" style="12" hidden="1" customWidth="1"/>
    <col min="8" max="11" width="8.7109375" style="13" customWidth="1"/>
    <col min="12" max="12" width="10.85546875" style="10" customWidth="1"/>
    <col min="13" max="13" width="17.7109375" style="14" customWidth="1"/>
    <col min="14" max="15" width="12.28515625" style="9" hidden="1" customWidth="1"/>
    <col min="16" max="16" width="14.7109375" style="15" customWidth="1"/>
    <col min="17" max="18" width="12.28515625" style="9" hidden="1" customWidth="1"/>
    <col min="19" max="19" width="14.7109375" style="15" customWidth="1"/>
    <col min="20" max="20" width="9.140625" style="8"/>
    <col min="21" max="21" width="0" style="8" hidden="1" customWidth="1"/>
    <col min="22" max="26" width="9.140625" style="8"/>
    <col min="27" max="31" width="9.140625" style="8" hidden="1" customWidth="1"/>
    <col min="32" max="16384" width="9.140625" style="8"/>
  </cols>
  <sheetData>
    <row r="1" spans="1:31" ht="30" customHeight="1" thickTop="1" x14ac:dyDescent="0.2">
      <c r="A1" s="340" t="s">
        <v>113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2"/>
    </row>
    <row r="2" spans="1:31" s="72" customFormat="1" ht="57.75" thickBot="1" x14ac:dyDescent="0.3">
      <c r="A2" s="105" t="s">
        <v>33</v>
      </c>
      <c r="B2" s="106" t="s">
        <v>15</v>
      </c>
      <c r="C2" s="106" t="s">
        <v>16</v>
      </c>
      <c r="D2" s="106" t="s">
        <v>17</v>
      </c>
      <c r="E2" s="107" t="s">
        <v>18</v>
      </c>
      <c r="F2" s="107" t="s">
        <v>19</v>
      </c>
      <c r="G2" s="107" t="s">
        <v>29</v>
      </c>
      <c r="H2" s="108" t="s">
        <v>20</v>
      </c>
      <c r="I2" s="108" t="s">
        <v>21</v>
      </c>
      <c r="J2" s="108" t="s">
        <v>22</v>
      </c>
      <c r="K2" s="108" t="s">
        <v>23</v>
      </c>
      <c r="L2" s="109" t="s">
        <v>24</v>
      </c>
      <c r="M2" s="109" t="s">
        <v>30</v>
      </c>
      <c r="N2" s="107" t="s">
        <v>25</v>
      </c>
      <c r="O2" s="107" t="s">
        <v>26</v>
      </c>
      <c r="P2" s="109" t="s">
        <v>31</v>
      </c>
      <c r="Q2" s="107" t="s">
        <v>27</v>
      </c>
      <c r="R2" s="107" t="s">
        <v>28</v>
      </c>
      <c r="S2" s="110" t="s">
        <v>34</v>
      </c>
      <c r="U2" s="7" t="s">
        <v>48</v>
      </c>
      <c r="AA2" s="207" t="s">
        <v>148</v>
      </c>
      <c r="AB2" s="207" t="s">
        <v>144</v>
      </c>
      <c r="AC2" s="207" t="s">
        <v>145</v>
      </c>
      <c r="AD2" s="207" t="s">
        <v>146</v>
      </c>
      <c r="AE2" s="207" t="s">
        <v>147</v>
      </c>
    </row>
    <row r="3" spans="1:31" ht="45" customHeight="1" thickTop="1" x14ac:dyDescent="0.25">
      <c r="A3" s="34"/>
      <c r="B3" s="35">
        <f ca="1">'Master Data'!$B$6</f>
        <v>126.3</v>
      </c>
      <c r="C3" s="35">
        <f ca="1">'Master Data'!$B$7</f>
        <v>136.30000000000001</v>
      </c>
      <c r="D3" s="35">
        <f ca="1">ROUND(C3-B3,1)</f>
        <v>10</v>
      </c>
      <c r="E3" s="36"/>
      <c r="F3" s="36"/>
      <c r="G3" s="37" t="str">
        <f t="shared" ref="G3:G11" si="0">IF(E3&lt;F3,CONCATENATE(TEXT(E3,"$#,##0.00"),CHAR(10)," - ",CHAR(10),TEXT(F3,"$#,##0.00")),TEXT(E3,"$#,##0.00"))</f>
        <v>$0.00</v>
      </c>
      <c r="H3" s="38"/>
      <c r="I3" s="38"/>
      <c r="J3" s="38"/>
      <c r="K3" s="38"/>
      <c r="L3" s="48" t="str">
        <f t="shared" ref="L3:L11" si="1">IF(LEN(K3)=0,IF(LEN(J3)=0,"lifetime",IF(J3=1,"year","years")),"years")</f>
        <v>lifetime</v>
      </c>
      <c r="M3" s="39" t="str">
        <f>IF(L3="lifetime",
    IF(I3&lt;&gt;"", H3 &amp; "-" &amp; I3 &amp; "x/lifetime", H3 &amp; "x/lifetime"),
    IF(D3='Master Data'!$B$8, AD3 &amp; AE3, AD3 &amp; AE3 &amp; AC3))</f>
        <v>x/lifetime</v>
      </c>
      <c r="N3" s="36">
        <f t="shared" ref="N3:N11" si="2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3" s="36">
        <f t="shared" ref="O3:O11" si="3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3" s="49" t="str">
        <f t="shared" ref="P3:P11" si="4">IF(N3&lt;O3,CONCATENATE(TEXT(N3,"$#,##0.00"),CHAR(10)," - ",CHAR(10),TEXT(O3,"$#,##0.00")),TEXT(N3,"$0.00"))</f>
        <v>$0.00</v>
      </c>
      <c r="Q3" s="36">
        <f t="shared" ref="Q3:Q11" si="5">ROUND(IF(TimeValue="lifetime",MinCost*MinFreq,0),2)</f>
        <v>0</v>
      </c>
      <c r="R3" s="36">
        <f t="shared" ref="R3:R11" si="6">ROUND(IF(AND(TimeValue="lifetime",MaxFreq&lt;1),MinFreq*MaxCost,IF(AND(TimeValue="lifetime",MaxFreq&gt;=1),MaxFreq*MaxCost,0)),2)</f>
        <v>0</v>
      </c>
      <c r="S3" s="50" t="str">
        <f>IF(Q3&lt;R3,CONCATENATE(TEXT(Q3,"$#,###"),CHAR(10)," - ",CHAR(10),TEXT(R3,"$#,###")),TEXT(Q3,"$0"))</f>
        <v>$0</v>
      </c>
      <c r="U3" s="8" t="str">
        <f t="array" aca="1" ref="U3" ca="1">IF(AND(ROUND(Table2[Duration (Years):],1)='Master Data'!$B$8),"same","different")</f>
        <v>same</v>
      </c>
      <c r="V3" s="345" t="s">
        <v>133</v>
      </c>
      <c r="W3" s="345"/>
      <c r="AA3" s="166" t="str">
        <f>IF(L3="lifetime", "one-time cost", IF(D3='Master Data'!$B$8, AD3 &amp; AE3, AD3 &amp; AE3 &amp; AC3))</f>
        <v>one-time cost</v>
      </c>
      <c r="AB3" s="208" t="str">
        <f t="shared" ref="AB3:AB8" si="7">IF(L3="lifetime", IF(I3&lt;&gt;"", H3 &amp; "-" &amp; I3 &amp; "x/lifetime", H3 &amp; "x/lifetime"), "ongoing cost")</f>
        <v>x/lifetime</v>
      </c>
      <c r="AC3" s="166" t="str">
        <f ca="1">IF(Table2[[#This Row],[Duration (Years):]]&lt;&gt;'Master Data'!$B$8,CONCATENATE(",",CHAR(10),"for ",Table2[[#This Row],[Duration (Years):]]," years"),"lifelong")</f>
        <v>lifelong</v>
      </c>
      <c r="AD3" s="166" t="str">
        <f t="shared" ref="AD3:AD8" si="8">IF(L3="lifetime", "one-time cost", IF(I3&lt;&gt;"", H3 &amp; "-" &amp; I3 &amp; "x/", H3 &amp; "x/"))</f>
        <v>one-time cost</v>
      </c>
      <c r="AE3" s="166" t="str">
        <f t="shared" ref="AE3:AE8" si="9">IF(L3="lifetime", "one-time cost", IF(K3&lt;&gt;"", J3 &amp; "-" &amp; K3 &amp; " " &amp; L3, IF(J3&gt;1, J3 &amp; " " &amp; L3, L3)))</f>
        <v>one-time cost</v>
      </c>
    </row>
    <row r="4" spans="1:31" ht="45" customHeight="1" x14ac:dyDescent="0.2">
      <c r="A4" s="28"/>
      <c r="B4" s="29">
        <f ca="1">'Master Data'!$B$6</f>
        <v>126.3</v>
      </c>
      <c r="C4" s="29">
        <f ca="1">'Master Data'!$B$7</f>
        <v>136.30000000000001</v>
      </c>
      <c r="D4" s="29">
        <f ca="1">ROUND(C4-B4,1)</f>
        <v>10</v>
      </c>
      <c r="E4" s="30"/>
      <c r="F4" s="30"/>
      <c r="G4" s="31" t="str">
        <f t="shared" si="0"/>
        <v>$0.00</v>
      </c>
      <c r="H4" s="32"/>
      <c r="I4" s="32"/>
      <c r="J4" s="32"/>
      <c r="K4" s="32"/>
      <c r="L4" s="51" t="str">
        <f t="shared" si="1"/>
        <v>lifetime</v>
      </c>
      <c r="M4" s="33" t="str">
        <f>IF(L4="lifetime",
    IF(I4&lt;&gt;"", H4 &amp; "-" &amp; I4 &amp; "x/lifetime", H4 &amp; "x/lifetime"),
    IF(D4='Master Data'!$B$8, AD4 &amp; AE4, AD4 &amp; AE4 &amp; AC4))</f>
        <v>x/lifetime</v>
      </c>
      <c r="N4" s="30">
        <f t="shared" si="2"/>
        <v>0</v>
      </c>
      <c r="O4" s="30">
        <f t="shared" si="3"/>
        <v>0</v>
      </c>
      <c r="P4" s="52" t="str">
        <f t="shared" si="4"/>
        <v>$0.00</v>
      </c>
      <c r="Q4" s="30">
        <f t="shared" si="5"/>
        <v>0</v>
      </c>
      <c r="R4" s="30">
        <f t="shared" si="6"/>
        <v>0</v>
      </c>
      <c r="S4" s="53" t="str">
        <f>IF(Q4&lt;R4,CONCATENATE(TEXT(Q4,"$#,###"),CHAR(10)," - ",CHAR(10),TEXT(R4,"$#,###")),TEXT(Q4,"$0"))</f>
        <v>$0</v>
      </c>
      <c r="AA4" s="166" t="str">
        <f>IF(L4="lifetime", "one-time cost", IF(D4='Master Data'!$B$8, AD4 &amp; AE4, AD4 &amp; AE4 &amp; AC4))</f>
        <v>one-time cost</v>
      </c>
      <c r="AB4" s="208" t="str">
        <f t="shared" si="7"/>
        <v>x/lifetime</v>
      </c>
      <c r="AC4" s="166" t="str">
        <f ca="1">IF(Table2[[#This Row],[Duration (Years):]]&lt;&gt;'Master Data'!$B$8,CONCATENATE(",",CHAR(10),"for ",Table2[[#This Row],[Duration (Years):]]," years"),"lifelong")</f>
        <v>lifelong</v>
      </c>
      <c r="AD4" s="166" t="str">
        <f t="shared" si="8"/>
        <v>one-time cost</v>
      </c>
      <c r="AE4" s="166" t="str">
        <f t="shared" si="9"/>
        <v>one-time cost</v>
      </c>
    </row>
    <row r="5" spans="1:31" ht="45" customHeight="1" x14ac:dyDescent="0.2">
      <c r="A5" s="28"/>
      <c r="B5" s="29">
        <f ca="1">'Master Data'!$B$6</f>
        <v>126.3</v>
      </c>
      <c r="C5" s="29">
        <f ca="1">'Master Data'!$B$7</f>
        <v>136.30000000000001</v>
      </c>
      <c r="D5" s="29">
        <f t="shared" ref="D5:D11" ca="1" si="10">ROUND(C5-B5,1)</f>
        <v>10</v>
      </c>
      <c r="E5" s="30"/>
      <c r="F5" s="30"/>
      <c r="G5" s="31" t="str">
        <f t="shared" si="0"/>
        <v>$0.00</v>
      </c>
      <c r="H5" s="32"/>
      <c r="I5" s="32"/>
      <c r="J5" s="32"/>
      <c r="K5" s="32"/>
      <c r="L5" s="51" t="str">
        <f t="shared" si="1"/>
        <v>lifetime</v>
      </c>
      <c r="M5" s="33" t="str">
        <f>IF(L5="lifetime",
    IF(I5&lt;&gt;"", H5 &amp; "-" &amp; I5 &amp; "x/lifetime", H5 &amp; "x/lifetime"),
    IF(D5='Master Data'!$B$8, AD5 &amp; AE5, AD5 &amp; AE5 &amp; AC5))</f>
        <v>x/lifetime</v>
      </c>
      <c r="N5" s="30">
        <f t="shared" si="2"/>
        <v>0</v>
      </c>
      <c r="O5" s="30">
        <f t="shared" si="3"/>
        <v>0</v>
      </c>
      <c r="P5" s="52" t="str">
        <f t="shared" si="4"/>
        <v>$0.00</v>
      </c>
      <c r="Q5" s="30">
        <f t="shared" si="5"/>
        <v>0</v>
      </c>
      <c r="R5" s="30">
        <f t="shared" si="6"/>
        <v>0</v>
      </c>
      <c r="S5" s="53" t="str">
        <f t="shared" ref="S5:S11" si="11">IF(Q5&lt;R5,CONCATENATE(TEXT(Q5,"$#,###"),CHAR(10)," - ",CHAR(10),TEXT(R5,"$#,###")),TEXT(Q5,"$0"))</f>
        <v>$0</v>
      </c>
      <c r="AA5" s="166" t="str">
        <f>IF(L5="lifetime", "one-time cost", IF(D5='Master Data'!$B$8, AD5 &amp; AE5, AD5 &amp; AE5 &amp; AC5))</f>
        <v>one-time cost</v>
      </c>
      <c r="AB5" s="208" t="str">
        <f t="shared" si="7"/>
        <v>x/lifetime</v>
      </c>
      <c r="AC5" s="166" t="str">
        <f ca="1">IF(Table2[[#This Row],[Duration (Years):]]&lt;&gt;'Master Data'!$B$8,CONCATENATE(",",CHAR(10),"for ",Table2[[#This Row],[Duration (Years):]]," years"),"lifelong")</f>
        <v>lifelong</v>
      </c>
      <c r="AD5" s="166" t="str">
        <f t="shared" si="8"/>
        <v>one-time cost</v>
      </c>
      <c r="AE5" s="166" t="str">
        <f t="shared" si="9"/>
        <v>one-time cost</v>
      </c>
    </row>
    <row r="6" spans="1:31" ht="45" customHeight="1" x14ac:dyDescent="0.2">
      <c r="A6" s="28"/>
      <c r="B6" s="29">
        <f ca="1">'Master Data'!$B$6</f>
        <v>126.3</v>
      </c>
      <c r="C6" s="29">
        <f ca="1">'Master Data'!$B$7</f>
        <v>136.30000000000001</v>
      </c>
      <c r="D6" s="29">
        <f t="shared" ca="1" si="10"/>
        <v>10</v>
      </c>
      <c r="E6" s="30"/>
      <c r="F6" s="30"/>
      <c r="G6" s="31" t="str">
        <f t="shared" si="0"/>
        <v>$0.00</v>
      </c>
      <c r="H6" s="32"/>
      <c r="I6" s="32"/>
      <c r="J6" s="32"/>
      <c r="K6" s="32"/>
      <c r="L6" s="51" t="str">
        <f t="shared" si="1"/>
        <v>lifetime</v>
      </c>
      <c r="M6" s="33" t="str">
        <f>IF(L6="lifetime",
    IF(I6&lt;&gt;"", H6 &amp; "-" &amp; I6 &amp; "x/lifetime", H6 &amp; "x/lifetime"),
    IF(D6='Master Data'!$B$8, AD6 &amp; AE6, AD6 &amp; AE6 &amp; AC6))</f>
        <v>x/lifetime</v>
      </c>
      <c r="N6" s="30">
        <f t="shared" si="2"/>
        <v>0</v>
      </c>
      <c r="O6" s="30">
        <f t="shared" si="3"/>
        <v>0</v>
      </c>
      <c r="P6" s="52" t="str">
        <f t="shared" si="4"/>
        <v>$0.00</v>
      </c>
      <c r="Q6" s="30">
        <f t="shared" si="5"/>
        <v>0</v>
      </c>
      <c r="R6" s="30">
        <f t="shared" si="6"/>
        <v>0</v>
      </c>
      <c r="S6" s="53" t="str">
        <f t="shared" si="11"/>
        <v>$0</v>
      </c>
      <c r="AA6" s="166" t="str">
        <f>IF(L6="lifetime", "one-time cost", IF(D6='Master Data'!$B$8, AD6 &amp; AE6, AD6 &amp; AE6 &amp; AC6))</f>
        <v>one-time cost</v>
      </c>
      <c r="AB6" s="208" t="str">
        <f t="shared" si="7"/>
        <v>x/lifetime</v>
      </c>
      <c r="AC6" s="166" t="str">
        <f ca="1">IF(Table2[[#This Row],[Duration (Years):]]&lt;&gt;'Master Data'!$B$8,CONCATENATE(",",CHAR(10),"for ",Table2[[#This Row],[Duration (Years):]]," years"),"lifelong")</f>
        <v>lifelong</v>
      </c>
      <c r="AD6" s="166" t="str">
        <f t="shared" si="8"/>
        <v>one-time cost</v>
      </c>
      <c r="AE6" s="166" t="str">
        <f t="shared" si="9"/>
        <v>one-time cost</v>
      </c>
    </row>
    <row r="7" spans="1:31" ht="45" customHeight="1" x14ac:dyDescent="0.2">
      <c r="A7" s="28"/>
      <c r="B7" s="29">
        <f ca="1">'Master Data'!$B$6</f>
        <v>126.3</v>
      </c>
      <c r="C7" s="29">
        <f ca="1">'Master Data'!$B$7</f>
        <v>136.30000000000001</v>
      </c>
      <c r="D7" s="29">
        <f t="shared" ca="1" si="10"/>
        <v>10</v>
      </c>
      <c r="E7" s="30"/>
      <c r="F7" s="30"/>
      <c r="G7" s="31" t="str">
        <f t="shared" si="0"/>
        <v>$0.00</v>
      </c>
      <c r="H7" s="32"/>
      <c r="I7" s="32"/>
      <c r="J7" s="32"/>
      <c r="K7" s="32"/>
      <c r="L7" s="51" t="str">
        <f t="shared" si="1"/>
        <v>lifetime</v>
      </c>
      <c r="M7" s="33" t="str">
        <f>IF(L7="lifetime",
    IF(I7&lt;&gt;"", H7 &amp; "-" &amp; I7 &amp; "x/lifetime", H7 &amp; "x/lifetime"),
    IF(D7='Master Data'!$B$8, AD7 &amp; AE7, AD7 &amp; AE7 &amp; AC7))</f>
        <v>x/lifetime</v>
      </c>
      <c r="N7" s="30">
        <f t="shared" si="2"/>
        <v>0</v>
      </c>
      <c r="O7" s="30">
        <f t="shared" si="3"/>
        <v>0</v>
      </c>
      <c r="P7" s="52" t="str">
        <f t="shared" si="4"/>
        <v>$0.00</v>
      </c>
      <c r="Q7" s="30">
        <f t="shared" si="5"/>
        <v>0</v>
      </c>
      <c r="R7" s="30">
        <f t="shared" si="6"/>
        <v>0</v>
      </c>
      <c r="S7" s="53" t="str">
        <f t="shared" si="11"/>
        <v>$0</v>
      </c>
      <c r="AA7" s="166" t="str">
        <f>IF(L7="lifetime", "one-time cost", IF(D7='Master Data'!$B$8, AD7 &amp; AE7, AD7 &amp; AE7 &amp; AC7))</f>
        <v>one-time cost</v>
      </c>
      <c r="AB7" s="208" t="str">
        <f t="shared" si="7"/>
        <v>x/lifetime</v>
      </c>
      <c r="AC7" s="166" t="str">
        <f ca="1">IF(Table2[[#This Row],[Duration (Years):]]&lt;&gt;'Master Data'!$B$8,CONCATENATE(",",CHAR(10),"for ",Table2[[#This Row],[Duration (Years):]]," years"),"lifelong")</f>
        <v>lifelong</v>
      </c>
      <c r="AD7" s="166" t="str">
        <f t="shared" si="8"/>
        <v>one-time cost</v>
      </c>
      <c r="AE7" s="166" t="str">
        <f t="shared" si="9"/>
        <v>one-time cost</v>
      </c>
    </row>
    <row r="8" spans="1:31" ht="45" customHeight="1" x14ac:dyDescent="0.2">
      <c r="A8" s="28"/>
      <c r="B8" s="29">
        <f ca="1">'Master Data'!$B$6</f>
        <v>126.3</v>
      </c>
      <c r="C8" s="29">
        <f ca="1">'Master Data'!$B$7</f>
        <v>136.30000000000001</v>
      </c>
      <c r="D8" s="29">
        <f t="shared" ca="1" si="10"/>
        <v>10</v>
      </c>
      <c r="E8" s="30"/>
      <c r="F8" s="30"/>
      <c r="G8" s="31" t="str">
        <f t="shared" si="0"/>
        <v>$0.00</v>
      </c>
      <c r="H8" s="32"/>
      <c r="I8" s="32"/>
      <c r="J8" s="32"/>
      <c r="K8" s="32"/>
      <c r="L8" s="51" t="str">
        <f t="shared" si="1"/>
        <v>lifetime</v>
      </c>
      <c r="M8" s="33" t="str">
        <f>IF(L8="lifetime",
    IF(I8&lt;&gt;"", H8 &amp; "-" &amp; I8 &amp; "x/lifetime", H8 &amp; "x/lifetime"),
    IF(D8='Master Data'!$B$8, AD8 &amp; AE8, AD8 &amp; AE8 &amp; AC8))</f>
        <v>x/lifetime</v>
      </c>
      <c r="N8" s="30">
        <f t="shared" si="2"/>
        <v>0</v>
      </c>
      <c r="O8" s="30">
        <f t="shared" si="3"/>
        <v>0</v>
      </c>
      <c r="P8" s="52" t="str">
        <f t="shared" si="4"/>
        <v>$0.00</v>
      </c>
      <c r="Q8" s="30">
        <f t="shared" si="5"/>
        <v>0</v>
      </c>
      <c r="R8" s="30">
        <f t="shared" si="6"/>
        <v>0</v>
      </c>
      <c r="S8" s="53" t="str">
        <f t="shared" si="11"/>
        <v>$0</v>
      </c>
      <c r="AA8" s="166" t="str">
        <f>IF(L8="lifetime", "one-time cost", IF(D8='Master Data'!$B$8, AD8 &amp; AE8, AD8 &amp; AE8 &amp; AC8))</f>
        <v>one-time cost</v>
      </c>
      <c r="AB8" s="208" t="str">
        <f t="shared" si="7"/>
        <v>x/lifetime</v>
      </c>
      <c r="AC8" s="166" t="str">
        <f ca="1">IF(Table2[[#This Row],[Duration (Years):]]&lt;&gt;'Master Data'!$B$8,CONCATENATE(",",CHAR(10),"for ",Table2[[#This Row],[Duration (Years):]]," years"),"lifelong")</f>
        <v>lifelong</v>
      </c>
      <c r="AD8" s="166" t="str">
        <f t="shared" si="8"/>
        <v>one-time cost</v>
      </c>
      <c r="AE8" s="166" t="str">
        <f t="shared" si="9"/>
        <v>one-time cost</v>
      </c>
    </row>
    <row r="9" spans="1:31" ht="45" customHeight="1" x14ac:dyDescent="0.2">
      <c r="A9" s="28"/>
      <c r="B9" s="29">
        <f ca="1">'Master Data'!$B$6</f>
        <v>126.3</v>
      </c>
      <c r="C9" s="29">
        <f ca="1">'Master Data'!$B$7</f>
        <v>136.30000000000001</v>
      </c>
      <c r="D9" s="29">
        <f t="shared" ca="1" si="10"/>
        <v>10</v>
      </c>
      <c r="E9" s="30"/>
      <c r="F9" s="30"/>
      <c r="G9" s="31" t="str">
        <f t="shared" si="0"/>
        <v>$0.00</v>
      </c>
      <c r="H9" s="32"/>
      <c r="I9" s="32"/>
      <c r="J9" s="32"/>
      <c r="K9" s="32"/>
      <c r="L9" s="51" t="str">
        <f t="shared" si="1"/>
        <v>lifetime</v>
      </c>
      <c r="M9" s="33" t="str">
        <f>IF(L9="lifetime",
    IF(I9&lt;&gt;"", H9 &amp; "-" &amp; I9 &amp; "x/lifetime", H9 &amp; "x/lifetime"),
    IF(D9='Master Data'!$B$8, AD9 &amp; AE9, AD9 &amp; AE9 &amp; AC9))</f>
        <v>x/lifetime</v>
      </c>
      <c r="N9" s="30">
        <f t="shared" si="2"/>
        <v>0</v>
      </c>
      <c r="O9" s="30">
        <f t="shared" si="3"/>
        <v>0</v>
      </c>
      <c r="P9" s="52" t="str">
        <f t="shared" si="4"/>
        <v>$0.00</v>
      </c>
      <c r="Q9" s="30">
        <f t="shared" si="5"/>
        <v>0</v>
      </c>
      <c r="R9" s="30">
        <f t="shared" si="6"/>
        <v>0</v>
      </c>
      <c r="S9" s="53" t="str">
        <f t="shared" si="11"/>
        <v>$0</v>
      </c>
      <c r="T9" s="94"/>
      <c r="U9" s="94"/>
      <c r="V9" s="94"/>
      <c r="AA9" s="166" t="str">
        <f>IF(L9="lifetime", "one-time cost", IF(D9='Master Data'!$B$8, AD9 &amp; AE9, AD9 &amp; AE9 &amp; AC9))</f>
        <v>one-time cost</v>
      </c>
      <c r="AB9" s="208" t="str">
        <f t="shared" ref="AB9:AB55" si="12">IF(L9="lifetime", IF(I9&lt;&gt;"", H9 &amp; "-" &amp; I9 &amp; "x/lifetime", H9 &amp; "x/lifetime"), "ongoing cost")</f>
        <v>x/lifetime</v>
      </c>
      <c r="AC9" s="166" t="str">
        <f ca="1">IF(Table2[[#This Row],[Duration (Years):]]&lt;&gt;'Master Data'!$B$8,CONCATENATE(",",CHAR(10),"for ",Table2[[#This Row],[Duration (Years):]]," years"),"lifelong")</f>
        <v>lifelong</v>
      </c>
      <c r="AD9" s="166" t="str">
        <f t="shared" ref="AD9:AD55" si="13">IF(L9="lifetime", "one-time cost", IF(I9&lt;&gt;"", H9 &amp; "-" &amp; I9 &amp; "x/", H9 &amp; "x/"))</f>
        <v>one-time cost</v>
      </c>
      <c r="AE9" s="166" t="str">
        <f t="shared" ref="AE9:AE55" si="14">IF(L9="lifetime", "one-time cost", IF(K9&lt;&gt;"", J9 &amp; "-" &amp; K9 &amp; " " &amp; L9, IF(J9&gt;1, J9 &amp; " " &amp; L9, L9)))</f>
        <v>one-time cost</v>
      </c>
    </row>
    <row r="10" spans="1:31" ht="45" customHeight="1" x14ac:dyDescent="0.2">
      <c r="A10" s="28"/>
      <c r="B10" s="29">
        <f ca="1">'Master Data'!$B$6</f>
        <v>126.3</v>
      </c>
      <c r="C10" s="29">
        <f ca="1">'Master Data'!$B$7</f>
        <v>136.30000000000001</v>
      </c>
      <c r="D10" s="29">
        <f t="shared" ca="1" si="10"/>
        <v>10</v>
      </c>
      <c r="E10" s="30"/>
      <c r="F10" s="30"/>
      <c r="G10" s="31" t="str">
        <f t="shared" si="0"/>
        <v>$0.00</v>
      </c>
      <c r="H10" s="32"/>
      <c r="I10" s="32"/>
      <c r="J10" s="32"/>
      <c r="K10" s="32"/>
      <c r="L10" s="51" t="str">
        <f t="shared" si="1"/>
        <v>lifetime</v>
      </c>
      <c r="M10" s="33" t="str">
        <f>IF(L10="lifetime",
    IF(I10&lt;&gt;"", H10 &amp; "-" &amp; I10 &amp; "x/lifetime", H10 &amp; "x/lifetime"),
    IF(D10='Master Data'!$B$8, AD10 &amp; AE10, AD10 &amp; AE10 &amp; AC10))</f>
        <v>x/lifetime</v>
      </c>
      <c r="N10" s="30">
        <f t="shared" si="2"/>
        <v>0</v>
      </c>
      <c r="O10" s="30">
        <f t="shared" si="3"/>
        <v>0</v>
      </c>
      <c r="P10" s="52" t="str">
        <f t="shared" si="4"/>
        <v>$0.00</v>
      </c>
      <c r="Q10" s="30">
        <f t="shared" si="5"/>
        <v>0</v>
      </c>
      <c r="R10" s="30">
        <f t="shared" si="6"/>
        <v>0</v>
      </c>
      <c r="S10" s="53" t="str">
        <f t="shared" si="11"/>
        <v>$0</v>
      </c>
      <c r="AA10" s="166" t="str">
        <f>IF(L10="lifetime", "one-time cost", IF(D10='Master Data'!$B$8, AD10 &amp; AE10, AD10 &amp; AE10 &amp; AC10))</f>
        <v>one-time cost</v>
      </c>
      <c r="AB10" s="208" t="str">
        <f t="shared" si="12"/>
        <v>x/lifetime</v>
      </c>
      <c r="AC10" s="166" t="str">
        <f ca="1">IF(Table2[[#This Row],[Duration (Years):]]&lt;&gt;'Master Data'!$B$8,CONCATENATE(",",CHAR(10),"for ",Table2[[#This Row],[Duration (Years):]]," years"),"lifelong")</f>
        <v>lifelong</v>
      </c>
      <c r="AD10" s="166" t="str">
        <f t="shared" si="13"/>
        <v>one-time cost</v>
      </c>
      <c r="AE10" s="166" t="str">
        <f t="shared" si="14"/>
        <v>one-time cost</v>
      </c>
    </row>
    <row r="11" spans="1:31" ht="45" customHeight="1" x14ac:dyDescent="0.2">
      <c r="A11" s="28"/>
      <c r="B11" s="29">
        <f ca="1">'Master Data'!$B$6</f>
        <v>126.3</v>
      </c>
      <c r="C11" s="29">
        <f ca="1">'Master Data'!$B$7</f>
        <v>136.30000000000001</v>
      </c>
      <c r="D11" s="29">
        <f t="shared" ca="1" si="10"/>
        <v>10</v>
      </c>
      <c r="E11" s="30"/>
      <c r="F11" s="30"/>
      <c r="G11" s="31" t="str">
        <f t="shared" si="0"/>
        <v>$0.00</v>
      </c>
      <c r="H11" s="32"/>
      <c r="I11" s="32"/>
      <c r="J11" s="32"/>
      <c r="K11" s="32"/>
      <c r="L11" s="51" t="str">
        <f t="shared" si="1"/>
        <v>lifetime</v>
      </c>
      <c r="M11" s="33" t="str">
        <f>IF(L11="lifetime",
    IF(I11&lt;&gt;"", H11 &amp; "-" &amp; I11 &amp; "x/lifetime", H11 &amp; "x/lifetime"),
    IF(D11='Master Data'!$B$8, AD11 &amp; AE11, AD11 &amp; AE11 &amp; AC11))</f>
        <v>x/lifetime</v>
      </c>
      <c r="N11" s="30">
        <f t="shared" si="2"/>
        <v>0</v>
      </c>
      <c r="O11" s="30">
        <f t="shared" si="3"/>
        <v>0</v>
      </c>
      <c r="P11" s="52" t="str">
        <f t="shared" si="4"/>
        <v>$0.00</v>
      </c>
      <c r="Q11" s="30">
        <f t="shared" si="5"/>
        <v>0</v>
      </c>
      <c r="R11" s="30">
        <f t="shared" si="6"/>
        <v>0</v>
      </c>
      <c r="S11" s="53" t="str">
        <f t="shared" si="11"/>
        <v>$0</v>
      </c>
      <c r="AA11" s="166" t="str">
        <f>IF(L11="lifetime", "one-time cost", IF(D11='Master Data'!$B$8, AD11 &amp; AE11, AD11 &amp; AE11 &amp; AC11))</f>
        <v>one-time cost</v>
      </c>
      <c r="AB11" s="208" t="str">
        <f t="shared" si="12"/>
        <v>x/lifetime</v>
      </c>
      <c r="AC11" s="166" t="str">
        <f ca="1">IF(Table2[[#This Row],[Duration (Years):]]&lt;&gt;'Master Data'!$B$8,CONCATENATE(",",CHAR(10),"for ",Table2[[#This Row],[Duration (Years):]]," years"),"lifelong")</f>
        <v>lifelong</v>
      </c>
      <c r="AD11" s="166" t="str">
        <f t="shared" si="13"/>
        <v>one-time cost</v>
      </c>
      <c r="AE11" s="166" t="str">
        <f t="shared" si="14"/>
        <v>one-time cost</v>
      </c>
    </row>
    <row r="12" spans="1:31" ht="45" customHeight="1" x14ac:dyDescent="0.2">
      <c r="A12" s="28"/>
      <c r="B12" s="29">
        <f ca="1">'Master Data'!$B$6</f>
        <v>126.3</v>
      </c>
      <c r="C12" s="29">
        <f ca="1">'Master Data'!$B$7</f>
        <v>136.30000000000001</v>
      </c>
      <c r="D12" s="29">
        <f ca="1">ROUND(C12-B12,1)</f>
        <v>10</v>
      </c>
      <c r="E12" s="30"/>
      <c r="F12" s="30"/>
      <c r="G12" s="31" t="str">
        <f>IF(E12&lt;F12,CONCATENATE(TEXT(E12,"$#,##0.00"),CHAR(10)," - ",CHAR(10),TEXT(F12,"$#,##0.00")),TEXT(E12,"$#,##0.00"))</f>
        <v>$0.00</v>
      </c>
      <c r="H12" s="32"/>
      <c r="I12" s="32"/>
      <c r="J12" s="32"/>
      <c r="K12" s="32"/>
      <c r="L12" s="51" t="str">
        <f>IF(LEN(K12)=0,IF(LEN(J12)=0,"lifetime",IF(J12=1,"year","years")),"years")</f>
        <v>lifetime</v>
      </c>
      <c r="M12" s="33" t="str">
        <f>IF(L12="lifetime",
    IF(I12&lt;&gt;"", H12 &amp; "-" &amp; I12 &amp; "x/lifetime", H12 &amp; "x/lifetime"),
    IF(D12='Master Data'!$B$8, AD12 &amp; AE12, AD12 &amp; AE12 &amp; AC12))</f>
        <v>x/lifetime</v>
      </c>
      <c r="N12" s="30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2" s="30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2" s="52" t="str">
        <f>IF(N12&lt;O12,CONCATENATE(TEXT(N12,"$#,##0.00"),CHAR(10)," - ",CHAR(10),TEXT(O12,"$#,##0.00")),TEXT(N12,"$0.00"))</f>
        <v>$0.00</v>
      </c>
      <c r="Q12" s="30">
        <f>ROUND(IF(TimeValue="lifetime",MinCost*MinFreq,0),2)</f>
        <v>0</v>
      </c>
      <c r="R12" s="30">
        <f>ROUND(IF(AND(TimeValue="lifetime",MaxFreq&lt;1),MinFreq*MaxCost,IF(AND(TimeValue="lifetime",MaxFreq&gt;=1),MaxFreq*MaxCost,0)),2)</f>
        <v>0</v>
      </c>
      <c r="S12" s="53" t="str">
        <f>IF(Q12&lt;R12,CONCATENATE(TEXT(Q12,"$#,###"),CHAR(10)," - ",CHAR(10),TEXT(R12,"$#,###")),TEXT(Q12,"$0"))</f>
        <v>$0</v>
      </c>
      <c r="AA12" s="166" t="str">
        <f>IF(L12="lifetime", "one-time cost", IF(D12='Master Data'!$B$8, AD12 &amp; AE12, AD12 &amp; AE12 &amp; AC12))</f>
        <v>one-time cost</v>
      </c>
      <c r="AB12" s="208" t="str">
        <f t="shared" si="12"/>
        <v>x/lifetime</v>
      </c>
      <c r="AC12" s="166" t="str">
        <f ca="1">IF(Table2[[#This Row],[Duration (Years):]]&lt;&gt;'Master Data'!$B$8,CONCATENATE(",",CHAR(10),"for ",Table2[[#This Row],[Duration (Years):]]," years"),"lifelong")</f>
        <v>lifelong</v>
      </c>
      <c r="AD12" s="166" t="str">
        <f t="shared" si="13"/>
        <v>one-time cost</v>
      </c>
      <c r="AE12" s="166" t="str">
        <f t="shared" si="14"/>
        <v>one-time cost</v>
      </c>
    </row>
    <row r="13" spans="1:31" ht="45" customHeight="1" x14ac:dyDescent="0.2">
      <c r="A13" s="28"/>
      <c r="B13" s="29">
        <f ca="1">'Master Data'!$B$6</f>
        <v>126.3</v>
      </c>
      <c r="C13" s="29">
        <f ca="1">'Master Data'!$B$7</f>
        <v>136.30000000000001</v>
      </c>
      <c r="D13" s="29">
        <f ca="1">ROUND(C13-B13,1)</f>
        <v>10</v>
      </c>
      <c r="E13" s="30"/>
      <c r="F13" s="30"/>
      <c r="G13" s="31" t="str">
        <f>IF(E13&lt;F13,CONCATENATE(TEXT(E13,"$#,##0.00"),CHAR(10)," - ",CHAR(10),TEXT(F13,"$#,##0.00")),TEXT(E13,"$#,##0.00"))</f>
        <v>$0.00</v>
      </c>
      <c r="H13" s="32"/>
      <c r="I13" s="32"/>
      <c r="J13" s="32"/>
      <c r="K13" s="32"/>
      <c r="L13" s="51" t="str">
        <f>IF(LEN(K13)=0,IF(LEN(J13)=0,"lifetime",IF(J13=1,"year","years")),"years")</f>
        <v>lifetime</v>
      </c>
      <c r="M13" s="33" t="str">
        <f>IF(L13="lifetime",
    IF(I13&lt;&gt;"", H13 &amp; "-" &amp; I13 &amp; "x/lifetime", H13 &amp; "x/lifetime"),
    IF(D13='Master Data'!$B$8, AD13 &amp; AE13, AD13 &amp; AE13 &amp; AC13))</f>
        <v>x/lifetime</v>
      </c>
      <c r="N13" s="30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3" s="30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3" s="52" t="str">
        <f>IF(N13&lt;O13,CONCATENATE(TEXT(N13,"$#,##0.00"),CHAR(10)," - ",CHAR(10),TEXT(O13,"$#,##0.00")),TEXT(N13,"$0.00"))</f>
        <v>$0.00</v>
      </c>
      <c r="Q13" s="30">
        <f>ROUND(IF(TimeValue="lifetime",MinCost*MinFreq,0),2)</f>
        <v>0</v>
      </c>
      <c r="R13" s="30">
        <f>ROUND(IF(AND(TimeValue="lifetime",MaxFreq&lt;1),MinFreq*MaxCost,IF(AND(TimeValue="lifetime",MaxFreq&gt;=1),MaxFreq*MaxCost,0)),2)</f>
        <v>0</v>
      </c>
      <c r="S13" s="53" t="str">
        <f>IF(Q13&lt;R13,CONCATENATE(TEXT(Q13,"$#,###"),CHAR(10)," - ",CHAR(10),TEXT(R13,"$#,###")),TEXT(Q13,"$0"))</f>
        <v>$0</v>
      </c>
      <c r="AA13" s="166" t="str">
        <f>IF(L13="lifetime", "one-time cost", IF(D13='Master Data'!$B$8, AD13 &amp; AE13, AD13 &amp; AE13 &amp; AC13))</f>
        <v>one-time cost</v>
      </c>
      <c r="AB13" s="208" t="str">
        <f t="shared" si="12"/>
        <v>x/lifetime</v>
      </c>
      <c r="AC13" s="166" t="str">
        <f ca="1">IF(Table2[[#This Row],[Duration (Years):]]&lt;&gt;'Master Data'!$B$8,CONCATENATE(",",CHAR(10),"for ",Table2[[#This Row],[Duration (Years):]]," years"),"lifelong")</f>
        <v>lifelong</v>
      </c>
      <c r="AD13" s="166" t="str">
        <f t="shared" si="13"/>
        <v>one-time cost</v>
      </c>
      <c r="AE13" s="166" t="str">
        <f t="shared" si="14"/>
        <v>one-time cost</v>
      </c>
    </row>
    <row r="14" spans="1:31" ht="45" customHeight="1" x14ac:dyDescent="0.2">
      <c r="A14" s="28"/>
      <c r="B14" s="29">
        <f ca="1">'Master Data'!$B$6</f>
        <v>126.3</v>
      </c>
      <c r="C14" s="29">
        <f ca="1">'Master Data'!$B$7</f>
        <v>136.30000000000001</v>
      </c>
      <c r="D14" s="29">
        <f ca="1">ROUND(C14-B14,1)</f>
        <v>10</v>
      </c>
      <c r="E14" s="30"/>
      <c r="F14" s="30"/>
      <c r="G14" s="31" t="str">
        <f>IF(E14&lt;F14,CONCATENATE(TEXT(E14,"$#,##0.00"),CHAR(10)," - ",CHAR(10),TEXT(F14,"$#,##0.00")),TEXT(E14,"$#,##0.00"))</f>
        <v>$0.00</v>
      </c>
      <c r="H14" s="32"/>
      <c r="I14" s="32"/>
      <c r="J14" s="32"/>
      <c r="K14" s="32"/>
      <c r="L14" s="51" t="str">
        <f>IF(LEN(K14)=0,IF(LEN(J14)=0,"lifetime",IF(J14=1,"year","years")),"years")</f>
        <v>lifetime</v>
      </c>
      <c r="M14" s="33" t="str">
        <f>IF(L14="lifetime",
    IF(I14&lt;&gt;"", H14 &amp; "-" &amp; I14 &amp; "x/lifetime", H14 &amp; "x/lifetime"),
    IF(D14='Master Data'!$B$8, AD14 &amp; AE14, AD14 &amp; AE14 &amp; AC14))</f>
        <v>x/lifetime</v>
      </c>
      <c r="N14" s="30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4" s="30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4" s="52" t="str">
        <f>IF(N14&lt;O14,CONCATENATE(TEXT(N14,"$#,##0.00"),CHAR(10)," - ",CHAR(10),TEXT(O14,"$#,##0.00")),TEXT(N14,"$0.00"))</f>
        <v>$0.00</v>
      </c>
      <c r="Q14" s="30">
        <f>ROUND(IF(TimeValue="lifetime",MinCost*MinFreq,0),2)</f>
        <v>0</v>
      </c>
      <c r="R14" s="30">
        <f>ROUND(IF(AND(TimeValue="lifetime",MaxFreq&lt;1),MinFreq*MaxCost,IF(AND(TimeValue="lifetime",MaxFreq&gt;=1),MaxFreq*MaxCost,0)),2)</f>
        <v>0</v>
      </c>
      <c r="S14" s="53" t="str">
        <f>IF(Q14&lt;R14,CONCATENATE(TEXT(Q14,"$#,###"),CHAR(10)," - ",CHAR(10),TEXT(R14,"$#,###")),TEXT(Q14,"$0"))</f>
        <v>$0</v>
      </c>
      <c r="AA14" s="166" t="str">
        <f>IF(L14="lifetime", "one-time cost", IF(D14='Master Data'!$B$8, AD14 &amp; AE14, AD14 &amp; AE14 &amp; AC14))</f>
        <v>one-time cost</v>
      </c>
      <c r="AB14" s="208" t="str">
        <f t="shared" si="12"/>
        <v>x/lifetime</v>
      </c>
      <c r="AC14" s="166" t="str">
        <f ca="1">IF(Table2[[#This Row],[Duration (Years):]]&lt;&gt;'Master Data'!$B$8,CONCATENATE(",",CHAR(10),"for ",Table2[[#This Row],[Duration (Years):]]," years"),"lifelong")</f>
        <v>lifelong</v>
      </c>
      <c r="AD14" s="166" t="str">
        <f t="shared" si="13"/>
        <v>one-time cost</v>
      </c>
      <c r="AE14" s="166" t="str">
        <f t="shared" si="14"/>
        <v>one-time cost</v>
      </c>
    </row>
    <row r="15" spans="1:31" ht="45" customHeight="1" thickBot="1" x14ac:dyDescent="0.25">
      <c r="A15" s="28"/>
      <c r="B15" s="29">
        <f ca="1">'Master Data'!$B$6</f>
        <v>126.3</v>
      </c>
      <c r="C15" s="29">
        <f ca="1">'Master Data'!$B$7</f>
        <v>136.30000000000001</v>
      </c>
      <c r="D15" s="29">
        <f ca="1">ROUND(C15-B15,1)</f>
        <v>10</v>
      </c>
      <c r="E15" s="30"/>
      <c r="F15" s="30"/>
      <c r="G15" s="31" t="str">
        <f>IF(E15&lt;F15,CONCATENATE(TEXT(E15,"$#,##0.00"),CHAR(10)," - ",CHAR(10),TEXT(F15,"$#,##0.00")),TEXT(E15,"$#,##0.00"))</f>
        <v>$0.00</v>
      </c>
      <c r="H15" s="32"/>
      <c r="I15" s="32"/>
      <c r="J15" s="32"/>
      <c r="K15" s="32"/>
      <c r="L15" s="51" t="str">
        <f>IF(LEN(K15)=0,IF(LEN(J15)=0,"lifetime",IF(J15=1,"year","years")),"years")</f>
        <v>lifetime</v>
      </c>
      <c r="M15" s="33" t="str">
        <f>IF(L15="lifetime",
    IF(I15&lt;&gt;"", H15 &amp; "-" &amp; I15 &amp; "x/lifetime", H15 &amp; "x/lifetime"),
    IF(D15='Master Data'!$B$8, AD15 &amp; AE15, AD15 &amp; AE15 &amp; AC15))</f>
        <v>x/lifetime</v>
      </c>
      <c r="N15" s="30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5" s="30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5" s="52" t="str">
        <f>IF(N15&lt;O15,CONCATENATE(TEXT(N15,"$#,##0.00"),CHAR(10)," - ",CHAR(10),TEXT(O15,"$#,##0.00")),TEXT(N15,"$0.00"))</f>
        <v>$0.00</v>
      </c>
      <c r="Q15" s="30">
        <f>ROUND(IF(TimeValue="lifetime",MinCost*MinFreq,0),2)</f>
        <v>0</v>
      </c>
      <c r="R15" s="30">
        <f>ROUND(IF(AND(TimeValue="lifetime",MaxFreq&lt;1),MinFreq*MaxCost,IF(AND(TimeValue="lifetime",MaxFreq&gt;=1),MaxFreq*MaxCost,0)),2)</f>
        <v>0</v>
      </c>
      <c r="S15" s="53" t="str">
        <f>IF(Q15&lt;R15,CONCATENATE(TEXT(Q15,"$#,###"),CHAR(10)," - ",CHAR(10),TEXT(R15,"$#,###")),TEXT(Q15,"$0"))</f>
        <v>$0</v>
      </c>
      <c r="AA15" s="166" t="str">
        <f>IF(L15="lifetime", "one-time cost", IF(D15='Master Data'!$B$8, AD15 &amp; AE15, AD15 &amp; AE15 &amp; AC15))</f>
        <v>one-time cost</v>
      </c>
      <c r="AB15" s="208" t="str">
        <f t="shared" si="12"/>
        <v>x/lifetime</v>
      </c>
      <c r="AC15" s="166" t="str">
        <f ca="1">IF(Table2[[#This Row],[Duration (Years):]]&lt;&gt;'Master Data'!$B$8,CONCATENATE(",",CHAR(10),"for ",Table2[[#This Row],[Duration (Years):]]," years"),"lifelong")</f>
        <v>lifelong</v>
      </c>
      <c r="AD15" s="166" t="str">
        <f t="shared" si="13"/>
        <v>one-time cost</v>
      </c>
      <c r="AE15" s="166" t="str">
        <f t="shared" si="14"/>
        <v>one-time cost</v>
      </c>
    </row>
    <row r="16" spans="1:31" ht="15.75" thickTop="1" thickBot="1" x14ac:dyDescent="0.25">
      <c r="A16" s="343" t="s">
        <v>32</v>
      </c>
      <c r="B16" s="344"/>
      <c r="C16" s="344"/>
      <c r="D16" s="344"/>
      <c r="E16" s="344"/>
      <c r="F16" s="344"/>
      <c r="G16" s="344"/>
      <c r="H16" s="344"/>
      <c r="I16" s="344"/>
      <c r="J16" s="344"/>
      <c r="K16" s="344"/>
      <c r="L16" s="344"/>
      <c r="M16" s="344"/>
      <c r="N16" s="69"/>
      <c r="O16" s="69"/>
      <c r="P16" s="70" t="str">
        <f ca="1">IF(U3="same",IF(SUM(Table2[Annual Cost Max:])=0,"$0.00",CONCATENATE(TEXT(SUM(AnnMin),"$#,##0.00"),CHAR(10)," - ",CHAR(10),TEXT(SUM(AnnMax),"$#,##0.00"))),"Variable by year")</f>
        <v>$0.00</v>
      </c>
      <c r="Q16" s="69"/>
      <c r="R16" s="69"/>
      <c r="S16" s="71" t="str">
        <f>IF(SUM(OneTimeMax)=0,"$0.00",CONCATENATE(TEXT(SUM(OneTimeMin),"$#,##.00"),CHAR(10)," - ",CHAR(10),TEXT(SUM(OneTimeMax),"$#,##.00")))</f>
        <v>$0.00</v>
      </c>
      <c r="AA16" s="166" t="e">
        <f>IF(L16="lifetime", "one-time cost", IF(D16='Master Data'!$B$8, AD16 &amp; AE16, AD16 &amp; AE16 &amp; AC16))</f>
        <v>#VALUE!</v>
      </c>
      <c r="AB16" s="208" t="str">
        <f t="shared" si="12"/>
        <v>ongoing cost</v>
      </c>
      <c r="AC16" s="166" t="e">
        <f>IF(Table2[[#This Row],[Duration (Years):]]&lt;&gt;'Master Data'!$B$8,CONCATENATE(",",CHAR(10),"for ",Table2[[#This Row],[Duration (Years):]]," years"),"lifelong")</f>
        <v>#VALUE!</v>
      </c>
      <c r="AD16" s="166" t="str">
        <f t="shared" si="13"/>
        <v>x/</v>
      </c>
      <c r="AE16" s="166">
        <f t="shared" si="14"/>
        <v>0</v>
      </c>
    </row>
    <row r="17" spans="1:31" ht="15" thickTop="1" x14ac:dyDescent="0.2">
      <c r="AA17" s="166" t="e">
        <f>IF(L17="lifetime", "one-time cost", IF(D17='Master Data'!$B$8, AD17 &amp; AE17, AD17 &amp; AE17 &amp; AC17))</f>
        <v>#VALUE!</v>
      </c>
      <c r="AB17" s="208" t="str">
        <f t="shared" si="12"/>
        <v>ongoing cost</v>
      </c>
      <c r="AC17" s="166" t="e">
        <f>IF(Table2[[#This Row],[Duration (Years):]]&lt;&gt;'Master Data'!$B$8,CONCATENATE(",",CHAR(10),"for ",Table2[[#This Row],[Duration (Years):]]," years"),"lifelong")</f>
        <v>#VALUE!</v>
      </c>
      <c r="AD17" s="166" t="str">
        <f t="shared" si="13"/>
        <v>x/</v>
      </c>
      <c r="AE17" s="166">
        <f t="shared" si="14"/>
        <v>0</v>
      </c>
    </row>
    <row r="18" spans="1:31" ht="14.25" x14ac:dyDescent="0.2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AA18" s="166" t="e">
        <f>IF(L18="lifetime", "one-time cost", IF(D18='Master Data'!$B$8, AD18 &amp; AE18, AD18 &amp; AE18 &amp; AC18))</f>
        <v>#VALUE!</v>
      </c>
      <c r="AB18" s="208" t="str">
        <f t="shared" si="12"/>
        <v>ongoing cost</v>
      </c>
      <c r="AC18" s="166" t="e">
        <f>IF(Table2[[#This Row],[Duration (Years):]]&lt;&gt;'Master Data'!$B$8,CONCATENATE(",",CHAR(10),"for ",Table2[[#This Row],[Duration (Years):]]," years"),"lifelong")</f>
        <v>#VALUE!</v>
      </c>
      <c r="AD18" s="166" t="str">
        <f t="shared" si="13"/>
        <v>x/</v>
      </c>
      <c r="AE18" s="166">
        <f t="shared" si="14"/>
        <v>0</v>
      </c>
    </row>
    <row r="19" spans="1:31" ht="14.25" x14ac:dyDescent="0.2">
      <c r="AA19" s="166" t="e">
        <f>IF(L19="lifetime", "one-time cost", IF(D19='Master Data'!$B$8, AD19 &amp; AE19, AD19 &amp; AE19 &amp; AC19))</f>
        <v>#VALUE!</v>
      </c>
      <c r="AB19" s="208" t="str">
        <f t="shared" si="12"/>
        <v>ongoing cost</v>
      </c>
      <c r="AC19" s="166" t="e">
        <f>IF(Table2[[#This Row],[Duration (Years):]]&lt;&gt;'Master Data'!$B$8,CONCATENATE(",",CHAR(10),"for ",Table2[[#This Row],[Duration (Years):]]," years"),"lifelong")</f>
        <v>#VALUE!</v>
      </c>
      <c r="AD19" s="166" t="str">
        <f t="shared" si="13"/>
        <v>x/</v>
      </c>
      <c r="AE19" s="166">
        <f t="shared" si="14"/>
        <v>0</v>
      </c>
    </row>
    <row r="20" spans="1:31" ht="14.25" x14ac:dyDescent="0.2">
      <c r="AA20" s="166" t="e">
        <f>IF(L20="lifetime", "one-time cost", IF(D20='Master Data'!$B$8, AD20 &amp; AE20, AD20 &amp; AE20 &amp; AC20))</f>
        <v>#VALUE!</v>
      </c>
      <c r="AB20" s="208" t="str">
        <f t="shared" si="12"/>
        <v>ongoing cost</v>
      </c>
      <c r="AC20" s="166" t="e">
        <f>IF(Table2[[#This Row],[Duration (Years):]]&lt;&gt;'Master Data'!$B$8,CONCATENATE(",",CHAR(10),"for ",Table2[[#This Row],[Duration (Years):]]," years"),"lifelong")</f>
        <v>#VALUE!</v>
      </c>
      <c r="AD20" s="166" t="str">
        <f t="shared" si="13"/>
        <v>x/</v>
      </c>
      <c r="AE20" s="166">
        <f t="shared" si="14"/>
        <v>0</v>
      </c>
    </row>
    <row r="21" spans="1:31" ht="14.25" x14ac:dyDescent="0.2">
      <c r="AA21" s="166" t="e">
        <f>IF(L21="lifetime", "one-time cost", IF(D21='Master Data'!$B$8, AD21 &amp; AE21, AD21 &amp; AE21 &amp; AC21))</f>
        <v>#VALUE!</v>
      </c>
      <c r="AB21" s="208" t="str">
        <f t="shared" si="12"/>
        <v>ongoing cost</v>
      </c>
      <c r="AC21" s="166" t="e">
        <f>IF(Table2[[#This Row],[Duration (Years):]]&lt;&gt;'Master Data'!$B$8,CONCATENATE(",",CHAR(10),"for ",Table2[[#This Row],[Duration (Years):]]," years"),"lifelong")</f>
        <v>#VALUE!</v>
      </c>
      <c r="AD21" s="166" t="str">
        <f t="shared" si="13"/>
        <v>x/</v>
      </c>
      <c r="AE21" s="166">
        <f t="shared" si="14"/>
        <v>0</v>
      </c>
    </row>
    <row r="22" spans="1:31" ht="14.25" x14ac:dyDescent="0.2">
      <c r="AA22" s="166" t="e">
        <f>IF(L22="lifetime", "one-time cost", IF(D22='Master Data'!$B$8, AD22 &amp; AE22, AD22 &amp; AE22 &amp; AC22))</f>
        <v>#VALUE!</v>
      </c>
      <c r="AB22" s="208" t="str">
        <f t="shared" si="12"/>
        <v>ongoing cost</v>
      </c>
      <c r="AC22" s="166" t="e">
        <f>IF(Table2[[#This Row],[Duration (Years):]]&lt;&gt;'Master Data'!$B$8,CONCATENATE(",",CHAR(10),"for ",Table2[[#This Row],[Duration (Years):]]," years"),"lifelong")</f>
        <v>#VALUE!</v>
      </c>
      <c r="AD22" s="166" t="str">
        <f t="shared" si="13"/>
        <v>x/</v>
      </c>
      <c r="AE22" s="166">
        <f t="shared" si="14"/>
        <v>0</v>
      </c>
    </row>
    <row r="23" spans="1:31" ht="14.25" x14ac:dyDescent="0.2">
      <c r="AA23" s="166" t="e">
        <f>IF(L23="lifetime", "one-time cost", IF(D23='Master Data'!$B$8, AD23 &amp; AE23, AD23 &amp; AE23 &amp; AC23))</f>
        <v>#VALUE!</v>
      </c>
      <c r="AB23" s="208" t="str">
        <f t="shared" si="12"/>
        <v>ongoing cost</v>
      </c>
      <c r="AC23" s="166" t="e">
        <f>IF(Table2[[#This Row],[Duration (Years):]]&lt;&gt;'Master Data'!$B$8,CONCATENATE(",",CHAR(10),"for ",Table2[[#This Row],[Duration (Years):]]," years"),"lifelong")</f>
        <v>#VALUE!</v>
      </c>
      <c r="AD23" s="166" t="str">
        <f t="shared" si="13"/>
        <v>x/</v>
      </c>
      <c r="AE23" s="166">
        <f t="shared" si="14"/>
        <v>0</v>
      </c>
    </row>
    <row r="24" spans="1:31" ht="14.25" x14ac:dyDescent="0.2">
      <c r="AA24" s="166" t="e">
        <f>IF(L24="lifetime", "one-time cost", IF(D24='Master Data'!$B$8, AD24 &amp; AE24, AD24 &amp; AE24 &amp; AC24))</f>
        <v>#VALUE!</v>
      </c>
      <c r="AB24" s="208" t="str">
        <f t="shared" si="12"/>
        <v>ongoing cost</v>
      </c>
      <c r="AC24" s="166" t="e">
        <f>IF(Table2[[#This Row],[Duration (Years):]]&lt;&gt;'Master Data'!$B$8,CONCATENATE(",",CHAR(10),"for ",Table2[[#This Row],[Duration (Years):]]," years"),"lifelong")</f>
        <v>#VALUE!</v>
      </c>
      <c r="AD24" s="166" t="str">
        <f t="shared" si="13"/>
        <v>x/</v>
      </c>
      <c r="AE24" s="166">
        <f t="shared" si="14"/>
        <v>0</v>
      </c>
    </row>
    <row r="25" spans="1:31" ht="14.25" x14ac:dyDescent="0.2">
      <c r="AA25" s="166" t="e">
        <f>IF(L25="lifetime", "one-time cost", IF(D25='Master Data'!$B$8, AD25 &amp; AE25, AD25 &amp; AE25 &amp; AC25))</f>
        <v>#VALUE!</v>
      </c>
      <c r="AB25" s="208" t="str">
        <f t="shared" si="12"/>
        <v>ongoing cost</v>
      </c>
      <c r="AC25" s="166" t="e">
        <f>IF(Table2[[#This Row],[Duration (Years):]]&lt;&gt;'Master Data'!$B$8,CONCATENATE(",",CHAR(10),"for ",Table2[[#This Row],[Duration (Years):]]," years"),"lifelong")</f>
        <v>#VALUE!</v>
      </c>
      <c r="AD25" s="166" t="str">
        <f t="shared" si="13"/>
        <v>x/</v>
      </c>
      <c r="AE25" s="166">
        <f t="shared" si="14"/>
        <v>0</v>
      </c>
    </row>
    <row r="26" spans="1:31" ht="14.25" x14ac:dyDescent="0.2">
      <c r="AA26" s="166" t="e">
        <f>IF(L26="lifetime", "one-time cost", IF(D26='Master Data'!$B$8, AD26 &amp; AE26, AD26 &amp; AE26 &amp; AC26))</f>
        <v>#VALUE!</v>
      </c>
      <c r="AB26" s="208" t="str">
        <f t="shared" si="12"/>
        <v>ongoing cost</v>
      </c>
      <c r="AC26" s="166" t="e">
        <f>IF(Table2[[#This Row],[Duration (Years):]]&lt;&gt;'Master Data'!$B$8,CONCATENATE(",",CHAR(10),"for ",Table2[[#This Row],[Duration (Years):]]," years"),"lifelong")</f>
        <v>#VALUE!</v>
      </c>
      <c r="AD26" s="166" t="str">
        <f t="shared" si="13"/>
        <v>x/</v>
      </c>
      <c r="AE26" s="166">
        <f t="shared" si="14"/>
        <v>0</v>
      </c>
    </row>
    <row r="27" spans="1:31" ht="14.25" x14ac:dyDescent="0.2">
      <c r="AA27" s="166" t="e">
        <f>IF(L27="lifetime", "one-time cost", IF(D27='Master Data'!$B$8, AD27 &amp; AE27, AD27 &amp; AE27 &amp; AC27))</f>
        <v>#VALUE!</v>
      </c>
      <c r="AB27" s="208" t="str">
        <f t="shared" si="12"/>
        <v>ongoing cost</v>
      </c>
      <c r="AC27" s="166" t="e">
        <f>IF(Table2[[#This Row],[Duration (Years):]]&lt;&gt;'Master Data'!$B$8,CONCATENATE(",",CHAR(10),"for ",Table2[[#This Row],[Duration (Years):]]," years"),"lifelong")</f>
        <v>#VALUE!</v>
      </c>
      <c r="AD27" s="166" t="str">
        <f t="shared" si="13"/>
        <v>x/</v>
      </c>
      <c r="AE27" s="166">
        <f t="shared" si="14"/>
        <v>0</v>
      </c>
    </row>
    <row r="28" spans="1:31" ht="14.25" x14ac:dyDescent="0.2">
      <c r="AA28" s="166" t="e">
        <f>IF(L28="lifetime", "one-time cost", IF(D28='Master Data'!$B$8, AD28 &amp; AE28, AD28 &amp; AE28 &amp; AC28))</f>
        <v>#VALUE!</v>
      </c>
      <c r="AB28" s="208" t="str">
        <f t="shared" si="12"/>
        <v>ongoing cost</v>
      </c>
      <c r="AC28" s="166" t="e">
        <f>IF(Table2[[#This Row],[Duration (Years):]]&lt;&gt;'Master Data'!$B$8,CONCATENATE(",",CHAR(10),"for ",Table2[[#This Row],[Duration (Years):]]," years"),"lifelong")</f>
        <v>#VALUE!</v>
      </c>
      <c r="AD28" s="166" t="str">
        <f t="shared" si="13"/>
        <v>x/</v>
      </c>
      <c r="AE28" s="166">
        <f t="shared" si="14"/>
        <v>0</v>
      </c>
    </row>
    <row r="29" spans="1:31" ht="14.25" x14ac:dyDescent="0.2">
      <c r="AA29" s="166" t="e">
        <f>IF(L29="lifetime", "one-time cost", IF(D29='Master Data'!$B$8, AD29 &amp; AE29, AD29 &amp; AE29 &amp; AC29))</f>
        <v>#VALUE!</v>
      </c>
      <c r="AB29" s="208" t="str">
        <f t="shared" si="12"/>
        <v>ongoing cost</v>
      </c>
      <c r="AC29" s="166" t="e">
        <f>IF(Table2[[#This Row],[Duration (Years):]]&lt;&gt;'Master Data'!$B$8,CONCATENATE(",",CHAR(10),"for ",Table2[[#This Row],[Duration (Years):]]," years"),"lifelong")</f>
        <v>#VALUE!</v>
      </c>
      <c r="AD29" s="166" t="str">
        <f t="shared" si="13"/>
        <v>x/</v>
      </c>
      <c r="AE29" s="166">
        <f t="shared" si="14"/>
        <v>0</v>
      </c>
    </row>
    <row r="30" spans="1:31" ht="14.25" x14ac:dyDescent="0.2">
      <c r="AA30" s="166" t="e">
        <f>IF(L30="lifetime", "one-time cost", IF(D30='Master Data'!$B$8, AD30 &amp; AE30, AD30 &amp; AE30 &amp; AC30))</f>
        <v>#VALUE!</v>
      </c>
      <c r="AB30" s="208" t="str">
        <f t="shared" si="12"/>
        <v>ongoing cost</v>
      </c>
      <c r="AC30" s="166" t="e">
        <f>IF(Table2[[#This Row],[Duration (Years):]]&lt;&gt;'Master Data'!$B$8,CONCATENATE(",",CHAR(10),"for ",Table2[[#This Row],[Duration (Years):]]," years"),"lifelong")</f>
        <v>#VALUE!</v>
      </c>
      <c r="AD30" s="166" t="str">
        <f t="shared" si="13"/>
        <v>x/</v>
      </c>
      <c r="AE30" s="166">
        <f t="shared" si="14"/>
        <v>0</v>
      </c>
    </row>
    <row r="31" spans="1:31" ht="14.25" x14ac:dyDescent="0.2">
      <c r="AA31" s="166" t="e">
        <f>IF(L31="lifetime", "one-time cost", IF(D31='Master Data'!$B$8, AD31 &amp; AE31, AD31 &amp; AE31 &amp; AC31))</f>
        <v>#VALUE!</v>
      </c>
      <c r="AB31" s="208" t="str">
        <f t="shared" si="12"/>
        <v>ongoing cost</v>
      </c>
      <c r="AC31" s="166" t="e">
        <f>IF(Table2[[#This Row],[Duration (Years):]]&lt;&gt;'Master Data'!$B$8,CONCATENATE(",",CHAR(10),"for ",Table2[[#This Row],[Duration (Years):]]," years"),"lifelong")</f>
        <v>#VALUE!</v>
      </c>
      <c r="AD31" s="166" t="str">
        <f t="shared" si="13"/>
        <v>x/</v>
      </c>
      <c r="AE31" s="166">
        <f t="shared" si="14"/>
        <v>0</v>
      </c>
    </row>
    <row r="32" spans="1:31" ht="14.25" x14ac:dyDescent="0.2">
      <c r="AA32" s="166" t="e">
        <f>IF(L32="lifetime", "one-time cost", IF(D32='Master Data'!$B$8, AD32 &amp; AE32, AD32 &amp; AE32 &amp; AC32))</f>
        <v>#VALUE!</v>
      </c>
      <c r="AB32" s="208" t="str">
        <f t="shared" si="12"/>
        <v>ongoing cost</v>
      </c>
      <c r="AC32" s="166" t="e">
        <f>IF(Table2[[#This Row],[Duration (Years):]]&lt;&gt;'Master Data'!$B$8,CONCATENATE(",",CHAR(10),"for ",Table2[[#This Row],[Duration (Years):]]," years"),"lifelong")</f>
        <v>#VALUE!</v>
      </c>
      <c r="AD32" s="166" t="str">
        <f t="shared" si="13"/>
        <v>x/</v>
      </c>
      <c r="AE32" s="166">
        <f t="shared" si="14"/>
        <v>0</v>
      </c>
    </row>
    <row r="33" spans="27:31" ht="14.25" x14ac:dyDescent="0.2">
      <c r="AA33" s="166" t="e">
        <f>IF(L33="lifetime", "one-time cost", IF(D33='Master Data'!$B$8, AD33 &amp; AE33, AD33 &amp; AE33 &amp; AC33))</f>
        <v>#VALUE!</v>
      </c>
      <c r="AB33" s="208" t="str">
        <f t="shared" si="12"/>
        <v>ongoing cost</v>
      </c>
      <c r="AC33" s="166" t="e">
        <f>IF(Table2[[#This Row],[Duration (Years):]]&lt;&gt;'Master Data'!$B$8,CONCATENATE(",",CHAR(10),"for ",Table2[[#This Row],[Duration (Years):]]," years"),"lifelong")</f>
        <v>#VALUE!</v>
      </c>
      <c r="AD33" s="166" t="str">
        <f t="shared" si="13"/>
        <v>x/</v>
      </c>
      <c r="AE33" s="166">
        <f t="shared" si="14"/>
        <v>0</v>
      </c>
    </row>
    <row r="34" spans="27:31" ht="14.25" x14ac:dyDescent="0.2">
      <c r="AA34" s="166" t="e">
        <f>IF(L34="lifetime", "one-time cost", IF(D34='Master Data'!$B$8, AD34 &amp; AE34, AD34 &amp; AE34 &amp; AC34))</f>
        <v>#VALUE!</v>
      </c>
      <c r="AB34" s="208" t="str">
        <f t="shared" si="12"/>
        <v>ongoing cost</v>
      </c>
      <c r="AC34" s="166" t="e">
        <f>IF(Table2[[#This Row],[Duration (Years):]]&lt;&gt;'Master Data'!$B$8,CONCATENATE(",",CHAR(10),"for ",Table2[[#This Row],[Duration (Years):]]," years"),"lifelong")</f>
        <v>#VALUE!</v>
      </c>
      <c r="AD34" s="166" t="str">
        <f t="shared" si="13"/>
        <v>x/</v>
      </c>
      <c r="AE34" s="166">
        <f t="shared" si="14"/>
        <v>0</v>
      </c>
    </row>
    <row r="35" spans="27:31" ht="14.25" x14ac:dyDescent="0.2">
      <c r="AA35" s="166" t="e">
        <f>IF(L35="lifetime", "one-time cost", IF(D35='Master Data'!$B$8, AD35 &amp; AE35, AD35 &amp; AE35 &amp; AC35))</f>
        <v>#VALUE!</v>
      </c>
      <c r="AB35" s="208" t="str">
        <f t="shared" si="12"/>
        <v>ongoing cost</v>
      </c>
      <c r="AC35" s="166" t="e">
        <f>IF(Table2[[#This Row],[Duration (Years):]]&lt;&gt;'Master Data'!$B$8,CONCATENATE(",",CHAR(10),"for ",Table2[[#This Row],[Duration (Years):]]," years"),"lifelong")</f>
        <v>#VALUE!</v>
      </c>
      <c r="AD35" s="166" t="str">
        <f t="shared" si="13"/>
        <v>x/</v>
      </c>
      <c r="AE35" s="166">
        <f t="shared" si="14"/>
        <v>0</v>
      </c>
    </row>
    <row r="36" spans="27:31" ht="14.25" x14ac:dyDescent="0.2">
      <c r="AA36" s="166" t="e">
        <f>IF(L36="lifetime", "one-time cost", IF(D36='Master Data'!$B$8, AD36 &amp; AE36, AD36 &amp; AE36 &amp; AC36))</f>
        <v>#VALUE!</v>
      </c>
      <c r="AB36" s="208" t="str">
        <f t="shared" si="12"/>
        <v>ongoing cost</v>
      </c>
      <c r="AC36" s="166" t="e">
        <f>IF(Table2[[#This Row],[Duration (Years):]]&lt;&gt;'Master Data'!$B$8,CONCATENATE(",",CHAR(10),"for ",Table2[[#This Row],[Duration (Years):]]," years"),"lifelong")</f>
        <v>#VALUE!</v>
      </c>
      <c r="AD36" s="166" t="str">
        <f t="shared" si="13"/>
        <v>x/</v>
      </c>
      <c r="AE36" s="166">
        <f t="shared" si="14"/>
        <v>0</v>
      </c>
    </row>
    <row r="37" spans="27:31" ht="14.25" x14ac:dyDescent="0.2">
      <c r="AA37" s="166" t="e">
        <f>IF(L37="lifetime", "one-time cost", IF(D37='Master Data'!$B$8, AD37 &amp; AE37, AD37 &amp; AE37 &amp; AC37))</f>
        <v>#VALUE!</v>
      </c>
      <c r="AB37" s="208" t="str">
        <f t="shared" si="12"/>
        <v>ongoing cost</v>
      </c>
      <c r="AC37" s="166" t="e">
        <f>IF(Table2[[#This Row],[Duration (Years):]]&lt;&gt;'Master Data'!$B$8,CONCATENATE(",",CHAR(10),"for ",Table2[[#This Row],[Duration (Years):]]," years"),"lifelong")</f>
        <v>#VALUE!</v>
      </c>
      <c r="AD37" s="166" t="str">
        <f t="shared" si="13"/>
        <v>x/</v>
      </c>
      <c r="AE37" s="166">
        <f t="shared" si="14"/>
        <v>0</v>
      </c>
    </row>
    <row r="38" spans="27:31" ht="14.25" x14ac:dyDescent="0.2">
      <c r="AA38" s="166" t="e">
        <f>IF(L38="lifetime", "one-time cost", IF(D38='Master Data'!$B$8, AD38 &amp; AE38, AD38 &amp; AE38 &amp; AC38))</f>
        <v>#VALUE!</v>
      </c>
      <c r="AB38" s="208" t="str">
        <f t="shared" si="12"/>
        <v>ongoing cost</v>
      </c>
      <c r="AC38" s="166" t="e">
        <f>IF(Table2[[#This Row],[Duration (Years):]]&lt;&gt;'Master Data'!$B$8,CONCATENATE(",",CHAR(10),"for ",Table2[[#This Row],[Duration (Years):]]," years"),"lifelong")</f>
        <v>#VALUE!</v>
      </c>
      <c r="AD38" s="166" t="str">
        <f t="shared" si="13"/>
        <v>x/</v>
      </c>
      <c r="AE38" s="166">
        <f t="shared" si="14"/>
        <v>0</v>
      </c>
    </row>
    <row r="39" spans="27:31" ht="14.25" x14ac:dyDescent="0.2">
      <c r="AA39" s="166" t="e">
        <f>IF(L39="lifetime", "one-time cost", IF(D39='Master Data'!$B$8, AD39 &amp; AE39, AD39 &amp; AE39 &amp; AC39))</f>
        <v>#VALUE!</v>
      </c>
      <c r="AB39" s="208" t="str">
        <f t="shared" si="12"/>
        <v>ongoing cost</v>
      </c>
      <c r="AC39" s="166" t="e">
        <f>IF(Table2[[#This Row],[Duration (Years):]]&lt;&gt;'Master Data'!$B$8,CONCATENATE(",",CHAR(10),"for ",Table2[[#This Row],[Duration (Years):]]," years"),"lifelong")</f>
        <v>#VALUE!</v>
      </c>
      <c r="AD39" s="166" t="str">
        <f t="shared" si="13"/>
        <v>x/</v>
      </c>
      <c r="AE39" s="166">
        <f t="shared" si="14"/>
        <v>0</v>
      </c>
    </row>
    <row r="40" spans="27:31" ht="14.25" x14ac:dyDescent="0.2">
      <c r="AA40" s="166" t="e">
        <f>IF(L40="lifetime", "one-time cost", IF(D40='Master Data'!$B$8, AD40 &amp; AE40, AD40 &amp; AE40 &amp; AC40))</f>
        <v>#VALUE!</v>
      </c>
      <c r="AB40" s="208" t="str">
        <f t="shared" si="12"/>
        <v>ongoing cost</v>
      </c>
      <c r="AC40" s="166" t="e">
        <f>IF(Table2[[#This Row],[Duration (Years):]]&lt;&gt;'Master Data'!$B$8,CONCATENATE(",",CHAR(10),"for ",Table2[[#This Row],[Duration (Years):]]," years"),"lifelong")</f>
        <v>#VALUE!</v>
      </c>
      <c r="AD40" s="166" t="str">
        <f t="shared" si="13"/>
        <v>x/</v>
      </c>
      <c r="AE40" s="166">
        <f t="shared" si="14"/>
        <v>0</v>
      </c>
    </row>
    <row r="41" spans="27:31" ht="14.25" x14ac:dyDescent="0.2">
      <c r="AA41" s="166" t="e">
        <f>IF(L41="lifetime", "one-time cost", IF(D41='Master Data'!$B$8, AD41 &amp; AE41, AD41 &amp; AE41 &amp; AC41))</f>
        <v>#VALUE!</v>
      </c>
      <c r="AB41" s="208" t="str">
        <f t="shared" si="12"/>
        <v>ongoing cost</v>
      </c>
      <c r="AC41" s="166" t="e">
        <f>IF(Table2[[#This Row],[Duration (Years):]]&lt;&gt;'Master Data'!$B$8,CONCATENATE(",",CHAR(10),"for ",Table2[[#This Row],[Duration (Years):]]," years"),"lifelong")</f>
        <v>#VALUE!</v>
      </c>
      <c r="AD41" s="166" t="str">
        <f t="shared" si="13"/>
        <v>x/</v>
      </c>
      <c r="AE41" s="166">
        <f t="shared" si="14"/>
        <v>0</v>
      </c>
    </row>
    <row r="42" spans="27:31" ht="14.25" x14ac:dyDescent="0.2">
      <c r="AA42" s="166" t="e">
        <f>IF(L42="lifetime", "one-time cost", IF(D42='Master Data'!$B$8, AD42 &amp; AE42, AD42 &amp; AE42 &amp; AC42))</f>
        <v>#VALUE!</v>
      </c>
      <c r="AB42" s="208" t="str">
        <f t="shared" si="12"/>
        <v>ongoing cost</v>
      </c>
      <c r="AC42" s="166" t="e">
        <f>IF(Table2[[#This Row],[Duration (Years):]]&lt;&gt;'Master Data'!$B$8,CONCATENATE(",",CHAR(10),"for ",Table2[[#This Row],[Duration (Years):]]," years"),"lifelong")</f>
        <v>#VALUE!</v>
      </c>
      <c r="AD42" s="166" t="str">
        <f t="shared" si="13"/>
        <v>x/</v>
      </c>
      <c r="AE42" s="166">
        <f t="shared" si="14"/>
        <v>0</v>
      </c>
    </row>
    <row r="43" spans="27:31" ht="14.25" x14ac:dyDescent="0.2">
      <c r="AA43" s="166" t="e">
        <f>IF(L43="lifetime", "one-time cost", IF(D43='Master Data'!$B$8, AD43 &amp; AE43, AD43 &amp; AE43 &amp; AC43))</f>
        <v>#VALUE!</v>
      </c>
      <c r="AB43" s="208" t="str">
        <f t="shared" si="12"/>
        <v>ongoing cost</v>
      </c>
      <c r="AC43" s="166" t="e">
        <f>IF(Table2[[#This Row],[Duration (Years):]]&lt;&gt;'Master Data'!$B$8,CONCATENATE(",",CHAR(10),"for ",Table2[[#This Row],[Duration (Years):]]," years"),"lifelong")</f>
        <v>#VALUE!</v>
      </c>
      <c r="AD43" s="166" t="str">
        <f t="shared" si="13"/>
        <v>x/</v>
      </c>
      <c r="AE43" s="166">
        <f t="shared" si="14"/>
        <v>0</v>
      </c>
    </row>
    <row r="44" spans="27:31" ht="14.25" x14ac:dyDescent="0.2">
      <c r="AA44" s="166" t="e">
        <f>IF(L44="lifetime", "one-time cost", IF(D44='Master Data'!$B$8, AD44 &amp; AE44, AD44 &amp; AE44 &amp; AC44))</f>
        <v>#VALUE!</v>
      </c>
      <c r="AB44" s="208" t="str">
        <f t="shared" si="12"/>
        <v>ongoing cost</v>
      </c>
      <c r="AC44" s="166" t="e">
        <f>IF(Table2[[#This Row],[Duration (Years):]]&lt;&gt;'Master Data'!$B$8,CONCATENATE(",",CHAR(10),"for ",Table2[[#This Row],[Duration (Years):]]," years"),"lifelong")</f>
        <v>#VALUE!</v>
      </c>
      <c r="AD44" s="166" t="str">
        <f t="shared" si="13"/>
        <v>x/</v>
      </c>
      <c r="AE44" s="166">
        <f t="shared" si="14"/>
        <v>0</v>
      </c>
    </row>
    <row r="45" spans="27:31" ht="14.25" x14ac:dyDescent="0.2">
      <c r="AA45" s="166" t="e">
        <f>IF(L45="lifetime", "one-time cost", IF(D45='Master Data'!$B$8, AD45 &amp; AE45, AD45 &amp; AE45 &amp; AC45))</f>
        <v>#VALUE!</v>
      </c>
      <c r="AB45" s="208" t="str">
        <f t="shared" si="12"/>
        <v>ongoing cost</v>
      </c>
      <c r="AC45" s="166" t="e">
        <f>IF(Table2[[#This Row],[Duration (Years):]]&lt;&gt;'Master Data'!$B$8,CONCATENATE(",",CHAR(10),"for ",Table2[[#This Row],[Duration (Years):]]," years"),"lifelong")</f>
        <v>#VALUE!</v>
      </c>
      <c r="AD45" s="166" t="str">
        <f t="shared" si="13"/>
        <v>x/</v>
      </c>
      <c r="AE45" s="166">
        <f t="shared" si="14"/>
        <v>0</v>
      </c>
    </row>
    <row r="46" spans="27:31" ht="14.25" x14ac:dyDescent="0.2">
      <c r="AA46" s="166" t="e">
        <f>IF(L46="lifetime", "one-time cost", IF(D46='Master Data'!$B$8, AD46 &amp; AE46, AD46 &amp; AE46 &amp; AC46))</f>
        <v>#VALUE!</v>
      </c>
      <c r="AB46" s="208" t="str">
        <f t="shared" si="12"/>
        <v>ongoing cost</v>
      </c>
      <c r="AC46" s="166" t="e">
        <f>IF(Table2[[#This Row],[Duration (Years):]]&lt;&gt;'Master Data'!$B$8,CONCATENATE(",",CHAR(10),"for ",Table2[[#This Row],[Duration (Years):]]," years"),"lifelong")</f>
        <v>#VALUE!</v>
      </c>
      <c r="AD46" s="166" t="str">
        <f t="shared" si="13"/>
        <v>x/</v>
      </c>
      <c r="AE46" s="166">
        <f t="shared" si="14"/>
        <v>0</v>
      </c>
    </row>
    <row r="47" spans="27:31" ht="14.25" x14ac:dyDescent="0.2">
      <c r="AA47" s="166" t="e">
        <f>IF(L47="lifetime", "one-time cost", IF(D47='Master Data'!$B$8, AD47 &amp; AE47, AD47 &amp; AE47 &amp; AC47))</f>
        <v>#VALUE!</v>
      </c>
      <c r="AB47" s="208" t="str">
        <f t="shared" si="12"/>
        <v>ongoing cost</v>
      </c>
      <c r="AC47" s="166" t="e">
        <f>IF(Table2[[#This Row],[Duration (Years):]]&lt;&gt;'Master Data'!$B$8,CONCATENATE(",",CHAR(10),"for ",Table2[[#This Row],[Duration (Years):]]," years"),"lifelong")</f>
        <v>#VALUE!</v>
      </c>
      <c r="AD47" s="166" t="str">
        <f t="shared" si="13"/>
        <v>x/</v>
      </c>
      <c r="AE47" s="166">
        <f t="shared" si="14"/>
        <v>0</v>
      </c>
    </row>
    <row r="48" spans="27:31" ht="14.25" x14ac:dyDescent="0.2">
      <c r="AA48" s="166" t="e">
        <f>IF(L48="lifetime", "one-time cost", IF(D48='Master Data'!$B$8, AD48 &amp; AE48, AD48 &amp; AE48 &amp; AC48))</f>
        <v>#VALUE!</v>
      </c>
      <c r="AB48" s="208" t="str">
        <f t="shared" si="12"/>
        <v>ongoing cost</v>
      </c>
      <c r="AC48" s="166" t="e">
        <f>IF(Table2[[#This Row],[Duration (Years):]]&lt;&gt;'Master Data'!$B$8,CONCATENATE(",",CHAR(10),"for ",Table2[[#This Row],[Duration (Years):]]," years"),"lifelong")</f>
        <v>#VALUE!</v>
      </c>
      <c r="AD48" s="166" t="str">
        <f t="shared" si="13"/>
        <v>x/</v>
      </c>
      <c r="AE48" s="166">
        <f t="shared" si="14"/>
        <v>0</v>
      </c>
    </row>
    <row r="49" spans="27:31" ht="14.25" x14ac:dyDescent="0.2">
      <c r="AA49" s="166" t="e">
        <f>IF(L49="lifetime", "one-time cost", IF(D49='Master Data'!$B$8, AD49 &amp; AE49, AD49 &amp; AE49 &amp; AC49))</f>
        <v>#VALUE!</v>
      </c>
      <c r="AB49" s="208" t="str">
        <f t="shared" si="12"/>
        <v>ongoing cost</v>
      </c>
      <c r="AC49" s="166" t="e">
        <f>IF(Table2[[#This Row],[Duration (Years):]]&lt;&gt;'Master Data'!$B$8,CONCATENATE(",",CHAR(10),"for ",Table2[[#This Row],[Duration (Years):]]," years"),"lifelong")</f>
        <v>#VALUE!</v>
      </c>
      <c r="AD49" s="166" t="str">
        <f t="shared" si="13"/>
        <v>x/</v>
      </c>
      <c r="AE49" s="166">
        <f t="shared" si="14"/>
        <v>0</v>
      </c>
    </row>
    <row r="50" spans="27:31" ht="14.25" x14ac:dyDescent="0.2">
      <c r="AA50" s="166" t="e">
        <f>IF(L50="lifetime", "one-time cost", IF(D50='Master Data'!$B$8, AD50 &amp; AE50, AD50 &amp; AE50 &amp; AC50))</f>
        <v>#VALUE!</v>
      </c>
      <c r="AB50" s="208" t="str">
        <f t="shared" si="12"/>
        <v>ongoing cost</v>
      </c>
      <c r="AC50" s="166" t="e">
        <f>IF(Table2[[#This Row],[Duration (Years):]]&lt;&gt;'Master Data'!$B$8,CONCATENATE(",",CHAR(10),"for ",Table2[[#This Row],[Duration (Years):]]," years"),"lifelong")</f>
        <v>#VALUE!</v>
      </c>
      <c r="AD50" s="166" t="str">
        <f t="shared" si="13"/>
        <v>x/</v>
      </c>
      <c r="AE50" s="166">
        <f t="shared" si="14"/>
        <v>0</v>
      </c>
    </row>
    <row r="51" spans="27:31" ht="14.25" x14ac:dyDescent="0.2">
      <c r="AA51" s="166" t="e">
        <f>IF(L51="lifetime", "one-time cost", IF(D51='Master Data'!$B$8, AD51 &amp; AE51, AD51 &amp; AE51 &amp; AC51))</f>
        <v>#VALUE!</v>
      </c>
      <c r="AB51" s="208" t="str">
        <f t="shared" si="12"/>
        <v>ongoing cost</v>
      </c>
      <c r="AC51" s="166" t="e">
        <f>IF(Table2[[#This Row],[Duration (Years):]]&lt;&gt;'Master Data'!$B$8,CONCATENATE(",",CHAR(10),"for ",Table2[[#This Row],[Duration (Years):]]," years"),"lifelong")</f>
        <v>#VALUE!</v>
      </c>
      <c r="AD51" s="166" t="str">
        <f t="shared" si="13"/>
        <v>x/</v>
      </c>
      <c r="AE51" s="166">
        <f t="shared" si="14"/>
        <v>0</v>
      </c>
    </row>
    <row r="52" spans="27:31" ht="14.25" x14ac:dyDescent="0.2">
      <c r="AA52" s="166" t="e">
        <f>IF(L52="lifetime", "one-time cost", IF(D52='Master Data'!$B$8, AD52 &amp; AE52, AD52 &amp; AE52 &amp; AC52))</f>
        <v>#VALUE!</v>
      </c>
      <c r="AB52" s="208" t="str">
        <f t="shared" si="12"/>
        <v>ongoing cost</v>
      </c>
      <c r="AC52" s="166" t="e">
        <f>IF(Table2[[#This Row],[Duration (Years):]]&lt;&gt;'Master Data'!$B$8,CONCATENATE(",",CHAR(10),"for ",Table2[[#This Row],[Duration (Years):]]," years"),"lifelong")</f>
        <v>#VALUE!</v>
      </c>
      <c r="AD52" s="166" t="str">
        <f t="shared" si="13"/>
        <v>x/</v>
      </c>
      <c r="AE52" s="166">
        <f t="shared" si="14"/>
        <v>0</v>
      </c>
    </row>
    <row r="53" spans="27:31" ht="14.25" x14ac:dyDescent="0.2">
      <c r="AA53" s="166" t="e">
        <f>IF(L53="lifetime", "one-time cost", IF(D53='Master Data'!$B$8, AD53 &amp; AE53, AD53 &amp; AE53 &amp; AC53))</f>
        <v>#VALUE!</v>
      </c>
      <c r="AB53" s="208" t="str">
        <f t="shared" si="12"/>
        <v>ongoing cost</v>
      </c>
      <c r="AC53" s="166" t="e">
        <f>IF(Table2[[#This Row],[Duration (Years):]]&lt;&gt;'Master Data'!$B$8,CONCATENATE(",",CHAR(10),"for ",Table2[[#This Row],[Duration (Years):]]," years"),"lifelong")</f>
        <v>#VALUE!</v>
      </c>
      <c r="AD53" s="166" t="str">
        <f t="shared" si="13"/>
        <v>x/</v>
      </c>
      <c r="AE53" s="166">
        <f t="shared" si="14"/>
        <v>0</v>
      </c>
    </row>
    <row r="54" spans="27:31" ht="14.25" x14ac:dyDescent="0.2">
      <c r="AA54" s="166" t="e">
        <f>IF(L54="lifetime", "one-time cost", IF(D54='Master Data'!$B$8, AD54 &amp; AE54, AD54 &amp; AE54 &amp; AC54))</f>
        <v>#VALUE!</v>
      </c>
      <c r="AB54" s="208" t="str">
        <f t="shared" si="12"/>
        <v>ongoing cost</v>
      </c>
      <c r="AC54" s="166" t="e">
        <f>IF(Table2[[#This Row],[Duration (Years):]]&lt;&gt;'Master Data'!$B$8,CONCATENATE(",",CHAR(10),"for ",Table2[[#This Row],[Duration (Years):]]," years"),"lifelong")</f>
        <v>#VALUE!</v>
      </c>
      <c r="AD54" s="166" t="str">
        <f t="shared" si="13"/>
        <v>x/</v>
      </c>
      <c r="AE54" s="166">
        <f t="shared" si="14"/>
        <v>0</v>
      </c>
    </row>
    <row r="55" spans="27:31" ht="14.25" x14ac:dyDescent="0.2">
      <c r="AA55" s="166" t="e">
        <f>IF(L55="lifetime", "one-time cost", IF(D55='Master Data'!$B$8, AD55 &amp; AE55, AD55 &amp; AE55 &amp; AC55))</f>
        <v>#VALUE!</v>
      </c>
      <c r="AB55" s="208" t="str">
        <f t="shared" si="12"/>
        <v>ongoing cost</v>
      </c>
      <c r="AC55" s="166" t="e">
        <f>IF(Table2[[#This Row],[Duration (Years):]]&lt;&gt;'Master Data'!$B$8,CONCATENATE(",",CHAR(10),"for ",Table2[[#This Row],[Duration (Years):]]," years"),"lifelong")</f>
        <v>#VALUE!</v>
      </c>
      <c r="AD55" s="166" t="str">
        <f t="shared" si="13"/>
        <v>x/</v>
      </c>
      <c r="AE55" s="166">
        <f t="shared" si="14"/>
        <v>0</v>
      </c>
    </row>
  </sheetData>
  <sortState xmlns:xlrd2="http://schemas.microsoft.com/office/spreadsheetml/2017/richdata2" ref="A3:S4">
    <sortCondition ref="D3"/>
    <sortCondition ref="A3"/>
  </sortState>
  <mergeCells count="3">
    <mergeCell ref="A1:S1"/>
    <mergeCell ref="A16:M16"/>
    <mergeCell ref="V3:W3"/>
  </mergeCells>
  <hyperlinks>
    <hyperlink ref="V3" location="Procedure1!A1" display="Link to copy/paste table here" xr:uid="{06D59DAA-F51F-45FE-980A-1E73EE4A0281}"/>
    <hyperlink ref="V3:W3" location="Interventional!A1" display="Link to copy/paste table here" xr:uid="{2175768C-9150-49AD-88CA-24818A4EF702}"/>
  </hyperlinks>
  <pageMargins left="0.25" right="0.25" top="0.75" bottom="0.75" header="0.3" footer="0.3"/>
  <pageSetup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53"/>
  <sheetViews>
    <sheetView workbookViewId="0">
      <selection sqref="A1:S1"/>
    </sheetView>
  </sheetViews>
  <sheetFormatPr defaultColWidth="9.140625" defaultRowHeight="12.75" x14ac:dyDescent="0.2"/>
  <cols>
    <col min="1" max="1" width="19.7109375" style="10" customWidth="1"/>
    <col min="2" max="3" width="9.7109375" style="11" hidden="1" customWidth="1"/>
    <col min="4" max="4" width="13.42578125" style="11" customWidth="1"/>
    <col min="5" max="6" width="13.28515625" style="9" customWidth="1"/>
    <col min="7" max="7" width="15.7109375" style="12" hidden="1" customWidth="1"/>
    <col min="8" max="11" width="8.7109375" style="13" customWidth="1"/>
    <col min="12" max="12" width="10.85546875" style="10" customWidth="1"/>
    <col min="13" max="13" width="17.7109375" style="14" customWidth="1"/>
    <col min="14" max="15" width="12.28515625" style="9" hidden="1" customWidth="1"/>
    <col min="16" max="16" width="14.7109375" style="15" customWidth="1"/>
    <col min="17" max="18" width="12.28515625" style="9" hidden="1" customWidth="1"/>
    <col min="19" max="19" width="14.7109375" style="15" customWidth="1"/>
    <col min="20" max="20" width="9.140625" style="8"/>
    <col min="21" max="21" width="0" style="8" hidden="1" customWidth="1"/>
    <col min="22" max="26" width="9.140625" style="8"/>
    <col min="27" max="31" width="9.140625" style="8" hidden="1" customWidth="1"/>
    <col min="32" max="16384" width="9.140625" style="8"/>
  </cols>
  <sheetData>
    <row r="1" spans="1:31" ht="30" customHeight="1" thickTop="1" x14ac:dyDescent="0.2">
      <c r="A1" s="340" t="s">
        <v>61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2"/>
    </row>
    <row r="2" spans="1:31" s="72" customFormat="1" ht="57.75" thickBot="1" x14ac:dyDescent="0.3">
      <c r="A2" s="105" t="s">
        <v>33</v>
      </c>
      <c r="B2" s="106" t="s">
        <v>15</v>
      </c>
      <c r="C2" s="106" t="s">
        <v>16</v>
      </c>
      <c r="D2" s="106" t="s">
        <v>17</v>
      </c>
      <c r="E2" s="107" t="s">
        <v>18</v>
      </c>
      <c r="F2" s="107" t="s">
        <v>19</v>
      </c>
      <c r="G2" s="107" t="s">
        <v>29</v>
      </c>
      <c r="H2" s="108" t="s">
        <v>20</v>
      </c>
      <c r="I2" s="108" t="s">
        <v>21</v>
      </c>
      <c r="J2" s="108" t="s">
        <v>22</v>
      </c>
      <c r="K2" s="108" t="s">
        <v>23</v>
      </c>
      <c r="L2" s="109" t="s">
        <v>24</v>
      </c>
      <c r="M2" s="109" t="s">
        <v>30</v>
      </c>
      <c r="N2" s="107" t="s">
        <v>25</v>
      </c>
      <c r="O2" s="107" t="s">
        <v>26</v>
      </c>
      <c r="P2" s="109" t="s">
        <v>31</v>
      </c>
      <c r="Q2" s="107" t="s">
        <v>27</v>
      </c>
      <c r="R2" s="107" t="s">
        <v>28</v>
      </c>
      <c r="S2" s="110" t="s">
        <v>34</v>
      </c>
      <c r="U2" s="7" t="s">
        <v>48</v>
      </c>
      <c r="AA2" s="207" t="s">
        <v>148</v>
      </c>
      <c r="AB2" s="207" t="s">
        <v>144</v>
      </c>
      <c r="AC2" s="207" t="s">
        <v>145</v>
      </c>
      <c r="AD2" s="207" t="s">
        <v>146</v>
      </c>
      <c r="AE2" s="207" t="s">
        <v>147</v>
      </c>
    </row>
    <row r="3" spans="1:31" ht="45" customHeight="1" thickTop="1" x14ac:dyDescent="0.25">
      <c r="A3" s="34"/>
      <c r="B3" s="35">
        <f ca="1">'Master Data'!$B$6</f>
        <v>126.3</v>
      </c>
      <c r="C3" s="35">
        <f ca="1">'Master Data'!$B$7</f>
        <v>136.30000000000001</v>
      </c>
      <c r="D3" s="35">
        <f ca="1">ROUND(C3-B3,1)</f>
        <v>10</v>
      </c>
      <c r="E3" s="36"/>
      <c r="F3" s="36"/>
      <c r="G3" s="37" t="str">
        <f t="shared" ref="G3:G12" si="0">IF(E3&lt;F3,CONCATENATE(TEXT(E3,"$#,##0.00"),CHAR(10)," - ",CHAR(10),TEXT(F3,"$#,##0.00")),TEXT(E3,"$#,##0.00"))</f>
        <v>$0.00</v>
      </c>
      <c r="H3" s="38"/>
      <c r="I3" s="38"/>
      <c r="J3" s="38"/>
      <c r="K3" s="38"/>
      <c r="L3" s="48" t="str">
        <f t="shared" ref="L3:L12" si="1">IF(LEN(K3)=0,IF(LEN(J3)=0,"lifetime",IF(J3=1,"year","years")),"years")</f>
        <v>lifetime</v>
      </c>
      <c r="M3" s="39" t="str">
        <f>IF(L3="lifetime",
    IF(I3&lt;&gt;"", H3 &amp; "-" &amp; I3 &amp; "x/lifetime", H3 &amp; "x/lifetime"),
    IF(D3='Master Data'!$B$8, AD3 &amp; AE3, AD3 &amp; AE3 &amp; AC3))</f>
        <v>x/lifetime</v>
      </c>
      <c r="N3" s="36">
        <f t="shared" ref="N3:N12" si="2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3" s="36">
        <f t="shared" ref="O3:O12" si="3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3" s="49" t="str">
        <f t="shared" ref="P3:P12" si="4">IF(N3&lt;O3,CONCATENATE(TEXT(N3,"$#,##0.00"),CHAR(10)," - ",CHAR(10),TEXT(O3,"$#,##0.00")),TEXT(N3,"$0.00"))</f>
        <v>$0.00</v>
      </c>
      <c r="Q3" s="36">
        <f t="shared" ref="Q3:Q12" si="5">ROUND(IF(TimeValue="lifetime",MinCost*MinFreq,0),2)</f>
        <v>0</v>
      </c>
      <c r="R3" s="36">
        <f t="shared" ref="R3:R12" si="6">ROUND(IF(AND(TimeValue="lifetime",MaxFreq&lt;1),MinFreq*MaxCost,IF(AND(TimeValue="lifetime",MaxFreq&gt;=1),MaxFreq*MaxCost,0)),2)</f>
        <v>0</v>
      </c>
      <c r="S3" s="50" t="str">
        <f t="shared" ref="S3:S12" si="7">IF(Q3&lt;R3,CONCATENATE(TEXT(Q3,"$#,##0.00"),CHAR(10)," - ",CHAR(10),TEXT(R3,"$#,##0.00")),TEXT(Q3,"$0.00"))</f>
        <v>$0.00</v>
      </c>
      <c r="U3" s="8" t="str">
        <f t="array" aca="1" ref="U3" ca="1">IF(AND(ROUND(Table4[Duration (Years):],1)='Master Data'!$B$8),"same","different")</f>
        <v>same</v>
      </c>
      <c r="V3" s="345" t="s">
        <v>133</v>
      </c>
      <c r="W3" s="345"/>
      <c r="AA3" s="166" t="str">
        <f>IF(L3="lifetime", "one-time cost", IF(D3='Master Data'!$B$8, AD3 &amp; AE3, AD3 &amp; AE3 &amp; AC3))</f>
        <v>one-time cost</v>
      </c>
      <c r="AB3" s="208" t="str">
        <f>IF(L3="lifetime", IF(I3&lt;&gt;"", H3 &amp; "-" &amp; I3 &amp; "x/lifetime", H3 &amp; "x/lifetime"), "ongoing cost")</f>
        <v>x/lifetime</v>
      </c>
      <c r="AC3" s="166" t="str">
        <f ca="1">IF(Table4[[#This Row],[Duration (Years):]]&lt;&gt;'Master Data'!$B$8,CONCATENATE(",",CHAR(10),"for ",Table4[[#This Row],[Duration (Years):]]," years"),"lifelong")</f>
        <v>lifelong</v>
      </c>
      <c r="AD3" s="166" t="str">
        <f>IF(L3="lifetime", "one-time cost", IF(I3&lt;&gt;"", H3 &amp; "-" &amp; I3 &amp; "x/", H3 &amp; "x/"))</f>
        <v>one-time cost</v>
      </c>
      <c r="AE3" s="166" t="str">
        <f>IF(L3="lifetime", "one-time cost", IF(K3&lt;&gt;"", J3 &amp; "-" &amp; K3 &amp; " " &amp; L3, IF(J3&gt;1, J3 &amp; " " &amp; L3, L3)))</f>
        <v>one-time cost</v>
      </c>
    </row>
    <row r="4" spans="1:31" ht="45" customHeight="1" x14ac:dyDescent="0.2">
      <c r="A4" s="28"/>
      <c r="B4" s="29">
        <f ca="1">'Master Data'!$B$6</f>
        <v>126.3</v>
      </c>
      <c r="C4" s="29">
        <f ca="1">'Master Data'!$B$7</f>
        <v>136.30000000000001</v>
      </c>
      <c r="D4" s="29">
        <f ca="1">ROUND(C4-B4,1)</f>
        <v>10</v>
      </c>
      <c r="E4" s="30"/>
      <c r="F4" s="30"/>
      <c r="G4" s="31" t="str">
        <f t="shared" si="0"/>
        <v>$0.00</v>
      </c>
      <c r="H4" s="32"/>
      <c r="I4" s="32"/>
      <c r="J4" s="32"/>
      <c r="K4" s="32"/>
      <c r="L4" s="51" t="str">
        <f t="shared" si="1"/>
        <v>lifetime</v>
      </c>
      <c r="M4" s="33" t="str">
        <f>IF(L4="lifetime",
    IF(I4&lt;&gt;"", H4 &amp; "-" &amp; I4 &amp; "x/lifetime", H4 &amp; "x/lifetime"),
    IF(D4='Master Data'!$B$8, AD4 &amp; AE4, AD4 &amp; AE4 &amp; AC4))</f>
        <v>x/lifetime</v>
      </c>
      <c r="N4" s="30">
        <f t="shared" si="2"/>
        <v>0</v>
      </c>
      <c r="O4" s="30">
        <f t="shared" si="3"/>
        <v>0</v>
      </c>
      <c r="P4" s="52" t="str">
        <f t="shared" si="4"/>
        <v>$0.00</v>
      </c>
      <c r="Q4" s="30">
        <f t="shared" si="5"/>
        <v>0</v>
      </c>
      <c r="R4" s="30">
        <f t="shared" si="6"/>
        <v>0</v>
      </c>
      <c r="S4" s="53" t="str">
        <f t="shared" si="7"/>
        <v>$0.00</v>
      </c>
      <c r="AA4" s="166" t="str">
        <f>IF(L4="lifetime", "one-time cost", IF(D4='Master Data'!$B$8, AD4 &amp; AE4, AD4 &amp; AE4 &amp; AC4))</f>
        <v>one-time cost</v>
      </c>
      <c r="AB4" s="208" t="str">
        <f t="shared" ref="AB4:AB9" si="8">IF(L4="lifetime", IF(I4&lt;&gt;"", H4 &amp; "-" &amp; I4 &amp; "x/lifetime", H4 &amp; "x/lifetime"), "ongoing cost")</f>
        <v>x/lifetime</v>
      </c>
      <c r="AC4" s="166" t="str">
        <f ca="1">IF(Table4[[#This Row],[Duration (Years):]]&lt;&gt;'Master Data'!$B$8,CONCATENATE(",",CHAR(10),"for ",Table4[[#This Row],[Duration (Years):]]," years"),"lifelong")</f>
        <v>lifelong</v>
      </c>
      <c r="AD4" s="166" t="str">
        <f t="shared" ref="AD4:AD9" si="9">IF(L4="lifetime", "one-time cost", IF(I4&lt;&gt;"", H4 &amp; "-" &amp; I4 &amp; "x/", H4 &amp; "x/"))</f>
        <v>one-time cost</v>
      </c>
      <c r="AE4" s="166" t="str">
        <f t="shared" ref="AE4:AE9" si="10">IF(L4="lifetime", "one-time cost", IF(K4&lt;&gt;"", J4 &amp; "-" &amp; K4 &amp; " " &amp; L4, IF(J4&gt;1, J4 &amp; " " &amp; L4, L4)))</f>
        <v>one-time cost</v>
      </c>
    </row>
    <row r="5" spans="1:31" ht="45" customHeight="1" x14ac:dyDescent="0.2">
      <c r="A5" s="28"/>
      <c r="B5" s="29">
        <f ca="1">'Master Data'!$B$6</f>
        <v>126.3</v>
      </c>
      <c r="C5" s="29">
        <f ca="1">'Master Data'!$B$7</f>
        <v>136.30000000000001</v>
      </c>
      <c r="D5" s="29">
        <f ca="1">ROUND(C5-B5,1)</f>
        <v>10</v>
      </c>
      <c r="E5" s="30"/>
      <c r="F5" s="30"/>
      <c r="G5" s="31" t="str">
        <f t="shared" si="0"/>
        <v>$0.00</v>
      </c>
      <c r="H5" s="32"/>
      <c r="I5" s="32"/>
      <c r="J5" s="32"/>
      <c r="K5" s="32"/>
      <c r="L5" s="51" t="str">
        <f t="shared" si="1"/>
        <v>lifetime</v>
      </c>
      <c r="M5" s="33" t="str">
        <f>IF(L5="lifetime",
    IF(I5&lt;&gt;"", H5 &amp; "-" &amp; I5 &amp; "x/lifetime", H5 &amp; "x/lifetime"),
    IF(D5='Master Data'!$B$8, AD5 &amp; AE5, AD5 &amp; AE5 &amp; AC5))</f>
        <v>x/lifetime</v>
      </c>
      <c r="N5" s="30">
        <f t="shared" si="2"/>
        <v>0</v>
      </c>
      <c r="O5" s="30">
        <f t="shared" si="3"/>
        <v>0</v>
      </c>
      <c r="P5" s="52" t="str">
        <f t="shared" si="4"/>
        <v>$0.00</v>
      </c>
      <c r="Q5" s="30">
        <f t="shared" si="5"/>
        <v>0</v>
      </c>
      <c r="R5" s="30">
        <f t="shared" si="6"/>
        <v>0</v>
      </c>
      <c r="S5" s="53" t="str">
        <f t="shared" si="7"/>
        <v>$0.00</v>
      </c>
      <c r="AA5" s="166" t="str">
        <f>IF(L5="lifetime", "one-time cost", IF(D5='Master Data'!$B$8, AD5 &amp; AE5, AD5 &amp; AE5 &amp; AC5))</f>
        <v>one-time cost</v>
      </c>
      <c r="AB5" s="208" t="str">
        <f t="shared" si="8"/>
        <v>x/lifetime</v>
      </c>
      <c r="AC5" s="166" t="str">
        <f ca="1">IF(Table4[[#This Row],[Duration (Years):]]&lt;&gt;'Master Data'!$B$8,CONCATENATE(",",CHAR(10),"for ",Table4[[#This Row],[Duration (Years):]]," years"),"lifelong")</f>
        <v>lifelong</v>
      </c>
      <c r="AD5" s="166" t="str">
        <f t="shared" si="9"/>
        <v>one-time cost</v>
      </c>
      <c r="AE5" s="166" t="str">
        <f t="shared" si="10"/>
        <v>one-time cost</v>
      </c>
    </row>
    <row r="6" spans="1:31" ht="45" customHeight="1" x14ac:dyDescent="0.2">
      <c r="A6" s="28"/>
      <c r="B6" s="29">
        <f ca="1">'Master Data'!$B$6</f>
        <v>126.3</v>
      </c>
      <c r="C6" s="29">
        <f ca="1">'Master Data'!$B$7</f>
        <v>136.30000000000001</v>
      </c>
      <c r="D6" s="29">
        <f t="shared" ref="D6:D12" ca="1" si="11">ROUND(C6-B6,1)</f>
        <v>10</v>
      </c>
      <c r="E6" s="30"/>
      <c r="F6" s="30"/>
      <c r="G6" s="31" t="str">
        <f t="shared" si="0"/>
        <v>$0.00</v>
      </c>
      <c r="H6" s="32"/>
      <c r="I6" s="32"/>
      <c r="J6" s="32"/>
      <c r="K6" s="32"/>
      <c r="L6" s="51" t="str">
        <f t="shared" si="1"/>
        <v>lifetime</v>
      </c>
      <c r="M6" s="33" t="str">
        <f>IF(L6="lifetime",
    IF(I6&lt;&gt;"", H6 &amp; "-" &amp; I6 &amp; "x/lifetime", H6 &amp; "x/lifetime"),
    IF(D6='Master Data'!$B$8, AD6 &amp; AE6, AD6 &amp; AE6 &amp; AC6))</f>
        <v>x/lifetime</v>
      </c>
      <c r="N6" s="30">
        <f t="shared" si="2"/>
        <v>0</v>
      </c>
      <c r="O6" s="30">
        <f t="shared" si="3"/>
        <v>0</v>
      </c>
      <c r="P6" s="52" t="str">
        <f t="shared" si="4"/>
        <v>$0.00</v>
      </c>
      <c r="Q6" s="30">
        <f t="shared" si="5"/>
        <v>0</v>
      </c>
      <c r="R6" s="30">
        <f t="shared" si="6"/>
        <v>0</v>
      </c>
      <c r="S6" s="53" t="str">
        <f t="shared" si="7"/>
        <v>$0.00</v>
      </c>
      <c r="AA6" s="166" t="str">
        <f>IF(L6="lifetime", "one-time cost", IF(D6='Master Data'!$B$8, AD6 &amp; AE6, AD6 &amp; AE6 &amp; AC6))</f>
        <v>one-time cost</v>
      </c>
      <c r="AB6" s="208" t="str">
        <f t="shared" si="8"/>
        <v>x/lifetime</v>
      </c>
      <c r="AC6" s="166" t="str">
        <f ca="1">IF(Table4[[#This Row],[Duration (Years):]]&lt;&gt;'Master Data'!$B$8,CONCATENATE(",",CHAR(10),"for ",Table4[[#This Row],[Duration (Years):]]," years"),"lifelong")</f>
        <v>lifelong</v>
      </c>
      <c r="AD6" s="166" t="str">
        <f t="shared" si="9"/>
        <v>one-time cost</v>
      </c>
      <c r="AE6" s="166" t="str">
        <f t="shared" si="10"/>
        <v>one-time cost</v>
      </c>
    </row>
    <row r="7" spans="1:31" ht="45" customHeight="1" x14ac:dyDescent="0.2">
      <c r="A7" s="28"/>
      <c r="B7" s="29">
        <f ca="1">'Master Data'!$B$6</f>
        <v>126.3</v>
      </c>
      <c r="C7" s="29">
        <f ca="1">'Master Data'!$B$7</f>
        <v>136.30000000000001</v>
      </c>
      <c r="D7" s="29">
        <f t="shared" ca="1" si="11"/>
        <v>10</v>
      </c>
      <c r="E7" s="30"/>
      <c r="F7" s="30"/>
      <c r="G7" s="31" t="str">
        <f t="shared" si="0"/>
        <v>$0.00</v>
      </c>
      <c r="H7" s="32"/>
      <c r="I7" s="32"/>
      <c r="J7" s="32"/>
      <c r="K7" s="32"/>
      <c r="L7" s="51" t="str">
        <f t="shared" si="1"/>
        <v>lifetime</v>
      </c>
      <c r="M7" s="33" t="str">
        <f>IF(L7="lifetime",
    IF(I7&lt;&gt;"", H7 &amp; "-" &amp; I7 &amp; "x/lifetime", H7 &amp; "x/lifetime"),
    IF(D7='Master Data'!$B$8, AD7 &amp; AE7, AD7 &amp; AE7 &amp; AC7))</f>
        <v>x/lifetime</v>
      </c>
      <c r="N7" s="30">
        <f t="shared" si="2"/>
        <v>0</v>
      </c>
      <c r="O7" s="30">
        <f t="shared" si="3"/>
        <v>0</v>
      </c>
      <c r="P7" s="52" t="str">
        <f t="shared" si="4"/>
        <v>$0.00</v>
      </c>
      <c r="Q7" s="30">
        <f t="shared" si="5"/>
        <v>0</v>
      </c>
      <c r="R7" s="30">
        <f t="shared" si="6"/>
        <v>0</v>
      </c>
      <c r="S7" s="53" t="str">
        <f t="shared" si="7"/>
        <v>$0.00</v>
      </c>
      <c r="AA7" s="166" t="str">
        <f>IF(L7="lifetime", "one-time cost", IF(D7='Master Data'!$B$8, AD7 &amp; AE7, AD7 &amp; AE7 &amp; AC7))</f>
        <v>one-time cost</v>
      </c>
      <c r="AB7" s="208" t="str">
        <f t="shared" si="8"/>
        <v>x/lifetime</v>
      </c>
      <c r="AC7" s="166" t="str">
        <f ca="1">IF(Table4[[#This Row],[Duration (Years):]]&lt;&gt;'Master Data'!$B$8,CONCATENATE(",",CHAR(10),"for ",Table4[[#This Row],[Duration (Years):]]," years"),"lifelong")</f>
        <v>lifelong</v>
      </c>
      <c r="AD7" s="166" t="str">
        <f t="shared" si="9"/>
        <v>one-time cost</v>
      </c>
      <c r="AE7" s="166" t="str">
        <f t="shared" si="10"/>
        <v>one-time cost</v>
      </c>
    </row>
    <row r="8" spans="1:31" ht="45" customHeight="1" x14ac:dyDescent="0.2">
      <c r="A8" s="28"/>
      <c r="B8" s="29">
        <f ca="1">'Master Data'!$B$6</f>
        <v>126.3</v>
      </c>
      <c r="C8" s="29">
        <f ca="1">'Master Data'!$B$7</f>
        <v>136.30000000000001</v>
      </c>
      <c r="D8" s="29">
        <f t="shared" ca="1" si="11"/>
        <v>10</v>
      </c>
      <c r="E8" s="30"/>
      <c r="F8" s="30"/>
      <c r="G8" s="31" t="str">
        <f t="shared" si="0"/>
        <v>$0.00</v>
      </c>
      <c r="H8" s="32"/>
      <c r="I8" s="32"/>
      <c r="J8" s="32"/>
      <c r="K8" s="32"/>
      <c r="L8" s="51" t="str">
        <f t="shared" si="1"/>
        <v>lifetime</v>
      </c>
      <c r="M8" s="33" t="str">
        <f>IF(L8="lifetime",
    IF(I8&lt;&gt;"", H8 &amp; "-" &amp; I8 &amp; "x/lifetime", H8 &amp; "x/lifetime"),
    IF(D8='Master Data'!$B$8, AD8 &amp; AE8, AD8 &amp; AE8 &amp; AC8))</f>
        <v>x/lifetime</v>
      </c>
      <c r="N8" s="30">
        <f t="shared" si="2"/>
        <v>0</v>
      </c>
      <c r="O8" s="30">
        <f t="shared" si="3"/>
        <v>0</v>
      </c>
      <c r="P8" s="52" t="str">
        <f t="shared" si="4"/>
        <v>$0.00</v>
      </c>
      <c r="Q8" s="30">
        <f t="shared" si="5"/>
        <v>0</v>
      </c>
      <c r="R8" s="30">
        <f t="shared" si="6"/>
        <v>0</v>
      </c>
      <c r="S8" s="53" t="str">
        <f t="shared" si="7"/>
        <v>$0.00</v>
      </c>
      <c r="AA8" s="166" t="str">
        <f>IF(L8="lifetime", "one-time cost", IF(D8='Master Data'!$B$8, AD8 &amp; AE8, AD8 &amp; AE8 &amp; AC8))</f>
        <v>one-time cost</v>
      </c>
      <c r="AB8" s="208" t="str">
        <f t="shared" si="8"/>
        <v>x/lifetime</v>
      </c>
      <c r="AC8" s="166" t="str">
        <f ca="1">IF(Table4[[#This Row],[Duration (Years):]]&lt;&gt;'Master Data'!$B$8,CONCATENATE(",",CHAR(10),"for ",Table4[[#This Row],[Duration (Years):]]," years"),"lifelong")</f>
        <v>lifelong</v>
      </c>
      <c r="AD8" s="166" t="str">
        <f t="shared" si="9"/>
        <v>one-time cost</v>
      </c>
      <c r="AE8" s="166" t="str">
        <f t="shared" si="10"/>
        <v>one-time cost</v>
      </c>
    </row>
    <row r="9" spans="1:31" ht="45" customHeight="1" x14ac:dyDescent="0.2">
      <c r="A9" s="28"/>
      <c r="B9" s="29">
        <f ca="1">'Master Data'!$B$6</f>
        <v>126.3</v>
      </c>
      <c r="C9" s="29">
        <f ca="1">'Master Data'!$B$7</f>
        <v>136.30000000000001</v>
      </c>
      <c r="D9" s="29">
        <f t="shared" ca="1" si="11"/>
        <v>10</v>
      </c>
      <c r="E9" s="30"/>
      <c r="F9" s="30"/>
      <c r="G9" s="31" t="str">
        <f t="shared" si="0"/>
        <v>$0.00</v>
      </c>
      <c r="H9" s="32"/>
      <c r="I9" s="32"/>
      <c r="J9" s="32"/>
      <c r="K9" s="32"/>
      <c r="L9" s="51" t="str">
        <f t="shared" si="1"/>
        <v>lifetime</v>
      </c>
      <c r="M9" s="33" t="str">
        <f>IF(L9="lifetime",
    IF(I9&lt;&gt;"", H9 &amp; "-" &amp; I9 &amp; "x/lifetime", H9 &amp; "x/lifetime"),
    IF(D9='Master Data'!$B$8, AD9 &amp; AE9, AD9 &amp; AE9 &amp; AC9))</f>
        <v>x/lifetime</v>
      </c>
      <c r="N9" s="30">
        <f t="shared" si="2"/>
        <v>0</v>
      </c>
      <c r="O9" s="30">
        <f t="shared" si="3"/>
        <v>0</v>
      </c>
      <c r="P9" s="52" t="str">
        <f t="shared" si="4"/>
        <v>$0.00</v>
      </c>
      <c r="Q9" s="30">
        <f t="shared" si="5"/>
        <v>0</v>
      </c>
      <c r="R9" s="30">
        <f t="shared" si="6"/>
        <v>0</v>
      </c>
      <c r="S9" s="53" t="str">
        <f t="shared" si="7"/>
        <v>$0.00</v>
      </c>
      <c r="AA9" s="166" t="str">
        <f>IF(L9="lifetime", "one-time cost", IF(D9='Master Data'!$B$8, AD9 &amp; AE9, AD9 &amp; AE9 &amp; AC9))</f>
        <v>one-time cost</v>
      </c>
      <c r="AB9" s="208" t="str">
        <f t="shared" si="8"/>
        <v>x/lifetime</v>
      </c>
      <c r="AC9" s="166" t="str">
        <f ca="1">IF(Table4[[#This Row],[Duration (Years):]]&lt;&gt;'Master Data'!$B$8,CONCATENATE(",",CHAR(10),"for ",Table4[[#This Row],[Duration (Years):]]," years"),"lifelong")</f>
        <v>lifelong</v>
      </c>
      <c r="AD9" s="166" t="str">
        <f t="shared" si="9"/>
        <v>one-time cost</v>
      </c>
      <c r="AE9" s="166" t="str">
        <f t="shared" si="10"/>
        <v>one-time cost</v>
      </c>
    </row>
    <row r="10" spans="1:31" ht="45" customHeight="1" x14ac:dyDescent="0.2">
      <c r="A10" s="28"/>
      <c r="B10" s="29">
        <f ca="1">'Master Data'!$B$6</f>
        <v>126.3</v>
      </c>
      <c r="C10" s="29">
        <f ca="1">'Master Data'!$B$7</f>
        <v>136.30000000000001</v>
      </c>
      <c r="D10" s="29">
        <f t="shared" ca="1" si="11"/>
        <v>10</v>
      </c>
      <c r="E10" s="30"/>
      <c r="F10" s="30"/>
      <c r="G10" s="31" t="str">
        <f t="shared" si="0"/>
        <v>$0.00</v>
      </c>
      <c r="H10" s="32"/>
      <c r="I10" s="32"/>
      <c r="J10" s="32"/>
      <c r="K10" s="32"/>
      <c r="L10" s="51" t="str">
        <f t="shared" si="1"/>
        <v>lifetime</v>
      </c>
      <c r="M10" s="33" t="str">
        <f>IF(L10="lifetime",
    IF(I10&lt;&gt;"", H10 &amp; "-" &amp; I10 &amp; "x/lifetime", H10 &amp; "x/lifetime"),
    IF(D10='Master Data'!$B$8, AD10 &amp; AE10, AD10 &amp; AE10 &amp; AC10))</f>
        <v>x/lifetime</v>
      </c>
      <c r="N10" s="30">
        <f t="shared" si="2"/>
        <v>0</v>
      </c>
      <c r="O10" s="30">
        <f t="shared" si="3"/>
        <v>0</v>
      </c>
      <c r="P10" s="52" t="str">
        <f t="shared" si="4"/>
        <v>$0.00</v>
      </c>
      <c r="Q10" s="30">
        <f t="shared" si="5"/>
        <v>0</v>
      </c>
      <c r="R10" s="30">
        <f t="shared" si="6"/>
        <v>0</v>
      </c>
      <c r="S10" s="53" t="str">
        <f t="shared" si="7"/>
        <v>$0.00</v>
      </c>
      <c r="AA10" s="166" t="str">
        <f>IF(L10="lifetime", "one-time cost", IF(D10='Master Data'!$B$8, AD10 &amp; AE10, AD10 &amp; AE10 &amp; AC10))</f>
        <v>one-time cost</v>
      </c>
      <c r="AB10" s="208" t="str">
        <f t="shared" ref="AB10:AB53" si="12">IF(L10="lifetime", IF(I10&lt;&gt;"", H10 &amp; "-" &amp; I10 &amp; "x/lifetime", H10 &amp; "x/lifetime"), "ongoing cost")</f>
        <v>x/lifetime</v>
      </c>
      <c r="AC10" s="166" t="str">
        <f ca="1">IF(Table4[[#This Row],[Duration (Years):]]&lt;&gt;'Master Data'!$B$8,CONCATENATE(",",CHAR(10),"for ",Table4[[#This Row],[Duration (Years):]]," years"),"lifelong")</f>
        <v>lifelong</v>
      </c>
      <c r="AD10" s="166" t="str">
        <f t="shared" ref="AD10:AD53" si="13">IF(L10="lifetime", "one-time cost", IF(I10&lt;&gt;"", H10 &amp; "-" &amp; I10 &amp; "x/", H10 &amp; "x/"))</f>
        <v>one-time cost</v>
      </c>
      <c r="AE10" s="166" t="str">
        <f t="shared" ref="AE10:AE53" si="14">IF(L10="lifetime", "one-time cost", IF(K10&lt;&gt;"", J10 &amp; "-" &amp; K10 &amp; " " &amp; L10, IF(J10&gt;1, J10 &amp; " " &amp; L10, L10)))</f>
        <v>one-time cost</v>
      </c>
    </row>
    <row r="11" spans="1:31" ht="45" customHeight="1" x14ac:dyDescent="0.2">
      <c r="A11" s="28"/>
      <c r="B11" s="29">
        <f ca="1">'Master Data'!$B$6</f>
        <v>126.3</v>
      </c>
      <c r="C11" s="29">
        <f ca="1">'Master Data'!$B$7</f>
        <v>136.30000000000001</v>
      </c>
      <c r="D11" s="29">
        <f t="shared" ca="1" si="11"/>
        <v>10</v>
      </c>
      <c r="E11" s="30"/>
      <c r="F11" s="30"/>
      <c r="G11" s="31" t="str">
        <f t="shared" si="0"/>
        <v>$0.00</v>
      </c>
      <c r="H11" s="32"/>
      <c r="I11" s="32"/>
      <c r="J11" s="32"/>
      <c r="K11" s="32"/>
      <c r="L11" s="51" t="str">
        <f t="shared" si="1"/>
        <v>lifetime</v>
      </c>
      <c r="M11" s="33" t="str">
        <f>IF(L11="lifetime",
    IF(I11&lt;&gt;"", H11 &amp; "-" &amp; I11 &amp; "x/lifetime", H11 &amp; "x/lifetime"),
    IF(D11='Master Data'!$B$8, AD11 &amp; AE11, AD11 &amp; AE11 &amp; AC11))</f>
        <v>x/lifetime</v>
      </c>
      <c r="N11" s="30">
        <f t="shared" si="2"/>
        <v>0</v>
      </c>
      <c r="O11" s="30">
        <f t="shared" si="3"/>
        <v>0</v>
      </c>
      <c r="P11" s="52" t="str">
        <f t="shared" si="4"/>
        <v>$0.00</v>
      </c>
      <c r="Q11" s="30">
        <f t="shared" si="5"/>
        <v>0</v>
      </c>
      <c r="R11" s="30">
        <f t="shared" si="6"/>
        <v>0</v>
      </c>
      <c r="S11" s="53" t="str">
        <f t="shared" si="7"/>
        <v>$0.00</v>
      </c>
      <c r="AA11" s="166" t="str">
        <f>IF(L11="lifetime", "one-time cost", IF(D11='Master Data'!$B$8, AD11 &amp; AE11, AD11 &amp; AE11 &amp; AC11))</f>
        <v>one-time cost</v>
      </c>
      <c r="AB11" s="208" t="str">
        <f t="shared" si="12"/>
        <v>x/lifetime</v>
      </c>
      <c r="AC11" s="166" t="str">
        <f ca="1">IF(Table4[[#This Row],[Duration (Years):]]&lt;&gt;'Master Data'!$B$8,CONCATENATE(",",CHAR(10),"for ",Table4[[#This Row],[Duration (Years):]]," years"),"lifelong")</f>
        <v>lifelong</v>
      </c>
      <c r="AD11" s="166" t="str">
        <f t="shared" si="13"/>
        <v>one-time cost</v>
      </c>
      <c r="AE11" s="166" t="str">
        <f t="shared" si="14"/>
        <v>one-time cost</v>
      </c>
    </row>
    <row r="12" spans="1:31" ht="45" customHeight="1" x14ac:dyDescent="0.2">
      <c r="A12" s="28"/>
      <c r="B12" s="29">
        <f ca="1">'Master Data'!$B$6</f>
        <v>126.3</v>
      </c>
      <c r="C12" s="29">
        <f ca="1">'Master Data'!$B$7</f>
        <v>136.30000000000001</v>
      </c>
      <c r="D12" s="29">
        <f t="shared" ca="1" si="11"/>
        <v>10</v>
      </c>
      <c r="E12" s="30"/>
      <c r="F12" s="30"/>
      <c r="G12" s="31" t="str">
        <f t="shared" si="0"/>
        <v>$0.00</v>
      </c>
      <c r="H12" s="32"/>
      <c r="I12" s="32"/>
      <c r="J12" s="32"/>
      <c r="K12" s="32"/>
      <c r="L12" s="51" t="str">
        <f t="shared" si="1"/>
        <v>lifetime</v>
      </c>
      <c r="M12" s="33" t="str">
        <f>IF(L12="lifetime",
    IF(I12&lt;&gt;"", H12 &amp; "-" &amp; I12 &amp; "x/lifetime", H12 &amp; "x/lifetime"),
    IF(D12='Master Data'!$B$8, AD12 &amp; AE12, AD12 &amp; AE12 &amp; AC12))</f>
        <v>x/lifetime</v>
      </c>
      <c r="N12" s="30">
        <f t="shared" si="2"/>
        <v>0</v>
      </c>
      <c r="O12" s="30">
        <f t="shared" si="3"/>
        <v>0</v>
      </c>
      <c r="P12" s="52" t="str">
        <f t="shared" si="4"/>
        <v>$0.00</v>
      </c>
      <c r="Q12" s="30">
        <f t="shared" si="5"/>
        <v>0</v>
      </c>
      <c r="R12" s="30">
        <f t="shared" si="6"/>
        <v>0</v>
      </c>
      <c r="S12" s="53" t="str">
        <f t="shared" si="7"/>
        <v>$0.00</v>
      </c>
      <c r="AA12" s="166" t="str">
        <f>IF(L12="lifetime", "one-time cost", IF(D12='Master Data'!$B$8, AD12 &amp; AE12, AD12 &amp; AE12 &amp; AC12))</f>
        <v>one-time cost</v>
      </c>
      <c r="AB12" s="208" t="str">
        <f t="shared" si="12"/>
        <v>x/lifetime</v>
      </c>
      <c r="AC12" s="166" t="str">
        <f ca="1">IF(Table4[[#This Row],[Duration (Years):]]&lt;&gt;'Master Data'!$B$8,CONCATENATE(",",CHAR(10),"for ",Table4[[#This Row],[Duration (Years):]]," years"),"lifelong")</f>
        <v>lifelong</v>
      </c>
      <c r="AD12" s="166" t="str">
        <f t="shared" si="13"/>
        <v>one-time cost</v>
      </c>
      <c r="AE12" s="166" t="str">
        <f t="shared" si="14"/>
        <v>one-time cost</v>
      </c>
    </row>
    <row r="13" spans="1:31" ht="45" customHeight="1" x14ac:dyDescent="0.2">
      <c r="A13" s="28"/>
      <c r="B13" s="29">
        <f ca="1">'Master Data'!$B$6</f>
        <v>126.3</v>
      </c>
      <c r="C13" s="29">
        <f ca="1">'Master Data'!$B$7</f>
        <v>136.30000000000001</v>
      </c>
      <c r="D13" s="29">
        <f t="shared" ref="D13:D19" ca="1" si="15">ROUND(C13-B13,1)</f>
        <v>10</v>
      </c>
      <c r="E13" s="30"/>
      <c r="F13" s="30"/>
      <c r="G13" s="31" t="str">
        <f t="shared" ref="G13:G19" si="16">IF(E13&lt;F13,CONCATENATE(TEXT(E13,"$#,##0.00"),CHAR(10)," - ",CHAR(10),TEXT(F13,"$#,##0.00")),TEXT(E13,"$#,##0.00"))</f>
        <v>$0.00</v>
      </c>
      <c r="H13" s="32"/>
      <c r="I13" s="32"/>
      <c r="J13" s="32"/>
      <c r="K13" s="32"/>
      <c r="L13" s="51" t="str">
        <f t="shared" ref="L13:L19" si="17">IF(LEN(K13)=0,IF(LEN(J13)=0,"lifetime",IF(J13=1,"year","years")),"years")</f>
        <v>lifetime</v>
      </c>
      <c r="M13" s="33" t="str">
        <f>IF(L13="lifetime",
    IF(I13&lt;&gt;"", H13 &amp; "-" &amp; I13 &amp; "x/lifetime", H13 &amp; "x/lifetime"),
    IF(D13='Master Data'!$B$8, AD13 &amp; AE13, AD13 &amp; AE13 &amp; AC13))</f>
        <v>x/lifetime</v>
      </c>
      <c r="N13" s="30">
        <f t="shared" ref="N13:N19" si="18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3" s="30">
        <f t="shared" ref="O13:O19" si="19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3" s="52" t="str">
        <f t="shared" ref="P13:P19" si="20">IF(N13&lt;O13,CONCATENATE(TEXT(N13,"$#,##0.00"),CHAR(10)," - ",CHAR(10),TEXT(O13,"$#,##0.00")),TEXT(N13,"$0.00"))</f>
        <v>$0.00</v>
      </c>
      <c r="Q13" s="30">
        <f t="shared" ref="Q13:Q19" si="21">ROUND(IF(TimeValue="lifetime",MinCost*MinFreq,0),2)</f>
        <v>0</v>
      </c>
      <c r="R13" s="30">
        <f t="shared" ref="R13:R19" si="22">ROUND(IF(AND(TimeValue="lifetime",MaxFreq&lt;1),MinFreq*MaxCost,IF(AND(TimeValue="lifetime",MaxFreq&gt;=1),MaxFreq*MaxCost,0)),2)</f>
        <v>0</v>
      </c>
      <c r="S13" s="53" t="str">
        <f t="shared" ref="S13:S19" si="23">IF(Q13&lt;R13,CONCATENATE(TEXT(Q13,"$#,##0.00"),CHAR(10)," - ",CHAR(10),TEXT(R13,"$#,##0.00")),TEXT(Q13,"$0.00"))</f>
        <v>$0.00</v>
      </c>
      <c r="AA13" s="166" t="str">
        <f>IF(L13="lifetime", "one-time cost", IF(D13='Master Data'!$B$8, AD13 &amp; AE13, AD13 &amp; AE13 &amp; AC13))</f>
        <v>one-time cost</v>
      </c>
      <c r="AB13" s="208" t="str">
        <f t="shared" si="12"/>
        <v>x/lifetime</v>
      </c>
      <c r="AC13" s="166" t="str">
        <f ca="1">IF(Table4[[#This Row],[Duration (Years):]]&lt;&gt;'Master Data'!$B$8,CONCATENATE(",",CHAR(10),"for ",Table4[[#This Row],[Duration (Years):]]," years"),"lifelong")</f>
        <v>lifelong</v>
      </c>
      <c r="AD13" s="166" t="str">
        <f t="shared" si="13"/>
        <v>one-time cost</v>
      </c>
      <c r="AE13" s="166" t="str">
        <f t="shared" si="14"/>
        <v>one-time cost</v>
      </c>
    </row>
    <row r="14" spans="1:31" ht="45" customHeight="1" x14ac:dyDescent="0.2">
      <c r="A14" s="28"/>
      <c r="B14" s="29">
        <f ca="1">'Master Data'!$B$6</f>
        <v>126.3</v>
      </c>
      <c r="C14" s="29">
        <f ca="1">'Master Data'!$B$7</f>
        <v>136.30000000000001</v>
      </c>
      <c r="D14" s="29">
        <f t="shared" ca="1" si="15"/>
        <v>10</v>
      </c>
      <c r="E14" s="30"/>
      <c r="F14" s="30"/>
      <c r="G14" s="31" t="str">
        <f t="shared" si="16"/>
        <v>$0.00</v>
      </c>
      <c r="H14" s="32"/>
      <c r="I14" s="32"/>
      <c r="J14" s="32"/>
      <c r="K14" s="32"/>
      <c r="L14" s="51" t="str">
        <f t="shared" si="17"/>
        <v>lifetime</v>
      </c>
      <c r="M14" s="33" t="str">
        <f>IF(L14="lifetime",
    IF(I14&lt;&gt;"", H14 &amp; "-" &amp; I14 &amp; "x/lifetime", H14 &amp; "x/lifetime"),
    IF(D14='Master Data'!$B$8, AD14 &amp; AE14, AD14 &amp; AE14 &amp; AC14))</f>
        <v>x/lifetime</v>
      </c>
      <c r="N14" s="30">
        <f t="shared" si="18"/>
        <v>0</v>
      </c>
      <c r="O14" s="30">
        <f t="shared" si="19"/>
        <v>0</v>
      </c>
      <c r="P14" s="52" t="str">
        <f t="shared" si="20"/>
        <v>$0.00</v>
      </c>
      <c r="Q14" s="30">
        <f t="shared" si="21"/>
        <v>0</v>
      </c>
      <c r="R14" s="30">
        <f t="shared" si="22"/>
        <v>0</v>
      </c>
      <c r="S14" s="53" t="str">
        <f t="shared" si="23"/>
        <v>$0.00</v>
      </c>
      <c r="AA14" s="166" t="str">
        <f>IF(L14="lifetime", "one-time cost", IF(D14='Master Data'!$B$8, AD14 &amp; AE14, AD14 &amp; AE14 &amp; AC14))</f>
        <v>one-time cost</v>
      </c>
      <c r="AB14" s="208" t="str">
        <f t="shared" si="12"/>
        <v>x/lifetime</v>
      </c>
      <c r="AC14" s="166" t="str">
        <f ca="1">IF(Table4[[#This Row],[Duration (Years):]]&lt;&gt;'Master Data'!$B$8,CONCATENATE(",",CHAR(10),"for ",Table4[[#This Row],[Duration (Years):]]," years"),"lifelong")</f>
        <v>lifelong</v>
      </c>
      <c r="AD14" s="166" t="str">
        <f t="shared" si="13"/>
        <v>one-time cost</v>
      </c>
      <c r="AE14" s="166" t="str">
        <f t="shared" si="14"/>
        <v>one-time cost</v>
      </c>
    </row>
    <row r="15" spans="1:31" ht="45" customHeight="1" x14ac:dyDescent="0.2">
      <c r="A15" s="28"/>
      <c r="B15" s="29">
        <f ca="1">'Master Data'!$B$6</f>
        <v>126.3</v>
      </c>
      <c r="C15" s="29">
        <f ca="1">'Master Data'!$B$7</f>
        <v>136.30000000000001</v>
      </c>
      <c r="D15" s="29">
        <f t="shared" ca="1" si="15"/>
        <v>10</v>
      </c>
      <c r="E15" s="30"/>
      <c r="F15" s="30"/>
      <c r="G15" s="31" t="str">
        <f t="shared" si="16"/>
        <v>$0.00</v>
      </c>
      <c r="H15" s="32"/>
      <c r="I15" s="32"/>
      <c r="J15" s="32"/>
      <c r="K15" s="32"/>
      <c r="L15" s="51" t="str">
        <f t="shared" si="17"/>
        <v>lifetime</v>
      </c>
      <c r="M15" s="33" t="str">
        <f>IF(L15="lifetime",
    IF(I15&lt;&gt;"", H15 &amp; "-" &amp; I15 &amp; "x/lifetime", H15 &amp; "x/lifetime"),
    IF(D15='Master Data'!$B$8, AD15 &amp; AE15, AD15 &amp; AE15 &amp; AC15))</f>
        <v>x/lifetime</v>
      </c>
      <c r="N15" s="30">
        <f t="shared" si="18"/>
        <v>0</v>
      </c>
      <c r="O15" s="30">
        <f t="shared" si="19"/>
        <v>0</v>
      </c>
      <c r="P15" s="52" t="str">
        <f t="shared" si="20"/>
        <v>$0.00</v>
      </c>
      <c r="Q15" s="30">
        <f t="shared" si="21"/>
        <v>0</v>
      </c>
      <c r="R15" s="30">
        <f t="shared" si="22"/>
        <v>0</v>
      </c>
      <c r="S15" s="53" t="str">
        <f t="shared" si="23"/>
        <v>$0.00</v>
      </c>
      <c r="AA15" s="166" t="str">
        <f>IF(L15="lifetime", "one-time cost", IF(D15='Master Data'!$B$8, AD15 &amp; AE15, AD15 &amp; AE15 &amp; AC15))</f>
        <v>one-time cost</v>
      </c>
      <c r="AB15" s="208" t="str">
        <f t="shared" si="12"/>
        <v>x/lifetime</v>
      </c>
      <c r="AC15" s="166" t="str">
        <f ca="1">IF(Table4[[#This Row],[Duration (Years):]]&lt;&gt;'Master Data'!$B$8,CONCATENATE(",",CHAR(10),"for ",Table4[[#This Row],[Duration (Years):]]," years"),"lifelong")</f>
        <v>lifelong</v>
      </c>
      <c r="AD15" s="166" t="str">
        <f t="shared" si="13"/>
        <v>one-time cost</v>
      </c>
      <c r="AE15" s="166" t="str">
        <f t="shared" si="14"/>
        <v>one-time cost</v>
      </c>
    </row>
    <row r="16" spans="1:31" ht="45" customHeight="1" x14ac:dyDescent="0.2">
      <c r="A16" s="28"/>
      <c r="B16" s="29">
        <f ca="1">'Master Data'!$B$6</f>
        <v>126.3</v>
      </c>
      <c r="C16" s="29">
        <f ca="1">'Master Data'!$B$7</f>
        <v>136.30000000000001</v>
      </c>
      <c r="D16" s="29">
        <f t="shared" ca="1" si="15"/>
        <v>10</v>
      </c>
      <c r="E16" s="30"/>
      <c r="F16" s="30"/>
      <c r="G16" s="31" t="str">
        <f t="shared" si="16"/>
        <v>$0.00</v>
      </c>
      <c r="H16" s="32"/>
      <c r="I16" s="32"/>
      <c r="J16" s="32"/>
      <c r="K16" s="32"/>
      <c r="L16" s="51" t="str">
        <f t="shared" si="17"/>
        <v>lifetime</v>
      </c>
      <c r="M16" s="33" t="str">
        <f>IF(L16="lifetime",
    IF(I16&lt;&gt;"", H16 &amp; "-" &amp; I16 &amp; "x/lifetime", H16 &amp; "x/lifetime"),
    IF(D16='Master Data'!$B$8, AD16 &amp; AE16, AD16 &amp; AE16 &amp; AC16))</f>
        <v>x/lifetime</v>
      </c>
      <c r="N16" s="30">
        <f t="shared" si="18"/>
        <v>0</v>
      </c>
      <c r="O16" s="30">
        <f t="shared" si="19"/>
        <v>0</v>
      </c>
      <c r="P16" s="52" t="str">
        <f t="shared" si="20"/>
        <v>$0.00</v>
      </c>
      <c r="Q16" s="30">
        <f t="shared" si="21"/>
        <v>0</v>
      </c>
      <c r="R16" s="30">
        <f t="shared" si="22"/>
        <v>0</v>
      </c>
      <c r="S16" s="53" t="str">
        <f t="shared" si="23"/>
        <v>$0.00</v>
      </c>
      <c r="AA16" s="166" t="str">
        <f>IF(L16="lifetime", "one-time cost", IF(D16='Master Data'!$B$8, AD16 &amp; AE16, AD16 &amp; AE16 &amp; AC16))</f>
        <v>one-time cost</v>
      </c>
      <c r="AB16" s="208" t="str">
        <f t="shared" si="12"/>
        <v>x/lifetime</v>
      </c>
      <c r="AC16" s="166" t="str">
        <f ca="1">IF(Table4[[#This Row],[Duration (Years):]]&lt;&gt;'Master Data'!$B$8,CONCATENATE(",",CHAR(10),"for ",Table4[[#This Row],[Duration (Years):]]," years"),"lifelong")</f>
        <v>lifelong</v>
      </c>
      <c r="AD16" s="166" t="str">
        <f t="shared" si="13"/>
        <v>one-time cost</v>
      </c>
      <c r="AE16" s="166" t="str">
        <f t="shared" si="14"/>
        <v>one-time cost</v>
      </c>
    </row>
    <row r="17" spans="1:31" ht="45" customHeight="1" x14ac:dyDescent="0.2">
      <c r="A17" s="28"/>
      <c r="B17" s="29">
        <f ca="1">'Master Data'!$B$6</f>
        <v>126.3</v>
      </c>
      <c r="C17" s="29">
        <f ca="1">'Master Data'!$B$7</f>
        <v>136.30000000000001</v>
      </c>
      <c r="D17" s="29">
        <f t="shared" ca="1" si="15"/>
        <v>10</v>
      </c>
      <c r="E17" s="30"/>
      <c r="F17" s="30"/>
      <c r="G17" s="31" t="str">
        <f t="shared" si="16"/>
        <v>$0.00</v>
      </c>
      <c r="H17" s="32"/>
      <c r="I17" s="32"/>
      <c r="J17" s="32"/>
      <c r="K17" s="32"/>
      <c r="L17" s="51" t="str">
        <f t="shared" si="17"/>
        <v>lifetime</v>
      </c>
      <c r="M17" s="33" t="str">
        <f>IF(L17="lifetime",
    IF(I17&lt;&gt;"", H17 &amp; "-" &amp; I17 &amp; "x/lifetime", H17 &amp; "x/lifetime"),
    IF(D17='Master Data'!$B$8, AD17 &amp; AE17, AD17 &amp; AE17 &amp; AC17))</f>
        <v>x/lifetime</v>
      </c>
      <c r="N17" s="30">
        <f t="shared" si="18"/>
        <v>0</v>
      </c>
      <c r="O17" s="30">
        <f t="shared" si="19"/>
        <v>0</v>
      </c>
      <c r="P17" s="52" t="str">
        <f t="shared" si="20"/>
        <v>$0.00</v>
      </c>
      <c r="Q17" s="30">
        <f t="shared" si="21"/>
        <v>0</v>
      </c>
      <c r="R17" s="30">
        <f t="shared" si="22"/>
        <v>0</v>
      </c>
      <c r="S17" s="53" t="str">
        <f t="shared" si="23"/>
        <v>$0.00</v>
      </c>
      <c r="AA17" s="166" t="str">
        <f>IF(L17="lifetime", "one-time cost", IF(D17='Master Data'!$B$8, AD17 &amp; AE17, AD17 &amp; AE17 &amp; AC17))</f>
        <v>one-time cost</v>
      </c>
      <c r="AB17" s="208" t="str">
        <f t="shared" si="12"/>
        <v>x/lifetime</v>
      </c>
      <c r="AC17" s="166" t="str">
        <f ca="1">IF(Table4[[#This Row],[Duration (Years):]]&lt;&gt;'Master Data'!$B$8,CONCATENATE(",",CHAR(10),"for ",Table4[[#This Row],[Duration (Years):]]," years"),"lifelong")</f>
        <v>lifelong</v>
      </c>
      <c r="AD17" s="166" t="str">
        <f t="shared" si="13"/>
        <v>one-time cost</v>
      </c>
      <c r="AE17" s="166" t="str">
        <f t="shared" si="14"/>
        <v>one-time cost</v>
      </c>
    </row>
    <row r="18" spans="1:31" ht="45" customHeight="1" x14ac:dyDescent="0.2">
      <c r="A18" s="28"/>
      <c r="B18" s="29">
        <f ca="1">'Master Data'!$B$6</f>
        <v>126.3</v>
      </c>
      <c r="C18" s="29">
        <f ca="1">'Master Data'!$B$7</f>
        <v>136.30000000000001</v>
      </c>
      <c r="D18" s="29">
        <f t="shared" ca="1" si="15"/>
        <v>10</v>
      </c>
      <c r="E18" s="30"/>
      <c r="F18" s="30"/>
      <c r="G18" s="31" t="str">
        <f t="shared" si="16"/>
        <v>$0.00</v>
      </c>
      <c r="H18" s="32"/>
      <c r="I18" s="32"/>
      <c r="J18" s="32"/>
      <c r="K18" s="32"/>
      <c r="L18" s="51" t="str">
        <f t="shared" si="17"/>
        <v>lifetime</v>
      </c>
      <c r="M18" s="33" t="str">
        <f>IF(L18="lifetime",
    IF(I18&lt;&gt;"", H18 &amp; "-" &amp; I18 &amp; "x/lifetime", H18 &amp; "x/lifetime"),
    IF(D18='Master Data'!$B$8, AD18 &amp; AE18, AD18 &amp; AE18 &amp; AC18))</f>
        <v>x/lifetime</v>
      </c>
      <c r="N18" s="30">
        <f t="shared" si="18"/>
        <v>0</v>
      </c>
      <c r="O18" s="30">
        <f t="shared" si="19"/>
        <v>0</v>
      </c>
      <c r="P18" s="52" t="str">
        <f t="shared" si="20"/>
        <v>$0.00</v>
      </c>
      <c r="Q18" s="30">
        <f t="shared" si="21"/>
        <v>0</v>
      </c>
      <c r="R18" s="30">
        <f t="shared" si="22"/>
        <v>0</v>
      </c>
      <c r="S18" s="53" t="str">
        <f t="shared" si="23"/>
        <v>$0.00</v>
      </c>
      <c r="AA18" s="166" t="str">
        <f>IF(L18="lifetime", "one-time cost", IF(D18='Master Data'!$B$8, AD18 &amp; AE18, AD18 &amp; AE18 &amp; AC18))</f>
        <v>one-time cost</v>
      </c>
      <c r="AB18" s="208" t="str">
        <f t="shared" si="12"/>
        <v>x/lifetime</v>
      </c>
      <c r="AC18" s="166" t="str">
        <f ca="1">IF(Table4[[#This Row],[Duration (Years):]]&lt;&gt;'Master Data'!$B$8,CONCATENATE(",",CHAR(10),"for ",Table4[[#This Row],[Duration (Years):]]," years"),"lifelong")</f>
        <v>lifelong</v>
      </c>
      <c r="AD18" s="166" t="str">
        <f t="shared" si="13"/>
        <v>one-time cost</v>
      </c>
      <c r="AE18" s="166" t="str">
        <f t="shared" si="14"/>
        <v>one-time cost</v>
      </c>
    </row>
    <row r="19" spans="1:31" ht="45" customHeight="1" thickBot="1" x14ac:dyDescent="0.25">
      <c r="A19" s="80"/>
      <c r="B19" s="81">
        <f ca="1">'Master Data'!$B$6</f>
        <v>126.3</v>
      </c>
      <c r="C19" s="81">
        <f ca="1">'Master Data'!$B$7</f>
        <v>136.30000000000001</v>
      </c>
      <c r="D19" s="81">
        <f t="shared" ca="1" si="15"/>
        <v>10</v>
      </c>
      <c r="E19" s="18"/>
      <c r="F19" s="18"/>
      <c r="G19" s="91" t="str">
        <f t="shared" si="16"/>
        <v>$0.00</v>
      </c>
      <c r="H19" s="92"/>
      <c r="I19" s="92"/>
      <c r="J19" s="92"/>
      <c r="K19" s="92"/>
      <c r="L19" s="90" t="str">
        <f t="shared" si="17"/>
        <v>lifetime</v>
      </c>
      <c r="M19" s="253" t="str">
        <f>IF(L19="lifetime",
    IF(I19&lt;&gt;"", H19 &amp; "-" &amp; I19 &amp; "x/lifetime", H19 &amp; "x/lifetime"),
    IF(D19='Master Data'!$B$8, AD19 &amp; AE19, AD19 &amp; AE19 &amp; AC19))</f>
        <v>x/lifetime</v>
      </c>
      <c r="N19" s="18">
        <f t="shared" si="18"/>
        <v>0</v>
      </c>
      <c r="O19" s="18">
        <f t="shared" si="19"/>
        <v>0</v>
      </c>
      <c r="P19" s="254" t="str">
        <f t="shared" si="20"/>
        <v>$0.00</v>
      </c>
      <c r="Q19" s="18">
        <f t="shared" si="21"/>
        <v>0</v>
      </c>
      <c r="R19" s="18">
        <f t="shared" si="22"/>
        <v>0</v>
      </c>
      <c r="S19" s="255" t="str">
        <f t="shared" si="23"/>
        <v>$0.00</v>
      </c>
      <c r="AA19" s="166" t="str">
        <f>IF(L19="lifetime", "one-time cost", IF(D19='Master Data'!$B$8, AD19 &amp; AE19, AD19 &amp; AE19 &amp; AC19))</f>
        <v>one-time cost</v>
      </c>
      <c r="AB19" s="208" t="str">
        <f t="shared" si="12"/>
        <v>x/lifetime</v>
      </c>
      <c r="AC19" s="166" t="str">
        <f ca="1">IF(Table4[[#This Row],[Duration (Years):]]&lt;&gt;'Master Data'!$B$8,CONCATENATE(",",CHAR(10),"for ",Table4[[#This Row],[Duration (Years):]]," years"),"lifelong")</f>
        <v>lifelong</v>
      </c>
      <c r="AD19" s="166" t="str">
        <f t="shared" si="13"/>
        <v>one-time cost</v>
      </c>
      <c r="AE19" s="166" t="str">
        <f t="shared" si="14"/>
        <v>one-time cost</v>
      </c>
    </row>
    <row r="20" spans="1:31" ht="15.75" thickTop="1" thickBot="1" x14ac:dyDescent="0.25">
      <c r="A20" s="343" t="s">
        <v>32</v>
      </c>
      <c r="B20" s="344"/>
      <c r="C20" s="344"/>
      <c r="D20" s="344"/>
      <c r="E20" s="344"/>
      <c r="F20" s="344"/>
      <c r="G20" s="344"/>
      <c r="H20" s="344"/>
      <c r="I20" s="344"/>
      <c r="J20" s="344"/>
      <c r="K20" s="344"/>
      <c r="L20" s="344"/>
      <c r="M20" s="344"/>
      <c r="N20" s="69"/>
      <c r="O20" s="69"/>
      <c r="P20" s="70" t="str">
        <f ca="1">IF(U3="same",IF(SUM(Table4[Annual Cost Max:])=0,"$0.00",CONCATENATE(TEXT(SUM(AnnMin),"$#,##0.00"),CHAR(10)," - ",CHAR(10),TEXT(SUM(AnnMax),"$#,##0.00"))),"Variable by year")</f>
        <v>$0.00</v>
      </c>
      <c r="Q20" s="69"/>
      <c r="R20" s="69"/>
      <c r="S20" s="71" t="str">
        <f>IF(SUM(OneTimeMax)=0,"$0.00",CONCATENATE(TEXT(SUM(OneTimeMin),"$#,##0.00"),CHAR(10)," - ",CHAR(10),TEXT(SUM(OneTimeMax),"$#,##0.00")))</f>
        <v>$0.00</v>
      </c>
      <c r="AA20" s="166" t="e">
        <f>IF(L20="lifetime", "one-time cost", IF(D20='Master Data'!$B$8, AD20 &amp; AE20, AD20 &amp; AE20 &amp; AC20))</f>
        <v>#VALUE!</v>
      </c>
      <c r="AB20" s="208" t="str">
        <f t="shared" si="12"/>
        <v>ongoing cost</v>
      </c>
      <c r="AC20" s="166" t="e">
        <f>IF(Table4[[#This Row],[Duration (Years):]]&lt;&gt;'Master Data'!$B$8,CONCATENATE(",",CHAR(10),"for ",Table4[[#This Row],[Duration (Years):]]," years"),"lifelong")</f>
        <v>#VALUE!</v>
      </c>
      <c r="AD20" s="166" t="str">
        <f t="shared" si="13"/>
        <v>x/</v>
      </c>
      <c r="AE20" s="166">
        <f t="shared" si="14"/>
        <v>0</v>
      </c>
    </row>
    <row r="21" spans="1:31" ht="15" thickTop="1" x14ac:dyDescent="0.2">
      <c r="AA21" s="166" t="e">
        <f>IF(L21="lifetime", "one-time cost", IF(D21='Master Data'!$B$8, AD21 &amp; AE21, AD21 &amp; AE21 &amp; AC21))</f>
        <v>#VALUE!</v>
      </c>
      <c r="AB21" s="208" t="str">
        <f t="shared" si="12"/>
        <v>ongoing cost</v>
      </c>
      <c r="AC21" s="166" t="e">
        <f>IF(Table4[[#This Row],[Duration (Years):]]&lt;&gt;'Master Data'!$B$8,CONCATENATE(",",CHAR(10),"for ",Table4[[#This Row],[Duration (Years):]]," years"),"lifelong")</f>
        <v>#VALUE!</v>
      </c>
      <c r="AD21" s="166" t="str">
        <f t="shared" si="13"/>
        <v>x/</v>
      </c>
      <c r="AE21" s="166">
        <f t="shared" si="14"/>
        <v>0</v>
      </c>
    </row>
    <row r="22" spans="1:31" ht="14.25" x14ac:dyDescent="0.2">
      <c r="A22" s="94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AA22" s="166" t="e">
        <f>IF(L22="lifetime", "one-time cost", IF(D22='Master Data'!$B$8, AD22 &amp; AE22, AD22 &amp; AE22 &amp; AC22))</f>
        <v>#VALUE!</v>
      </c>
      <c r="AB22" s="208" t="str">
        <f t="shared" si="12"/>
        <v>ongoing cost</v>
      </c>
      <c r="AC22" s="166" t="e">
        <f>IF(Table4[[#This Row],[Duration (Years):]]&lt;&gt;'Master Data'!$B$8,CONCATENATE(",",CHAR(10),"for ",Table4[[#This Row],[Duration (Years):]]," years"),"lifelong")</f>
        <v>#VALUE!</v>
      </c>
      <c r="AD22" s="166" t="str">
        <f t="shared" si="13"/>
        <v>x/</v>
      </c>
      <c r="AE22" s="166">
        <f t="shared" si="14"/>
        <v>0</v>
      </c>
    </row>
    <row r="23" spans="1:31" ht="14.25" x14ac:dyDescent="0.2">
      <c r="AA23" s="166" t="e">
        <f>IF(L23="lifetime", "one-time cost", IF(D23='Master Data'!$B$8, AD23 &amp; AE23, AD23 &amp; AE23 &amp; AC23))</f>
        <v>#VALUE!</v>
      </c>
      <c r="AB23" s="208" t="str">
        <f t="shared" si="12"/>
        <v>ongoing cost</v>
      </c>
      <c r="AC23" s="166" t="e">
        <f>IF(Table4[[#This Row],[Duration (Years):]]&lt;&gt;'Master Data'!$B$8,CONCATENATE(",",CHAR(10),"for ",Table4[[#This Row],[Duration (Years):]]," years"),"lifelong")</f>
        <v>#VALUE!</v>
      </c>
      <c r="AD23" s="166" t="str">
        <f t="shared" si="13"/>
        <v>x/</v>
      </c>
      <c r="AE23" s="166">
        <f t="shared" si="14"/>
        <v>0</v>
      </c>
    </row>
    <row r="24" spans="1:31" ht="14.25" x14ac:dyDescent="0.2">
      <c r="AA24" s="166" t="e">
        <f>IF(L24="lifetime", "one-time cost", IF(D24='Master Data'!$B$8, AD24 &amp; AE24, AD24 &amp; AE24 &amp; AC24))</f>
        <v>#VALUE!</v>
      </c>
      <c r="AB24" s="208" t="str">
        <f t="shared" si="12"/>
        <v>ongoing cost</v>
      </c>
      <c r="AC24" s="166" t="e">
        <f>IF(Table4[[#This Row],[Duration (Years):]]&lt;&gt;'Master Data'!$B$8,CONCATENATE(",",CHAR(10),"for ",Table4[[#This Row],[Duration (Years):]]," years"),"lifelong")</f>
        <v>#VALUE!</v>
      </c>
      <c r="AD24" s="166" t="str">
        <f t="shared" si="13"/>
        <v>x/</v>
      </c>
      <c r="AE24" s="166">
        <f t="shared" si="14"/>
        <v>0</v>
      </c>
    </row>
    <row r="25" spans="1:31" ht="14.25" x14ac:dyDescent="0.2">
      <c r="AA25" s="166" t="e">
        <f>IF(L25="lifetime", "one-time cost", IF(D25='Master Data'!$B$8, AD25 &amp; AE25, AD25 &amp; AE25 &amp; AC25))</f>
        <v>#VALUE!</v>
      </c>
      <c r="AB25" s="208" t="str">
        <f t="shared" si="12"/>
        <v>ongoing cost</v>
      </c>
      <c r="AC25" s="166" t="e">
        <f>IF(Table4[[#This Row],[Duration (Years):]]&lt;&gt;'Master Data'!$B$8,CONCATENATE(",",CHAR(10),"for ",Table4[[#This Row],[Duration (Years):]]," years"),"lifelong")</f>
        <v>#VALUE!</v>
      </c>
      <c r="AD25" s="166" t="str">
        <f t="shared" si="13"/>
        <v>x/</v>
      </c>
      <c r="AE25" s="166">
        <f t="shared" si="14"/>
        <v>0</v>
      </c>
    </row>
    <row r="26" spans="1:31" ht="14.25" x14ac:dyDescent="0.2">
      <c r="AA26" s="166" t="e">
        <f>IF(L26="lifetime", "one-time cost", IF(D26='Master Data'!$B$8, AD26 &amp; AE26, AD26 &amp; AE26 &amp; AC26))</f>
        <v>#VALUE!</v>
      </c>
      <c r="AB26" s="208" t="str">
        <f t="shared" si="12"/>
        <v>ongoing cost</v>
      </c>
      <c r="AC26" s="166" t="e">
        <f>IF(Table4[[#This Row],[Duration (Years):]]&lt;&gt;'Master Data'!$B$8,CONCATENATE(",",CHAR(10),"for ",Table4[[#This Row],[Duration (Years):]]," years"),"lifelong")</f>
        <v>#VALUE!</v>
      </c>
      <c r="AD26" s="166" t="str">
        <f t="shared" si="13"/>
        <v>x/</v>
      </c>
      <c r="AE26" s="166">
        <f t="shared" si="14"/>
        <v>0</v>
      </c>
    </row>
    <row r="27" spans="1:31" ht="14.25" x14ac:dyDescent="0.2">
      <c r="AA27" s="166" t="e">
        <f>IF(L27="lifetime", "one-time cost", IF(D27='Master Data'!$B$8, AD27 &amp; AE27, AD27 &amp; AE27 &amp; AC27))</f>
        <v>#VALUE!</v>
      </c>
      <c r="AB27" s="208" t="str">
        <f t="shared" si="12"/>
        <v>ongoing cost</v>
      </c>
      <c r="AC27" s="166" t="e">
        <f>IF(Table4[[#This Row],[Duration (Years):]]&lt;&gt;'Master Data'!$B$8,CONCATENATE(",",CHAR(10),"for ",Table4[[#This Row],[Duration (Years):]]," years"),"lifelong")</f>
        <v>#VALUE!</v>
      </c>
      <c r="AD27" s="166" t="str">
        <f t="shared" si="13"/>
        <v>x/</v>
      </c>
      <c r="AE27" s="166">
        <f t="shared" si="14"/>
        <v>0</v>
      </c>
    </row>
    <row r="28" spans="1:31" ht="14.25" x14ac:dyDescent="0.2">
      <c r="AA28" s="166" t="e">
        <f>IF(L28="lifetime", "one-time cost", IF(D28='Master Data'!$B$8, AD28 &amp; AE28, AD28 &amp; AE28 &amp; AC28))</f>
        <v>#VALUE!</v>
      </c>
      <c r="AB28" s="208" t="str">
        <f t="shared" si="12"/>
        <v>ongoing cost</v>
      </c>
      <c r="AC28" s="166" t="e">
        <f>IF(Table4[[#This Row],[Duration (Years):]]&lt;&gt;'Master Data'!$B$8,CONCATENATE(",",CHAR(10),"for ",Table4[[#This Row],[Duration (Years):]]," years"),"lifelong")</f>
        <v>#VALUE!</v>
      </c>
      <c r="AD28" s="166" t="str">
        <f t="shared" si="13"/>
        <v>x/</v>
      </c>
      <c r="AE28" s="166">
        <f t="shared" si="14"/>
        <v>0</v>
      </c>
    </row>
    <row r="29" spans="1:31" ht="14.25" x14ac:dyDescent="0.2">
      <c r="AA29" s="166" t="e">
        <f>IF(L29="lifetime", "one-time cost", IF(D29='Master Data'!$B$8, AD29 &amp; AE29, AD29 &amp; AE29 &amp; AC29))</f>
        <v>#VALUE!</v>
      </c>
      <c r="AB29" s="208" t="str">
        <f t="shared" si="12"/>
        <v>ongoing cost</v>
      </c>
      <c r="AC29" s="166" t="e">
        <f>IF(Table4[[#This Row],[Duration (Years):]]&lt;&gt;'Master Data'!$B$8,CONCATENATE(",",CHAR(10),"for ",Table4[[#This Row],[Duration (Years):]]," years"),"lifelong")</f>
        <v>#VALUE!</v>
      </c>
      <c r="AD29" s="166" t="str">
        <f t="shared" si="13"/>
        <v>x/</v>
      </c>
      <c r="AE29" s="166">
        <f t="shared" si="14"/>
        <v>0</v>
      </c>
    </row>
    <row r="30" spans="1:31" ht="14.25" x14ac:dyDescent="0.2">
      <c r="AA30" s="166" t="e">
        <f>IF(L30="lifetime", "one-time cost", IF(D30='Master Data'!$B$8, AD30 &amp; AE30, AD30 &amp; AE30 &amp; AC30))</f>
        <v>#VALUE!</v>
      </c>
      <c r="AB30" s="208" t="str">
        <f t="shared" si="12"/>
        <v>ongoing cost</v>
      </c>
      <c r="AC30" s="166" t="e">
        <f>IF(Table4[[#This Row],[Duration (Years):]]&lt;&gt;'Master Data'!$B$8,CONCATENATE(",",CHAR(10),"for ",Table4[[#This Row],[Duration (Years):]]," years"),"lifelong")</f>
        <v>#VALUE!</v>
      </c>
      <c r="AD30" s="166" t="str">
        <f t="shared" si="13"/>
        <v>x/</v>
      </c>
      <c r="AE30" s="166">
        <f t="shared" si="14"/>
        <v>0</v>
      </c>
    </row>
    <row r="31" spans="1:31" ht="14.25" x14ac:dyDescent="0.2">
      <c r="AA31" s="166" t="e">
        <f>IF(L31="lifetime", "one-time cost", IF(D31='Master Data'!$B$8, AD31 &amp; AE31, AD31 &amp; AE31 &amp; AC31))</f>
        <v>#VALUE!</v>
      </c>
      <c r="AB31" s="208" t="str">
        <f t="shared" si="12"/>
        <v>ongoing cost</v>
      </c>
      <c r="AC31" s="166" t="e">
        <f>IF(Table4[[#This Row],[Duration (Years):]]&lt;&gt;'Master Data'!$B$8,CONCATENATE(",",CHAR(10),"for ",Table4[[#This Row],[Duration (Years):]]," years"),"lifelong")</f>
        <v>#VALUE!</v>
      </c>
      <c r="AD31" s="166" t="str">
        <f t="shared" si="13"/>
        <v>x/</v>
      </c>
      <c r="AE31" s="166">
        <f t="shared" si="14"/>
        <v>0</v>
      </c>
    </row>
    <row r="32" spans="1:31" ht="14.25" x14ac:dyDescent="0.2">
      <c r="AA32" s="166" t="e">
        <f>IF(L32="lifetime", "one-time cost", IF(D32='Master Data'!$B$8, AD32 &amp; AE32, AD32 &amp; AE32 &amp; AC32))</f>
        <v>#VALUE!</v>
      </c>
      <c r="AB32" s="208" t="str">
        <f t="shared" si="12"/>
        <v>ongoing cost</v>
      </c>
      <c r="AC32" s="166" t="e">
        <f>IF(Table4[[#This Row],[Duration (Years):]]&lt;&gt;'Master Data'!$B$8,CONCATENATE(",",CHAR(10),"for ",Table4[[#This Row],[Duration (Years):]]," years"),"lifelong")</f>
        <v>#VALUE!</v>
      </c>
      <c r="AD32" s="166" t="str">
        <f t="shared" si="13"/>
        <v>x/</v>
      </c>
      <c r="AE32" s="166">
        <f t="shared" si="14"/>
        <v>0</v>
      </c>
    </row>
    <row r="33" spans="27:31" ht="14.25" x14ac:dyDescent="0.2">
      <c r="AA33" s="166" t="e">
        <f>IF(L33="lifetime", "one-time cost", IF(D33='Master Data'!$B$8, AD33 &amp; AE33, AD33 &amp; AE33 &amp; AC33))</f>
        <v>#VALUE!</v>
      </c>
      <c r="AB33" s="208" t="str">
        <f t="shared" si="12"/>
        <v>ongoing cost</v>
      </c>
      <c r="AC33" s="166" t="e">
        <f>IF(Table4[[#This Row],[Duration (Years):]]&lt;&gt;'Master Data'!$B$8,CONCATENATE(",",CHAR(10),"for ",Table4[[#This Row],[Duration (Years):]]," years"),"lifelong")</f>
        <v>#VALUE!</v>
      </c>
      <c r="AD33" s="166" t="str">
        <f t="shared" si="13"/>
        <v>x/</v>
      </c>
      <c r="AE33" s="166">
        <f t="shared" si="14"/>
        <v>0</v>
      </c>
    </row>
    <row r="34" spans="27:31" ht="14.25" x14ac:dyDescent="0.2">
      <c r="AA34" s="166" t="e">
        <f>IF(L34="lifetime", "one-time cost", IF(D34='Master Data'!$B$8, AD34 &amp; AE34, AD34 &amp; AE34 &amp; AC34))</f>
        <v>#VALUE!</v>
      </c>
      <c r="AB34" s="208" t="str">
        <f t="shared" si="12"/>
        <v>ongoing cost</v>
      </c>
      <c r="AC34" s="166" t="e">
        <f>IF(Table4[[#This Row],[Duration (Years):]]&lt;&gt;'Master Data'!$B$8,CONCATENATE(",",CHAR(10),"for ",Table4[[#This Row],[Duration (Years):]]," years"),"lifelong")</f>
        <v>#VALUE!</v>
      </c>
      <c r="AD34" s="166" t="str">
        <f t="shared" si="13"/>
        <v>x/</v>
      </c>
      <c r="AE34" s="166">
        <f t="shared" si="14"/>
        <v>0</v>
      </c>
    </row>
    <row r="35" spans="27:31" ht="14.25" x14ac:dyDescent="0.2">
      <c r="AA35" s="166" t="e">
        <f>IF(L35="lifetime", "one-time cost", IF(D35='Master Data'!$B$8, AD35 &amp; AE35, AD35 &amp; AE35 &amp; AC35))</f>
        <v>#VALUE!</v>
      </c>
      <c r="AB35" s="208" t="str">
        <f t="shared" si="12"/>
        <v>ongoing cost</v>
      </c>
      <c r="AC35" s="166" t="e">
        <f>IF(Table4[[#This Row],[Duration (Years):]]&lt;&gt;'Master Data'!$B$8,CONCATENATE(",",CHAR(10),"for ",Table4[[#This Row],[Duration (Years):]]," years"),"lifelong")</f>
        <v>#VALUE!</v>
      </c>
      <c r="AD35" s="166" t="str">
        <f t="shared" si="13"/>
        <v>x/</v>
      </c>
      <c r="AE35" s="166">
        <f t="shared" si="14"/>
        <v>0</v>
      </c>
    </row>
    <row r="36" spans="27:31" ht="14.25" x14ac:dyDescent="0.2">
      <c r="AA36" s="166" t="e">
        <f>IF(L36="lifetime", "one-time cost", IF(D36='Master Data'!$B$8, AD36 &amp; AE36, AD36 &amp; AE36 &amp; AC36))</f>
        <v>#VALUE!</v>
      </c>
      <c r="AB36" s="208" t="str">
        <f t="shared" si="12"/>
        <v>ongoing cost</v>
      </c>
      <c r="AC36" s="166" t="e">
        <f>IF(Table4[[#This Row],[Duration (Years):]]&lt;&gt;'Master Data'!$B$8,CONCATENATE(",",CHAR(10),"for ",Table4[[#This Row],[Duration (Years):]]," years"),"lifelong")</f>
        <v>#VALUE!</v>
      </c>
      <c r="AD36" s="166" t="str">
        <f t="shared" si="13"/>
        <v>x/</v>
      </c>
      <c r="AE36" s="166">
        <f t="shared" si="14"/>
        <v>0</v>
      </c>
    </row>
    <row r="37" spans="27:31" ht="14.25" x14ac:dyDescent="0.2">
      <c r="AA37" s="166" t="e">
        <f>IF(L37="lifetime", "one-time cost", IF(D37='Master Data'!$B$8, AD37 &amp; AE37, AD37 &amp; AE37 &amp; AC37))</f>
        <v>#VALUE!</v>
      </c>
      <c r="AB37" s="208" t="str">
        <f t="shared" si="12"/>
        <v>ongoing cost</v>
      </c>
      <c r="AC37" s="166" t="e">
        <f>IF(Table4[[#This Row],[Duration (Years):]]&lt;&gt;'Master Data'!$B$8,CONCATENATE(",",CHAR(10),"for ",Table4[[#This Row],[Duration (Years):]]," years"),"lifelong")</f>
        <v>#VALUE!</v>
      </c>
      <c r="AD37" s="166" t="str">
        <f t="shared" si="13"/>
        <v>x/</v>
      </c>
      <c r="AE37" s="166">
        <f t="shared" si="14"/>
        <v>0</v>
      </c>
    </row>
    <row r="38" spans="27:31" ht="14.25" x14ac:dyDescent="0.2">
      <c r="AA38" s="166" t="e">
        <f>IF(L38="lifetime", "one-time cost", IF(D38='Master Data'!$B$8, AD38 &amp; AE38, AD38 &amp; AE38 &amp; AC38))</f>
        <v>#VALUE!</v>
      </c>
      <c r="AB38" s="208" t="str">
        <f t="shared" si="12"/>
        <v>ongoing cost</v>
      </c>
      <c r="AC38" s="166" t="e">
        <f>IF(Table4[[#This Row],[Duration (Years):]]&lt;&gt;'Master Data'!$B$8,CONCATENATE(",",CHAR(10),"for ",Table4[[#This Row],[Duration (Years):]]," years"),"lifelong")</f>
        <v>#VALUE!</v>
      </c>
      <c r="AD38" s="166" t="str">
        <f t="shared" si="13"/>
        <v>x/</v>
      </c>
      <c r="AE38" s="166">
        <f t="shared" si="14"/>
        <v>0</v>
      </c>
    </row>
    <row r="39" spans="27:31" ht="14.25" x14ac:dyDescent="0.2">
      <c r="AA39" s="166" t="e">
        <f>IF(L39="lifetime", "one-time cost", IF(D39='Master Data'!$B$8, AD39 &amp; AE39, AD39 &amp; AE39 &amp; AC39))</f>
        <v>#VALUE!</v>
      </c>
      <c r="AB39" s="208" t="str">
        <f t="shared" si="12"/>
        <v>ongoing cost</v>
      </c>
      <c r="AC39" s="166" t="e">
        <f>IF(Table4[[#This Row],[Duration (Years):]]&lt;&gt;'Master Data'!$B$8,CONCATENATE(",",CHAR(10),"for ",Table4[[#This Row],[Duration (Years):]]," years"),"lifelong")</f>
        <v>#VALUE!</v>
      </c>
      <c r="AD39" s="166" t="str">
        <f t="shared" si="13"/>
        <v>x/</v>
      </c>
      <c r="AE39" s="166">
        <f t="shared" si="14"/>
        <v>0</v>
      </c>
    </row>
    <row r="40" spans="27:31" ht="14.25" x14ac:dyDescent="0.2">
      <c r="AA40" s="166" t="e">
        <f>IF(L40="lifetime", "one-time cost", IF(D40='Master Data'!$B$8, AD40 &amp; AE40, AD40 &amp; AE40 &amp; AC40))</f>
        <v>#VALUE!</v>
      </c>
      <c r="AB40" s="208" t="str">
        <f t="shared" si="12"/>
        <v>ongoing cost</v>
      </c>
      <c r="AC40" s="166" t="e">
        <f>IF(Table4[[#This Row],[Duration (Years):]]&lt;&gt;'Master Data'!$B$8,CONCATENATE(",",CHAR(10),"for ",Table4[[#This Row],[Duration (Years):]]," years"),"lifelong")</f>
        <v>#VALUE!</v>
      </c>
      <c r="AD40" s="166" t="str">
        <f t="shared" si="13"/>
        <v>x/</v>
      </c>
      <c r="AE40" s="166">
        <f t="shared" si="14"/>
        <v>0</v>
      </c>
    </row>
    <row r="41" spans="27:31" ht="14.25" x14ac:dyDescent="0.2">
      <c r="AA41" s="166" t="e">
        <f>IF(L41="lifetime", "one-time cost", IF(D41='Master Data'!$B$8, AD41 &amp; AE41, AD41 &amp; AE41 &amp; AC41))</f>
        <v>#VALUE!</v>
      </c>
      <c r="AB41" s="208" t="str">
        <f t="shared" si="12"/>
        <v>ongoing cost</v>
      </c>
      <c r="AC41" s="166" t="e">
        <f>IF(Table4[[#This Row],[Duration (Years):]]&lt;&gt;'Master Data'!$B$8,CONCATENATE(",",CHAR(10),"for ",Table4[[#This Row],[Duration (Years):]]," years"),"lifelong")</f>
        <v>#VALUE!</v>
      </c>
      <c r="AD41" s="166" t="str">
        <f t="shared" si="13"/>
        <v>x/</v>
      </c>
      <c r="AE41" s="166">
        <f t="shared" si="14"/>
        <v>0</v>
      </c>
    </row>
    <row r="42" spans="27:31" ht="14.25" x14ac:dyDescent="0.2">
      <c r="AA42" s="166" t="e">
        <f>IF(L42="lifetime", "one-time cost", IF(D42='Master Data'!$B$8, AD42 &amp; AE42, AD42 &amp; AE42 &amp; AC42))</f>
        <v>#VALUE!</v>
      </c>
      <c r="AB42" s="208" t="str">
        <f t="shared" si="12"/>
        <v>ongoing cost</v>
      </c>
      <c r="AC42" s="166" t="e">
        <f>IF(Table4[[#This Row],[Duration (Years):]]&lt;&gt;'Master Data'!$B$8,CONCATENATE(",",CHAR(10),"for ",Table4[[#This Row],[Duration (Years):]]," years"),"lifelong")</f>
        <v>#VALUE!</v>
      </c>
      <c r="AD42" s="166" t="str">
        <f t="shared" si="13"/>
        <v>x/</v>
      </c>
      <c r="AE42" s="166">
        <f t="shared" si="14"/>
        <v>0</v>
      </c>
    </row>
    <row r="43" spans="27:31" ht="14.25" x14ac:dyDescent="0.2">
      <c r="AA43" s="166" t="e">
        <f>IF(L43="lifetime", "one-time cost", IF(D43='Master Data'!$B$8, AD43 &amp; AE43, AD43 &amp; AE43 &amp; AC43))</f>
        <v>#VALUE!</v>
      </c>
      <c r="AB43" s="208" t="str">
        <f t="shared" si="12"/>
        <v>ongoing cost</v>
      </c>
      <c r="AC43" s="166" t="e">
        <f>IF(Table4[[#This Row],[Duration (Years):]]&lt;&gt;'Master Data'!$B$8,CONCATENATE(",",CHAR(10),"for ",Table4[[#This Row],[Duration (Years):]]," years"),"lifelong")</f>
        <v>#VALUE!</v>
      </c>
      <c r="AD43" s="166" t="str">
        <f t="shared" si="13"/>
        <v>x/</v>
      </c>
      <c r="AE43" s="166">
        <f t="shared" si="14"/>
        <v>0</v>
      </c>
    </row>
    <row r="44" spans="27:31" ht="14.25" x14ac:dyDescent="0.2">
      <c r="AA44" s="166" t="e">
        <f>IF(L44="lifetime", "one-time cost", IF(D44='Master Data'!$B$8, AD44 &amp; AE44, AD44 &amp; AE44 &amp; AC44))</f>
        <v>#VALUE!</v>
      </c>
      <c r="AB44" s="208" t="str">
        <f t="shared" si="12"/>
        <v>ongoing cost</v>
      </c>
      <c r="AC44" s="166" t="e">
        <f>IF(Table4[[#This Row],[Duration (Years):]]&lt;&gt;'Master Data'!$B$8,CONCATENATE(",",CHAR(10),"for ",Table4[[#This Row],[Duration (Years):]]," years"),"lifelong")</f>
        <v>#VALUE!</v>
      </c>
      <c r="AD44" s="166" t="str">
        <f t="shared" si="13"/>
        <v>x/</v>
      </c>
      <c r="AE44" s="166">
        <f t="shared" si="14"/>
        <v>0</v>
      </c>
    </row>
    <row r="45" spans="27:31" ht="14.25" x14ac:dyDescent="0.2">
      <c r="AA45" s="166" t="e">
        <f>IF(L45="lifetime", "one-time cost", IF(D45='Master Data'!$B$8, AD45 &amp; AE45, AD45 &amp; AE45 &amp; AC45))</f>
        <v>#VALUE!</v>
      </c>
      <c r="AB45" s="208" t="str">
        <f t="shared" si="12"/>
        <v>ongoing cost</v>
      </c>
      <c r="AC45" s="166" t="e">
        <f>IF(Table4[[#This Row],[Duration (Years):]]&lt;&gt;'Master Data'!$B$8,CONCATENATE(",",CHAR(10),"for ",Table4[[#This Row],[Duration (Years):]]," years"),"lifelong")</f>
        <v>#VALUE!</v>
      </c>
      <c r="AD45" s="166" t="str">
        <f t="shared" si="13"/>
        <v>x/</v>
      </c>
      <c r="AE45" s="166">
        <f t="shared" si="14"/>
        <v>0</v>
      </c>
    </row>
    <row r="46" spans="27:31" ht="14.25" x14ac:dyDescent="0.2">
      <c r="AA46" s="166" t="e">
        <f>IF(L46="lifetime", "one-time cost", IF(D46='Master Data'!$B$8, AD46 &amp; AE46, AD46 &amp; AE46 &amp; AC46))</f>
        <v>#VALUE!</v>
      </c>
      <c r="AB46" s="208" t="str">
        <f t="shared" si="12"/>
        <v>ongoing cost</v>
      </c>
      <c r="AC46" s="166" t="e">
        <f>IF(Table4[[#This Row],[Duration (Years):]]&lt;&gt;'Master Data'!$B$8,CONCATENATE(",",CHAR(10),"for ",Table4[[#This Row],[Duration (Years):]]," years"),"lifelong")</f>
        <v>#VALUE!</v>
      </c>
      <c r="AD46" s="166" t="str">
        <f t="shared" si="13"/>
        <v>x/</v>
      </c>
      <c r="AE46" s="166">
        <f t="shared" si="14"/>
        <v>0</v>
      </c>
    </row>
    <row r="47" spans="27:31" ht="14.25" x14ac:dyDescent="0.2">
      <c r="AA47" s="166" t="e">
        <f>IF(L47="lifetime", "one-time cost", IF(D47='Master Data'!$B$8, AD47 &amp; AE47, AD47 &amp; AE47 &amp; AC47))</f>
        <v>#VALUE!</v>
      </c>
      <c r="AB47" s="208" t="str">
        <f t="shared" si="12"/>
        <v>ongoing cost</v>
      </c>
      <c r="AC47" s="166" t="e">
        <f>IF(Table4[[#This Row],[Duration (Years):]]&lt;&gt;'Master Data'!$B$8,CONCATENATE(",",CHAR(10),"for ",Table4[[#This Row],[Duration (Years):]]," years"),"lifelong")</f>
        <v>#VALUE!</v>
      </c>
      <c r="AD47" s="166" t="str">
        <f t="shared" si="13"/>
        <v>x/</v>
      </c>
      <c r="AE47" s="166">
        <f t="shared" si="14"/>
        <v>0</v>
      </c>
    </row>
    <row r="48" spans="27:31" ht="14.25" x14ac:dyDescent="0.2">
      <c r="AA48" s="166" t="e">
        <f>IF(L48="lifetime", "one-time cost", IF(D48='Master Data'!$B$8, AD48 &amp; AE48, AD48 &amp; AE48 &amp; AC48))</f>
        <v>#VALUE!</v>
      </c>
      <c r="AB48" s="208" t="str">
        <f t="shared" si="12"/>
        <v>ongoing cost</v>
      </c>
      <c r="AC48" s="166" t="e">
        <f>IF(Table4[[#This Row],[Duration (Years):]]&lt;&gt;'Master Data'!$B$8,CONCATENATE(",",CHAR(10),"for ",Table4[[#This Row],[Duration (Years):]]," years"),"lifelong")</f>
        <v>#VALUE!</v>
      </c>
      <c r="AD48" s="166" t="str">
        <f t="shared" si="13"/>
        <v>x/</v>
      </c>
      <c r="AE48" s="166">
        <f t="shared" si="14"/>
        <v>0</v>
      </c>
    </row>
    <row r="49" spans="27:31" ht="14.25" x14ac:dyDescent="0.2">
      <c r="AA49" s="166" t="e">
        <f>IF(L49="lifetime", "one-time cost", IF(D49='Master Data'!$B$8, AD49 &amp; AE49, AD49 &amp; AE49 &amp; AC49))</f>
        <v>#VALUE!</v>
      </c>
      <c r="AB49" s="208" t="str">
        <f t="shared" si="12"/>
        <v>ongoing cost</v>
      </c>
      <c r="AC49" s="166" t="e">
        <f>IF(Table4[[#This Row],[Duration (Years):]]&lt;&gt;'Master Data'!$B$8,CONCATENATE(",",CHAR(10),"for ",Table4[[#This Row],[Duration (Years):]]," years"),"lifelong")</f>
        <v>#VALUE!</v>
      </c>
      <c r="AD49" s="166" t="str">
        <f t="shared" si="13"/>
        <v>x/</v>
      </c>
      <c r="AE49" s="166">
        <f t="shared" si="14"/>
        <v>0</v>
      </c>
    </row>
    <row r="50" spans="27:31" ht="14.25" x14ac:dyDescent="0.2">
      <c r="AA50" s="166" t="e">
        <f>IF(L50="lifetime", "one-time cost", IF(D50='Master Data'!$B$8, AD50 &amp; AE50, AD50 &amp; AE50 &amp; AC50))</f>
        <v>#VALUE!</v>
      </c>
      <c r="AB50" s="208" t="str">
        <f t="shared" si="12"/>
        <v>ongoing cost</v>
      </c>
      <c r="AC50" s="166" t="e">
        <f>IF(Table4[[#This Row],[Duration (Years):]]&lt;&gt;'Master Data'!$B$8,CONCATENATE(",",CHAR(10),"for ",Table4[[#This Row],[Duration (Years):]]," years"),"lifelong")</f>
        <v>#VALUE!</v>
      </c>
      <c r="AD50" s="166" t="str">
        <f t="shared" si="13"/>
        <v>x/</v>
      </c>
      <c r="AE50" s="166">
        <f t="shared" si="14"/>
        <v>0</v>
      </c>
    </row>
    <row r="51" spans="27:31" ht="14.25" x14ac:dyDescent="0.2">
      <c r="AA51" s="166" t="e">
        <f>IF(L51="lifetime", "one-time cost", IF(D51='Master Data'!$B$8, AD51 &amp; AE51, AD51 &amp; AE51 &amp; AC51))</f>
        <v>#VALUE!</v>
      </c>
      <c r="AB51" s="208" t="str">
        <f t="shared" si="12"/>
        <v>ongoing cost</v>
      </c>
      <c r="AC51" s="166" t="e">
        <f>IF(Table4[[#This Row],[Duration (Years):]]&lt;&gt;'Master Data'!$B$8,CONCATENATE(",",CHAR(10),"for ",Table4[[#This Row],[Duration (Years):]]," years"),"lifelong")</f>
        <v>#VALUE!</v>
      </c>
      <c r="AD51" s="166" t="str">
        <f t="shared" si="13"/>
        <v>x/</v>
      </c>
      <c r="AE51" s="166">
        <f t="shared" si="14"/>
        <v>0</v>
      </c>
    </row>
    <row r="52" spans="27:31" ht="14.25" x14ac:dyDescent="0.2">
      <c r="AA52" s="166" t="e">
        <f>IF(L52="lifetime", "one-time cost", IF(D52='Master Data'!$B$8, AD52 &amp; AE52, AD52 &amp; AE52 &amp; AC52))</f>
        <v>#VALUE!</v>
      </c>
      <c r="AB52" s="208" t="str">
        <f t="shared" si="12"/>
        <v>ongoing cost</v>
      </c>
      <c r="AC52" s="166" t="e">
        <f>IF(Table4[[#This Row],[Duration (Years):]]&lt;&gt;'Master Data'!$B$8,CONCATENATE(",",CHAR(10),"for ",Table4[[#This Row],[Duration (Years):]]," years"),"lifelong")</f>
        <v>#VALUE!</v>
      </c>
      <c r="AD52" s="166" t="str">
        <f t="shared" si="13"/>
        <v>x/</v>
      </c>
      <c r="AE52" s="166">
        <f t="shared" si="14"/>
        <v>0</v>
      </c>
    </row>
    <row r="53" spans="27:31" ht="14.25" x14ac:dyDescent="0.2">
      <c r="AA53" s="166" t="e">
        <f>IF(L53="lifetime", "one-time cost", IF(D53='Master Data'!$B$8, AD53 &amp; AE53, AD53 &amp; AE53 &amp; AC53))</f>
        <v>#VALUE!</v>
      </c>
      <c r="AB53" s="208" t="str">
        <f t="shared" si="12"/>
        <v>ongoing cost</v>
      </c>
      <c r="AC53" s="166" t="e">
        <f>IF(Table4[[#This Row],[Duration (Years):]]&lt;&gt;'Master Data'!$B$8,CONCATENATE(",",CHAR(10),"for ",Table4[[#This Row],[Duration (Years):]]," years"),"lifelong")</f>
        <v>#VALUE!</v>
      </c>
      <c r="AD53" s="166" t="str">
        <f t="shared" si="13"/>
        <v>x/</v>
      </c>
      <c r="AE53" s="166">
        <f t="shared" si="14"/>
        <v>0</v>
      </c>
    </row>
  </sheetData>
  <sortState xmlns:xlrd2="http://schemas.microsoft.com/office/spreadsheetml/2017/richdata2" ref="A3:S5">
    <sortCondition ref="D3"/>
    <sortCondition ref="A3"/>
  </sortState>
  <mergeCells count="3">
    <mergeCell ref="A1:S1"/>
    <mergeCell ref="A20:M20"/>
    <mergeCell ref="V3:W3"/>
  </mergeCells>
  <hyperlinks>
    <hyperlink ref="V3" location="Procedure1!A1" display="Link to copy/paste table here" xr:uid="{613A7DFE-0A44-4D43-826D-47AF11E90175}"/>
    <hyperlink ref="V3:W3" location="Prosthetics!A1" display="Link to copy/paste table here" xr:uid="{10993A77-1864-4D50-8BC8-530CE8609046}"/>
  </hyperlinks>
  <pageMargins left="0.25" right="0.25" top="0.75" bottom="0.75" header="0.3" footer="0.3"/>
  <pageSetup orientation="landscape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4"/>
  <sheetViews>
    <sheetView workbookViewId="0">
      <selection sqref="A1:S1"/>
    </sheetView>
  </sheetViews>
  <sheetFormatPr defaultColWidth="9.140625" defaultRowHeight="12.75" x14ac:dyDescent="0.2"/>
  <cols>
    <col min="1" max="1" width="19.7109375" style="10" customWidth="1"/>
    <col min="2" max="3" width="9.7109375" style="11" hidden="1" customWidth="1"/>
    <col min="4" max="4" width="13.42578125" style="11" customWidth="1"/>
    <col min="5" max="6" width="13.28515625" style="9" customWidth="1"/>
    <col min="7" max="7" width="15.7109375" style="12" hidden="1" customWidth="1"/>
    <col min="8" max="11" width="8.7109375" style="13" customWidth="1"/>
    <col min="12" max="12" width="10.85546875" style="10" customWidth="1"/>
    <col min="13" max="13" width="17.7109375" style="14" customWidth="1"/>
    <col min="14" max="15" width="12.28515625" style="9" hidden="1" customWidth="1"/>
    <col min="16" max="16" width="14.7109375" style="15" customWidth="1"/>
    <col min="17" max="18" width="12.28515625" style="9" hidden="1" customWidth="1"/>
    <col min="19" max="19" width="14.7109375" style="15" customWidth="1"/>
    <col min="20" max="20" width="9.140625" style="8"/>
    <col min="21" max="21" width="0" style="8" hidden="1" customWidth="1"/>
    <col min="22" max="26" width="9.140625" style="8"/>
    <col min="27" max="31" width="9.140625" style="8" hidden="1" customWidth="1"/>
    <col min="32" max="16384" width="9.140625" style="8"/>
  </cols>
  <sheetData>
    <row r="1" spans="1:31" ht="30" customHeight="1" thickTop="1" x14ac:dyDescent="0.2">
      <c r="A1" s="340" t="s">
        <v>116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2"/>
    </row>
    <row r="2" spans="1:31" s="72" customFormat="1" ht="57.75" thickBot="1" x14ac:dyDescent="0.3">
      <c r="A2" s="105" t="s">
        <v>33</v>
      </c>
      <c r="B2" s="106" t="s">
        <v>15</v>
      </c>
      <c r="C2" s="106" t="s">
        <v>16</v>
      </c>
      <c r="D2" s="106" t="s">
        <v>17</v>
      </c>
      <c r="E2" s="107" t="s">
        <v>18</v>
      </c>
      <c r="F2" s="107" t="s">
        <v>19</v>
      </c>
      <c r="G2" s="107" t="s">
        <v>29</v>
      </c>
      <c r="H2" s="108" t="s">
        <v>20</v>
      </c>
      <c r="I2" s="108" t="s">
        <v>21</v>
      </c>
      <c r="J2" s="108" t="s">
        <v>22</v>
      </c>
      <c r="K2" s="108" t="s">
        <v>23</v>
      </c>
      <c r="L2" s="109" t="s">
        <v>24</v>
      </c>
      <c r="M2" s="109" t="s">
        <v>30</v>
      </c>
      <c r="N2" s="107" t="s">
        <v>25</v>
      </c>
      <c r="O2" s="107" t="s">
        <v>26</v>
      </c>
      <c r="P2" s="109" t="s">
        <v>31</v>
      </c>
      <c r="Q2" s="107" t="s">
        <v>27</v>
      </c>
      <c r="R2" s="107" t="s">
        <v>28</v>
      </c>
      <c r="S2" s="110" t="s">
        <v>34</v>
      </c>
      <c r="U2" s="7" t="s">
        <v>48</v>
      </c>
      <c r="AA2" s="207" t="s">
        <v>148</v>
      </c>
      <c r="AB2" s="207" t="s">
        <v>144</v>
      </c>
      <c r="AC2" s="207" t="s">
        <v>145</v>
      </c>
      <c r="AD2" s="207" t="s">
        <v>146</v>
      </c>
      <c r="AE2" s="207" t="s">
        <v>147</v>
      </c>
    </row>
    <row r="3" spans="1:31" ht="39.75" thickTop="1" x14ac:dyDescent="0.25">
      <c r="A3" s="34" t="s">
        <v>180</v>
      </c>
      <c r="B3" s="35">
        <f ca="1">'Master Data'!$B$6</f>
        <v>126.3</v>
      </c>
      <c r="C3" s="35">
        <f ca="1">'Master Data'!$B$7</f>
        <v>136.30000000000001</v>
      </c>
      <c r="D3" s="35">
        <f ca="1">ROUND(C3-B3,1)</f>
        <v>10</v>
      </c>
      <c r="E3" s="36">
        <f>IF(
  A3="",
  0,
  MIN(
    INDEX(
      'Meds Sheet'!$B$24:$J$31,
      MATCH(A3, 'Meds Sheet'!$A$24:$A$31, 0),
      0
    )
  )
)</f>
        <v>24.99</v>
      </c>
      <c r="F3" s="36">
        <f>IF(
  A3="",
  0,
  MAX(
    INDEX(
      'Meds Sheet'!$B$24:$J$31,
      MATCH(A3, 'Meds Sheet'!$A$24:$A$31, 0),
      0
    )
  )
)</f>
        <v>33.99</v>
      </c>
      <c r="G3" s="37" t="str">
        <f t="shared" ref="G3:G13" si="0">IF(E3&lt;F3,CONCATENATE(TEXT(E3,"$#,##0.00"),CHAR(10)," - ",CHAR(10),TEXT(F3,"$#,##0.00")),TEXT(E3,"$#,##0.00"))</f>
        <v>$24.99
 - 
$33.99</v>
      </c>
      <c r="H3" s="38">
        <v>2</v>
      </c>
      <c r="I3" s="38">
        <v>5</v>
      </c>
      <c r="J3" s="38"/>
      <c r="K3" s="38"/>
      <c r="L3" s="48" t="str">
        <f>IF(LEN(K3)=0,IF(LEN(J3)=0,"lifetime",IF(J3=1,"year","years")),"years")</f>
        <v>lifetime</v>
      </c>
      <c r="M3" s="39" t="str">
        <f>IF(L3="lifetime",
    IF(I3&lt;&gt;"", H3 &amp; "-" &amp; I3 &amp; "x/lifetime", H3 &amp; "x/lifetime"),
    IF(D3='Master Data'!$B$8, AD3 &amp; AE3, AD3 &amp; AE3 &amp; AC3))</f>
        <v>2-5x/lifetime</v>
      </c>
      <c r="N3" s="36">
        <f t="shared" ref="N3:N13" si="1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3" s="36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3" s="49" t="str">
        <f t="shared" ref="P3:P13" si="2">IF(N3&lt;O3,CONCATENATE(TEXT(N3,"$#,##0.00"),CHAR(10)," - ",CHAR(10),TEXT(O3,"$#,##0.00")),TEXT(N3,"$0.00"))</f>
        <v>$0.00</v>
      </c>
      <c r="Q3" s="36">
        <f>ROUND(IF(TimeValue="lifetime",MinCost*MinFreq,0),2)</f>
        <v>49.98</v>
      </c>
      <c r="R3" s="36">
        <f>ROUND(IF(AND(TimeValue="lifetime",MaxFreq&lt;1),MinFreq*MaxCost,IF(AND(TimeValue="lifetime",MaxFreq&gt;=1),MaxFreq*MaxCost,0)),2)</f>
        <v>169.95</v>
      </c>
      <c r="S3" s="50" t="str">
        <f t="shared" ref="S3:S13" si="3">IF(Q3&lt;R3,CONCATENATE(TEXT(Q3,"$#,##0.00"),CHAR(10)," - ",CHAR(10),TEXT(R3,"$#,##0.00")),TEXT(Q3,"$0.00"))</f>
        <v>$49.98
 - 
$169.95</v>
      </c>
      <c r="U3" s="8" t="str">
        <f t="array" aca="1" ref="U3" ca="1">IF(AND(ROUND(Table5[Duration (Years):],1)='Master Data'!$B$8),"same","different")</f>
        <v>same</v>
      </c>
      <c r="V3" s="345" t="s">
        <v>133</v>
      </c>
      <c r="W3" s="345"/>
      <c r="Z3" s="328">
        <f>Table5[[#This Row],[Min Cost of Visit:]]/5</f>
        <v>4.9979999999999993</v>
      </c>
      <c r="AA3" s="166" t="str">
        <f>IF(L3="lifetime", "one-time cost", IF(D3='Master Data'!$B$8, AD3 &amp; AE3, AD3 &amp; AE3 &amp; AC3))</f>
        <v>one-time cost</v>
      </c>
      <c r="AB3" s="208" t="str">
        <f>IF(L3="lifetime", IF(I3&lt;&gt;"", H3 &amp; "-" &amp; I3 &amp; "x/lifetime", H3 &amp; "x/lifetime"), "ongoing cost")</f>
        <v>2-5x/lifetime</v>
      </c>
      <c r="AC3" s="166" t="str">
        <f ca="1">IF(Table5[[#This Row],[Duration (Years):]]&lt;&gt;'Master Data'!$B$8,CONCATENATE(",",CHAR(10),"for ",Table5[[#This Row],[Duration (Years):]]," years"),"lifelong")</f>
        <v>lifelong</v>
      </c>
      <c r="AD3" s="166" t="str">
        <f>IF(L3="lifetime", "one-time cost", IF(I3&lt;&gt;"", H3 &amp; "-" &amp; I3 &amp; "x/", H3 &amp; "x/"))</f>
        <v>one-time cost</v>
      </c>
      <c r="AE3" s="166" t="str">
        <f>IF(L3="lifetime", "one-time cost", IF(K3&lt;&gt;"", J3 &amp; "-" &amp; K3 &amp; " " &amp; L3, IF(J3&gt;1, J3 &amp; " " &amp; L3, L3)))</f>
        <v>one-time cost</v>
      </c>
    </row>
    <row r="4" spans="1:31" ht="38.25" x14ac:dyDescent="0.2">
      <c r="A4" s="28" t="s">
        <v>181</v>
      </c>
      <c r="B4" s="29">
        <f ca="1">'Master Data'!$B$6</f>
        <v>126.3</v>
      </c>
      <c r="C4" s="29">
        <f ca="1">'Master Data'!$B$7</f>
        <v>136.30000000000001</v>
      </c>
      <c r="D4" s="29">
        <f ca="1">ROUND(C4-B4,1)</f>
        <v>10</v>
      </c>
      <c r="E4" s="30">
        <f>IF(
  A4="",
  0,
  MIN(
    INDEX(
      'Meds Sheet'!$B$24:$J$31,
      MATCH(A4, 'Meds Sheet'!$A$24:$A$31, 0),
      0
    )
  )
)</f>
        <v>215</v>
      </c>
      <c r="F4" s="30">
        <f>IF(
  A4="",
  0,
  MAX(
    INDEX(
      'Meds Sheet'!$B$24:$J$31,
      MATCH(A4, 'Meds Sheet'!$A$24:$A$31, 0),
      0
    )
  )
)</f>
        <v>410</v>
      </c>
      <c r="G4" s="31" t="str">
        <f t="shared" si="0"/>
        <v>$215.00
 - 
$410.00</v>
      </c>
      <c r="H4" s="32">
        <v>2</v>
      </c>
      <c r="I4" s="32">
        <v>5</v>
      </c>
      <c r="J4" s="32"/>
      <c r="K4" s="32"/>
      <c r="L4" s="51" t="str">
        <f>IF(LEN(K4)=0,IF(LEN(J4)=0,"lifetime",IF(J4=1,"year","years")),"years")</f>
        <v>lifetime</v>
      </c>
      <c r="M4" s="33" t="str">
        <f>IF(L4="lifetime",
    IF(I4&lt;&gt;"", H4 &amp; "-" &amp; I4 &amp; "x/lifetime", H4 &amp; "x/lifetime"),
    IF(D4='Master Data'!$B$8, AD4 &amp; AE4, AD4 &amp; AE4 &amp; AC4))</f>
        <v>2-5x/lifetime</v>
      </c>
      <c r="N4" s="30">
        <f t="shared" si="1"/>
        <v>0</v>
      </c>
      <c r="O4" s="30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4" s="52" t="str">
        <f t="shared" si="2"/>
        <v>$0.00</v>
      </c>
      <c r="Q4" s="30">
        <f>ROUND(IF(TimeValue="lifetime",MinCost*MinFreq,0),2)</f>
        <v>430</v>
      </c>
      <c r="R4" s="30">
        <f>ROUND(IF(AND(TimeValue="lifetime",MaxFreq&lt;1),MinFreq*MaxCost,IF(AND(TimeValue="lifetime",MaxFreq&gt;=1),MaxFreq*MaxCost,0)),2)</f>
        <v>2050</v>
      </c>
      <c r="S4" s="53" t="str">
        <f t="shared" si="3"/>
        <v>$430.00
 - 
$2,050.00</v>
      </c>
      <c r="AA4" s="166" t="str">
        <f>IF(L4="lifetime", "one-time cost", IF(D4='Master Data'!$B$8, AD4 &amp; AE4, AD4 &amp; AE4 &amp; AC4))</f>
        <v>one-time cost</v>
      </c>
      <c r="AB4" s="208" t="str">
        <f t="shared" ref="AB4:AB13" si="4">IF(L4="lifetime", IF(I4&lt;&gt;"", H4 &amp; "-" &amp; I4 &amp; "x/lifetime", H4 &amp; "x/lifetime"), "ongoing cost")</f>
        <v>2-5x/lifetime</v>
      </c>
      <c r="AC4" s="166" t="str">
        <f ca="1">IF(Table5[[#This Row],[Duration (Years):]]&lt;&gt;'Master Data'!$B$8,CONCATENATE(",",CHAR(10),"for ",Table5[[#This Row],[Duration (Years):]]," years"),"lifelong")</f>
        <v>lifelong</v>
      </c>
      <c r="AD4" s="166" t="str">
        <f t="shared" ref="AD4:AD13" si="5">IF(L4="lifetime", "one-time cost", IF(I4&lt;&gt;"", H4 &amp; "-" &amp; I4 &amp; "x/", H4 &amp; "x/"))</f>
        <v>one-time cost</v>
      </c>
      <c r="AE4" s="166" t="str">
        <f t="shared" ref="AE4:AE13" si="6">IF(L4="lifetime", "one-time cost", IF(K4&lt;&gt;"", J4 &amp; "-" &amp; K4 &amp; " " &amp; L4, IF(J4&gt;1, J4 &amp; " " &amp; L4, L4)))</f>
        <v>one-time cost</v>
      </c>
    </row>
    <row r="5" spans="1:31" ht="38.25" x14ac:dyDescent="0.2">
      <c r="A5" s="28" t="s">
        <v>182</v>
      </c>
      <c r="B5" s="29">
        <f ca="1">'Master Data'!$B$6</f>
        <v>126.3</v>
      </c>
      <c r="C5" s="29">
        <f ca="1">'Master Data'!$B$7</f>
        <v>136.30000000000001</v>
      </c>
      <c r="D5" s="29">
        <f ca="1">ROUND(C5-B5,1)</f>
        <v>10</v>
      </c>
      <c r="E5" s="30">
        <f>IF(
  A5="",
  0,
  MIN(
    INDEX(
      'Meds Sheet'!$B$24:$J$31,
      MATCH(A5, 'Meds Sheet'!$A$24:$A$31, 0),
      0
    )
  )
)</f>
        <v>5.74</v>
      </c>
      <c r="F5" s="30">
        <f>IF(
  A5="",
  0,
  MAX(
    INDEX(
      'Meds Sheet'!$B$24:$J$31,
      MATCH(A5, 'Meds Sheet'!$A$24:$A$31, 0),
      0
    )
  )
)</f>
        <v>14.99</v>
      </c>
      <c r="G5" s="31" t="str">
        <f t="shared" si="0"/>
        <v>$5.74
 - 
$14.99</v>
      </c>
      <c r="H5" s="32">
        <v>2</v>
      </c>
      <c r="I5" s="32">
        <v>5</v>
      </c>
      <c r="J5" s="32"/>
      <c r="K5" s="32"/>
      <c r="L5" s="51" t="str">
        <f>IF(LEN(K5)=0,IF(LEN(J5)=0,"lifetime",IF(J5=1,"year","years")),"years")</f>
        <v>lifetime</v>
      </c>
      <c r="M5" s="33" t="str">
        <f>IF(L5="lifetime",
    IF(I5&lt;&gt;"", H5 &amp; "-" &amp; I5 &amp; "x/lifetime", H5 &amp; "x/lifetime"),
    IF(D5='Master Data'!$B$8, AD5 &amp; AE5, AD5 &amp; AE5 &amp; AC5))</f>
        <v>2-5x/lifetime</v>
      </c>
      <c r="N5" s="30">
        <f t="shared" si="1"/>
        <v>0</v>
      </c>
      <c r="O5" s="30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5" s="52" t="str">
        <f t="shared" si="2"/>
        <v>$0.00</v>
      </c>
      <c r="Q5" s="30">
        <f>ROUND(IF(TimeValue="lifetime",MinCost*MinFreq,0),2)</f>
        <v>11.48</v>
      </c>
      <c r="R5" s="30">
        <f>ROUND(IF(AND(TimeValue="lifetime",MaxFreq&lt;1),MinFreq*MaxCost,IF(AND(TimeValue="lifetime",MaxFreq&gt;=1),MaxFreq*MaxCost,0)),2)</f>
        <v>74.95</v>
      </c>
      <c r="S5" s="53" t="str">
        <f t="shared" si="3"/>
        <v>$11.48
 - 
$74.95</v>
      </c>
      <c r="AA5" s="166" t="str">
        <f>IF(L5="lifetime", "one-time cost", IF(D5='Master Data'!$B$8, AD5 &amp; AE5, AD5 &amp; AE5 &amp; AC5))</f>
        <v>one-time cost</v>
      </c>
      <c r="AB5" s="208" t="str">
        <f t="shared" si="4"/>
        <v>2-5x/lifetime</v>
      </c>
      <c r="AC5" s="166" t="str">
        <f ca="1">IF(Table5[[#This Row],[Duration (Years):]]&lt;&gt;'Master Data'!$B$8,CONCATENATE(",",CHAR(10),"for ",Table5[[#This Row],[Duration (Years):]]," years"),"lifelong")</f>
        <v>lifelong</v>
      </c>
      <c r="AD5" s="166" t="str">
        <f t="shared" si="5"/>
        <v>one-time cost</v>
      </c>
      <c r="AE5" s="166" t="str">
        <f t="shared" si="6"/>
        <v>one-time cost</v>
      </c>
    </row>
    <row r="6" spans="1:31" ht="38.25" x14ac:dyDescent="0.2">
      <c r="A6" s="28" t="s">
        <v>183</v>
      </c>
      <c r="B6" s="29">
        <f ca="1">'Master Data'!$B$6</f>
        <v>126.3</v>
      </c>
      <c r="C6" s="29">
        <f ca="1">'Master Data'!$B$7</f>
        <v>136.30000000000001</v>
      </c>
      <c r="D6" s="29">
        <f t="shared" ref="D6:D13" ca="1" si="7">ROUND(C6-B6,1)</f>
        <v>10</v>
      </c>
      <c r="E6" s="30">
        <f>IF(
  A6="",
  0,
  MIN(
    INDEX(
      'Meds Sheet'!$B$24:$J$31,
      MATCH(A6, 'Meds Sheet'!$A$24:$A$31, 0),
      0
    )
  )
)</f>
        <v>27.99</v>
      </c>
      <c r="F6" s="30">
        <f>IF(
  A6="",
  0,
  MAX(
    INDEX(
      'Meds Sheet'!$B$24:$J$31,
      MATCH(A6, 'Meds Sheet'!$A$24:$A$31, 0),
      0
    )
  )
)</f>
        <v>49.99</v>
      </c>
      <c r="G6" s="31" t="str">
        <f t="shared" si="0"/>
        <v>$27.99
 - 
$49.99</v>
      </c>
      <c r="H6" s="32">
        <v>2</v>
      </c>
      <c r="I6" s="32">
        <v>5</v>
      </c>
      <c r="J6" s="32"/>
      <c r="K6" s="32"/>
      <c r="L6" s="51" t="str">
        <f t="shared" ref="L6:L13" si="8">IF(LEN(K6)=0,IF(LEN(J6)=0,"lifetime",IF(J6=1,"year","years")),"years")</f>
        <v>lifetime</v>
      </c>
      <c r="M6" s="33" t="str">
        <f>IF(L6="lifetime",
    IF(I6&lt;&gt;"", H6 &amp; "-" &amp; I6 &amp; "x/lifetime", H6 &amp; "x/lifetime"),
    IF(D6='Master Data'!$B$8, AD6 &amp; AE6, AD6 &amp; AE6 &amp; AC6))</f>
        <v>2-5x/lifetime</v>
      </c>
      <c r="N6" s="30">
        <f t="shared" si="1"/>
        <v>0</v>
      </c>
      <c r="O6" s="30">
        <f t="shared" ref="O6:O13" si="9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6" s="52" t="str">
        <f t="shared" si="2"/>
        <v>$0.00</v>
      </c>
      <c r="Q6" s="30">
        <f t="shared" ref="Q6:Q13" si="10">ROUND(IF(TimeValue="lifetime",MinCost*MinFreq,0),2)</f>
        <v>55.98</v>
      </c>
      <c r="R6" s="30">
        <f t="shared" ref="R6:R13" si="11">ROUND(IF(AND(TimeValue="lifetime",MaxFreq&lt;1),MinFreq*MaxCost,IF(AND(TimeValue="lifetime",MaxFreq&gt;=1),MaxFreq*MaxCost,0)),2)</f>
        <v>249.95</v>
      </c>
      <c r="S6" s="53" t="str">
        <f t="shared" si="3"/>
        <v>$55.98
 - 
$249.95</v>
      </c>
      <c r="AA6" s="166" t="str">
        <f>IF(L6="lifetime", "one-time cost", IF(D6='Master Data'!$B$8, AD6 &amp; AE6, AD6 &amp; AE6 &amp; AC6))</f>
        <v>one-time cost</v>
      </c>
      <c r="AB6" s="208" t="str">
        <f t="shared" si="4"/>
        <v>2-5x/lifetime</v>
      </c>
      <c r="AC6" s="166" t="str">
        <f ca="1">IF(Table5[[#This Row],[Duration (Years):]]&lt;&gt;'Master Data'!$B$8,CONCATENATE(",",CHAR(10),"for ",Table5[[#This Row],[Duration (Years):]]," years"),"lifelong")</f>
        <v>lifelong</v>
      </c>
      <c r="AD6" s="166" t="str">
        <f t="shared" si="5"/>
        <v>one-time cost</v>
      </c>
      <c r="AE6" s="166" t="str">
        <f t="shared" si="6"/>
        <v>one-time cost</v>
      </c>
    </row>
    <row r="7" spans="1:31" ht="38.25" x14ac:dyDescent="0.2">
      <c r="A7" s="28" t="s">
        <v>184</v>
      </c>
      <c r="B7" s="29">
        <f ca="1">'Master Data'!$B$6</f>
        <v>126.3</v>
      </c>
      <c r="C7" s="29">
        <f ca="1">'Master Data'!$B$7</f>
        <v>136.30000000000001</v>
      </c>
      <c r="D7" s="29">
        <f t="shared" ca="1" si="7"/>
        <v>10</v>
      </c>
      <c r="E7" s="30">
        <f>IF(
  A7="",
  0,
  MIN(
    INDEX(
      'Meds Sheet'!$B$24:$J$31,
      MATCH(A7, 'Meds Sheet'!$A$24:$A$31, 0),
      0
    )
  )
)</f>
        <v>45</v>
      </c>
      <c r="F7" s="30">
        <f>IF(
  A7="",
  0,
  MAX(
    INDEX(
      'Meds Sheet'!$B$24:$J$31,
      MATCH(A7, 'Meds Sheet'!$A$24:$A$31, 0),
      0
    )
  )
)</f>
        <v>50.99</v>
      </c>
      <c r="G7" s="31" t="str">
        <f t="shared" si="0"/>
        <v>$45.00
 - 
$50.99</v>
      </c>
      <c r="H7" s="32">
        <v>2</v>
      </c>
      <c r="I7" s="32">
        <v>5</v>
      </c>
      <c r="J7" s="32"/>
      <c r="K7" s="32"/>
      <c r="L7" s="51" t="str">
        <f t="shared" si="8"/>
        <v>lifetime</v>
      </c>
      <c r="M7" s="33" t="str">
        <f>IF(L7="lifetime",
    IF(I7&lt;&gt;"", H7 &amp; "-" &amp; I7 &amp; "x/lifetime", H7 &amp; "x/lifetime"),
    IF(D7='Master Data'!$B$8, AD7 &amp; AE7, AD7 &amp; AE7 &amp; AC7))</f>
        <v>2-5x/lifetime</v>
      </c>
      <c r="N7" s="30">
        <f t="shared" si="1"/>
        <v>0</v>
      </c>
      <c r="O7" s="30">
        <f t="shared" si="9"/>
        <v>0</v>
      </c>
      <c r="P7" s="52" t="str">
        <f t="shared" si="2"/>
        <v>$0.00</v>
      </c>
      <c r="Q7" s="30">
        <f t="shared" si="10"/>
        <v>90</v>
      </c>
      <c r="R7" s="30">
        <f t="shared" si="11"/>
        <v>254.95</v>
      </c>
      <c r="S7" s="53" t="str">
        <f t="shared" si="3"/>
        <v>$90.00
 - 
$254.95</v>
      </c>
      <c r="AA7" s="166" t="str">
        <f>IF(L7="lifetime", "one-time cost", IF(D7='Master Data'!$B$8, AD7 &amp; AE7, AD7 &amp; AE7 &amp; AC7))</f>
        <v>one-time cost</v>
      </c>
      <c r="AB7" s="208" t="str">
        <f t="shared" si="4"/>
        <v>2-5x/lifetime</v>
      </c>
      <c r="AC7" s="166" t="str">
        <f ca="1">IF(Table5[[#This Row],[Duration (Years):]]&lt;&gt;'Master Data'!$B$8,CONCATENATE(",",CHAR(10),"for ",Table5[[#This Row],[Duration (Years):]]," years"),"lifelong")</f>
        <v>lifelong</v>
      </c>
      <c r="AD7" s="166" t="str">
        <f t="shared" si="5"/>
        <v>one-time cost</v>
      </c>
      <c r="AE7" s="166" t="str">
        <f t="shared" si="6"/>
        <v>one-time cost</v>
      </c>
    </row>
    <row r="8" spans="1:31" ht="38.25" x14ac:dyDescent="0.2">
      <c r="A8" s="28" t="s">
        <v>262</v>
      </c>
      <c r="B8" s="29">
        <f ca="1">'Master Data'!$B$6</f>
        <v>126.3</v>
      </c>
      <c r="C8" s="29">
        <f ca="1">'Master Data'!$B$7</f>
        <v>136.30000000000001</v>
      </c>
      <c r="D8" s="29">
        <f t="shared" ca="1" si="7"/>
        <v>10</v>
      </c>
      <c r="E8" s="30">
        <f>IF(
  A8="",
  0,
  MIN(
    INDEX(
      'Meds Sheet'!$B$24:$J$31,
      MATCH(A8, 'Meds Sheet'!$A$24:$A$31, 0),
      0
    )
  )
)</f>
        <v>29.99</v>
      </c>
      <c r="F8" s="30">
        <f>IF(
  A8="",
  0,
  MAX(
    INDEX(
      'Meds Sheet'!$B$24:$J$31,
      MATCH(A8, 'Meds Sheet'!$A$24:$A$31, 0),
      0
    )
  )
)</f>
        <v>30.99</v>
      </c>
      <c r="G8" s="31" t="str">
        <f t="shared" si="0"/>
        <v>$29.99
 - 
$30.99</v>
      </c>
      <c r="H8" s="32">
        <v>2</v>
      </c>
      <c r="I8" s="32">
        <v>5</v>
      </c>
      <c r="J8" s="32"/>
      <c r="K8" s="32"/>
      <c r="L8" s="51" t="str">
        <f t="shared" si="8"/>
        <v>lifetime</v>
      </c>
      <c r="M8" s="33" t="str">
        <f>IF(L8="lifetime",
    IF(I8&lt;&gt;"", H8 &amp; "-" &amp; I8 &amp; "x/lifetime", H8 &amp; "x/lifetime"),
    IF(D8='Master Data'!$B$8, AD8 &amp; AE8, AD8 &amp; AE8 &amp; AC8))</f>
        <v>2-5x/lifetime</v>
      </c>
      <c r="N8" s="30">
        <f t="shared" si="1"/>
        <v>0</v>
      </c>
      <c r="O8" s="30">
        <f t="shared" si="9"/>
        <v>0</v>
      </c>
      <c r="P8" s="52" t="str">
        <f t="shared" si="2"/>
        <v>$0.00</v>
      </c>
      <c r="Q8" s="30">
        <f t="shared" si="10"/>
        <v>59.98</v>
      </c>
      <c r="R8" s="30">
        <f t="shared" si="11"/>
        <v>154.94999999999999</v>
      </c>
      <c r="S8" s="53" t="str">
        <f t="shared" si="3"/>
        <v>$59.98
 - 
$154.95</v>
      </c>
      <c r="AA8" s="166" t="str">
        <f>IF(L8="lifetime", "one-time cost", IF(D8='Master Data'!$B$8, AD8 &amp; AE8, AD8 &amp; AE8 &amp; AC8))</f>
        <v>one-time cost</v>
      </c>
      <c r="AB8" s="208" t="str">
        <f t="shared" si="4"/>
        <v>2-5x/lifetime</v>
      </c>
      <c r="AC8" s="166" t="str">
        <f ca="1">IF(Table5[[#This Row],[Duration (Years):]]&lt;&gt;'Master Data'!$B$8,CONCATENATE(",",CHAR(10),"for ",Table5[[#This Row],[Duration (Years):]]," years"),"lifelong")</f>
        <v>lifelong</v>
      </c>
      <c r="AD8" s="166" t="str">
        <f t="shared" si="5"/>
        <v>one-time cost</v>
      </c>
      <c r="AE8" s="166" t="str">
        <f t="shared" si="6"/>
        <v>one-time cost</v>
      </c>
    </row>
    <row r="9" spans="1:31" ht="38.25" x14ac:dyDescent="0.2">
      <c r="A9" s="28" t="s">
        <v>185</v>
      </c>
      <c r="B9" s="29">
        <f ca="1">'Master Data'!$B$6</f>
        <v>126.3</v>
      </c>
      <c r="C9" s="29">
        <f ca="1">'Master Data'!$B$7</f>
        <v>136.30000000000001</v>
      </c>
      <c r="D9" s="29">
        <f t="shared" ca="1" si="7"/>
        <v>10</v>
      </c>
      <c r="E9" s="30">
        <f>IF(
  A9="",
  0,
  MIN(
    INDEX(
      'Meds Sheet'!$B$24:$J$31,
      MATCH(A9, 'Meds Sheet'!$A$24:$A$31, 0),
      0
    )
  )
)</f>
        <v>99.49</v>
      </c>
      <c r="F9" s="30">
        <f>IF(
  A9="",
  0,
  MAX(
    INDEX(
      'Meds Sheet'!$B$24:$J$31,
      MATCH(A9, 'Meds Sheet'!$A$24:$A$31, 0),
      0
    )
  )
)</f>
        <v>124.99000000000001</v>
      </c>
      <c r="G9" s="31" t="str">
        <f t="shared" si="0"/>
        <v>$99.49
 - 
$124.99</v>
      </c>
      <c r="H9" s="32">
        <v>1</v>
      </c>
      <c r="I9" s="32">
        <v>3</v>
      </c>
      <c r="J9" s="32"/>
      <c r="K9" s="32"/>
      <c r="L9" s="51" t="str">
        <f t="shared" si="8"/>
        <v>lifetime</v>
      </c>
      <c r="M9" s="33" t="str">
        <f>IF(L9="lifetime",
    IF(I9&lt;&gt;"", H9 &amp; "-" &amp; I9 &amp; "x/lifetime", H9 &amp; "x/lifetime"),
    IF(D9='Master Data'!$B$8, AD9 &amp; AE9, AD9 &amp; AE9 &amp; AC9))</f>
        <v>1-3x/lifetime</v>
      </c>
      <c r="N9" s="30">
        <f t="shared" si="1"/>
        <v>0</v>
      </c>
      <c r="O9" s="30">
        <f t="shared" si="9"/>
        <v>0</v>
      </c>
      <c r="P9" s="52" t="str">
        <f t="shared" si="2"/>
        <v>$0.00</v>
      </c>
      <c r="Q9" s="30">
        <f t="shared" si="10"/>
        <v>99.49</v>
      </c>
      <c r="R9" s="30">
        <f t="shared" si="11"/>
        <v>374.97</v>
      </c>
      <c r="S9" s="53" t="str">
        <f t="shared" si="3"/>
        <v>$99.49
 - 
$374.97</v>
      </c>
      <c r="AA9" s="166" t="str">
        <f>IF(L9="lifetime", "one-time cost", IF(D9='Master Data'!$B$8, AD9 &amp; AE9, AD9 &amp; AE9 &amp; AC9))</f>
        <v>one-time cost</v>
      </c>
      <c r="AB9" s="208" t="str">
        <f t="shared" si="4"/>
        <v>1-3x/lifetime</v>
      </c>
      <c r="AC9" s="166" t="str">
        <f ca="1">IF(Table5[[#This Row],[Duration (Years):]]&lt;&gt;'Master Data'!$B$8,CONCATENATE(",",CHAR(10),"for ",Table5[[#This Row],[Duration (Years):]]," years"),"lifelong")</f>
        <v>lifelong</v>
      </c>
      <c r="AD9" s="166" t="str">
        <f t="shared" si="5"/>
        <v>one-time cost</v>
      </c>
      <c r="AE9" s="166" t="str">
        <f t="shared" si="6"/>
        <v>one-time cost</v>
      </c>
    </row>
    <row r="10" spans="1:31" ht="38.25" x14ac:dyDescent="0.2">
      <c r="A10" s="28" t="s">
        <v>243</v>
      </c>
      <c r="B10" s="29">
        <f ca="1">'Master Data'!$B$6</f>
        <v>126.3</v>
      </c>
      <c r="C10" s="29">
        <f ca="1">'Master Data'!$B$7</f>
        <v>136.30000000000001</v>
      </c>
      <c r="D10" s="29">
        <f t="shared" ca="1" si="7"/>
        <v>10</v>
      </c>
      <c r="E10" s="30">
        <f>IF(
  A10="",
  0,
  MIN(
    INDEX(
      'Meds Sheet'!$B$24:$J$31,
      MATCH(A10, 'Meds Sheet'!$A$24:$A$31, 0),
      0
    )
  )
)</f>
        <v>35.99</v>
      </c>
      <c r="F10" s="30">
        <f>IF(
  A10="",
  0,
  MAX(
    INDEX(
      'Meds Sheet'!$B$24:$J$31,
      MATCH(A10, 'Meds Sheet'!$A$24:$A$31, 0),
      0
    )
  )
)</f>
        <v>49.99</v>
      </c>
      <c r="G10" s="31" t="str">
        <f t="shared" si="0"/>
        <v>$35.99
 - 
$49.99</v>
      </c>
      <c r="H10" s="32">
        <v>5</v>
      </c>
      <c r="I10" s="32">
        <v>20</v>
      </c>
      <c r="J10" s="32"/>
      <c r="K10" s="32"/>
      <c r="L10" s="51" t="str">
        <f t="shared" si="8"/>
        <v>lifetime</v>
      </c>
      <c r="M10" s="33" t="str">
        <f>IF(L10="lifetime",
    IF(I10&lt;&gt;"", H10 &amp; "-" &amp; I10 &amp; "x/lifetime", H10 &amp; "x/lifetime"),
    IF(D10='Master Data'!$B$8, AD10 &amp; AE10, AD10 &amp; AE10 &amp; AC10))</f>
        <v>5-20x/lifetime</v>
      </c>
      <c r="N10" s="30">
        <f t="shared" si="1"/>
        <v>0</v>
      </c>
      <c r="O10" s="30">
        <f t="shared" si="9"/>
        <v>0</v>
      </c>
      <c r="P10" s="52" t="str">
        <f t="shared" si="2"/>
        <v>$0.00</v>
      </c>
      <c r="Q10" s="30">
        <f t="shared" si="10"/>
        <v>179.95</v>
      </c>
      <c r="R10" s="30">
        <f t="shared" si="11"/>
        <v>999.8</v>
      </c>
      <c r="S10" s="53" t="str">
        <f t="shared" si="3"/>
        <v>$179.95
 - 
$999.80</v>
      </c>
      <c r="AA10" s="166" t="str">
        <f>IF(L10="lifetime", "one-time cost", IF(D10='Master Data'!$B$8, AD10 &amp; AE10, AD10 &amp; AE10 &amp; AC10))</f>
        <v>one-time cost</v>
      </c>
      <c r="AB10" s="208" t="str">
        <f t="shared" si="4"/>
        <v>5-20x/lifetime</v>
      </c>
      <c r="AC10" s="166" t="str">
        <f ca="1">IF(Table5[[#This Row],[Duration (Years):]]&lt;&gt;'Master Data'!$B$8,CONCATENATE(",",CHAR(10),"for ",Table5[[#This Row],[Duration (Years):]]," years"),"lifelong")</f>
        <v>lifelong</v>
      </c>
      <c r="AD10" s="166" t="str">
        <f t="shared" si="5"/>
        <v>one-time cost</v>
      </c>
      <c r="AE10" s="166" t="str">
        <f t="shared" si="6"/>
        <v>one-time cost</v>
      </c>
    </row>
    <row r="11" spans="1:31" ht="37.15" customHeight="1" x14ac:dyDescent="0.2">
      <c r="A11" s="28"/>
      <c r="B11" s="29">
        <f ca="1">'Master Data'!$B$6</f>
        <v>126.3</v>
      </c>
      <c r="C11" s="29">
        <f ca="1">'Master Data'!$B$7</f>
        <v>136.30000000000001</v>
      </c>
      <c r="D11" s="29">
        <f t="shared" ca="1" si="7"/>
        <v>10</v>
      </c>
      <c r="E11" s="30">
        <f>IF(
  A11="",
  0,
  MIN(
    INDEX(
      'Meds Sheet'!$B$24:$J$31,
      MATCH(A11, 'Meds Sheet'!$A$24:$A$31, 0),
      0
    )
  )
)</f>
        <v>0</v>
      </c>
      <c r="F11" s="30">
        <f>IF(
  A11="",
  0,
  MAX(
    INDEX(
      'Meds Sheet'!$B$24:$J$31,
      MATCH(A11, 'Meds Sheet'!$A$24:$A$31, 0),
      0
    )
  )
)</f>
        <v>0</v>
      </c>
      <c r="G11" s="31" t="str">
        <f t="shared" si="0"/>
        <v>$0.00</v>
      </c>
      <c r="H11" s="32"/>
      <c r="I11" s="32"/>
      <c r="J11" s="32"/>
      <c r="K11" s="32"/>
      <c r="L11" s="51" t="str">
        <f t="shared" si="8"/>
        <v>lifetime</v>
      </c>
      <c r="M11" s="33" t="str">
        <f>IF(L11="lifetime",
    IF(I11&lt;&gt;"", H11 &amp; "-" &amp; I11 &amp; "x/lifetime", H11 &amp; "x/lifetime"),
    IF(D11='Master Data'!$B$8, AD11 &amp; AE11, AD11 &amp; AE11 &amp; AC11))</f>
        <v>x/lifetime</v>
      </c>
      <c r="N11" s="30">
        <f t="shared" si="1"/>
        <v>0</v>
      </c>
      <c r="O11" s="30">
        <f t="shared" si="9"/>
        <v>0</v>
      </c>
      <c r="P11" s="52" t="str">
        <f t="shared" si="2"/>
        <v>$0.00</v>
      </c>
      <c r="Q11" s="30">
        <f t="shared" si="10"/>
        <v>0</v>
      </c>
      <c r="R11" s="30">
        <f t="shared" si="11"/>
        <v>0</v>
      </c>
      <c r="S11" s="53" t="str">
        <f t="shared" si="3"/>
        <v>$0.00</v>
      </c>
      <c r="AA11" s="166" t="str">
        <f>IF(L11="lifetime", "one-time cost", IF(D11='Master Data'!$B$8, AD11 &amp; AE11, AD11 &amp; AE11 &amp; AC11))</f>
        <v>one-time cost</v>
      </c>
      <c r="AB11" s="208" t="str">
        <f t="shared" si="4"/>
        <v>x/lifetime</v>
      </c>
      <c r="AC11" s="166" t="str">
        <f ca="1">IF(Table5[[#This Row],[Duration (Years):]]&lt;&gt;'Master Data'!$B$8,CONCATENATE(",",CHAR(10),"for ",Table5[[#This Row],[Duration (Years):]]," years"),"lifelong")</f>
        <v>lifelong</v>
      </c>
      <c r="AD11" s="166" t="str">
        <f t="shared" si="5"/>
        <v>one-time cost</v>
      </c>
      <c r="AE11" s="166" t="str">
        <f t="shared" si="6"/>
        <v>one-time cost</v>
      </c>
    </row>
    <row r="12" spans="1:31" ht="37.15" customHeight="1" x14ac:dyDescent="0.2">
      <c r="A12" s="28"/>
      <c r="B12" s="29">
        <f ca="1">'Master Data'!$B$6</f>
        <v>126.3</v>
      </c>
      <c r="C12" s="29">
        <f ca="1">'Master Data'!$B$7</f>
        <v>136.30000000000001</v>
      </c>
      <c r="D12" s="29">
        <f t="shared" ca="1" si="7"/>
        <v>10</v>
      </c>
      <c r="E12" s="30">
        <f>IF(
  A12="",
  0,
  MIN(
    INDEX(
      'Meds Sheet'!$B$24:$J$31,
      MATCH(A12, 'Meds Sheet'!$A$24:$A$31, 0),
      0
    )
  )
)</f>
        <v>0</v>
      </c>
      <c r="F12" s="30">
        <f>IF(
  A12="",
  0,
  MAX(
    INDEX(
      'Meds Sheet'!$B$24:$J$31,
      MATCH(A12, 'Meds Sheet'!$A$24:$A$31, 0),
      0
    )
  )
)</f>
        <v>0</v>
      </c>
      <c r="G12" s="31" t="str">
        <f t="shared" si="0"/>
        <v>$0.00</v>
      </c>
      <c r="H12" s="32"/>
      <c r="I12" s="32"/>
      <c r="J12" s="32"/>
      <c r="K12" s="32"/>
      <c r="L12" s="51" t="str">
        <f t="shared" si="8"/>
        <v>lifetime</v>
      </c>
      <c r="M12" s="33" t="str">
        <f>IF(L12="lifetime",
    IF(I12&lt;&gt;"", H12 &amp; "-" &amp; I12 &amp; "x/lifetime", H12 &amp; "x/lifetime"),
    IF(D12='Master Data'!$B$8, AD12 &amp; AE12, AD12 &amp; AE12 &amp; AC12))</f>
        <v>x/lifetime</v>
      </c>
      <c r="N12" s="30">
        <f t="shared" si="1"/>
        <v>0</v>
      </c>
      <c r="O12" s="30">
        <f t="shared" si="9"/>
        <v>0</v>
      </c>
      <c r="P12" s="52" t="str">
        <f t="shared" si="2"/>
        <v>$0.00</v>
      </c>
      <c r="Q12" s="30">
        <f t="shared" si="10"/>
        <v>0</v>
      </c>
      <c r="R12" s="30">
        <f t="shared" si="11"/>
        <v>0</v>
      </c>
      <c r="S12" s="53" t="str">
        <f t="shared" si="3"/>
        <v>$0.00</v>
      </c>
      <c r="T12" s="94"/>
      <c r="U12" s="94"/>
      <c r="V12" s="94"/>
      <c r="AA12" s="166" t="str">
        <f>IF(L12="lifetime", "one-time cost", IF(D12='Master Data'!$B$8, AD12 &amp; AE12, AD12 &amp; AE12 &amp; AC12))</f>
        <v>one-time cost</v>
      </c>
      <c r="AB12" s="208" t="str">
        <f t="shared" si="4"/>
        <v>x/lifetime</v>
      </c>
      <c r="AC12" s="166" t="str">
        <f ca="1">IF(Table5[[#This Row],[Duration (Years):]]&lt;&gt;'Master Data'!$B$8,CONCATENATE(",",CHAR(10),"for ",Table5[[#This Row],[Duration (Years):]]," years"),"lifelong")</f>
        <v>lifelong</v>
      </c>
      <c r="AD12" s="166" t="str">
        <f t="shared" si="5"/>
        <v>one-time cost</v>
      </c>
      <c r="AE12" s="166" t="str">
        <f t="shared" si="6"/>
        <v>one-time cost</v>
      </c>
    </row>
    <row r="13" spans="1:31" ht="37.15" customHeight="1" x14ac:dyDescent="0.2">
      <c r="A13" s="28"/>
      <c r="B13" s="29">
        <f ca="1">'Master Data'!$B$6</f>
        <v>126.3</v>
      </c>
      <c r="C13" s="29">
        <f ca="1">'Master Data'!$B$7</f>
        <v>136.30000000000001</v>
      </c>
      <c r="D13" s="29">
        <f t="shared" ca="1" si="7"/>
        <v>10</v>
      </c>
      <c r="E13" s="30">
        <f>IF(
  A13="",
  0,
  MIN(
    INDEX(
      'Meds Sheet'!$B$24:$J$31,
      MATCH(A13, 'Meds Sheet'!$A$24:$A$31, 0),
      0
    )
  )
)</f>
        <v>0</v>
      </c>
      <c r="F13" s="30">
        <f>IF(
  A13="",
  0,
  MAX(
    INDEX(
      'Meds Sheet'!$B$24:$J$31,
      MATCH(A13, 'Meds Sheet'!$A$24:$A$31, 0),
      0
    )
  )
)</f>
        <v>0</v>
      </c>
      <c r="G13" s="31" t="str">
        <f t="shared" si="0"/>
        <v>$0.00</v>
      </c>
      <c r="H13" s="32"/>
      <c r="I13" s="32"/>
      <c r="J13" s="32"/>
      <c r="K13" s="32"/>
      <c r="L13" s="51" t="str">
        <f t="shared" si="8"/>
        <v>lifetime</v>
      </c>
      <c r="M13" s="33" t="str">
        <f>IF(L13="lifetime",
    IF(I13&lt;&gt;"", H13 &amp; "-" &amp; I13 &amp; "x/lifetime", H13 &amp; "x/lifetime"),
    IF(D13='Master Data'!$B$8, AD13 &amp; AE13, AD13 &amp; AE13 &amp; AC13))</f>
        <v>x/lifetime</v>
      </c>
      <c r="N13" s="30">
        <f t="shared" si="1"/>
        <v>0</v>
      </c>
      <c r="O13" s="30">
        <f t="shared" si="9"/>
        <v>0</v>
      </c>
      <c r="P13" s="52" t="str">
        <f t="shared" si="2"/>
        <v>$0.00</v>
      </c>
      <c r="Q13" s="30">
        <f t="shared" si="10"/>
        <v>0</v>
      </c>
      <c r="R13" s="30">
        <f t="shared" si="11"/>
        <v>0</v>
      </c>
      <c r="S13" s="53" t="str">
        <f t="shared" si="3"/>
        <v>$0.00</v>
      </c>
      <c r="AA13" s="166" t="str">
        <f>IF(L13="lifetime", "one-time cost", IF(D13='Master Data'!$B$8, AD13 &amp; AE13, AD13 &amp; AE13 &amp; AC13))</f>
        <v>one-time cost</v>
      </c>
      <c r="AB13" s="208" t="str">
        <f t="shared" si="4"/>
        <v>x/lifetime</v>
      </c>
      <c r="AC13" s="166" t="str">
        <f ca="1">IF(Table5[[#This Row],[Duration (Years):]]&lt;&gt;'Master Data'!$B$8,CONCATENATE(",",CHAR(10),"for ",Table5[[#This Row],[Duration (Years):]]," years"),"lifelong")</f>
        <v>lifelong</v>
      </c>
      <c r="AD13" s="166" t="str">
        <f t="shared" si="5"/>
        <v>one-time cost</v>
      </c>
      <c r="AE13" s="166" t="str">
        <f t="shared" si="6"/>
        <v>one-time cost</v>
      </c>
    </row>
    <row r="14" spans="1:31" ht="37.15" customHeight="1" x14ac:dyDescent="0.2">
      <c r="A14" s="28"/>
      <c r="B14" s="29">
        <f ca="1">'Master Data'!$B$6</f>
        <v>126.3</v>
      </c>
      <c r="C14" s="29">
        <f ca="1">'Master Data'!$B$7</f>
        <v>136.30000000000001</v>
      </c>
      <c r="D14" s="29">
        <f t="shared" ref="D14:D20" ca="1" si="12">ROUND(C14-B14,1)</f>
        <v>10</v>
      </c>
      <c r="E14" s="30">
        <f>IF(
  A14="",
  0,
  MIN(
    INDEX(
      'Meds Sheet'!$B$24:$J$31,
      MATCH(A14, 'Meds Sheet'!$A$24:$A$31, 0),
      0
    )
  )
)</f>
        <v>0</v>
      </c>
      <c r="F14" s="30">
        <f>IF(
  A14="",
  0,
  MAX(
    INDEX(
      'Meds Sheet'!$B$24:$J$31,
      MATCH(A14, 'Meds Sheet'!$A$24:$A$31, 0),
      0
    )
  )
)</f>
        <v>0</v>
      </c>
      <c r="G14" s="31" t="str">
        <f t="shared" ref="G14:G20" si="13">IF(E14&lt;F14,CONCATENATE(TEXT(E14,"$#,##0.00"),CHAR(10)," - ",CHAR(10),TEXT(F14,"$#,##0.00")),TEXT(E14,"$#,##0.00"))</f>
        <v>$0.00</v>
      </c>
      <c r="H14" s="32"/>
      <c r="I14" s="32"/>
      <c r="J14" s="32"/>
      <c r="K14" s="32"/>
      <c r="L14" s="51" t="str">
        <f t="shared" ref="L14:L20" si="14">IF(LEN(K14)=0,IF(LEN(J14)=0,"lifetime",IF(J14=1,"year","years")),"years")</f>
        <v>lifetime</v>
      </c>
      <c r="M14" s="33" t="str">
        <f>IF(L14="lifetime",
    IF(I14&lt;&gt;"", H14 &amp; "-" &amp; I14 &amp; "x/lifetime", H14 &amp; "x/lifetime"),
    IF(D14='Master Data'!$B$8, AD14 &amp; AE14, AD14 &amp; AE14 &amp; AC14))</f>
        <v>x/lifetime</v>
      </c>
      <c r="N14" s="30">
        <f t="shared" ref="N14:N20" si="15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4" s="30">
        <f t="shared" ref="O14:O20" si="16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4" s="52" t="str">
        <f t="shared" ref="P14:P20" si="17">IF(N14&lt;O14,CONCATENATE(TEXT(N14,"$#,##0.00"),CHAR(10)," - ",CHAR(10),TEXT(O14,"$#,##0.00")),TEXT(N14,"$0.00"))</f>
        <v>$0.00</v>
      </c>
      <c r="Q14" s="30">
        <f t="shared" ref="Q14:Q20" si="18">ROUND(IF(TimeValue="lifetime",MinCost*MinFreq,0),2)</f>
        <v>0</v>
      </c>
      <c r="R14" s="30">
        <f t="shared" ref="R14:R20" si="19">ROUND(IF(AND(TimeValue="lifetime",MaxFreq&lt;1),MinFreq*MaxCost,IF(AND(TimeValue="lifetime",MaxFreq&gt;=1),MaxFreq*MaxCost,0)),2)</f>
        <v>0</v>
      </c>
      <c r="S14" s="53" t="str">
        <f t="shared" ref="S14:S20" si="20">IF(Q14&lt;R14,CONCATENATE(TEXT(Q14,"$#,##0.00"),CHAR(10)," - ",CHAR(10),TEXT(R14,"$#,##0.00")),TEXT(Q14,"$0.00"))</f>
        <v>$0.00</v>
      </c>
      <c r="AA14" s="166" t="str">
        <f>IF(L14="lifetime", "one-time cost", IF(D14='Master Data'!$B$8, AD14 &amp; AE14, AD14 &amp; AE14 &amp; AC14))</f>
        <v>one-time cost</v>
      </c>
      <c r="AB14" s="208" t="str">
        <f>IF(L14="lifetime", IF(I14&lt;&gt;"", H14 &amp; "-" &amp; I14 &amp; "x/lifetime", H14 &amp; "x/lifetime"), "ongoing cost")</f>
        <v>x/lifetime</v>
      </c>
      <c r="AC14" s="166" t="str">
        <f ca="1">IF(Table5[[#This Row],[Duration (Years):]]&lt;&gt;'Master Data'!$B$8,CONCATENATE(",",CHAR(10),"for ",Table5[[#This Row],[Duration (Years):]]," years"),"lifelong")</f>
        <v>lifelong</v>
      </c>
      <c r="AD14" s="166" t="str">
        <f>IF(L14="lifetime", "one-time cost", IF(I14&lt;&gt;"", H14 &amp; "-" &amp; I14 &amp; "x/", H14 &amp; "x/"))</f>
        <v>one-time cost</v>
      </c>
      <c r="AE14" s="166" t="str">
        <f>IF(L14="lifetime", "one-time cost", IF(K14&lt;&gt;"", J14 &amp; "-" &amp; K14 &amp; " " &amp; L14, IF(J14&gt;1, J14 &amp; " " &amp; L14, L14)))</f>
        <v>one-time cost</v>
      </c>
    </row>
    <row r="15" spans="1:31" ht="37.15" customHeight="1" x14ac:dyDescent="0.2">
      <c r="A15" s="28"/>
      <c r="B15" s="29">
        <f ca="1">'Master Data'!$B$6</f>
        <v>126.3</v>
      </c>
      <c r="C15" s="29">
        <f ca="1">'Master Data'!$B$7</f>
        <v>136.30000000000001</v>
      </c>
      <c r="D15" s="29">
        <f t="shared" ca="1" si="12"/>
        <v>10</v>
      </c>
      <c r="E15" s="30">
        <f>IF(
  A15="",
  0,
  MIN(
    INDEX(
      'Meds Sheet'!$B$24:$J$31,
      MATCH(A15, 'Meds Sheet'!$A$24:$A$31, 0),
      0
    )
  )
)</f>
        <v>0</v>
      </c>
      <c r="F15" s="30">
        <f>IF(
  A15="",
  0,
  MAX(
    INDEX(
      'Meds Sheet'!$B$24:$J$31,
      MATCH(A15, 'Meds Sheet'!$A$24:$A$31, 0),
      0
    )
  )
)</f>
        <v>0</v>
      </c>
      <c r="G15" s="31" t="str">
        <f t="shared" si="13"/>
        <v>$0.00</v>
      </c>
      <c r="H15" s="32"/>
      <c r="I15" s="32"/>
      <c r="J15" s="32"/>
      <c r="K15" s="32"/>
      <c r="L15" s="51" t="str">
        <f t="shared" si="14"/>
        <v>lifetime</v>
      </c>
      <c r="M15" s="33" t="str">
        <f>IF(L15="lifetime",
    IF(I15&lt;&gt;"", H15 &amp; "-" &amp; I15 &amp; "x/lifetime", H15 &amp; "x/lifetime"),
    IF(D15='Master Data'!$B$8, AD15 &amp; AE15, AD15 &amp; AE15 &amp; AC15))</f>
        <v>x/lifetime</v>
      </c>
      <c r="N15" s="30">
        <f t="shared" si="15"/>
        <v>0</v>
      </c>
      <c r="O15" s="30">
        <f t="shared" si="16"/>
        <v>0</v>
      </c>
      <c r="P15" s="52" t="str">
        <f t="shared" si="17"/>
        <v>$0.00</v>
      </c>
      <c r="Q15" s="30">
        <f t="shared" si="18"/>
        <v>0</v>
      </c>
      <c r="R15" s="30">
        <f t="shared" si="19"/>
        <v>0</v>
      </c>
      <c r="S15" s="53" t="str">
        <f t="shared" si="20"/>
        <v>$0.00</v>
      </c>
      <c r="AA15" s="166" t="str">
        <f>IF(L15="lifetime", "one-time cost", IF(D15='Master Data'!$B$8, AD15 &amp; AE15, AD15 &amp; AE15 &amp; AC15))</f>
        <v>one-time cost</v>
      </c>
      <c r="AB15" s="208" t="str">
        <f>IF(L15="lifetime", IF(I15&lt;&gt;"", H15 &amp; "-" &amp; I15 &amp; "x/lifetime", H15 &amp; "x/lifetime"), "ongoing cost")</f>
        <v>x/lifetime</v>
      </c>
      <c r="AC15" s="166" t="str">
        <f ca="1">IF(Table5[[#This Row],[Duration (Years):]]&lt;&gt;'Master Data'!$B$8,CONCATENATE(",",CHAR(10),"for ",Table5[[#This Row],[Duration (Years):]]," years"),"lifelong")</f>
        <v>lifelong</v>
      </c>
      <c r="AD15" s="166" t="str">
        <f>IF(L15="lifetime", "one-time cost", IF(I15&lt;&gt;"", H15 &amp; "-" &amp; I15 &amp; "x/", H15 &amp; "x/"))</f>
        <v>one-time cost</v>
      </c>
      <c r="AE15" s="166" t="str">
        <f>IF(L15="lifetime", "one-time cost", IF(K15&lt;&gt;"", J15 &amp; "-" &amp; K15 &amp; " " &amp; L15, IF(J15&gt;1, J15 &amp; " " &amp; L15, L15)))</f>
        <v>one-time cost</v>
      </c>
    </row>
    <row r="16" spans="1:31" ht="37.15" customHeight="1" x14ac:dyDescent="0.2">
      <c r="A16" s="289"/>
      <c r="B16" s="290">
        <f ca="1">'Master Data'!$B$6</f>
        <v>126.3</v>
      </c>
      <c r="C16" s="290">
        <f ca="1">'Master Data'!$B$7</f>
        <v>136.30000000000001</v>
      </c>
      <c r="D16" s="290">
        <f t="shared" ca="1" si="12"/>
        <v>10</v>
      </c>
      <c r="E16" s="291">
        <f>IF(
  A16="",
  0,
  MIN(
    INDEX(
      'Meds Sheet'!$B$24:$J$31,
      MATCH(A16, 'Meds Sheet'!$A$24:$A$31, 0),
      0
    )
  )
)</f>
        <v>0</v>
      </c>
      <c r="F16" s="291">
        <f>IF(
  A16="",
  0,
  MAX(
    INDEX(
      'Meds Sheet'!$B$24:$J$31,
      MATCH(A16, 'Meds Sheet'!$A$24:$A$31, 0),
      0
    )
  )
)</f>
        <v>0</v>
      </c>
      <c r="G16" s="292" t="str">
        <f t="shared" si="13"/>
        <v>$0.00</v>
      </c>
      <c r="H16" s="293"/>
      <c r="I16" s="293"/>
      <c r="J16" s="293"/>
      <c r="K16" s="293"/>
      <c r="L16" s="294" t="str">
        <f t="shared" si="14"/>
        <v>lifetime</v>
      </c>
      <c r="M16" s="295" t="str">
        <f>IF(L16="lifetime",
    IF(I16&lt;&gt;"", H16 &amp; "-" &amp; I16 &amp; "x/lifetime", H16 &amp; "x/lifetime"),
    IF(D16='Master Data'!$B$8, AD16 &amp; AE16, AD16 &amp; AE16 &amp; AC16))</f>
        <v>x/lifetime</v>
      </c>
      <c r="N16" s="291">
        <f t="shared" si="15"/>
        <v>0</v>
      </c>
      <c r="O16" s="291">
        <f t="shared" si="16"/>
        <v>0</v>
      </c>
      <c r="P16" s="296" t="str">
        <f t="shared" si="17"/>
        <v>$0.00</v>
      </c>
      <c r="Q16" s="291">
        <f t="shared" si="18"/>
        <v>0</v>
      </c>
      <c r="R16" s="291">
        <f t="shared" si="19"/>
        <v>0</v>
      </c>
      <c r="S16" s="297" t="str">
        <f t="shared" si="20"/>
        <v>$0.00</v>
      </c>
      <c r="AA16" s="166" t="str">
        <f>IF(L16="lifetime", "one-time cost", IF(D16='Master Data'!$B$8, AD16 &amp; AE16, AD16 &amp; AE16 &amp; AC16))</f>
        <v>one-time cost</v>
      </c>
      <c r="AB16" s="208" t="str">
        <f t="shared" ref="AB16:AB30" si="21">IF(L16="lifetime", IF(I16&lt;&gt;"", H16 &amp; "-" &amp; I16 &amp; "x/lifetime", H16 &amp; "x/lifetime"), "ongoing cost")</f>
        <v>x/lifetime</v>
      </c>
      <c r="AC16" s="166" t="str">
        <f ca="1">IF(Table5[[#This Row],[Duration (Years):]]&lt;&gt;'Master Data'!$B$8,CONCATENATE(",",CHAR(10),"for ",Table5[[#This Row],[Duration (Years):]]," years"),"lifelong")</f>
        <v>lifelong</v>
      </c>
      <c r="AD16" s="166" t="str">
        <f t="shared" ref="AD16:AD30" si="22">IF(L16="lifetime", "one-time cost", IF(I16&lt;&gt;"", H16 &amp; "-" &amp; I16 &amp; "x/", H16 &amp; "x/"))</f>
        <v>one-time cost</v>
      </c>
      <c r="AE16" s="166" t="str">
        <f t="shared" ref="AE16:AE30" si="23">IF(L16="lifetime", "one-time cost", IF(K16&lt;&gt;"", J16 &amp; "-" &amp; K16 &amp; " " &amp; L16, IF(J16&gt;1, J16 &amp; " " &amp; L16, L16)))</f>
        <v>one-time cost</v>
      </c>
    </row>
    <row r="17" spans="1:31" ht="37.15" customHeight="1" x14ac:dyDescent="0.2">
      <c r="A17" s="289"/>
      <c r="B17" s="290">
        <f ca="1">'Master Data'!$B$6</f>
        <v>126.3</v>
      </c>
      <c r="C17" s="290">
        <f ca="1">'Master Data'!$B$7</f>
        <v>136.30000000000001</v>
      </c>
      <c r="D17" s="290">
        <f t="shared" ca="1" si="12"/>
        <v>10</v>
      </c>
      <c r="E17" s="291">
        <f>IF(
  A17="",
  0,
  MIN(
    INDEX(
      'Meds Sheet'!$B$24:$J$31,
      MATCH(A17, 'Meds Sheet'!$A$24:$A$31, 0),
      0
    )
  )
)</f>
        <v>0</v>
      </c>
      <c r="F17" s="291">
        <f>IF(
  A17="",
  0,
  MAX(
    INDEX(
      'Meds Sheet'!$B$24:$J$31,
      MATCH(A17, 'Meds Sheet'!$A$24:$A$31, 0),
      0
    )
  )
)</f>
        <v>0</v>
      </c>
      <c r="G17" s="292" t="str">
        <f t="shared" si="13"/>
        <v>$0.00</v>
      </c>
      <c r="H17" s="293"/>
      <c r="I17" s="293"/>
      <c r="J17" s="293"/>
      <c r="K17" s="293"/>
      <c r="L17" s="294" t="str">
        <f t="shared" si="14"/>
        <v>lifetime</v>
      </c>
      <c r="M17" s="295" t="str">
        <f>IF(L17="lifetime",
    IF(I17&lt;&gt;"", H17 &amp; "-" &amp; I17 &amp; "x/lifetime", H17 &amp; "x/lifetime"),
    IF(D17='Master Data'!$B$8, AD17 &amp; AE17, AD17 &amp; AE17 &amp; AC17))</f>
        <v>x/lifetime</v>
      </c>
      <c r="N17" s="291">
        <f t="shared" si="15"/>
        <v>0</v>
      </c>
      <c r="O17" s="291">
        <f t="shared" si="16"/>
        <v>0</v>
      </c>
      <c r="P17" s="296" t="str">
        <f t="shared" si="17"/>
        <v>$0.00</v>
      </c>
      <c r="Q17" s="291">
        <f t="shared" si="18"/>
        <v>0</v>
      </c>
      <c r="R17" s="291">
        <f t="shared" si="19"/>
        <v>0</v>
      </c>
      <c r="S17" s="297" t="str">
        <f t="shared" si="20"/>
        <v>$0.00</v>
      </c>
      <c r="AA17" s="166" t="str">
        <f>IF(L17="lifetime", "one-time cost", IF(D17='Master Data'!$B$8, AD17 &amp; AE17, AD17 &amp; AE17 &amp; AC17))</f>
        <v>one-time cost</v>
      </c>
      <c r="AB17" s="208" t="str">
        <f t="shared" si="21"/>
        <v>x/lifetime</v>
      </c>
      <c r="AC17" s="166" t="str">
        <f ca="1">IF(Table5[[#This Row],[Duration (Years):]]&lt;&gt;'Master Data'!$B$8,CONCATENATE(",",CHAR(10),"for ",Table5[[#This Row],[Duration (Years):]]," years"),"lifelong")</f>
        <v>lifelong</v>
      </c>
      <c r="AD17" s="166" t="str">
        <f t="shared" si="22"/>
        <v>one-time cost</v>
      </c>
      <c r="AE17" s="166" t="str">
        <f t="shared" si="23"/>
        <v>one-time cost</v>
      </c>
    </row>
    <row r="18" spans="1:31" ht="37.15" customHeight="1" x14ac:dyDescent="0.2">
      <c r="A18" s="289"/>
      <c r="B18" s="290">
        <f ca="1">'Master Data'!$B$6</f>
        <v>126.3</v>
      </c>
      <c r="C18" s="290">
        <f ca="1">'Master Data'!$B$7</f>
        <v>136.30000000000001</v>
      </c>
      <c r="D18" s="290">
        <f t="shared" ca="1" si="12"/>
        <v>10</v>
      </c>
      <c r="E18" s="291">
        <f>IF(
  A18="",
  0,
  MIN(
    INDEX(
      'Meds Sheet'!$B$24:$J$31,
      MATCH(A18, 'Meds Sheet'!$A$24:$A$31, 0),
      0
    )
  )
)</f>
        <v>0</v>
      </c>
      <c r="F18" s="291">
        <f>IF(
  A18="",
  0,
  MAX(
    INDEX(
      'Meds Sheet'!$B$24:$J$31,
      MATCH(A18, 'Meds Sheet'!$A$24:$A$31, 0),
      0
    )
  )
)</f>
        <v>0</v>
      </c>
      <c r="G18" s="292" t="str">
        <f t="shared" si="13"/>
        <v>$0.00</v>
      </c>
      <c r="H18" s="293"/>
      <c r="I18" s="293"/>
      <c r="J18" s="293"/>
      <c r="K18" s="293"/>
      <c r="L18" s="294" t="str">
        <f t="shared" si="14"/>
        <v>lifetime</v>
      </c>
      <c r="M18" s="295" t="str">
        <f>IF(L18="lifetime",
    IF(I18&lt;&gt;"", H18 &amp; "-" &amp; I18 &amp; "x/lifetime", H18 &amp; "x/lifetime"),
    IF(D18='Master Data'!$B$8, AD18 &amp; AE18, AD18 &amp; AE18 &amp; AC18))</f>
        <v>x/lifetime</v>
      </c>
      <c r="N18" s="291">
        <f t="shared" si="15"/>
        <v>0</v>
      </c>
      <c r="O18" s="291">
        <f t="shared" si="16"/>
        <v>0</v>
      </c>
      <c r="P18" s="296" t="str">
        <f t="shared" si="17"/>
        <v>$0.00</v>
      </c>
      <c r="Q18" s="291">
        <f t="shared" si="18"/>
        <v>0</v>
      </c>
      <c r="R18" s="291">
        <f t="shared" si="19"/>
        <v>0</v>
      </c>
      <c r="S18" s="297" t="str">
        <f t="shared" si="20"/>
        <v>$0.00</v>
      </c>
      <c r="AA18" s="166" t="str">
        <f>IF(L18="lifetime", "one-time cost", IF(D18='Master Data'!$B$8, AD18 &amp; AE18, AD18 &amp; AE18 &amp; AC18))</f>
        <v>one-time cost</v>
      </c>
      <c r="AB18" s="208" t="str">
        <f t="shared" si="21"/>
        <v>x/lifetime</v>
      </c>
      <c r="AC18" s="166" t="str">
        <f ca="1">IF(Table5[[#This Row],[Duration (Years):]]&lt;&gt;'Master Data'!$B$8,CONCATENATE(",",CHAR(10),"for ",Table5[[#This Row],[Duration (Years):]]," years"),"lifelong")</f>
        <v>lifelong</v>
      </c>
      <c r="AD18" s="166" t="str">
        <f t="shared" si="22"/>
        <v>one-time cost</v>
      </c>
      <c r="AE18" s="166" t="str">
        <f t="shared" si="23"/>
        <v>one-time cost</v>
      </c>
    </row>
    <row r="19" spans="1:31" ht="15" customHeight="1" x14ac:dyDescent="0.2">
      <c r="A19" s="289"/>
      <c r="B19" s="290">
        <f ca="1">'Master Data'!$B$6</f>
        <v>126.3</v>
      </c>
      <c r="C19" s="290">
        <f ca="1">'Master Data'!$B$7</f>
        <v>136.30000000000001</v>
      </c>
      <c r="D19" s="290">
        <f t="shared" ca="1" si="12"/>
        <v>10</v>
      </c>
      <c r="E19" s="291">
        <f>IF(
  A19="",
  0,
  MIN(
    INDEX(
      'Meds Sheet'!$B$24:$J$31,
      MATCH(A19, 'Meds Sheet'!$A$24:$A$31, 0),
      0
    )
  )
)</f>
        <v>0</v>
      </c>
      <c r="F19" s="291">
        <f>IF(
  A19="",
  0,
  MAX(
    INDEX(
      'Meds Sheet'!$B$24:$J$31,
      MATCH(A19, 'Meds Sheet'!$A$24:$A$31, 0),
      0
    )
  )
)</f>
        <v>0</v>
      </c>
      <c r="G19" s="292" t="str">
        <f t="shared" si="13"/>
        <v>$0.00</v>
      </c>
      <c r="H19" s="293"/>
      <c r="I19" s="293"/>
      <c r="J19" s="293"/>
      <c r="K19" s="293"/>
      <c r="L19" s="294" t="str">
        <f t="shared" si="14"/>
        <v>lifetime</v>
      </c>
      <c r="M19" s="295" t="str">
        <f>IF(L19="lifetime",
    IF(I19&lt;&gt;"", H19 &amp; "-" &amp; I19 &amp; "x/lifetime", H19 &amp; "x/lifetime"),
    IF(D19='Master Data'!$B$8, AD19 &amp; AE19, AD19 &amp; AE19 &amp; AC19))</f>
        <v>x/lifetime</v>
      </c>
      <c r="N19" s="291">
        <f t="shared" si="15"/>
        <v>0</v>
      </c>
      <c r="O19" s="291">
        <f t="shared" si="16"/>
        <v>0</v>
      </c>
      <c r="P19" s="296" t="str">
        <f t="shared" si="17"/>
        <v>$0.00</v>
      </c>
      <c r="Q19" s="291">
        <f t="shared" si="18"/>
        <v>0</v>
      </c>
      <c r="R19" s="291">
        <f t="shared" si="19"/>
        <v>0</v>
      </c>
      <c r="S19" s="297" t="str">
        <f t="shared" si="20"/>
        <v>$0.00</v>
      </c>
      <c r="AA19" s="166" t="str">
        <f>IF(L19="lifetime", "one-time cost", IF(D19='Master Data'!$B$8, AD19 &amp; AE19, AD19 &amp; AE19 &amp; AC19))</f>
        <v>one-time cost</v>
      </c>
      <c r="AB19" s="208" t="str">
        <f t="shared" si="21"/>
        <v>x/lifetime</v>
      </c>
      <c r="AC19" s="166" t="str">
        <f ca="1">IF(Table5[[#This Row],[Duration (Years):]]&lt;&gt;'Master Data'!$B$8,CONCATENATE(",",CHAR(10),"for ",Table5[[#This Row],[Duration (Years):]]," years"),"lifelong")</f>
        <v>lifelong</v>
      </c>
      <c r="AD19" s="166" t="str">
        <f t="shared" si="22"/>
        <v>one-time cost</v>
      </c>
      <c r="AE19" s="166" t="str">
        <f t="shared" si="23"/>
        <v>one-time cost</v>
      </c>
    </row>
    <row r="20" spans="1:31" ht="15" customHeight="1" x14ac:dyDescent="0.2">
      <c r="A20" s="289"/>
      <c r="B20" s="290">
        <f ca="1">'Master Data'!$B$6</f>
        <v>126.3</v>
      </c>
      <c r="C20" s="290">
        <f ca="1">'Master Data'!$B$7</f>
        <v>136.30000000000001</v>
      </c>
      <c r="D20" s="290">
        <f t="shared" ca="1" si="12"/>
        <v>10</v>
      </c>
      <c r="E20" s="291">
        <f>IF(
  A20="",
  0,
  MIN(
    INDEX(
      'Meds Sheet'!$B$24:$J$31,
      MATCH(A20, 'Meds Sheet'!$A$24:$A$31, 0),
      0
    )
  )
)</f>
        <v>0</v>
      </c>
      <c r="F20" s="291">
        <f>IF(
  A20="",
  0,
  MAX(
    INDEX(
      'Meds Sheet'!$B$24:$J$31,
      MATCH(A20, 'Meds Sheet'!$A$24:$A$31, 0),
      0
    )
  )
)</f>
        <v>0</v>
      </c>
      <c r="G20" s="292" t="str">
        <f t="shared" si="13"/>
        <v>$0.00</v>
      </c>
      <c r="H20" s="293"/>
      <c r="I20" s="293"/>
      <c r="J20" s="293"/>
      <c r="K20" s="293"/>
      <c r="L20" s="294" t="str">
        <f t="shared" si="14"/>
        <v>lifetime</v>
      </c>
      <c r="M20" s="295" t="str">
        <f>IF(L20="lifetime",
    IF(I20&lt;&gt;"", H20 &amp; "-" &amp; I20 &amp; "x/lifetime", H20 &amp; "x/lifetime"),
    IF(D20='Master Data'!$B$8, AD20 &amp; AE20, AD20 &amp; AE20 &amp; AC20))</f>
        <v>x/lifetime</v>
      </c>
      <c r="N20" s="291">
        <f t="shared" si="15"/>
        <v>0</v>
      </c>
      <c r="O20" s="291">
        <f t="shared" si="16"/>
        <v>0</v>
      </c>
      <c r="P20" s="296" t="str">
        <f t="shared" si="17"/>
        <v>$0.00</v>
      </c>
      <c r="Q20" s="291">
        <f t="shared" si="18"/>
        <v>0</v>
      </c>
      <c r="R20" s="291">
        <f t="shared" si="19"/>
        <v>0</v>
      </c>
      <c r="S20" s="297" t="str">
        <f t="shared" si="20"/>
        <v>$0.00</v>
      </c>
      <c r="AA20" s="166" t="str">
        <f>IF(L20="lifetime", "one-time cost", IF(D20='Master Data'!$B$8, AD20 &amp; AE20, AD20 &amp; AE20 &amp; AC20))</f>
        <v>one-time cost</v>
      </c>
      <c r="AB20" s="208" t="str">
        <f t="shared" si="21"/>
        <v>x/lifetime</v>
      </c>
      <c r="AC20" s="166" t="str">
        <f ca="1">IF(Table5[[#This Row],[Duration (Years):]]&lt;&gt;'Master Data'!$B$8,CONCATENATE(",",CHAR(10),"for ",Table5[[#This Row],[Duration (Years):]]," years"),"lifelong")</f>
        <v>lifelong</v>
      </c>
      <c r="AD20" s="166" t="str">
        <f t="shared" si="22"/>
        <v>one-time cost</v>
      </c>
      <c r="AE20" s="166" t="str">
        <f t="shared" si="23"/>
        <v>one-time cost</v>
      </c>
    </row>
    <row r="21" spans="1:31" ht="28.5" x14ac:dyDescent="0.2">
      <c r="A21" s="28"/>
      <c r="B21" s="29">
        <f ca="1">'Master Data'!$B$6</f>
        <v>126.3</v>
      </c>
      <c r="C21" s="29">
        <f ca="1">'Master Data'!$B$7</f>
        <v>136.30000000000001</v>
      </c>
      <c r="D21" s="29">
        <f ca="1">ROUND(C21-B21,1)</f>
        <v>10</v>
      </c>
      <c r="E21" s="30">
        <f>IF(
  A21="",
  0,
  MIN(
    INDEX(
      'Meds Sheet'!$B$24:$J$31,
      MATCH(A21, 'Meds Sheet'!$A$24:$A$31, 0),
      0
    )
  )
)</f>
        <v>0</v>
      </c>
      <c r="F21" s="30">
        <f>IF(
  A21="",
  0,
  MAX(
    INDEX(
      'Meds Sheet'!$B$24:$J$31,
      MATCH(A21, 'Meds Sheet'!$A$24:$A$31, 0),
      0
    )
  )
)</f>
        <v>0</v>
      </c>
      <c r="G21" s="31" t="str">
        <f>IF(E21&lt;F21,CONCATENATE(TEXT(E21,"$#,##0.00"),CHAR(10)," - ",CHAR(10),TEXT(F21,"$#,##0.00")),TEXT(E21,"$#,##0.00"))</f>
        <v>$0.00</v>
      </c>
      <c r="H21" s="32"/>
      <c r="I21" s="32"/>
      <c r="J21" s="32"/>
      <c r="K21" s="32"/>
      <c r="L21" s="51" t="str">
        <f>IF(LEN(K21)=0,IF(LEN(J21)=0,"lifetime",IF(J21=1,"year","years")),"years")</f>
        <v>lifetime</v>
      </c>
      <c r="M21" s="33" t="str">
        <f>IF(L21="lifetime",
    IF(I21&lt;&gt;"", H21 &amp; "-" &amp; I21 &amp; "x/lifetime", H21 &amp; "x/lifetime"),
    IF(D21='Master Data'!$B$8, AD21 &amp; AE21, AD21 &amp; AE21 &amp; AC21))</f>
        <v>x/lifetime</v>
      </c>
      <c r="N21" s="30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21" s="30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21" s="52" t="str">
        <f>IF(N21&lt;O21,CONCATENATE(TEXT(N21,"$#,##0.00"),CHAR(10)," - ",CHAR(10),TEXT(O21,"$#,##0.00")),TEXT(N21,"$0.00"))</f>
        <v>$0.00</v>
      </c>
      <c r="Q21" s="30">
        <f>ROUND(IF(TimeValue="lifetime",MinCost*MinFreq,0),2)</f>
        <v>0</v>
      </c>
      <c r="R21" s="30">
        <f>ROUND(IF(AND(TimeValue="lifetime",MaxFreq&lt;1),MinFreq*MaxCost,IF(AND(TimeValue="lifetime",MaxFreq&gt;=1),MaxFreq*MaxCost,0)),2)</f>
        <v>0</v>
      </c>
      <c r="S21" s="53" t="str">
        <f>IF(Q21&lt;R21,CONCATENATE(TEXT(Q21,"$#,##0.00"),CHAR(10)," - ",CHAR(10),TEXT(R21,"$#,##0.00")),TEXT(Q21,"$0.00"))</f>
        <v>$0.00</v>
      </c>
      <c r="AA21" s="166" t="str">
        <f>IF(L21="lifetime", "one-time cost", IF(D21='Master Data'!$B$8, AD21 &amp; AE21, AD21 &amp; AE21 &amp; AC21))</f>
        <v>one-time cost</v>
      </c>
      <c r="AB21" s="208" t="str">
        <f t="shared" si="21"/>
        <v>x/lifetime</v>
      </c>
      <c r="AC21" s="166" t="str">
        <f ca="1">IF(Table5[[#This Row],[Duration (Years):]]&lt;&gt;'Master Data'!$B$8,CONCATENATE(",",CHAR(10),"for ",Table5[[#This Row],[Duration (Years):]]," years"),"lifelong")</f>
        <v>lifelong</v>
      </c>
      <c r="AD21" s="166" t="str">
        <f t="shared" si="22"/>
        <v>one-time cost</v>
      </c>
      <c r="AE21" s="166" t="str">
        <f t="shared" si="23"/>
        <v>one-time cost</v>
      </c>
    </row>
    <row r="22" spans="1:31" ht="15" customHeight="1" x14ac:dyDescent="0.2">
      <c r="A22" s="28"/>
      <c r="B22" s="29">
        <f ca="1">'Master Data'!$B$6</f>
        <v>126.3</v>
      </c>
      <c r="C22" s="29">
        <f ca="1">'Master Data'!$B$7</f>
        <v>136.30000000000001</v>
      </c>
      <c r="D22" s="29">
        <f ca="1">ROUND(C22-B22,1)</f>
        <v>10</v>
      </c>
      <c r="E22" s="30">
        <f>IF(
  A22="",
  0,
  MIN(
    INDEX(
      'Meds Sheet'!$B$24:$J$31,
      MATCH(A22, 'Meds Sheet'!$A$24:$A$31, 0),
      0
    )
  )
)</f>
        <v>0</v>
      </c>
      <c r="F22" s="30">
        <f>IF(
  A22="",
  0,
  MAX(
    INDEX(
      'Meds Sheet'!$B$24:$J$31,
      MATCH(A22, 'Meds Sheet'!$A$24:$A$31, 0),
      0
    )
  )
)</f>
        <v>0</v>
      </c>
      <c r="G22" s="31" t="str">
        <f>IF(E22&lt;F22,CONCATENATE(TEXT(E22,"$#,##0.00"),CHAR(10)," - ",CHAR(10),TEXT(F22,"$#,##0.00")),TEXT(E22,"$#,##0.00"))</f>
        <v>$0.00</v>
      </c>
      <c r="H22" s="32"/>
      <c r="I22" s="32"/>
      <c r="J22" s="32"/>
      <c r="K22" s="32"/>
      <c r="L22" s="51" t="str">
        <f>IF(LEN(K22)=0,IF(LEN(J22)=0,"lifetime",IF(J22=1,"year","years")),"years")</f>
        <v>lifetime</v>
      </c>
      <c r="M22" s="33" t="str">
        <f>IF(L22="lifetime",
    IF(I22&lt;&gt;"", H22 &amp; "-" &amp; I22 &amp; "x/lifetime", H22 &amp; "x/lifetime"),
    IF(D22='Master Data'!$B$8, AD22 &amp; AE22, AD22 &amp; AE22 &amp; AC22))</f>
        <v>x/lifetime</v>
      </c>
      <c r="N22" s="30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22" s="30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22" s="52" t="str">
        <f>IF(N22&lt;O22,CONCATENATE(TEXT(N22,"$#,##0.00"),CHAR(10)," - ",CHAR(10),TEXT(O22,"$#,##0.00")),TEXT(N22,"$0.00"))</f>
        <v>$0.00</v>
      </c>
      <c r="Q22" s="30">
        <f>ROUND(IF(TimeValue="lifetime",MinCost*MinFreq,0),2)</f>
        <v>0</v>
      </c>
      <c r="R22" s="30">
        <f>ROUND(IF(AND(TimeValue="lifetime",MaxFreq&lt;1),MinFreq*MaxCost,IF(AND(TimeValue="lifetime",MaxFreq&gt;=1),MaxFreq*MaxCost,0)),2)</f>
        <v>0</v>
      </c>
      <c r="S22" s="53" t="str">
        <f>IF(Q22&lt;R22,CONCATENATE(TEXT(Q22,"$#,##0.00"),CHAR(10)," - ",CHAR(10),TEXT(R22,"$#,##0.00")),TEXT(Q22,"$0.00"))</f>
        <v>$0.00</v>
      </c>
      <c r="AA22" s="166" t="str">
        <f>IF(L22="lifetime", "one-time cost", IF(D22='Master Data'!$B$8, AD22 &amp; AE22, AD22 &amp; AE22 &amp; AC22))</f>
        <v>one-time cost</v>
      </c>
      <c r="AB22" s="208" t="str">
        <f t="shared" si="21"/>
        <v>x/lifetime</v>
      </c>
      <c r="AC22" s="166" t="str">
        <f ca="1">IF(Table5[[#This Row],[Duration (Years):]]&lt;&gt;'Master Data'!$B$8,CONCATENATE(",",CHAR(10),"for ",Table5[[#This Row],[Duration (Years):]]," years"),"lifelong")</f>
        <v>lifelong</v>
      </c>
      <c r="AD22" s="166" t="str">
        <f t="shared" si="22"/>
        <v>one-time cost</v>
      </c>
      <c r="AE22" s="166" t="str">
        <f t="shared" si="23"/>
        <v>one-time cost</v>
      </c>
    </row>
    <row r="23" spans="1:31" ht="15" customHeight="1" x14ac:dyDescent="0.2">
      <c r="A23" s="28"/>
      <c r="B23" s="29">
        <f ca="1">'Master Data'!$B$6</f>
        <v>126.3</v>
      </c>
      <c r="C23" s="29">
        <f ca="1">'Master Data'!$B$7</f>
        <v>136.30000000000001</v>
      </c>
      <c r="D23" s="29">
        <f ca="1">ROUND(C23-B23,1)</f>
        <v>10</v>
      </c>
      <c r="E23" s="30">
        <f>IF(
  A23="",
  0,
  MIN(
    INDEX(
      'Meds Sheet'!$B$24:$J$31,
      MATCH(A23, 'Meds Sheet'!$A$24:$A$31, 0),
      0
    )
  )
)</f>
        <v>0</v>
      </c>
      <c r="F23" s="30">
        <f>IF(
  A23="",
  0,
  MAX(
    INDEX(
      'Meds Sheet'!$B$24:$J$31,
      MATCH(A23, 'Meds Sheet'!$A$24:$A$31, 0),
      0
    )
  )
)</f>
        <v>0</v>
      </c>
      <c r="G23" s="31" t="str">
        <f>IF(E23&lt;F23,CONCATENATE(TEXT(E23,"$#,##0.00"),CHAR(10)," - ",CHAR(10),TEXT(F23,"$#,##0.00")),TEXT(E23,"$#,##0.00"))</f>
        <v>$0.00</v>
      </c>
      <c r="H23" s="32"/>
      <c r="I23" s="32"/>
      <c r="J23" s="32"/>
      <c r="K23" s="32"/>
      <c r="L23" s="51" t="str">
        <f>IF(LEN(K23)=0,IF(LEN(J23)=0,"lifetime",IF(J23=1,"year","years")),"years")</f>
        <v>lifetime</v>
      </c>
      <c r="M23" s="33" t="str">
        <f>IF(L23="lifetime",
    IF(I23&lt;&gt;"", H23 &amp; "-" &amp; I23 &amp; "x/lifetime", H23 &amp; "x/lifetime"),
    IF(D23='Master Data'!$B$8, AD23 &amp; AE23, AD23 &amp; AE23 &amp; AC23))</f>
        <v>x/lifetime</v>
      </c>
      <c r="N23" s="30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23" s="30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23" s="52" t="str">
        <f>IF(N23&lt;O23,CONCATENATE(TEXT(N23,"$#,##0.00"),CHAR(10)," - ",CHAR(10),TEXT(O23,"$#,##0.00")),TEXT(N23,"$0.00"))</f>
        <v>$0.00</v>
      </c>
      <c r="Q23" s="30">
        <f>ROUND(IF(TimeValue="lifetime",MinCost*MinFreq,0),2)</f>
        <v>0</v>
      </c>
      <c r="R23" s="30">
        <f>ROUND(IF(AND(TimeValue="lifetime",MaxFreq&lt;1),MinFreq*MaxCost,IF(AND(TimeValue="lifetime",MaxFreq&gt;=1),MaxFreq*MaxCost,0)),2)</f>
        <v>0</v>
      </c>
      <c r="S23" s="53" t="str">
        <f>IF(Q23&lt;R23,CONCATENATE(TEXT(Q23,"$#,##0.00"),CHAR(10)," - ",CHAR(10),TEXT(R23,"$#,##0.00")),TEXT(Q23,"$0.00"))</f>
        <v>$0.00</v>
      </c>
      <c r="AA23" s="166" t="str">
        <f>IF(L23="lifetime", "one-time cost", IF(D23='Master Data'!$B$8, AD23 &amp; AE23, AD23 &amp; AE23 &amp; AC23))</f>
        <v>one-time cost</v>
      </c>
      <c r="AB23" s="208" t="str">
        <f t="shared" si="21"/>
        <v>x/lifetime</v>
      </c>
      <c r="AC23" s="166" t="str">
        <f ca="1">IF(Table5[[#This Row],[Duration (Years):]]&lt;&gt;'Master Data'!$B$8,CONCATENATE(",",CHAR(10),"for ",Table5[[#This Row],[Duration (Years):]]," years"),"lifelong")</f>
        <v>lifelong</v>
      </c>
      <c r="AD23" s="166" t="str">
        <f t="shared" si="22"/>
        <v>one-time cost</v>
      </c>
      <c r="AE23" s="166" t="str">
        <f t="shared" si="23"/>
        <v>one-time cost</v>
      </c>
    </row>
    <row r="24" spans="1:31" ht="15" customHeight="1" x14ac:dyDescent="0.2">
      <c r="A24" s="28"/>
      <c r="B24" s="29">
        <f ca="1">'Master Data'!$B$6</f>
        <v>126.3</v>
      </c>
      <c r="C24" s="29">
        <f ca="1">'Master Data'!$B$7</f>
        <v>136.30000000000001</v>
      </c>
      <c r="D24" s="29">
        <f ca="1">ROUND(C24-B24,1)</f>
        <v>10</v>
      </c>
      <c r="E24" s="30">
        <f>IF(
  A24="",
  0,
  MIN(
    INDEX(
      'Meds Sheet'!$B$24:$J$31,
      MATCH(A24, 'Meds Sheet'!$A$24:$A$31, 0),
      0
    )
  )
)</f>
        <v>0</v>
      </c>
      <c r="F24" s="30">
        <f>IF(
  A24="",
  0,
  MAX(
    INDEX(
      'Meds Sheet'!$B$24:$J$31,
      MATCH(A24, 'Meds Sheet'!$A$24:$A$31, 0),
      0
    )
  )
)</f>
        <v>0</v>
      </c>
      <c r="G24" s="31" t="str">
        <f>IF(E24&lt;F24,CONCATENATE(TEXT(E24,"$#,##0.00"),CHAR(10)," - ",CHAR(10),TEXT(F24,"$#,##0.00")),TEXT(E24,"$#,##0.00"))</f>
        <v>$0.00</v>
      </c>
      <c r="H24" s="32"/>
      <c r="I24" s="32"/>
      <c r="J24" s="32"/>
      <c r="K24" s="32"/>
      <c r="L24" s="51" t="str">
        <f>IF(LEN(K24)=0,IF(LEN(J24)=0,"lifetime",IF(J24=1,"year","years")),"years")</f>
        <v>lifetime</v>
      </c>
      <c r="M24" s="33" t="str">
        <f>IF(L24="lifetime",
    IF(I24&lt;&gt;"", H24 &amp; "-" &amp; I24 &amp; "x/lifetime", H24 &amp; "x/lifetime"),
    IF(D24='Master Data'!$B$8, AD24 &amp; AE24, AD24 &amp; AE24 &amp; AC24))</f>
        <v>x/lifetime</v>
      </c>
      <c r="N24" s="30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24" s="30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24" s="52" t="str">
        <f>IF(N24&lt;O24,CONCATENATE(TEXT(N24,"$#,##0.00"),CHAR(10)," - ",CHAR(10),TEXT(O24,"$#,##0.00")),TEXT(N24,"$0.00"))</f>
        <v>$0.00</v>
      </c>
      <c r="Q24" s="30">
        <f>ROUND(IF(TimeValue="lifetime",MinCost*MinFreq,0),2)</f>
        <v>0</v>
      </c>
      <c r="R24" s="30">
        <f>ROUND(IF(AND(TimeValue="lifetime",MaxFreq&lt;1),MinFreq*MaxCost,IF(AND(TimeValue="lifetime",MaxFreq&gt;=1),MaxFreq*MaxCost,0)),2)</f>
        <v>0</v>
      </c>
      <c r="S24" s="53" t="str">
        <f>IF(Q24&lt;R24,CONCATENATE(TEXT(Q24,"$#,##0.00"),CHAR(10)," - ",CHAR(10),TEXT(R24,"$#,##0.00")),TEXT(Q24,"$0.00"))</f>
        <v>$0.00</v>
      </c>
      <c r="AA24" s="166" t="str">
        <f>IF(L24="lifetime", "one-time cost", IF(D24='Master Data'!$B$8, AD24 &amp; AE24, AD24 &amp; AE24 &amp; AC24))</f>
        <v>one-time cost</v>
      </c>
      <c r="AB24" s="208" t="str">
        <f t="shared" si="21"/>
        <v>x/lifetime</v>
      </c>
      <c r="AC24" s="166" t="str">
        <f ca="1">IF(Table5[[#This Row],[Duration (Years):]]&lt;&gt;'Master Data'!$B$8,CONCATENATE(",",CHAR(10),"for ",Table5[[#This Row],[Duration (Years):]]," years"),"lifelong")</f>
        <v>lifelong</v>
      </c>
      <c r="AD24" s="166" t="str">
        <f t="shared" si="22"/>
        <v>one-time cost</v>
      </c>
      <c r="AE24" s="166" t="str">
        <f t="shared" si="23"/>
        <v>one-time cost</v>
      </c>
    </row>
    <row r="25" spans="1:31" ht="15" customHeight="1" thickBot="1" x14ac:dyDescent="0.25">
      <c r="A25" s="28"/>
      <c r="B25" s="29">
        <f ca="1">'Master Data'!$B$6</f>
        <v>126.3</v>
      </c>
      <c r="C25" s="29">
        <f ca="1">'Master Data'!$B$7</f>
        <v>136.30000000000001</v>
      </c>
      <c r="D25" s="29">
        <f ca="1">ROUND(C25-B25,1)</f>
        <v>10</v>
      </c>
      <c r="E25" s="30">
        <f>IF(
  A25="",
  0,
  MIN(
    INDEX(
      'Meds Sheet'!$B$24:$J$31,
      MATCH(A25, 'Meds Sheet'!$A$24:$A$31, 0),
      0
    )
  )
)</f>
        <v>0</v>
      </c>
      <c r="F25" s="30">
        <f>IF(
  A25="",
  0,
  MAX(
    INDEX(
      'Meds Sheet'!$B$24:$J$31,
      MATCH(A25, 'Meds Sheet'!$A$24:$A$31, 0),
      0
    )
  )
)</f>
        <v>0</v>
      </c>
      <c r="G25" s="31" t="str">
        <f>IF(E25&lt;F25,CONCATENATE(TEXT(E25,"$#,##0.00"),CHAR(10)," - ",CHAR(10),TEXT(F25,"$#,##0.00")),TEXT(E25,"$#,##0.00"))</f>
        <v>$0.00</v>
      </c>
      <c r="H25" s="32"/>
      <c r="I25" s="32"/>
      <c r="J25" s="32"/>
      <c r="K25" s="32"/>
      <c r="L25" s="51" t="str">
        <f>IF(LEN(K25)=0,IF(LEN(J25)=0,"lifetime",IF(J25=1,"year","years")),"years")</f>
        <v>lifetime</v>
      </c>
      <c r="M25" s="33" t="str">
        <f>IF(L25="lifetime",
    IF(I25&lt;&gt;"", H25 &amp; "-" &amp; I25 &amp; "x/lifetime", H25 &amp; "x/lifetime"),
    IF(D25='Master Data'!$B$8, AD25 &amp; AE25, AD25 &amp; AE25 &amp; AC25))</f>
        <v>x/lifetime</v>
      </c>
      <c r="N25" s="30">
        <f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25" s="30">
        <f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25" s="52" t="str">
        <f>IF(N25&lt;O25,CONCATENATE(TEXT(N25,"$#,##0.00"),CHAR(10)," - ",CHAR(10),TEXT(O25,"$#,##0.00")),TEXT(N25,"$0.00"))</f>
        <v>$0.00</v>
      </c>
      <c r="Q25" s="30">
        <f>ROUND(IF(TimeValue="lifetime",MinCost*MinFreq,0),2)</f>
        <v>0</v>
      </c>
      <c r="R25" s="30">
        <f>ROUND(IF(AND(TimeValue="lifetime",MaxFreq&lt;1),MinFreq*MaxCost,IF(AND(TimeValue="lifetime",MaxFreq&gt;=1),MaxFreq*MaxCost,0)),2)</f>
        <v>0</v>
      </c>
      <c r="S25" s="53" t="str">
        <f>IF(Q25&lt;R25,CONCATENATE(TEXT(Q25,"$#,##0.00"),CHAR(10)," - ",CHAR(10),TEXT(R25,"$#,##0.00")),TEXT(Q25,"$0.00"))</f>
        <v>$0.00</v>
      </c>
      <c r="AA25" s="166" t="str">
        <f>IF(L25="lifetime", "one-time cost", IF(D25='Master Data'!$B$8, AD25 &amp; AE25, AD25 &amp; AE25 &amp; AC25))</f>
        <v>one-time cost</v>
      </c>
      <c r="AB25" s="208" t="str">
        <f t="shared" si="21"/>
        <v>x/lifetime</v>
      </c>
      <c r="AC25" s="166" t="str">
        <f ca="1">IF(Table5[[#This Row],[Duration (Years):]]&lt;&gt;'Master Data'!$B$8,CONCATENATE(",",CHAR(10),"for ",Table5[[#This Row],[Duration (Years):]]," years"),"lifelong")</f>
        <v>lifelong</v>
      </c>
      <c r="AD25" s="166" t="str">
        <f t="shared" si="22"/>
        <v>one-time cost</v>
      </c>
      <c r="AE25" s="166" t="str">
        <f t="shared" si="23"/>
        <v>one-time cost</v>
      </c>
    </row>
    <row r="26" spans="1:31" ht="39.75" thickTop="1" thickBot="1" x14ac:dyDescent="0.25">
      <c r="A26" s="343" t="s">
        <v>32</v>
      </c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44"/>
      <c r="M26" s="344"/>
      <c r="N26" s="69"/>
      <c r="O26" s="69"/>
      <c r="P26" s="70" t="str">
        <f ca="1">IF(U3="same",IF(SUM(Table5[Annual Cost Max:])=0,"$0.00",CONCATENATE(TEXT(SUM(AnnMin),"$#,##0.00"),CHAR(10)," - ",CHAR(10),TEXT(SUM(AnnMax),"$#,##0.00"))),"Variable by year")</f>
        <v>$0.00</v>
      </c>
      <c r="Q26" s="69"/>
      <c r="R26" s="69"/>
      <c r="S26" s="71" t="str">
        <f>IF(SUM(OneTimeMax)=0,"$0.00",CONCATENATE(TEXT(SUM(OneTimeMin),"$#,##0.00"),CHAR(10)," - ",CHAR(10),TEXT(SUM(OneTimeMax),"$#,##0.00")))</f>
        <v>$976.86
 - 
$4,329.52</v>
      </c>
      <c r="AA26" s="166" t="e">
        <f>IF(L26="lifetime", "one-time cost", IF(D26='Master Data'!$B$8, AD26 &amp; AE26, AD26 &amp; AE26 &amp; AC26))</f>
        <v>#VALUE!</v>
      </c>
      <c r="AB26" s="208" t="str">
        <f t="shared" si="21"/>
        <v>ongoing cost</v>
      </c>
      <c r="AC26" s="166" t="e">
        <f>IF(Table5[[#This Row],[Duration (Years):]]&lt;&gt;'Master Data'!$B$8,CONCATENATE(",",CHAR(10),"for ",Table5[[#This Row],[Duration (Years):]]," years"),"lifelong")</f>
        <v>#VALUE!</v>
      </c>
      <c r="AD26" s="166" t="str">
        <f t="shared" si="22"/>
        <v>x/</v>
      </c>
      <c r="AE26" s="166">
        <f t="shared" si="23"/>
        <v>0</v>
      </c>
    </row>
    <row r="27" spans="1:31" ht="15" customHeight="1" thickTop="1" x14ac:dyDescent="0.2">
      <c r="AA27" s="166" t="e">
        <f>IF(L27="lifetime", "one-time cost", IF(D27='Master Data'!$B$8, AD27 &amp; AE27, AD27 &amp; AE27 &amp; AC27))</f>
        <v>#VALUE!</v>
      </c>
      <c r="AB27" s="208" t="str">
        <f t="shared" si="21"/>
        <v>ongoing cost</v>
      </c>
      <c r="AC27" s="166" t="e">
        <f>IF(Table5[[#This Row],[Duration (Years):]]&lt;&gt;'Master Data'!$B$8,CONCATENATE(",",CHAR(10),"for ",Table5[[#This Row],[Duration (Years):]]," years"),"lifelong")</f>
        <v>#VALUE!</v>
      </c>
      <c r="AD27" s="166" t="str">
        <f t="shared" si="22"/>
        <v>x/</v>
      </c>
      <c r="AE27" s="166">
        <f t="shared" si="23"/>
        <v>0</v>
      </c>
    </row>
    <row r="28" spans="1:31" ht="15" customHeight="1" x14ac:dyDescent="0.2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AA28" s="166" t="e">
        <f>IF(L28="lifetime", "one-time cost", IF(D28='Master Data'!$B$8, AD28 &amp; AE28, AD28 &amp; AE28 &amp; AC28))</f>
        <v>#VALUE!</v>
      </c>
      <c r="AB28" s="208" t="str">
        <f t="shared" si="21"/>
        <v>ongoing cost</v>
      </c>
      <c r="AC28" s="166" t="e">
        <f>IF(Table5[[#This Row],[Duration (Years):]]&lt;&gt;'Master Data'!$B$8,CONCATENATE(",",CHAR(10),"for ",Table5[[#This Row],[Duration (Years):]]," years"),"lifelong")</f>
        <v>#VALUE!</v>
      </c>
      <c r="AD28" s="166" t="str">
        <f t="shared" si="22"/>
        <v>x/</v>
      </c>
      <c r="AE28" s="166">
        <f t="shared" si="23"/>
        <v>0</v>
      </c>
    </row>
    <row r="29" spans="1:31" ht="15" customHeight="1" x14ac:dyDescent="0.2">
      <c r="A29" s="99"/>
      <c r="AA29" s="166" t="e">
        <f>IF(L29="lifetime", "one-time cost", IF(D29='Master Data'!$B$8, AD29 &amp; AE29, AD29 &amp; AE29 &amp; AC29))</f>
        <v>#VALUE!</v>
      </c>
      <c r="AB29" s="208" t="str">
        <f t="shared" si="21"/>
        <v>ongoing cost</v>
      </c>
      <c r="AC29" s="166" t="e">
        <f>IF(Table5[[#This Row],[Duration (Years):]]&lt;&gt;'Master Data'!$B$8,CONCATENATE(",",CHAR(10),"for ",Table5[[#This Row],[Duration (Years):]]," years"),"lifelong")</f>
        <v>#VALUE!</v>
      </c>
      <c r="AD29" s="166" t="str">
        <f t="shared" si="22"/>
        <v>x/</v>
      </c>
      <c r="AE29" s="166">
        <f t="shared" si="23"/>
        <v>0</v>
      </c>
    </row>
    <row r="30" spans="1:31" ht="14.25" x14ac:dyDescent="0.2">
      <c r="AA30" s="166" t="e">
        <f>IF(L30="lifetime", "one-time cost", IF(D30='Master Data'!$B$8, AD30 &amp; AE30, AD30 &amp; AE30 &amp; AC30))</f>
        <v>#VALUE!</v>
      </c>
      <c r="AB30" s="208" t="str">
        <f t="shared" si="21"/>
        <v>ongoing cost</v>
      </c>
      <c r="AC30" s="166" t="e">
        <f>IF(Table5[[#This Row],[Duration (Years):]]&lt;&gt;'Master Data'!$B$8,CONCATENATE(",",CHAR(10),"for ",Table5[[#This Row],[Duration (Years):]]," years"),"lifelong")</f>
        <v>#VALUE!</v>
      </c>
      <c r="AD30" s="166" t="str">
        <f t="shared" si="22"/>
        <v>x/</v>
      </c>
      <c r="AE30" s="166">
        <f t="shared" si="23"/>
        <v>0</v>
      </c>
    </row>
    <row r="31" spans="1:31" ht="14.25" x14ac:dyDescent="0.2">
      <c r="AA31" s="166" t="e">
        <f>IF(L41="lifetime", "one-time cost", IF(D41='Master Data'!$B$8, AD31 &amp; AE31, AD31 &amp; AE31 &amp; AC31))</f>
        <v>#VALUE!</v>
      </c>
      <c r="AB31" s="208" t="str">
        <f t="shared" ref="AB31:AB44" si="24">IF(L41="lifetime", IF(I41&lt;&gt;"", H41 &amp; "-" &amp; I41 &amp; "x/lifetime", H41 &amp; "x/lifetime"), "ongoing cost")</f>
        <v>ongoing cost</v>
      </c>
      <c r="AC31" s="166" t="e">
        <f>IF(Table5[[#This Row],[Duration (Years):]]&lt;&gt;'Master Data'!$B$8,CONCATENATE(",",CHAR(10),"for ",Table5[[#This Row],[Duration (Years):]]," years"),"lifelong")</f>
        <v>#VALUE!</v>
      </c>
      <c r="AD31" s="166" t="str">
        <f t="shared" ref="AD31:AD44" si="25">IF(L41="lifetime", "one-time cost", IF(I41&lt;&gt;"", H41 &amp; "-" &amp; I41 &amp; "x/", H41 &amp; "x/"))</f>
        <v>x/</v>
      </c>
      <c r="AE31" s="166">
        <f t="shared" ref="AE31:AE44" si="26">IF(L41="lifetime", "one-time cost", IF(K41&lt;&gt;"", J41 &amp; "-" &amp; K41 &amp; " " &amp; L41, IF(J41&gt;1, J41 &amp; " " &amp; L41, L41)))</f>
        <v>0</v>
      </c>
    </row>
    <row r="32" spans="1:31" ht="14.25" x14ac:dyDescent="0.2">
      <c r="AA32" s="166" t="e">
        <f>IF(L42="lifetime", "one-time cost", IF(D42='Master Data'!$B$8, AD32 &amp; AE32, AD32 &amp; AE32 &amp; AC32))</f>
        <v>#VALUE!</v>
      </c>
      <c r="AB32" s="208" t="str">
        <f t="shared" si="24"/>
        <v>ongoing cost</v>
      </c>
      <c r="AC32" s="166" t="e">
        <f>IF(Table5[[#This Row],[Duration (Years):]]&lt;&gt;'Master Data'!$B$8,CONCATENATE(",",CHAR(10),"for ",Table5[[#This Row],[Duration (Years):]]," years"),"lifelong")</f>
        <v>#VALUE!</v>
      </c>
      <c r="AD32" s="166" t="str">
        <f t="shared" si="25"/>
        <v>x/</v>
      </c>
      <c r="AE32" s="166">
        <f t="shared" si="26"/>
        <v>0</v>
      </c>
    </row>
    <row r="33" spans="27:31" ht="14.25" x14ac:dyDescent="0.2">
      <c r="AA33" s="166" t="e">
        <f>IF(L43="lifetime", "one-time cost", IF(D43='Master Data'!$B$8, AD33 &amp; AE33, AD33 &amp; AE33 &amp; AC33))</f>
        <v>#VALUE!</v>
      </c>
      <c r="AB33" s="208" t="str">
        <f t="shared" si="24"/>
        <v>ongoing cost</v>
      </c>
      <c r="AC33" s="166" t="e">
        <f>IF(Table5[[#This Row],[Duration (Years):]]&lt;&gt;'Master Data'!$B$8,CONCATENATE(",",CHAR(10),"for ",Table5[[#This Row],[Duration (Years):]]," years"),"lifelong")</f>
        <v>#VALUE!</v>
      </c>
      <c r="AD33" s="166" t="str">
        <f t="shared" si="25"/>
        <v>x/</v>
      </c>
      <c r="AE33" s="166">
        <f t="shared" si="26"/>
        <v>0</v>
      </c>
    </row>
    <row r="34" spans="27:31" ht="14.25" x14ac:dyDescent="0.2">
      <c r="AA34" s="166" t="e">
        <f>IF(L44="lifetime", "one-time cost", IF(D44='Master Data'!$B$8, AD34 &amp; AE34, AD34 &amp; AE34 &amp; AC34))</f>
        <v>#VALUE!</v>
      </c>
      <c r="AB34" s="208" t="str">
        <f t="shared" si="24"/>
        <v>ongoing cost</v>
      </c>
      <c r="AC34" s="166" t="e">
        <f>IF(Table5[[#This Row],[Duration (Years):]]&lt;&gt;'Master Data'!$B$8,CONCATENATE(",",CHAR(10),"for ",Table5[[#This Row],[Duration (Years):]]," years"),"lifelong")</f>
        <v>#VALUE!</v>
      </c>
      <c r="AD34" s="166" t="str">
        <f t="shared" si="25"/>
        <v>x/</v>
      </c>
      <c r="AE34" s="166">
        <f t="shared" si="26"/>
        <v>0</v>
      </c>
    </row>
    <row r="35" spans="27:31" ht="14.25" x14ac:dyDescent="0.2">
      <c r="AA35" s="166" t="e">
        <f>IF(L45="lifetime", "one-time cost", IF(D45='Master Data'!$B$8, AD35 &amp; AE35, AD35 &amp; AE35 &amp; AC35))</f>
        <v>#VALUE!</v>
      </c>
      <c r="AB35" s="208" t="str">
        <f t="shared" si="24"/>
        <v>ongoing cost</v>
      </c>
      <c r="AC35" s="166" t="e">
        <f>IF(Table5[[#This Row],[Duration (Years):]]&lt;&gt;'Master Data'!$B$8,CONCATENATE(",",CHAR(10),"for ",Table5[[#This Row],[Duration (Years):]]," years"),"lifelong")</f>
        <v>#VALUE!</v>
      </c>
      <c r="AD35" s="166" t="str">
        <f t="shared" si="25"/>
        <v>x/</v>
      </c>
      <c r="AE35" s="166">
        <f t="shared" si="26"/>
        <v>0</v>
      </c>
    </row>
    <row r="36" spans="27:31" ht="14.25" x14ac:dyDescent="0.2">
      <c r="AA36" s="166" t="e">
        <f>IF(L46="lifetime", "one-time cost", IF(D46='Master Data'!$B$8, AD36 &amp; AE36, AD36 &amp; AE36 &amp; AC36))</f>
        <v>#VALUE!</v>
      </c>
      <c r="AB36" s="208" t="str">
        <f t="shared" si="24"/>
        <v>ongoing cost</v>
      </c>
      <c r="AC36" s="166" t="e">
        <f>IF(Table5[[#This Row],[Duration (Years):]]&lt;&gt;'Master Data'!$B$8,CONCATENATE(",",CHAR(10),"for ",Table5[[#This Row],[Duration (Years):]]," years"),"lifelong")</f>
        <v>#VALUE!</v>
      </c>
      <c r="AD36" s="166" t="str">
        <f t="shared" si="25"/>
        <v>x/</v>
      </c>
      <c r="AE36" s="166">
        <f t="shared" si="26"/>
        <v>0</v>
      </c>
    </row>
    <row r="37" spans="27:31" ht="14.25" x14ac:dyDescent="0.2">
      <c r="AA37" s="166" t="e">
        <f>IF(L47="lifetime", "one-time cost", IF(D47='Master Data'!$B$8, AD37 &amp; AE37, AD37 &amp; AE37 &amp; AC37))</f>
        <v>#VALUE!</v>
      </c>
      <c r="AB37" s="208" t="str">
        <f t="shared" si="24"/>
        <v>ongoing cost</v>
      </c>
      <c r="AC37" s="166" t="e">
        <f>IF(Table5[[#This Row],[Duration (Years):]]&lt;&gt;'Master Data'!$B$8,CONCATENATE(",",CHAR(10),"for ",Table5[[#This Row],[Duration (Years):]]," years"),"lifelong")</f>
        <v>#VALUE!</v>
      </c>
      <c r="AD37" s="166" t="str">
        <f t="shared" si="25"/>
        <v>x/</v>
      </c>
      <c r="AE37" s="166">
        <f t="shared" si="26"/>
        <v>0</v>
      </c>
    </row>
    <row r="38" spans="27:31" ht="14.25" x14ac:dyDescent="0.2">
      <c r="AA38" s="166" t="e">
        <f>IF(L48="lifetime", "one-time cost", IF(D48='Master Data'!$B$8, AD38 &amp; AE38, AD38 &amp; AE38 &amp; AC38))</f>
        <v>#VALUE!</v>
      </c>
      <c r="AB38" s="208" t="str">
        <f t="shared" si="24"/>
        <v>ongoing cost</v>
      </c>
      <c r="AC38" s="166" t="e">
        <f>IF(Table5[[#This Row],[Duration (Years):]]&lt;&gt;'Master Data'!$B$8,CONCATENATE(",",CHAR(10),"for ",Table5[[#This Row],[Duration (Years):]]," years"),"lifelong")</f>
        <v>#VALUE!</v>
      </c>
      <c r="AD38" s="166" t="str">
        <f t="shared" si="25"/>
        <v>x/</v>
      </c>
      <c r="AE38" s="166">
        <f t="shared" si="26"/>
        <v>0</v>
      </c>
    </row>
    <row r="39" spans="27:31" ht="14.25" x14ac:dyDescent="0.2">
      <c r="AA39" s="166" t="e">
        <f>IF(L49="lifetime", "one-time cost", IF(D49='Master Data'!$B$8, AD39 &amp; AE39, AD39 &amp; AE39 &amp; AC39))</f>
        <v>#VALUE!</v>
      </c>
      <c r="AB39" s="208" t="str">
        <f t="shared" si="24"/>
        <v>ongoing cost</v>
      </c>
      <c r="AC39" s="166" t="e">
        <f>IF(Table5[[#This Row],[Duration (Years):]]&lt;&gt;'Master Data'!$B$8,CONCATENATE(",",CHAR(10),"for ",Table5[[#This Row],[Duration (Years):]]," years"),"lifelong")</f>
        <v>#VALUE!</v>
      </c>
      <c r="AD39" s="166" t="str">
        <f t="shared" si="25"/>
        <v>x/</v>
      </c>
      <c r="AE39" s="166">
        <f t="shared" si="26"/>
        <v>0</v>
      </c>
    </row>
    <row r="40" spans="27:31" ht="14.25" x14ac:dyDescent="0.2">
      <c r="AA40" s="166" t="e">
        <f>IF(L50="lifetime", "one-time cost", IF(D50='Master Data'!$B$8, AD40 &amp; AE40, AD40 &amp; AE40 &amp; AC40))</f>
        <v>#VALUE!</v>
      </c>
      <c r="AB40" s="208" t="str">
        <f t="shared" si="24"/>
        <v>ongoing cost</v>
      </c>
      <c r="AC40" s="166" t="e">
        <f>IF(Table5[[#This Row],[Duration (Years):]]&lt;&gt;'Master Data'!$B$8,CONCATENATE(",",CHAR(10),"for ",Table5[[#This Row],[Duration (Years):]]," years"),"lifelong")</f>
        <v>#VALUE!</v>
      </c>
      <c r="AD40" s="166" t="str">
        <f t="shared" si="25"/>
        <v>x/</v>
      </c>
      <c r="AE40" s="166">
        <f t="shared" si="26"/>
        <v>0</v>
      </c>
    </row>
    <row r="41" spans="27:31" ht="14.25" x14ac:dyDescent="0.2">
      <c r="AA41" s="166" t="e">
        <f>IF(L51="lifetime", "one-time cost", IF(D51='Master Data'!$B$8, AD41 &amp; AE41, AD41 &amp; AE41 &amp; AC41))</f>
        <v>#VALUE!</v>
      </c>
      <c r="AB41" s="208" t="str">
        <f t="shared" si="24"/>
        <v>ongoing cost</v>
      </c>
      <c r="AC41" s="166" t="e">
        <f>IF(Table5[[#This Row],[Duration (Years):]]&lt;&gt;'Master Data'!$B$8,CONCATENATE(",",CHAR(10),"for ",Table5[[#This Row],[Duration (Years):]]," years"),"lifelong")</f>
        <v>#VALUE!</v>
      </c>
      <c r="AD41" s="166" t="str">
        <f t="shared" si="25"/>
        <v>x/</v>
      </c>
      <c r="AE41" s="166">
        <f t="shared" si="26"/>
        <v>0</v>
      </c>
    </row>
    <row r="42" spans="27:31" ht="14.25" x14ac:dyDescent="0.2">
      <c r="AA42" s="166" t="e">
        <f>IF(L52="lifetime", "one-time cost", IF(D52='Master Data'!$B$8, AD42 &amp; AE42, AD42 &amp; AE42 &amp; AC42))</f>
        <v>#VALUE!</v>
      </c>
      <c r="AB42" s="208" t="str">
        <f t="shared" si="24"/>
        <v>ongoing cost</v>
      </c>
      <c r="AC42" s="166" t="e">
        <f>IF(Table5[[#This Row],[Duration (Years):]]&lt;&gt;'Master Data'!$B$8,CONCATENATE(",",CHAR(10),"for ",Table5[[#This Row],[Duration (Years):]]," years"),"lifelong")</f>
        <v>#VALUE!</v>
      </c>
      <c r="AD42" s="166" t="str">
        <f t="shared" si="25"/>
        <v>x/</v>
      </c>
      <c r="AE42" s="166">
        <f t="shared" si="26"/>
        <v>0</v>
      </c>
    </row>
    <row r="43" spans="27:31" ht="14.25" x14ac:dyDescent="0.2">
      <c r="AA43" s="166" t="e">
        <f>IF(L53="lifetime", "one-time cost", IF(D53='Master Data'!$B$8, AD43 &amp; AE43, AD43 &amp; AE43 &amp; AC43))</f>
        <v>#VALUE!</v>
      </c>
      <c r="AB43" s="208" t="str">
        <f t="shared" si="24"/>
        <v>ongoing cost</v>
      </c>
      <c r="AC43" s="166" t="e">
        <f>IF(Table5[[#This Row],[Duration (Years):]]&lt;&gt;'Master Data'!$B$8,CONCATENATE(",",CHAR(10),"for ",Table5[[#This Row],[Duration (Years):]]," years"),"lifelong")</f>
        <v>#VALUE!</v>
      </c>
      <c r="AD43" s="166" t="str">
        <f t="shared" si="25"/>
        <v>x/</v>
      </c>
      <c r="AE43" s="166">
        <f t="shared" si="26"/>
        <v>0</v>
      </c>
    </row>
    <row r="44" spans="27:31" ht="14.25" x14ac:dyDescent="0.2">
      <c r="AA44" s="166" t="e">
        <f>IF(L54="lifetime", "one-time cost", IF(D54='Master Data'!$B$8, AD44 &amp; AE44, AD44 &amp; AE44 &amp; AC44))</f>
        <v>#VALUE!</v>
      </c>
      <c r="AB44" s="208" t="str">
        <f t="shared" si="24"/>
        <v>ongoing cost</v>
      </c>
      <c r="AC44" s="166" t="e">
        <f>IF(Table5[[#This Row],[Duration (Years):]]&lt;&gt;'Master Data'!$B$8,CONCATENATE(",",CHAR(10),"for ",Table5[[#This Row],[Duration (Years):]]," years"),"lifelong")</f>
        <v>#VALUE!</v>
      </c>
      <c r="AD44" s="166" t="str">
        <f t="shared" si="25"/>
        <v>x/</v>
      </c>
      <c r="AE44" s="166">
        <f t="shared" si="26"/>
        <v>0</v>
      </c>
    </row>
  </sheetData>
  <sortState xmlns:xlrd2="http://schemas.microsoft.com/office/spreadsheetml/2017/richdata2" ref="A3:S31">
    <sortCondition ref="D3"/>
    <sortCondition ref="A3"/>
  </sortState>
  <mergeCells count="3">
    <mergeCell ref="A1:S1"/>
    <mergeCell ref="A26:M26"/>
    <mergeCell ref="V3:W3"/>
  </mergeCells>
  <hyperlinks>
    <hyperlink ref="V3" location="Procedure1!A1" display="Link to copy/paste table here" xr:uid="{77B29C3B-121D-4BDD-BE28-FDC3658C08C8}"/>
    <hyperlink ref="V3:W3" location="'Equip &amp; Supply'!A1" display="Link to copy/paste table here" xr:uid="{61766C81-6D24-4D12-B1A9-BA69C23E80C3}"/>
  </hyperlinks>
  <pageMargins left="0.25" right="0.25" top="0.75" bottom="0.75" header="0.3" footer="0.3"/>
  <pageSetup orientation="landscape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47"/>
  <sheetViews>
    <sheetView workbookViewId="0">
      <selection sqref="A1:S1"/>
    </sheetView>
  </sheetViews>
  <sheetFormatPr defaultColWidth="9.140625" defaultRowHeight="12.75" x14ac:dyDescent="0.2"/>
  <cols>
    <col min="1" max="1" width="19.7109375" style="10" customWidth="1"/>
    <col min="2" max="3" width="9.7109375" style="11" hidden="1" customWidth="1"/>
    <col min="4" max="4" width="13.42578125" style="11" customWidth="1"/>
    <col min="5" max="6" width="13.28515625" style="9" customWidth="1"/>
    <col min="7" max="7" width="15.7109375" style="12" hidden="1" customWidth="1"/>
    <col min="8" max="11" width="8.7109375" style="13" customWidth="1"/>
    <col min="12" max="12" width="10.85546875" style="10" customWidth="1"/>
    <col min="13" max="13" width="17.7109375" style="14" customWidth="1"/>
    <col min="14" max="15" width="12.28515625" style="9" hidden="1" customWidth="1"/>
    <col min="16" max="16" width="14.7109375" style="15" customWidth="1"/>
    <col min="17" max="18" width="12.28515625" style="9" hidden="1" customWidth="1"/>
    <col min="19" max="19" width="14.7109375" style="15" customWidth="1"/>
    <col min="20" max="20" width="9.140625" style="8"/>
    <col min="21" max="21" width="0" style="8" hidden="1" customWidth="1"/>
    <col min="22" max="26" width="9.140625" style="8"/>
    <col min="27" max="31" width="9.140625" style="8" hidden="1" customWidth="1"/>
    <col min="32" max="16384" width="9.140625" style="8"/>
  </cols>
  <sheetData>
    <row r="1" spans="1:31" ht="30" customHeight="1" thickTop="1" x14ac:dyDescent="0.2">
      <c r="A1" s="340" t="s">
        <v>244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2"/>
    </row>
    <row r="2" spans="1:31" s="72" customFormat="1" ht="57.75" thickBot="1" x14ac:dyDescent="0.3">
      <c r="A2" s="105" t="s">
        <v>33</v>
      </c>
      <c r="B2" s="106" t="s">
        <v>15</v>
      </c>
      <c r="C2" s="106" t="s">
        <v>16</v>
      </c>
      <c r="D2" s="106" t="s">
        <v>17</v>
      </c>
      <c r="E2" s="107" t="s">
        <v>18</v>
      </c>
      <c r="F2" s="107" t="s">
        <v>19</v>
      </c>
      <c r="G2" s="107" t="s">
        <v>29</v>
      </c>
      <c r="H2" s="108" t="s">
        <v>20</v>
      </c>
      <c r="I2" s="108" t="s">
        <v>21</v>
      </c>
      <c r="J2" s="108" t="s">
        <v>22</v>
      </c>
      <c r="K2" s="108" t="s">
        <v>23</v>
      </c>
      <c r="L2" s="109" t="s">
        <v>24</v>
      </c>
      <c r="M2" s="109" t="s">
        <v>30</v>
      </c>
      <c r="N2" s="107" t="s">
        <v>25</v>
      </c>
      <c r="O2" s="107" t="s">
        <v>26</v>
      </c>
      <c r="P2" s="109" t="s">
        <v>31</v>
      </c>
      <c r="Q2" s="107" t="s">
        <v>27</v>
      </c>
      <c r="R2" s="107" t="s">
        <v>28</v>
      </c>
      <c r="S2" s="110" t="s">
        <v>34</v>
      </c>
      <c r="U2" s="7" t="s">
        <v>48</v>
      </c>
      <c r="AA2" s="207" t="s">
        <v>148</v>
      </c>
      <c r="AB2" s="207" t="s">
        <v>144</v>
      </c>
      <c r="AC2" s="207" t="s">
        <v>145</v>
      </c>
      <c r="AD2" s="207" t="s">
        <v>146</v>
      </c>
      <c r="AE2" s="207" t="s">
        <v>147</v>
      </c>
    </row>
    <row r="3" spans="1:31" ht="45" customHeight="1" thickTop="1" x14ac:dyDescent="0.25">
      <c r="A3" s="34" t="s">
        <v>245</v>
      </c>
      <c r="B3" s="35">
        <f ca="1">'Master Data'!$B$6</f>
        <v>126.3</v>
      </c>
      <c r="C3" s="35">
        <f ca="1">'Master Data'!$B$7</f>
        <v>136.30000000000001</v>
      </c>
      <c r="D3" s="35">
        <f ca="1">ROUND(C3-B3,1)</f>
        <v>10</v>
      </c>
      <c r="E3" s="36" cm="1">
        <f t="array" ref="E3">IF(
  A3="",
  0,
  IF(
    OR(A3="Handyman Services",A3="Housekeeping Services"),
    MIN(
      INDEX(
        'Meds Sheet'!$A$36:$M$37,
        MATCH(A3,'Meds Sheet'!$A$36:$A$37,0),
        _xlfn.SWITCH(
          'Master Data'!$B$19,
          "Los Angeles",{2,3,4},
          "San Diego",{5,6,7},
          "San Francisco",{8,9,10},
          "Palo Alto",{11,12,13}
        )
      )
    ),
    IF(
      A3="One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A3="Thymoglobulin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2948</v>
      </c>
      <c r="F3" s="36" cm="1">
        <f t="array" ref="F3">IF(
  A3="",
  0,
  IF(
    OR(A3="Handyman Services",A3="Housekeeping Services"),
    MAX(
      INDEX(
        'Meds Sheet'!$A$36:$M$37,
        MATCH(A3,'Meds Sheet'!$A$36:$A$37,0),
        _xlfn.SWITCH(
          'Master Data'!$B$19,
          "Los Angeles",{2,3,4},
          "San Diego",{5,6,7},
          "San Francisco",{8,9,10},
          "Palo Alto",{11,12,13}
        )
      )
    ),
    IF(
      A3="One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A3="Thymoglobulin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4819</v>
      </c>
      <c r="G3" s="37" t="str">
        <f>IF(E3&lt;F3,CONCATENATE(TEXT(E3,"$#,##0.00"),CHAR(10)," - ",CHAR(10),TEXT(F3,"$#,##0.00")),TEXT(E3,"$#,##0.00"))</f>
        <v>$2,948.00
 - 
$4,819.00</v>
      </c>
      <c r="H3" s="38">
        <v>1</v>
      </c>
      <c r="I3" s="38"/>
      <c r="J3" s="38"/>
      <c r="K3" s="38"/>
      <c r="L3" s="48" t="str">
        <f>IF(LEN(K3)=0,IF(LEN(J3)=0,"lifetime",IF(J3=1,"year","years")),"years")</f>
        <v>lifetime</v>
      </c>
      <c r="M3" s="39" t="str">
        <f>IF(L3="lifetime",
    IF(I3&lt;&gt;"", H3 &amp; "-" &amp; I3 &amp; "x/lifetime", H3 &amp; "x/lifetime"),
    IF(D3='Master Data'!$B$8, AD3 &amp; AE3, AD3 &amp; AE3 &amp; AC3))</f>
        <v>1x/lifetime</v>
      </c>
      <c r="N3" s="36">
        <f t="shared" ref="N3:N11" si="0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3" s="36">
        <f t="shared" ref="O3:O11" si="1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3" s="49" t="str">
        <f>IF(N3&lt;O3,CONCATENATE(TEXT(N3,"$#,##0.00"),CHAR(10)," - ",CHAR(10),TEXT(O3,"$#,##0.00")),TEXT(N3,"$0.00"))</f>
        <v>$0.00</v>
      </c>
      <c r="Q3" s="36">
        <f t="shared" ref="Q3:Q11" si="2">ROUND(IF(TimeValue="lifetime",MinCost*MinFreq,0),2)</f>
        <v>2948</v>
      </c>
      <c r="R3" s="36">
        <f t="shared" ref="R3:R11" si="3">ROUND(IF(AND(TimeValue="lifetime",MaxFreq&lt;1),MinFreq*MaxCost,IF(AND(TimeValue="lifetime",MaxFreq&gt;=1),MaxFreq*MaxCost,0)),2)</f>
        <v>4819</v>
      </c>
      <c r="S3" s="50" t="str">
        <f>IF(Q3&lt;R3,CONCATENATE(TEXT(Q3,"$#,##0.00"),CHAR(10)," - ",CHAR(10),TEXT(R3,"$#,##0.00")),TEXT(Q3,"$0.00"))</f>
        <v>$2,948.00
 - 
$4,819.00</v>
      </c>
      <c r="U3" s="8" t="str">
        <f t="array" aca="1" ref="U3" ca="1">IF(AND(ROUND(Table7[Duration (Years):],1)='Master Data'!$B$8),"same","different")</f>
        <v>same</v>
      </c>
      <c r="V3" s="345" t="s">
        <v>133</v>
      </c>
      <c r="W3" s="345"/>
      <c r="AA3" s="166" t="str">
        <f>IF(L3="lifetime", "one-time cost", IF(D3='Master Data'!$B$8, AD3 &amp; AE3, AD3 &amp; AE3 &amp; AC3))</f>
        <v>one-time cost</v>
      </c>
      <c r="AB3" s="208" t="str">
        <f>IF(L3="lifetime", IF(I3&lt;&gt;"", H3 &amp; "-" &amp; I3 &amp; "x/lifetime", H3 &amp; "x/lifetime"), "ongoing cost")</f>
        <v>1x/lifetime</v>
      </c>
      <c r="AC3" s="166" t="str">
        <f ca="1">IF(Table7[[#This Row],[Duration (Years):]]&lt;&gt;'Master Data'!$B$8,CONCATENATE(",",CHAR(10),"for ",Table7[[#This Row],[Duration (Years):]]," years"),"lifelong")</f>
        <v>lifelong</v>
      </c>
      <c r="AD3" s="166" t="str">
        <f>IF(L3="lifetime", "one-time cost", IF(I3&lt;&gt;"", H3 &amp; "-" &amp; I3 &amp; "x/", H3 &amp; "x/"))</f>
        <v>one-time cost</v>
      </c>
      <c r="AE3" s="166" t="str">
        <f>IF(L3="lifetime", "one-time cost", IF(K3&lt;&gt;"", J3 &amp; "-" &amp; K3 &amp; " " &amp; L3, IF(J3&gt;1, J3 &amp; " " &amp; L3, L3)))</f>
        <v>one-time cost</v>
      </c>
    </row>
    <row r="4" spans="1:31" ht="45" customHeight="1" x14ac:dyDescent="0.2">
      <c r="A4" s="28" t="s">
        <v>263</v>
      </c>
      <c r="B4" s="111">
        <f ca="1">'Master Data'!$B$6</f>
        <v>126.3</v>
      </c>
      <c r="C4" s="111">
        <f ca="1">'Master Data'!$B$7</f>
        <v>136.30000000000001</v>
      </c>
      <c r="D4" s="111">
        <f ca="1">ROUND(C4-B4,1)</f>
        <v>10</v>
      </c>
      <c r="E4" s="112" cm="1">
        <f t="array" ref="E4">IF(
  A4="",
  0,
  IF(
    OR(A4="Handyman Services",A4="Housekeeping Services"),
    MIN(
      INDEX(
        'Meds Sheet'!$A$36:$M$37,
        MATCH(A4,'Meds Sheet'!$A$36:$A$37,0),
        _xlfn.SWITCH(
          'Master Data'!$B$19,
          "Los Angeles",{2,3,4},
          "San Diego",{5,6,7},
          "San Francisco",{8,9,10},
          "Palo Alto",{11,12,13}
        )
      )
    ),
    IF(
      A4="One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A4="Thymoglobulin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11745</v>
      </c>
      <c r="F4" s="112" cm="1">
        <f t="array" ref="F4">IF(
  A4="",
  0,
  IF(
    OR(A4="Handyman Services",A4="Housekeeping Services"),
    MAX(
      INDEX(
        'Meds Sheet'!$A$36:$M$37,
        MATCH(A4,'Meds Sheet'!$A$36:$A$37,0),
        _xlfn.SWITCH(
          'Master Data'!$B$19,
          "Los Angeles",{2,3,4},
          "San Diego",{5,6,7},
          "San Francisco",{8,9,10},
          "Palo Alto",{11,12,13}
        )
      )
    ),
    IF(
      A4="One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A4="Thymoglobulin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11745</v>
      </c>
      <c r="G4" s="113" t="str">
        <f>IF(E4&lt;F4,CONCATENATE(TEXT(E4,"$#,##0.00"),CHAR(10)," - ",CHAR(10),TEXT(F4,"$#,##0.00")),TEXT(E4,"$#,##0.00"))</f>
        <v>$11,745.00</v>
      </c>
      <c r="H4" s="114">
        <v>7</v>
      </c>
      <c r="I4" s="114">
        <v>14</v>
      </c>
      <c r="J4" s="114"/>
      <c r="K4" s="114"/>
      <c r="L4" s="51" t="str">
        <f>IF(LEN(K4)=0,IF(LEN(J4)=0,"lifetime",IF(J4=1,"year","years")),"years")</f>
        <v>lifetime</v>
      </c>
      <c r="M4" s="115" t="str">
        <f>IF(L4="lifetime",
    IF(I4&lt;&gt;"", H4 &amp; "-" &amp; I4 &amp; "x/lifetime", H4 &amp; "x/lifetime"),
    IF(D4='Master Data'!$B$8, AD4 &amp; AE4, AD4 &amp; AE4 &amp; AC4))</f>
        <v>7-14x/lifetime</v>
      </c>
      <c r="N4" s="112">
        <f t="shared" si="0"/>
        <v>0</v>
      </c>
      <c r="O4" s="112">
        <f t="shared" si="1"/>
        <v>0</v>
      </c>
      <c r="P4" s="116" t="str">
        <f>IF(N4&lt;O4,CONCATENATE(TEXT(N4,"$#,##0.00"),CHAR(10)," - ",CHAR(10),TEXT(O4,"$#,##0.00")),TEXT(N4,"$0.00"))</f>
        <v>$0.00</v>
      </c>
      <c r="Q4" s="112">
        <f t="shared" si="2"/>
        <v>82215</v>
      </c>
      <c r="R4" s="112">
        <f t="shared" si="3"/>
        <v>164430</v>
      </c>
      <c r="S4" s="117" t="str">
        <f>IF(Q4&lt;R4,CONCATENATE(TEXT(Q4,"$#,##0.00"),CHAR(10)," - ",CHAR(10),TEXT(R4,"$#,##0.00")),TEXT(Q4,"$0.00"))</f>
        <v>$82,215.00
 - 
$164,430.00</v>
      </c>
      <c r="AA4" s="166" t="str">
        <f>IF(L4="lifetime", "one-time cost", IF(D4='Master Data'!$B$8, AD4 &amp; AE4, AD4 &amp; AE4 &amp; AC4))</f>
        <v>one-time cost</v>
      </c>
      <c r="AB4" s="208" t="str">
        <f>IF(L4="lifetime", IF(I4&lt;&gt;"", H4 &amp; "-" &amp; I4 &amp; "x/lifetime", H4 &amp; "x/lifetime"), "ongoing cost")</f>
        <v>7-14x/lifetime</v>
      </c>
      <c r="AC4" s="166" t="str">
        <f ca="1">IF(Table7[[#This Row],[Duration (Years):]]&lt;&gt;'Master Data'!$B$8,CONCATENATE(",",CHAR(10),"for ",Table7[[#This Row],[Duration (Years):]]," years"),"lifelong")</f>
        <v>lifelong</v>
      </c>
      <c r="AD4" s="166" t="str">
        <f>IF(L4="lifetime", "one-time cost", IF(I4&lt;&gt;"", H4 &amp; "-" &amp; I4 &amp; "x/", H4 &amp; "x/"))</f>
        <v>one-time cost</v>
      </c>
      <c r="AE4" s="166" t="str">
        <f>IF(L4="lifetime", "one-time cost", IF(K4&lt;&gt;"", J4 &amp; "-" &amp; K4 &amp; " " &amp; L4, IF(J4&gt;1, J4 &amp; " " &amp; L4, L4)))</f>
        <v>one-time cost</v>
      </c>
    </row>
    <row r="5" spans="1:31" ht="45" customHeight="1" x14ac:dyDescent="0.2">
      <c r="A5" s="28" t="s">
        <v>246</v>
      </c>
      <c r="B5" s="29">
        <f ca="1">'Master Data'!$B$6</f>
        <v>126.3</v>
      </c>
      <c r="C5" s="29">
        <f ca="1">'Master Data'!$B$7</f>
        <v>136.30000000000001</v>
      </c>
      <c r="D5" s="29">
        <f t="shared" ref="D5:D11" ca="1" si="4">ROUND(C5-B5,1)</f>
        <v>10</v>
      </c>
      <c r="E5" s="30" cm="1">
        <f t="array" ref="E5">IF(
  A5="",
  0,
  IF(
    OR(A5="Handyman Services",A5="Housekeeping Services"),
    MIN(
      INDEX(
        'Meds Sheet'!$A$36:$M$37,
        MATCH(A5,'Meds Sheet'!$A$36:$A$37,0),
        _xlfn.SWITCH(
          'Master Data'!$B$19,
          "Los Angeles",{2,3,4},
          "San Diego",{5,6,7},
          "San Francisco",{8,9,10},
          "Palo Alto",{11,12,13}
        )
      )
    ),
    IF(
      A5="One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A5="Thymoglobulin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50</v>
      </c>
      <c r="F5" s="30" cm="1">
        <f t="array" ref="F5">IF(
  A5="",
  0,
  IF(
    OR(A5="Handyman Services",A5="Housekeeping Services"),
    MAX(
      INDEX(
        'Meds Sheet'!$A$36:$M$37,
        MATCH(A5,'Meds Sheet'!$A$36:$A$37,0),
        _xlfn.SWITCH(
          'Master Data'!$B$19,
          "Los Angeles",{2,3,4},
          "San Diego",{5,6,7},
          "San Francisco",{8,9,10},
          "Palo Alto",{11,12,13}
        )
      )
    ),
    IF(
      A5="One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A5="Thymoglobulin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75</v>
      </c>
      <c r="G5" s="31" t="str">
        <f>IF(E5&lt;F5,CONCATENATE(TEXT(E5,"$#,##0.00"),CHAR(10)," - ",CHAR(10),TEXT(F5,"$#,##0.00")),TEXT(E5,"$#,##0.00"))</f>
        <v>$50.00
 - 
$75.00</v>
      </c>
      <c r="H5" s="32">
        <v>12</v>
      </c>
      <c r="I5" s="32"/>
      <c r="J5" s="32"/>
      <c r="K5" s="32"/>
      <c r="L5" s="51" t="str">
        <f t="shared" ref="L5:L11" si="5">IF(LEN(K5)=0,IF(LEN(J5)=0,"lifetime",IF(J5=1,"year","years")),"years")</f>
        <v>lifetime</v>
      </c>
      <c r="M5" s="33" t="str">
        <f>IF(L5="lifetime",
    IF(I5&lt;&gt;"", H5 &amp; "-" &amp; I5 &amp; "x/lifetime", H5 &amp; "x/lifetime"),
    IF(D5='Master Data'!$B$8, AD5 &amp; AE5, AD5 &amp; AE5 &amp; AC5))</f>
        <v>12x/lifetime</v>
      </c>
      <c r="N5" s="30">
        <f t="shared" si="0"/>
        <v>0</v>
      </c>
      <c r="O5" s="30">
        <f t="shared" si="1"/>
        <v>0</v>
      </c>
      <c r="P5" s="52" t="str">
        <f>IF(N5&lt;O5,CONCATENATE(TEXT(N5,"$#,##0.00"),CHAR(10)," - ",CHAR(10),TEXT(O5,"$#,##0.00")),TEXT(N5,"$0.00"))</f>
        <v>$0.00</v>
      </c>
      <c r="Q5" s="30">
        <f t="shared" si="2"/>
        <v>600</v>
      </c>
      <c r="R5" s="30">
        <f t="shared" si="3"/>
        <v>900</v>
      </c>
      <c r="S5" s="53" t="str">
        <f>IF(Q5&lt;R5,CONCATENATE(TEXT(Q5,"$#,##0.00"),CHAR(10)," - ",CHAR(10),TEXT(R5,"$#,##0.00")),TEXT(Q5,"$0.00"))</f>
        <v>$600.00
 - 
$900.00</v>
      </c>
      <c r="AA5" s="166" t="str">
        <f>IF(L5="lifetime", "one-time cost", IF(D5='Master Data'!$B$8, AD5 &amp; AE5, AD5 &amp; AE5 &amp; AC5))</f>
        <v>one-time cost</v>
      </c>
      <c r="AB5" s="208" t="str">
        <f>IF(L5="lifetime", IF(I5&lt;&gt;"", H5 &amp; "-" &amp; I5 &amp; "x/lifetime", H5 &amp; "x/lifetime"), "ongoing cost")</f>
        <v>12x/lifetime</v>
      </c>
      <c r="AC5" s="166" t="str">
        <f ca="1">IF(Table7[[#This Row],[Duration (Years):]]&lt;&gt;'Master Data'!$B$8,CONCATENATE(",",CHAR(10),"for ",Table7[[#This Row],[Duration (Years):]]," years"),"lifelong")</f>
        <v>lifelong</v>
      </c>
      <c r="AD5" s="166" t="str">
        <f>IF(L5="lifetime", "one-time cost", IF(I5&lt;&gt;"", H5 &amp; "-" &amp; I5 &amp; "x/", H5 &amp; "x/"))</f>
        <v>one-time cost</v>
      </c>
      <c r="AE5" s="166" t="str">
        <f>IF(L5="lifetime", "one-time cost", IF(K5&lt;&gt;"", J5 &amp; "-" &amp; K5 &amp; " " &amp; L5, IF(J5&gt;1, J5 &amp; " " &amp; L5, L5)))</f>
        <v>one-time cost</v>
      </c>
    </row>
    <row r="6" spans="1:31" ht="45" customHeight="1" x14ac:dyDescent="0.2">
      <c r="A6" s="28" t="s">
        <v>247</v>
      </c>
      <c r="B6" s="29">
        <f ca="1">'Master Data'!$B$6</f>
        <v>126.3</v>
      </c>
      <c r="C6" s="29">
        <f ca="1">'Master Data'!$B$7</f>
        <v>136.30000000000001</v>
      </c>
      <c r="D6" s="29">
        <f t="shared" ca="1" si="4"/>
        <v>10</v>
      </c>
      <c r="E6" s="30" cm="1">
        <f t="array" ref="E6">IF(
  A6="",
  0,
  IF(
    OR(A6="Handyman Services",A6="Housekeeping Services"),
    MIN(
      INDEX(
        'Meds Sheet'!$A$36:$M$37,
        MATCH(A6,'Meds Sheet'!$A$36:$A$37,0),
        _xlfn.SWITCH(
          'Master Data'!$B$19,
          "Los Angeles",{2,3,4},
          "San Diego",{5,6,7},
          "San Francisco",{8,9,10},
          "Palo Alto",{11,12,13}
        )
      )
    ),
    IF(
      A6="One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A6="Thymoglobulin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130</v>
      </c>
      <c r="F6" s="30" cm="1">
        <f t="array" ref="F6">IF(
  A6="",
  0,
  IF(
    OR(A6="Handyman Services",A6="Housekeeping Services"),
    MAX(
      INDEX(
        'Meds Sheet'!$A$36:$M$37,
        MATCH(A6,'Meds Sheet'!$A$36:$A$37,0),
        _xlfn.SWITCH(
          'Master Data'!$B$19,
          "Los Angeles",{2,3,4},
          "San Diego",{5,6,7},
          "San Francisco",{8,9,10},
          "Palo Alto",{11,12,13}
        )
      )
    ),
    IF(
      A6="One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A6="Thymoglobulin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180</v>
      </c>
      <c r="G6" s="31" t="str">
        <f>IF(E6&lt;F6,CONCATENATE(TEXT(E6,"$#,##0.00"),CHAR(10)," - ",CHAR(10),TEXT(F6,"$#,##0.00")),TEXT(E6,"$#,##0.00"))</f>
        <v>$130.00
 - 
$180.00</v>
      </c>
      <c r="H6" s="32">
        <v>24</v>
      </c>
      <c r="I6" s="32"/>
      <c r="J6" s="32"/>
      <c r="K6" s="32"/>
      <c r="L6" s="51" t="str">
        <f t="shared" si="5"/>
        <v>lifetime</v>
      </c>
      <c r="M6" s="33" t="str">
        <f>IF(L6="lifetime",
    IF(I6&lt;&gt;"", H6 &amp; "-" &amp; I6 &amp; "x/lifetime", H6 &amp; "x/lifetime"),
    IF(D6='Master Data'!$B$8, AD6 &amp; AE6, AD6 &amp; AE6 &amp; AC6))</f>
        <v>24x/lifetime</v>
      </c>
      <c r="N6" s="30">
        <f t="shared" si="0"/>
        <v>0</v>
      </c>
      <c r="O6" s="30">
        <f t="shared" si="1"/>
        <v>0</v>
      </c>
      <c r="P6" s="52" t="str">
        <f>IF(N6&lt;O6,CONCATENATE(TEXT(N6,"$#,##0.00"),CHAR(10)," - ",CHAR(10),TEXT(O6,"$#,##0.00")),TEXT(N6,"$0.00"))</f>
        <v>$0.00</v>
      </c>
      <c r="Q6" s="30">
        <f t="shared" si="2"/>
        <v>3120</v>
      </c>
      <c r="R6" s="30">
        <f t="shared" si="3"/>
        <v>4320</v>
      </c>
      <c r="S6" s="53" t="str">
        <f>IF(Q6&lt;R6,CONCATENATE(TEXT(Q6,"$#,##0.00"),CHAR(10)," - ",CHAR(10),TEXT(R6,"$#,##0.00")),TEXT(Q6,"$0.00"))</f>
        <v>$3,120.00
 - 
$4,320.00</v>
      </c>
      <c r="AA6" s="166" t="str">
        <f>IF(L6="lifetime", "one-time cost", IF(D6='Master Data'!$B$8, AD6 &amp; AE6, AD6 &amp; AE6 &amp; AC6))</f>
        <v>one-time cost</v>
      </c>
      <c r="AB6" s="208" t="str">
        <f>IF(L6="lifetime", IF(I6&lt;&gt;"", H6 &amp; "-" &amp; I6 &amp; "x/lifetime", H6 &amp; "x/lifetime"), "ongoing cost")</f>
        <v>24x/lifetime</v>
      </c>
      <c r="AC6" s="166" t="str">
        <f ca="1">IF(Table7[[#This Row],[Duration (Years):]]&lt;&gt;'Master Data'!$B$8,CONCATENATE(",",CHAR(10),"for ",Table7[[#This Row],[Duration (Years):]]," years"),"lifelong")</f>
        <v>lifelong</v>
      </c>
      <c r="AD6" s="166" t="str">
        <f>IF(L6="lifetime", "one-time cost", IF(I6&lt;&gt;"", H6 &amp; "-" &amp; I6 &amp; "x/", H6 &amp; "x/"))</f>
        <v>one-time cost</v>
      </c>
      <c r="AE6" s="166" t="str">
        <f>IF(L6="lifetime", "one-time cost", IF(K6&lt;&gt;"", J6 &amp; "-" &amp; K6 &amp; " " &amp; L6, IF(J6&gt;1, J6 &amp; " " &amp; L6, L6)))</f>
        <v>one-time cost</v>
      </c>
    </row>
    <row r="7" spans="1:31" ht="45" customHeight="1" x14ac:dyDescent="0.2">
      <c r="A7" s="28"/>
      <c r="B7" s="29">
        <f ca="1">'Master Data'!$B$6</f>
        <v>126.3</v>
      </c>
      <c r="C7" s="29">
        <f ca="1">'Master Data'!$B$7</f>
        <v>136.30000000000001</v>
      </c>
      <c r="D7" s="29">
        <f t="shared" ca="1" si="4"/>
        <v>10</v>
      </c>
      <c r="E7" s="30" cm="1">
        <f t="array" ref="E7">IF(
  A7="",
  0,
  IF(
    OR(A7="Handyman Services",A7="Housekeeping Services"),
    MIN(
      INDEX(
        'Meds Sheet'!$A$36:$M$37,
        MATCH(A7,'Meds Sheet'!$A$36:$A$37,0),
        _xlfn.SWITCH(
          'Master Data'!$B$19,
          "Los Angeles",{2,3,4},
          "San Diego",{5,6,7},
          "San Francisco",{8,9,10},
          "Palo Alto",{11,12,13}
        )
      )
    ),
    IF(
      A7="One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A7="Thymoglobulin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7" s="30" cm="1">
        <f t="array" ref="F7">IF(
  A7="",
  0,
  IF(
    OR(A7="Handyman Services",A7="Housekeeping Services"),
    MAX(
      INDEX(
        'Meds Sheet'!$A$36:$M$37,
        MATCH(A7,'Meds Sheet'!$A$36:$A$37,0),
        _xlfn.SWITCH(
          'Master Data'!$B$19,
          "Los Angeles",{2,3,4},
          "San Diego",{5,6,7},
          "San Francisco",{8,9,10},
          "Palo Alto",{11,12,13}
        )
      )
    ),
    IF(
      A7="One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A7="Thymoglobulin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7" s="31" t="str">
        <f>IF(E7&lt;F7,CONCATENATE(TEXT(E7,"$#,##0.00"),CHAR(10)," - ",CHAR(10),TEXT(F7,"$#,##0.00")),TEXT(E7,"$#,##0.00"))</f>
        <v>$0.00</v>
      </c>
      <c r="H7" s="32"/>
      <c r="I7" s="32"/>
      <c r="J7" s="32"/>
      <c r="K7" s="32"/>
      <c r="L7" s="51" t="str">
        <f t="shared" si="5"/>
        <v>lifetime</v>
      </c>
      <c r="M7" s="33" t="str">
        <f>IF(L7="lifetime",
    IF(I7&lt;&gt;"", H7 &amp; "-" &amp; I7 &amp; "x/lifetime", H7 &amp; "x/lifetime"),
    IF(D7='Master Data'!$B$8, AD7 &amp; AE7, AD7 &amp; AE7 &amp; AC7))</f>
        <v>x/lifetime</v>
      </c>
      <c r="N7" s="30">
        <f t="shared" si="0"/>
        <v>0</v>
      </c>
      <c r="O7" s="30">
        <f t="shared" si="1"/>
        <v>0</v>
      </c>
      <c r="P7" s="52" t="str">
        <f>IF(N7&lt;O7,CONCATENATE(TEXT(N7,"$#,##0.00"),CHAR(10)," - ",CHAR(10),TEXT(O7,"$#,##0.00")),TEXT(N7,"$0.00"))</f>
        <v>$0.00</v>
      </c>
      <c r="Q7" s="30">
        <f t="shared" si="2"/>
        <v>0</v>
      </c>
      <c r="R7" s="30">
        <f t="shared" si="3"/>
        <v>0</v>
      </c>
      <c r="S7" s="53" t="str">
        <f>IF(Q7&lt;R7,CONCATENATE(TEXT(Q7,"$#,##0.00"),CHAR(10)," - ",CHAR(10),TEXT(R7,"$#,##0.00")),TEXT(Q7,"$0.00"))</f>
        <v>$0.00</v>
      </c>
      <c r="AA7" s="166" t="str">
        <f>IF(L7="lifetime", "one-time cost", IF(D7='Master Data'!$B$8, AD7 &amp; AE7, AD7 &amp; AE7 &amp; AC7))</f>
        <v>one-time cost</v>
      </c>
      <c r="AB7" s="208" t="str">
        <f>IF(L7="lifetime", IF(I7&lt;&gt;"", H7 &amp; "-" &amp; I7 &amp; "x/lifetime", H7 &amp; "x/lifetime"), "ongoing cost")</f>
        <v>x/lifetime</v>
      </c>
      <c r="AC7" s="166" t="str">
        <f ca="1">IF(Table7[[#This Row],[Duration (Years):]]&lt;&gt;'Master Data'!$B$8,CONCATENATE(",",CHAR(10),"for ",Table7[[#This Row],[Duration (Years):]]," years"),"lifelong")</f>
        <v>lifelong</v>
      </c>
      <c r="AD7" s="166" t="str">
        <f>IF(L7="lifetime", "one-time cost", IF(I7&lt;&gt;"", H7 &amp; "-" &amp; I7 &amp; "x/", H7 &amp; "x/"))</f>
        <v>one-time cost</v>
      </c>
      <c r="AE7" s="166" t="str">
        <f>IF(L7="lifetime", "one-time cost", IF(K7&lt;&gt;"", J7 &amp; "-" &amp; K7 &amp; " " &amp; L7, IF(J7&gt;1, J7 &amp; " " &amp; L7, L7)))</f>
        <v>one-time cost</v>
      </c>
    </row>
    <row r="8" spans="1:31" ht="45" customHeight="1" x14ac:dyDescent="0.2">
      <c r="A8" s="28"/>
      <c r="B8" s="29">
        <f ca="1">'Master Data'!$B$6</f>
        <v>126.3</v>
      </c>
      <c r="C8" s="29">
        <f ca="1">'Master Data'!$B$7</f>
        <v>136.30000000000001</v>
      </c>
      <c r="D8" s="29">
        <f t="shared" ca="1" si="4"/>
        <v>10</v>
      </c>
      <c r="E8" s="30" cm="1">
        <f t="array" ref="E8">IF(
  A8="",
  0,
  IF(
    OR(A8="Handyman Services",A8="Housekeeping Services"),
    MIN(
      INDEX(
        'Meds Sheet'!$A$36:$M$37,
        MATCH(A8,'Meds Sheet'!$A$36:$A$37,0),
        _xlfn.SWITCH(
          'Master Data'!$B$19,
          "Los Angeles",{2,3,4},
          "San Diego",{5,6,7},
          "San Francisco",{8,9,10},
          "Palo Alto",{11,12,13}
        )
      )
    ),
    IF(
      A8="One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A8="Thymoglobulin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8" s="30" cm="1">
        <f t="array" ref="F8">IF(
  A8="",
  0,
  IF(
    OR(A8="Handyman Services",A8="Housekeeping Services"),
    MAX(
      INDEX(
        'Meds Sheet'!$A$36:$M$37,
        MATCH(A8,'Meds Sheet'!$A$36:$A$37,0),
        _xlfn.SWITCH(
          'Master Data'!$B$19,
          "Los Angeles",{2,3,4},
          "San Diego",{5,6,7},
          "San Francisco",{8,9,10},
          "Palo Alto",{11,12,13}
        )
      )
    ),
    IF(
      A8="One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A8="Thymoglobulin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8" s="31" t="str">
        <f t="shared" ref="G8:G25" si="6">IF(E8&lt;F8,CONCATENATE(TEXT(E8,"$#,##0.00"),CHAR(10)," - ",CHAR(10),TEXT(F8,"$#,##0.00")),TEXT(E8,"$#,##0.00"))</f>
        <v>$0.00</v>
      </c>
      <c r="H8" s="32"/>
      <c r="I8" s="32"/>
      <c r="J8" s="32"/>
      <c r="K8" s="32"/>
      <c r="L8" s="51" t="str">
        <f t="shared" si="5"/>
        <v>lifetime</v>
      </c>
      <c r="M8" s="33" t="str">
        <f>IF(L8="lifetime",
    IF(I8&lt;&gt;"", H8 &amp; "-" &amp; I8 &amp; "x/lifetime", H8 &amp; "x/lifetime"),
    IF(D8='Master Data'!$B$8, AD8 &amp; AE8, AD8 &amp; AE8 &amp; AC8))</f>
        <v>x/lifetime</v>
      </c>
      <c r="N8" s="30">
        <f t="shared" si="0"/>
        <v>0</v>
      </c>
      <c r="O8" s="30">
        <f t="shared" si="1"/>
        <v>0</v>
      </c>
      <c r="P8" s="52" t="str">
        <f t="shared" ref="P8:P25" si="7">IF(N8&lt;O8,CONCATENATE(TEXT(N8,"$#,##0.00"),CHAR(10)," - ",CHAR(10),TEXT(O8,"$#,##0.00")),TEXT(N8,"$0.00"))</f>
        <v>$0.00</v>
      </c>
      <c r="Q8" s="30">
        <f t="shared" si="2"/>
        <v>0</v>
      </c>
      <c r="R8" s="30">
        <f t="shared" si="3"/>
        <v>0</v>
      </c>
      <c r="S8" s="53" t="str">
        <f t="shared" ref="S8:S25" si="8">IF(Q8&lt;R8,CONCATENATE(TEXT(Q8,"$#,##0.00"),CHAR(10)," - ",CHAR(10),TEXT(R8,"$#,##0.00")),TEXT(Q8,"$0.00"))</f>
        <v>$0.00</v>
      </c>
      <c r="AA8" s="166" t="str">
        <f>IF(L8="lifetime", "one-time cost", IF(D8='Master Data'!$B$8, AD8 &amp; AE8, AD8 &amp; AE8 &amp; AC8))</f>
        <v>one-time cost</v>
      </c>
      <c r="AB8" s="208" t="str">
        <f t="shared" ref="AB8:AB37" si="9">IF(L8="lifetime", IF(I8&lt;&gt;"", H8 &amp; "-" &amp; I8 &amp; "x/lifetime", H8 &amp; "x/lifetime"), "ongoing cost")</f>
        <v>x/lifetime</v>
      </c>
      <c r="AC8" s="166" t="str">
        <f ca="1">IF(Table7[[#This Row],[Duration (Years):]]&lt;&gt;'Master Data'!$B$8,CONCATENATE(",",CHAR(10),"for ",Table7[[#This Row],[Duration (Years):]]," years"),"lifelong")</f>
        <v>lifelong</v>
      </c>
      <c r="AD8" s="166" t="str">
        <f t="shared" ref="AD8:AD37" si="10">IF(L8="lifetime", "one-time cost", IF(I8&lt;&gt;"", H8 &amp; "-" &amp; I8 &amp; "x/", H8 &amp; "x/"))</f>
        <v>one-time cost</v>
      </c>
      <c r="AE8" s="166" t="str">
        <f t="shared" ref="AE8:AE37" si="11">IF(L8="lifetime", "one-time cost", IF(K8&lt;&gt;"", J8 &amp; "-" &amp; K8 &amp; " " &amp; L8, IF(J8&gt;1, J8 &amp; " " &amp; L8, L8)))</f>
        <v>one-time cost</v>
      </c>
    </row>
    <row r="9" spans="1:31" ht="45" customHeight="1" x14ac:dyDescent="0.2">
      <c r="A9" s="28"/>
      <c r="B9" s="29">
        <f ca="1">'Master Data'!$B$6</f>
        <v>126.3</v>
      </c>
      <c r="C9" s="29">
        <f ca="1">'Master Data'!$B$7</f>
        <v>136.30000000000001</v>
      </c>
      <c r="D9" s="29">
        <f t="shared" ca="1" si="4"/>
        <v>10</v>
      </c>
      <c r="E9" s="30" cm="1">
        <f t="array" ref="E9">IF(
  A9="",
  0,
  IF(
    OR(A9="Handyman Services",A9="Housekeeping Services"),
    MIN(
      INDEX(
        'Meds Sheet'!$A$36:$M$37,
        MATCH(A9,'Meds Sheet'!$A$36:$A$37,0),
        _xlfn.SWITCH(
          'Master Data'!$B$19,
          "Los Angeles",{2,3,4},
          "San Diego",{5,6,7},
          "San Francisco",{8,9,10},
          "Palo Alto",{11,12,13}
        )
      )
    ),
    IF(
      A9="One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A9="Thymoglobulin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9" s="30" cm="1">
        <f t="array" ref="F9">IF(
  A9="",
  0,
  IF(
    OR(A9="Handyman Services",A9="Housekeeping Services"),
    MAX(
      INDEX(
        'Meds Sheet'!$A$36:$M$37,
        MATCH(A9,'Meds Sheet'!$A$36:$A$37,0),
        _xlfn.SWITCH(
          'Master Data'!$B$19,
          "Los Angeles",{2,3,4},
          "San Diego",{5,6,7},
          "San Francisco",{8,9,10},
          "Palo Alto",{11,12,13}
        )
      )
    ),
    IF(
      A9="One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A9="Thymoglobulin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9" s="31" t="str">
        <f t="shared" si="6"/>
        <v>$0.00</v>
      </c>
      <c r="H9" s="32"/>
      <c r="I9" s="32"/>
      <c r="J9" s="32"/>
      <c r="K9" s="32"/>
      <c r="L9" s="51" t="str">
        <f t="shared" si="5"/>
        <v>lifetime</v>
      </c>
      <c r="M9" s="33" t="str">
        <f>IF(L9="lifetime",
    IF(I9&lt;&gt;"", H9 &amp; "-" &amp; I9 &amp; "x/lifetime", H9 &amp; "x/lifetime"),
    IF(D9='Master Data'!$B$8, AD9 &amp; AE9, AD9 &amp; AE9 &amp; AC9))</f>
        <v>x/lifetime</v>
      </c>
      <c r="N9" s="30">
        <f t="shared" si="0"/>
        <v>0</v>
      </c>
      <c r="O9" s="30">
        <f t="shared" si="1"/>
        <v>0</v>
      </c>
      <c r="P9" s="52" t="str">
        <f t="shared" si="7"/>
        <v>$0.00</v>
      </c>
      <c r="Q9" s="30">
        <f t="shared" si="2"/>
        <v>0</v>
      </c>
      <c r="R9" s="30">
        <f t="shared" si="3"/>
        <v>0</v>
      </c>
      <c r="S9" s="53" t="str">
        <f t="shared" si="8"/>
        <v>$0.00</v>
      </c>
      <c r="AA9" s="166" t="str">
        <f>IF(L9="lifetime", "one-time cost", IF(D9='Master Data'!$B$8, AD9 &amp; AE9, AD9 &amp; AE9 &amp; AC9))</f>
        <v>one-time cost</v>
      </c>
      <c r="AB9" s="208" t="str">
        <f t="shared" si="9"/>
        <v>x/lifetime</v>
      </c>
      <c r="AC9" s="166" t="str">
        <f ca="1">IF(Table7[[#This Row],[Duration (Years):]]&lt;&gt;'Master Data'!$B$8,CONCATENATE(",",CHAR(10),"for ",Table7[[#This Row],[Duration (Years):]]," years"),"lifelong")</f>
        <v>lifelong</v>
      </c>
      <c r="AD9" s="166" t="str">
        <f t="shared" si="10"/>
        <v>one-time cost</v>
      </c>
      <c r="AE9" s="166" t="str">
        <f t="shared" si="11"/>
        <v>one-time cost</v>
      </c>
    </row>
    <row r="10" spans="1:31" ht="45" customHeight="1" x14ac:dyDescent="0.2">
      <c r="A10" s="28"/>
      <c r="B10" s="29">
        <f ca="1">'Master Data'!$B$6</f>
        <v>126.3</v>
      </c>
      <c r="C10" s="29">
        <f ca="1">'Master Data'!$B$7</f>
        <v>136.30000000000001</v>
      </c>
      <c r="D10" s="29">
        <f t="shared" ca="1" si="4"/>
        <v>10</v>
      </c>
      <c r="E10" s="30" cm="1">
        <f t="array" ref="E10">IF(
  A10="",
  0,
  IF(
    OR(A10="Handyman Services",A10="Housekeeping Services"),
    MIN(
      INDEX(
        'Meds Sheet'!$A$36:$M$37,
        MATCH(A10,'Meds Sheet'!$A$36:$A$37,0),
        _xlfn.SWITCH(
          'Master Data'!$B$19,
          "Los Angeles",{2,3,4},
          "San Diego",{5,6,7},
          "San Francisco",{8,9,10},
          "Palo Alto",{11,12,13}
        )
      )
    ),
    IF(
      A10="One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A10="Thymoglobulin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10" s="30" cm="1">
        <f t="array" ref="F10">IF(
  A10="",
  0,
  IF(
    OR(A10="Handyman Services",A10="Housekeeping Services"),
    MAX(
      INDEX(
        'Meds Sheet'!$A$36:$M$37,
        MATCH(A10,'Meds Sheet'!$A$36:$A$37,0),
        _xlfn.SWITCH(
          'Master Data'!$B$19,
          "Los Angeles",{2,3,4},
          "San Diego",{5,6,7},
          "San Francisco",{8,9,10},
          "Palo Alto",{11,12,13}
        )
      )
    ),
    IF(
      A10="One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A10="Thymoglobulin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10" s="31" t="str">
        <f t="shared" si="6"/>
        <v>$0.00</v>
      </c>
      <c r="H10" s="32"/>
      <c r="I10" s="32"/>
      <c r="J10" s="32"/>
      <c r="K10" s="32"/>
      <c r="L10" s="51" t="str">
        <f t="shared" si="5"/>
        <v>lifetime</v>
      </c>
      <c r="M10" s="33" t="str">
        <f>IF(L10="lifetime",
    IF(I10&lt;&gt;"", H10 &amp; "-" &amp; I10 &amp; "x/lifetime", H10 &amp; "x/lifetime"),
    IF(D10='Master Data'!$B$8, AD10 &amp; AE10, AD10 &amp; AE10 &amp; AC10))</f>
        <v>x/lifetime</v>
      </c>
      <c r="N10" s="30">
        <f t="shared" si="0"/>
        <v>0</v>
      </c>
      <c r="O10" s="30">
        <f t="shared" si="1"/>
        <v>0</v>
      </c>
      <c r="P10" s="52" t="str">
        <f t="shared" si="7"/>
        <v>$0.00</v>
      </c>
      <c r="Q10" s="30">
        <f t="shared" si="2"/>
        <v>0</v>
      </c>
      <c r="R10" s="30">
        <f t="shared" si="3"/>
        <v>0</v>
      </c>
      <c r="S10" s="53" t="str">
        <f t="shared" si="8"/>
        <v>$0.00</v>
      </c>
      <c r="AA10" s="166" t="str">
        <f>IF(L10="lifetime", "one-time cost", IF(D10='Master Data'!$B$8, AD10 &amp; AE10, AD10 &amp; AE10 &amp; AC10))</f>
        <v>one-time cost</v>
      </c>
      <c r="AB10" s="208" t="str">
        <f t="shared" si="9"/>
        <v>x/lifetime</v>
      </c>
      <c r="AC10" s="166" t="str">
        <f ca="1">IF(Table7[[#This Row],[Duration (Years):]]&lt;&gt;'Master Data'!$B$8,CONCATENATE(",",CHAR(10),"for ",Table7[[#This Row],[Duration (Years):]]," years"),"lifelong")</f>
        <v>lifelong</v>
      </c>
      <c r="AD10" s="166" t="str">
        <f t="shared" si="10"/>
        <v>one-time cost</v>
      </c>
      <c r="AE10" s="166" t="str">
        <f t="shared" si="11"/>
        <v>one-time cost</v>
      </c>
    </row>
    <row r="11" spans="1:31" ht="45" customHeight="1" thickBot="1" x14ac:dyDescent="0.25">
      <c r="A11" s="80"/>
      <c r="B11" s="81">
        <f ca="1">'Master Data'!$B$6</f>
        <v>126.3</v>
      </c>
      <c r="C11" s="81">
        <f ca="1">'Master Data'!$B$7</f>
        <v>136.30000000000001</v>
      </c>
      <c r="D11" s="81">
        <f t="shared" ca="1" si="4"/>
        <v>10</v>
      </c>
      <c r="E11" s="18" cm="1">
        <f t="array" ref="E11">IF(
  A11="",
  0,
  IF(
    OR(A11="Handyman Services",A11="Housekeeping Services"),
    MIN(
      INDEX(
        'Meds Sheet'!$A$36:$M$37,
        MATCH(A11,'Meds Sheet'!$A$36:$A$37,0),
        _xlfn.SWITCH(
          'Master Data'!$B$19,
          "Los Angeles",{2,3,4},
          "San Diego",{5,6,7},
          "San Francisco",{8,9,10},
          "Palo Alto",{11,12,13}
        )
      )
    ),
    IF(
      A11="One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A11="Thymoglobulin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11" s="18" cm="1">
        <f t="array" ref="F11">IF(
  A11="",
  0,
  IF(
    OR(A11="Handyman Services",A11="Housekeeping Services"),
    MAX(
      INDEX(
        'Meds Sheet'!$A$36:$M$37,
        MATCH(A11,'Meds Sheet'!$A$36:$A$37,0),
        _xlfn.SWITCH(
          'Master Data'!$B$19,
          "Los Angeles",{2,3,4},
          "San Diego",{5,6,7},
          "San Francisco",{8,9,10},
          "Palo Alto",{11,12,13}
        )
      )
    ),
    IF(
      A11="One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A11="Thymoglobulin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11" s="91" t="str">
        <f t="shared" si="6"/>
        <v>$0.00</v>
      </c>
      <c r="H11" s="92"/>
      <c r="I11" s="92"/>
      <c r="J11" s="92"/>
      <c r="K11" s="92"/>
      <c r="L11" s="90" t="str">
        <f t="shared" si="5"/>
        <v>lifetime</v>
      </c>
      <c r="M11" s="253" t="str">
        <f>IF(L11="lifetime",
    IF(I11&lt;&gt;"", H11 &amp; "-" &amp; I11 &amp; "x/lifetime", H11 &amp; "x/lifetime"),
    IF(D11='Master Data'!$B$8, AD11 &amp; AE11, AD11 &amp; AE11 &amp; AC11))</f>
        <v>x/lifetime</v>
      </c>
      <c r="N11" s="18">
        <f t="shared" si="0"/>
        <v>0</v>
      </c>
      <c r="O11" s="18">
        <f t="shared" si="1"/>
        <v>0</v>
      </c>
      <c r="P11" s="254" t="str">
        <f t="shared" si="7"/>
        <v>$0.00</v>
      </c>
      <c r="Q11" s="18">
        <f t="shared" si="2"/>
        <v>0</v>
      </c>
      <c r="R11" s="18">
        <f t="shared" si="3"/>
        <v>0</v>
      </c>
      <c r="S11" s="255" t="str">
        <f t="shared" si="8"/>
        <v>$0.00</v>
      </c>
      <c r="AA11" s="166" t="str">
        <f>IF(L11="lifetime", "one-time cost", IF(D11='Master Data'!$B$8, AD11 &amp; AE11, AD11 &amp; AE11 &amp; AC11))</f>
        <v>one-time cost</v>
      </c>
      <c r="AB11" s="208" t="str">
        <f t="shared" si="9"/>
        <v>x/lifetime</v>
      </c>
      <c r="AC11" s="166" t="str">
        <f ca="1">IF(Table7[[#This Row],[Duration (Years):]]&lt;&gt;'Master Data'!$B$8,CONCATENATE(",",CHAR(10),"for ",Table7[[#This Row],[Duration (Years):]]," years"),"lifelong")</f>
        <v>lifelong</v>
      </c>
      <c r="AD11" s="166" t="str">
        <f t="shared" si="10"/>
        <v>one-time cost</v>
      </c>
      <c r="AE11" s="166" t="str">
        <f t="shared" si="11"/>
        <v>one-time cost</v>
      </c>
    </row>
    <row r="12" spans="1:31" ht="29.25" thickTop="1" x14ac:dyDescent="0.2">
      <c r="A12" s="28"/>
      <c r="B12" s="29">
        <f ca="1">'Master Data'!$B$6</f>
        <v>126.3</v>
      </c>
      <c r="C12" s="29">
        <f ca="1">'Master Data'!$B$7</f>
        <v>136.30000000000001</v>
      </c>
      <c r="D12" s="29">
        <f t="shared" ref="D12:D25" ca="1" si="12">ROUND(C12-B12,1)</f>
        <v>10</v>
      </c>
      <c r="E12" s="30" cm="1">
        <f t="array" ref="E12">IF(
  A12="",
  0,
  IF(
    OR(A12="Handyman Services",A12="Housekeeping Services"),
    MIN(
      INDEX(
        'Meds Sheet'!$A$36:$M$37,
        MATCH(A12,'Meds Sheet'!$A$36:$A$37,0),
        _xlfn.SWITCH(
          'Master Data'!$B$19,
          "Los Angeles",{2,3,4},
          "San Diego",{5,6,7},
          "San Francisco",{8,9,10},
          "Palo Alto",{11,12,13}
        )
      )
    ),
    IF(
      A12="One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A12="Thymoglobulin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12" s="30" cm="1">
        <f t="array" ref="F12">IF(
  A12="",
  0,
  IF(
    OR(A12="Handyman Services",A12="Housekeeping Services"),
    MAX(
      INDEX(
        'Meds Sheet'!$A$36:$M$37,
        MATCH(A12,'Meds Sheet'!$A$36:$A$37,0),
        _xlfn.SWITCH(
          'Master Data'!$B$19,
          "Los Angeles",{2,3,4},
          "San Diego",{5,6,7},
          "San Francisco",{8,9,10},
          "Palo Alto",{11,12,13}
        )
      )
    ),
    IF(
      A12="One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A12="Thymoglobulin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12" s="31" t="str">
        <f t="shared" si="6"/>
        <v>$0.00</v>
      </c>
      <c r="H12" s="32"/>
      <c r="I12" s="32"/>
      <c r="J12" s="32"/>
      <c r="K12" s="32"/>
      <c r="L12" s="51" t="str">
        <f t="shared" ref="L12:L25" si="13">IF(LEN(K12)=0,IF(LEN(J12)=0,"lifetime",IF(J12=1,"year","years")),"years")</f>
        <v>lifetime</v>
      </c>
      <c r="M12" s="33" t="str">
        <f>IF(L12="lifetime",
    IF(I12&lt;&gt;"", H12 &amp; "-" &amp; I12 &amp; "x/lifetime", H12 &amp; "x/lifetime"),
    IF(D12='Master Data'!$B$8, AD12 &amp; AE12, AD12 &amp; AE12 &amp; AC12))</f>
        <v>x/lifetime</v>
      </c>
      <c r="N12" s="30">
        <f t="shared" ref="N12:N25" si="14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12" s="30">
        <f t="shared" ref="O12:O25" si="15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12" s="52" t="str">
        <f t="shared" si="7"/>
        <v>$0.00</v>
      </c>
      <c r="Q12" s="30">
        <f t="shared" ref="Q12:Q25" si="16">ROUND(IF(TimeValue="lifetime",MinCost*MinFreq,0),2)</f>
        <v>0</v>
      </c>
      <c r="R12" s="30">
        <f t="shared" ref="R12:R25" si="17">ROUND(IF(AND(TimeValue="lifetime",MaxFreq&lt;1),MinFreq*MaxCost,IF(AND(TimeValue="lifetime",MaxFreq&gt;=1),MaxFreq*MaxCost,0)),2)</f>
        <v>0</v>
      </c>
      <c r="S12" s="53" t="str">
        <f t="shared" si="8"/>
        <v>$0.00</v>
      </c>
      <c r="AA12" s="166" t="str">
        <f>IF(L12="lifetime", "one-time cost", IF(D12='Master Data'!$B$8, AD12 &amp; AE12, AD12 &amp; AE12 &amp; AC12))</f>
        <v>one-time cost</v>
      </c>
      <c r="AB12" s="208" t="str">
        <f t="shared" si="9"/>
        <v>x/lifetime</v>
      </c>
      <c r="AC12" s="166" t="str">
        <f ca="1">IF(Table7[[#This Row],[Duration (Years):]]&lt;&gt;'Master Data'!$B$8,CONCATENATE(",",CHAR(10),"for ",Table7[[#This Row],[Duration (Years):]]," years"),"lifelong")</f>
        <v>lifelong</v>
      </c>
      <c r="AD12" s="166" t="str">
        <f t="shared" si="10"/>
        <v>one-time cost</v>
      </c>
      <c r="AE12" s="166" t="str">
        <f t="shared" si="11"/>
        <v>one-time cost</v>
      </c>
    </row>
    <row r="13" spans="1:31" ht="28.5" x14ac:dyDescent="0.2">
      <c r="A13" s="28"/>
      <c r="B13" s="29">
        <f ca="1">'Master Data'!$B$6</f>
        <v>126.3</v>
      </c>
      <c r="C13" s="29">
        <f ca="1">'Master Data'!$B$7</f>
        <v>136.30000000000001</v>
      </c>
      <c r="D13" s="29">
        <f t="shared" ca="1" si="12"/>
        <v>10</v>
      </c>
      <c r="E13" s="30" cm="1">
        <f t="array" ref="E13">IF(
  A13="",
  0,
  IF(
    OR(A13="Handyman Services",A13="Housekeeping Services"),
    MIN(
      INDEX(
        'Meds Sheet'!$A$36:$M$37,
        MATCH(A13,'Meds Sheet'!$A$36:$A$37,0),
        _xlfn.SWITCH(
          'Master Data'!$B$19,
          "Los Angeles",{2,3,4},
          "San Diego",{5,6,7},
          "San Francisco",{8,9,10},
          "Palo Alto",{11,12,13}
        )
      )
    ),
    IF(
      A13="One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A13="Thymoglobulin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13" s="30" cm="1">
        <f t="array" ref="F13">IF(
  A13="",
  0,
  IF(
    OR(A13="Handyman Services",A13="Housekeeping Services"),
    MAX(
      INDEX(
        'Meds Sheet'!$A$36:$M$37,
        MATCH(A13,'Meds Sheet'!$A$36:$A$37,0),
        _xlfn.SWITCH(
          'Master Data'!$B$19,
          "Los Angeles",{2,3,4},
          "San Diego",{5,6,7},
          "San Francisco",{8,9,10},
          "Palo Alto",{11,12,13}
        )
      )
    ),
    IF(
      A13="One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A13="Thymoglobulin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13" s="31" t="str">
        <f t="shared" si="6"/>
        <v>$0.00</v>
      </c>
      <c r="H13" s="32"/>
      <c r="I13" s="32"/>
      <c r="J13" s="32"/>
      <c r="K13" s="32"/>
      <c r="L13" s="51" t="str">
        <f t="shared" si="13"/>
        <v>lifetime</v>
      </c>
      <c r="M13" s="33" t="str">
        <f>IF(L13="lifetime",
    IF(I13&lt;&gt;"", H13 &amp; "-" &amp; I13 &amp; "x/lifetime", H13 &amp; "x/lifetime"),
    IF(D13='Master Data'!$B$8, AD13 &amp; AE13, AD13 &amp; AE13 &amp; AC13))</f>
        <v>x/lifetime</v>
      </c>
      <c r="N13" s="30">
        <f t="shared" si="14"/>
        <v>0</v>
      </c>
      <c r="O13" s="30">
        <f t="shared" si="15"/>
        <v>0</v>
      </c>
      <c r="P13" s="52" t="str">
        <f t="shared" si="7"/>
        <v>$0.00</v>
      </c>
      <c r="Q13" s="30">
        <f t="shared" si="16"/>
        <v>0</v>
      </c>
      <c r="R13" s="30">
        <f t="shared" si="17"/>
        <v>0</v>
      </c>
      <c r="S13" s="53" t="str">
        <f t="shared" si="8"/>
        <v>$0.00</v>
      </c>
      <c r="AA13" s="166" t="str">
        <f>IF(L13="lifetime", "one-time cost", IF(D13='Master Data'!$B$8, AD13 &amp; AE13, AD13 &amp; AE13 &amp; AC13))</f>
        <v>one-time cost</v>
      </c>
      <c r="AB13" s="208" t="str">
        <f t="shared" si="9"/>
        <v>x/lifetime</v>
      </c>
      <c r="AC13" s="166" t="str">
        <f ca="1">IF(Table7[[#This Row],[Duration (Years):]]&lt;&gt;'Master Data'!$B$8,CONCATENATE(",",CHAR(10),"for ",Table7[[#This Row],[Duration (Years):]]," years"),"lifelong")</f>
        <v>lifelong</v>
      </c>
      <c r="AD13" s="166" t="str">
        <f t="shared" si="10"/>
        <v>one-time cost</v>
      </c>
      <c r="AE13" s="166" t="str">
        <f t="shared" si="11"/>
        <v>one-time cost</v>
      </c>
    </row>
    <row r="14" spans="1:31" ht="28.5" x14ac:dyDescent="0.2">
      <c r="A14" s="28"/>
      <c r="B14" s="29">
        <f ca="1">'Master Data'!$B$6</f>
        <v>126.3</v>
      </c>
      <c r="C14" s="29">
        <f ca="1">'Master Data'!$B$7</f>
        <v>136.30000000000001</v>
      </c>
      <c r="D14" s="29">
        <f t="shared" ca="1" si="12"/>
        <v>10</v>
      </c>
      <c r="E14" s="30" cm="1">
        <f t="array" ref="E14">IF(
  A14="",
  0,
  IF(
    OR(A14="Handyman Services",A14="Housekeeping Services"),
    MIN(
      INDEX(
        'Meds Sheet'!$A$36:$M$37,
        MATCH(A14,'Meds Sheet'!$A$36:$A$37,0),
        _xlfn.SWITCH(
          'Master Data'!$B$19,
          "Los Angeles",{2,3,4},
          "San Diego",{5,6,7},
          "San Francisco",{8,9,10},
          "Palo Alto",{11,12,13}
        )
      )
    ),
    IF(
      A14="One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A14="Thymoglobulin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14" s="30" cm="1">
        <f t="array" ref="F14">IF(
  A14="",
  0,
  IF(
    OR(A14="Handyman Services",A14="Housekeeping Services"),
    MAX(
      INDEX(
        'Meds Sheet'!$A$36:$M$37,
        MATCH(A14,'Meds Sheet'!$A$36:$A$37,0),
        _xlfn.SWITCH(
          'Master Data'!$B$19,
          "Los Angeles",{2,3,4},
          "San Diego",{5,6,7},
          "San Francisco",{8,9,10},
          "Palo Alto",{11,12,13}
        )
      )
    ),
    IF(
      A14="One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A14="Thymoglobulin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14" s="31" t="str">
        <f t="shared" si="6"/>
        <v>$0.00</v>
      </c>
      <c r="H14" s="32"/>
      <c r="I14" s="32"/>
      <c r="J14" s="32"/>
      <c r="K14" s="32"/>
      <c r="L14" s="51" t="str">
        <f t="shared" si="13"/>
        <v>lifetime</v>
      </c>
      <c r="M14" s="33" t="str">
        <f>IF(L14="lifetime",
    IF(I14&lt;&gt;"", H14 &amp; "-" &amp; I14 &amp; "x/lifetime", H14 &amp; "x/lifetime"),
    IF(D14='Master Data'!$B$8, AD14 &amp; AE14, AD14 &amp; AE14 &amp; AC14))</f>
        <v>x/lifetime</v>
      </c>
      <c r="N14" s="30">
        <f t="shared" si="14"/>
        <v>0</v>
      </c>
      <c r="O14" s="30">
        <f t="shared" si="15"/>
        <v>0</v>
      </c>
      <c r="P14" s="52" t="str">
        <f t="shared" si="7"/>
        <v>$0.00</v>
      </c>
      <c r="Q14" s="30">
        <f t="shared" si="16"/>
        <v>0</v>
      </c>
      <c r="R14" s="30">
        <f t="shared" si="17"/>
        <v>0</v>
      </c>
      <c r="S14" s="53" t="str">
        <f t="shared" si="8"/>
        <v>$0.00</v>
      </c>
      <c r="AA14" s="166" t="str">
        <f>IF(L14="lifetime", "one-time cost", IF(D14='Master Data'!$B$8, AD14 &amp; AE14, AD14 &amp; AE14 &amp; AC14))</f>
        <v>one-time cost</v>
      </c>
      <c r="AB14" s="208" t="str">
        <f t="shared" si="9"/>
        <v>x/lifetime</v>
      </c>
      <c r="AC14" s="166" t="str">
        <f ca="1">IF(Table7[[#This Row],[Duration (Years):]]&lt;&gt;'Master Data'!$B$8,CONCATENATE(",",CHAR(10),"for ",Table7[[#This Row],[Duration (Years):]]," years"),"lifelong")</f>
        <v>lifelong</v>
      </c>
      <c r="AD14" s="166" t="str">
        <f t="shared" si="10"/>
        <v>one-time cost</v>
      </c>
      <c r="AE14" s="166" t="str">
        <f t="shared" si="11"/>
        <v>one-time cost</v>
      </c>
    </row>
    <row r="15" spans="1:31" ht="28.5" x14ac:dyDescent="0.2">
      <c r="A15" s="28"/>
      <c r="B15" s="29">
        <f ca="1">'Master Data'!$B$6</f>
        <v>126.3</v>
      </c>
      <c r="C15" s="29">
        <f ca="1">'Master Data'!$B$7</f>
        <v>136.30000000000001</v>
      </c>
      <c r="D15" s="29">
        <f t="shared" ca="1" si="12"/>
        <v>10</v>
      </c>
      <c r="E15" s="30" cm="1">
        <f t="array" ref="E15">IF(
  A15="",
  0,
  IF(
    OR(A15="Handyman Services",A15="Housekeeping Services"),
    MIN(
      INDEX(
        'Meds Sheet'!$A$36:$M$37,
        MATCH(A15,'Meds Sheet'!$A$36:$A$37,0),
        _xlfn.SWITCH(
          'Master Data'!$B$19,
          "Los Angeles",{2,3,4},
          "San Diego",{5,6,7},
          "San Francisco",{8,9,10},
          "Palo Alto",{11,12,13}
        )
      )
    ),
    IF(
      A15="One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A15="Thymoglobulin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15" s="30" cm="1">
        <f t="array" ref="F15">IF(
  A15="",
  0,
  IF(
    OR(A15="Handyman Services",A15="Housekeeping Services"),
    MAX(
      INDEX(
        'Meds Sheet'!$A$36:$M$37,
        MATCH(A15,'Meds Sheet'!$A$36:$A$37,0),
        _xlfn.SWITCH(
          'Master Data'!$B$19,
          "Los Angeles",{2,3,4},
          "San Diego",{5,6,7},
          "San Francisco",{8,9,10},
          "Palo Alto",{11,12,13}
        )
      )
    ),
    IF(
      A15="One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A15="Thymoglobulin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15" s="31" t="str">
        <f t="shared" si="6"/>
        <v>$0.00</v>
      </c>
      <c r="H15" s="32"/>
      <c r="I15" s="32"/>
      <c r="J15" s="32"/>
      <c r="K15" s="32"/>
      <c r="L15" s="51" t="str">
        <f t="shared" si="13"/>
        <v>lifetime</v>
      </c>
      <c r="M15" s="33" t="str">
        <f>IF(L15="lifetime",
    IF(I15&lt;&gt;"", H15 &amp; "-" &amp; I15 &amp; "x/lifetime", H15 &amp; "x/lifetime"),
    IF(D15='Master Data'!$B$8, AD15 &amp; AE15, AD15 &amp; AE15 &amp; AC15))</f>
        <v>x/lifetime</v>
      </c>
      <c r="N15" s="30">
        <f t="shared" si="14"/>
        <v>0</v>
      </c>
      <c r="O15" s="30">
        <f t="shared" si="15"/>
        <v>0</v>
      </c>
      <c r="P15" s="52" t="str">
        <f t="shared" si="7"/>
        <v>$0.00</v>
      </c>
      <c r="Q15" s="30">
        <f t="shared" si="16"/>
        <v>0</v>
      </c>
      <c r="R15" s="30">
        <f t="shared" si="17"/>
        <v>0</v>
      </c>
      <c r="S15" s="53" t="str">
        <f t="shared" si="8"/>
        <v>$0.00</v>
      </c>
      <c r="AA15" s="166" t="str">
        <f>IF(L15="lifetime", "one-time cost", IF(D15='Master Data'!$B$8, AD15 &amp; AE15, AD15 &amp; AE15 &amp; AC15))</f>
        <v>one-time cost</v>
      </c>
      <c r="AB15" s="208" t="str">
        <f t="shared" si="9"/>
        <v>x/lifetime</v>
      </c>
      <c r="AC15" s="166" t="str">
        <f ca="1">IF(Table7[[#This Row],[Duration (Years):]]&lt;&gt;'Master Data'!$B$8,CONCATENATE(",",CHAR(10),"for ",Table7[[#This Row],[Duration (Years):]]," years"),"lifelong")</f>
        <v>lifelong</v>
      </c>
      <c r="AD15" s="166" t="str">
        <f t="shared" si="10"/>
        <v>one-time cost</v>
      </c>
      <c r="AE15" s="166" t="str">
        <f t="shared" si="11"/>
        <v>one-time cost</v>
      </c>
    </row>
    <row r="16" spans="1:31" ht="28.5" x14ac:dyDescent="0.2">
      <c r="A16" s="28"/>
      <c r="B16" s="29">
        <f ca="1">'Master Data'!$B$6</f>
        <v>126.3</v>
      </c>
      <c r="C16" s="29">
        <f ca="1">'Master Data'!$B$7</f>
        <v>136.30000000000001</v>
      </c>
      <c r="D16" s="29">
        <f t="shared" ca="1" si="12"/>
        <v>10</v>
      </c>
      <c r="E16" s="30" cm="1">
        <f t="array" ref="E16">IF(
  A16="",
  0,
  IF(
    OR(A16="Handyman Services",A16="Housekeeping Services"),
    MIN(
      INDEX(
        'Meds Sheet'!$A$36:$M$37,
        MATCH(A16,'Meds Sheet'!$A$36:$A$37,0),
        _xlfn.SWITCH(
          'Master Data'!$B$19,
          "Los Angeles",{2,3,4},
          "San Diego",{5,6,7},
          "San Francisco",{8,9,10},
          "Palo Alto",{11,12,13}
        )
      )
    ),
    IF(
      A16="One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A16="Thymoglobulin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16" s="30" cm="1">
        <f t="array" ref="F16">IF(
  A16="",
  0,
  IF(
    OR(A16="Handyman Services",A16="Housekeeping Services"),
    MAX(
      INDEX(
        'Meds Sheet'!$A$36:$M$37,
        MATCH(A16,'Meds Sheet'!$A$36:$A$37,0),
        _xlfn.SWITCH(
          'Master Data'!$B$19,
          "Los Angeles",{2,3,4},
          "San Diego",{5,6,7},
          "San Francisco",{8,9,10},
          "Palo Alto",{11,12,13}
        )
      )
    ),
    IF(
      A16="One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A16="Thymoglobulin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16" s="31" t="str">
        <f t="shared" si="6"/>
        <v>$0.00</v>
      </c>
      <c r="H16" s="32"/>
      <c r="I16" s="32"/>
      <c r="J16" s="32"/>
      <c r="K16" s="32"/>
      <c r="L16" s="51" t="str">
        <f t="shared" si="13"/>
        <v>lifetime</v>
      </c>
      <c r="M16" s="33" t="str">
        <f>IF(L16="lifetime",
    IF(I16&lt;&gt;"", H16 &amp; "-" &amp; I16 &amp; "x/lifetime", H16 &amp; "x/lifetime"),
    IF(D16='Master Data'!$B$8, AD16 &amp; AE16, AD16 &amp; AE16 &amp; AC16))</f>
        <v>x/lifetime</v>
      </c>
      <c r="N16" s="30">
        <f t="shared" si="14"/>
        <v>0</v>
      </c>
      <c r="O16" s="30">
        <f t="shared" si="15"/>
        <v>0</v>
      </c>
      <c r="P16" s="52" t="str">
        <f t="shared" si="7"/>
        <v>$0.00</v>
      </c>
      <c r="Q16" s="30">
        <f t="shared" si="16"/>
        <v>0</v>
      </c>
      <c r="R16" s="30">
        <f t="shared" si="17"/>
        <v>0</v>
      </c>
      <c r="S16" s="53" t="str">
        <f t="shared" si="8"/>
        <v>$0.00</v>
      </c>
      <c r="AA16" s="166" t="str">
        <f>IF(L16="lifetime", "one-time cost", IF(D16='Master Data'!$B$8, AD16 &amp; AE16, AD16 &amp; AE16 &amp; AC16))</f>
        <v>one-time cost</v>
      </c>
      <c r="AB16" s="208" t="str">
        <f t="shared" si="9"/>
        <v>x/lifetime</v>
      </c>
      <c r="AC16" s="166" t="str">
        <f ca="1">IF(Table7[[#This Row],[Duration (Years):]]&lt;&gt;'Master Data'!$B$8,CONCATENATE(",",CHAR(10),"for ",Table7[[#This Row],[Duration (Years):]]," years"),"lifelong")</f>
        <v>lifelong</v>
      </c>
      <c r="AD16" s="166" t="str">
        <f t="shared" si="10"/>
        <v>one-time cost</v>
      </c>
      <c r="AE16" s="166" t="str">
        <f t="shared" si="11"/>
        <v>one-time cost</v>
      </c>
    </row>
    <row r="17" spans="1:31" ht="28.5" x14ac:dyDescent="0.2">
      <c r="A17" s="28"/>
      <c r="B17" s="29">
        <f ca="1">'Master Data'!$B$6</f>
        <v>126.3</v>
      </c>
      <c r="C17" s="29">
        <f ca="1">'Master Data'!$B$7</f>
        <v>136.30000000000001</v>
      </c>
      <c r="D17" s="29">
        <f t="shared" ca="1" si="12"/>
        <v>10</v>
      </c>
      <c r="E17" s="30" cm="1">
        <f t="array" ref="E17">IF(
  A17="",
  0,
  IF(
    OR(A17="Handyman Services",A17="Housekeeping Services"),
    MIN(
      INDEX(
        'Meds Sheet'!$A$36:$M$37,
        MATCH(A17,'Meds Sheet'!$A$36:$A$37,0),
        _xlfn.SWITCH(
          'Master Data'!$B$19,
          "Los Angeles",{2,3,4},
          "San Diego",{5,6,7},
          "San Francisco",{8,9,10},
          "Palo Alto",{11,12,13}
        )
      )
    ),
    IF(
      A17="One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A17="Thymoglobulin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17" s="30" cm="1">
        <f t="array" ref="F17">IF(
  A17="",
  0,
  IF(
    OR(A17="Handyman Services",A17="Housekeeping Services"),
    MAX(
      INDEX(
        'Meds Sheet'!$A$36:$M$37,
        MATCH(A17,'Meds Sheet'!$A$36:$A$37,0),
        _xlfn.SWITCH(
          'Master Data'!$B$19,
          "Los Angeles",{2,3,4},
          "San Diego",{5,6,7},
          "San Francisco",{8,9,10},
          "Palo Alto",{11,12,13}
        )
      )
    ),
    IF(
      A17="One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A17="Thymoglobulin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17" s="31" t="str">
        <f t="shared" si="6"/>
        <v>$0.00</v>
      </c>
      <c r="H17" s="32"/>
      <c r="I17" s="32"/>
      <c r="J17" s="32"/>
      <c r="K17" s="32"/>
      <c r="L17" s="51" t="str">
        <f t="shared" si="13"/>
        <v>lifetime</v>
      </c>
      <c r="M17" s="33" t="str">
        <f>IF(L17="lifetime",
    IF(I17&lt;&gt;"", H17 &amp; "-" &amp; I17 &amp; "x/lifetime", H17 &amp; "x/lifetime"),
    IF(D17='Master Data'!$B$8, AD17 &amp; AE17, AD17 &amp; AE17 &amp; AC17))</f>
        <v>x/lifetime</v>
      </c>
      <c r="N17" s="30">
        <f t="shared" si="14"/>
        <v>0</v>
      </c>
      <c r="O17" s="30">
        <f t="shared" si="15"/>
        <v>0</v>
      </c>
      <c r="P17" s="52" t="str">
        <f t="shared" si="7"/>
        <v>$0.00</v>
      </c>
      <c r="Q17" s="30">
        <f t="shared" si="16"/>
        <v>0</v>
      </c>
      <c r="R17" s="30">
        <f t="shared" si="17"/>
        <v>0</v>
      </c>
      <c r="S17" s="53" t="str">
        <f t="shared" si="8"/>
        <v>$0.00</v>
      </c>
      <c r="AA17" s="166" t="str">
        <f>IF(L17="lifetime", "one-time cost", IF(D17='Master Data'!$B$8, AD17 &amp; AE17, AD17 &amp; AE17 &amp; AC17))</f>
        <v>one-time cost</v>
      </c>
      <c r="AB17" s="208" t="str">
        <f t="shared" si="9"/>
        <v>x/lifetime</v>
      </c>
      <c r="AC17" s="166" t="str">
        <f ca="1">IF(Table7[[#This Row],[Duration (Years):]]&lt;&gt;'Master Data'!$B$8,CONCATENATE(",",CHAR(10),"for ",Table7[[#This Row],[Duration (Years):]]," years"),"lifelong")</f>
        <v>lifelong</v>
      </c>
      <c r="AD17" s="166" t="str">
        <f t="shared" si="10"/>
        <v>one-time cost</v>
      </c>
      <c r="AE17" s="166" t="str">
        <f t="shared" si="11"/>
        <v>one-time cost</v>
      </c>
    </row>
    <row r="18" spans="1:31" ht="28.5" x14ac:dyDescent="0.2">
      <c r="A18" s="28"/>
      <c r="B18" s="29">
        <f ca="1">'Master Data'!$B$6</f>
        <v>126.3</v>
      </c>
      <c r="C18" s="29">
        <f ca="1">'Master Data'!$B$7</f>
        <v>136.30000000000001</v>
      </c>
      <c r="D18" s="29">
        <f t="shared" ca="1" si="12"/>
        <v>10</v>
      </c>
      <c r="E18" s="30" cm="1">
        <f t="array" ref="E18">IF(
  A18="",
  0,
  IF(
    OR(A18="Handyman Services",A18="Housekeeping Services"),
    MIN(
      INDEX(
        'Meds Sheet'!$A$36:$M$37,
        MATCH(A18,'Meds Sheet'!$A$36:$A$37,0),
        _xlfn.SWITCH(
          'Master Data'!$B$19,
          "Los Angeles",{2,3,4},
          "San Diego",{5,6,7},
          "San Francisco",{8,9,10},
          "Palo Alto",{11,12,13}
        )
      )
    ),
    IF(
      A18="One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A18="Thymoglobulin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18" s="30" cm="1">
        <f t="array" ref="F18">IF(
  A18="",
  0,
  IF(
    OR(A18="Handyman Services",A18="Housekeeping Services"),
    MAX(
      INDEX(
        'Meds Sheet'!$A$36:$M$37,
        MATCH(A18,'Meds Sheet'!$A$36:$A$37,0),
        _xlfn.SWITCH(
          'Master Data'!$B$19,
          "Los Angeles",{2,3,4},
          "San Diego",{5,6,7},
          "San Francisco",{8,9,10},
          "Palo Alto",{11,12,13}
        )
      )
    ),
    IF(
      A18="One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A18="Thymoglobulin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18" s="31" t="str">
        <f t="shared" si="6"/>
        <v>$0.00</v>
      </c>
      <c r="H18" s="32"/>
      <c r="I18" s="32"/>
      <c r="J18" s="32"/>
      <c r="K18" s="32"/>
      <c r="L18" s="51" t="str">
        <f t="shared" si="13"/>
        <v>lifetime</v>
      </c>
      <c r="M18" s="33" t="str">
        <f>IF(L18="lifetime",
    IF(I18&lt;&gt;"", H18 &amp; "-" &amp; I18 &amp; "x/lifetime", H18 &amp; "x/lifetime"),
    IF(D18='Master Data'!$B$8, AD18 &amp; AE18, AD18 &amp; AE18 &amp; AC18))</f>
        <v>x/lifetime</v>
      </c>
      <c r="N18" s="30">
        <f t="shared" si="14"/>
        <v>0</v>
      </c>
      <c r="O18" s="30">
        <f t="shared" si="15"/>
        <v>0</v>
      </c>
      <c r="P18" s="52" t="str">
        <f t="shared" si="7"/>
        <v>$0.00</v>
      </c>
      <c r="Q18" s="30">
        <f t="shared" si="16"/>
        <v>0</v>
      </c>
      <c r="R18" s="30">
        <f t="shared" si="17"/>
        <v>0</v>
      </c>
      <c r="S18" s="53" t="str">
        <f t="shared" si="8"/>
        <v>$0.00</v>
      </c>
      <c r="AA18" s="166" t="str">
        <f>IF(L18="lifetime", "one-time cost", IF(D18='Master Data'!$B$8, AD18 &amp; AE18, AD18 &amp; AE18 &amp; AC18))</f>
        <v>one-time cost</v>
      </c>
      <c r="AB18" s="208" t="str">
        <f t="shared" si="9"/>
        <v>x/lifetime</v>
      </c>
      <c r="AC18" s="166" t="str">
        <f ca="1">IF(Table7[[#This Row],[Duration (Years):]]&lt;&gt;'Master Data'!$B$8,CONCATENATE(",",CHAR(10),"for ",Table7[[#This Row],[Duration (Years):]]," years"),"lifelong")</f>
        <v>lifelong</v>
      </c>
      <c r="AD18" s="166" t="str">
        <f t="shared" si="10"/>
        <v>one-time cost</v>
      </c>
      <c r="AE18" s="166" t="str">
        <f t="shared" si="11"/>
        <v>one-time cost</v>
      </c>
    </row>
    <row r="19" spans="1:31" ht="28.5" x14ac:dyDescent="0.2">
      <c r="A19" s="28"/>
      <c r="B19" s="29">
        <f ca="1">'Master Data'!$B$6</f>
        <v>126.3</v>
      </c>
      <c r="C19" s="29">
        <f ca="1">'Master Data'!$B$7</f>
        <v>136.30000000000001</v>
      </c>
      <c r="D19" s="29">
        <f t="shared" ca="1" si="12"/>
        <v>10</v>
      </c>
      <c r="E19" s="30" cm="1">
        <f t="array" ref="E19">IF(
  A19="",
  0,
  IF(
    OR(A19="Handyman Services",A19="Housekeeping Services"),
    MIN(
      INDEX(
        'Meds Sheet'!$A$36:$M$37,
        MATCH(A19,'Meds Sheet'!$A$36:$A$37,0),
        _xlfn.SWITCH(
          'Master Data'!$B$19,
          "Los Angeles",{2,3,4},
          "San Diego",{5,6,7},
          "San Francisco",{8,9,10},
          "Palo Alto",{11,12,13}
        )
      )
    ),
    IF(
      A19="One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A19="Thymoglobulin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19" s="30" cm="1">
        <f t="array" ref="F19">IF(
  A19="",
  0,
  IF(
    OR(A19="Handyman Services",A19="Housekeeping Services"),
    MAX(
      INDEX(
        'Meds Sheet'!$A$36:$M$37,
        MATCH(A19,'Meds Sheet'!$A$36:$A$37,0),
        _xlfn.SWITCH(
          'Master Data'!$B$19,
          "Los Angeles",{2,3,4},
          "San Diego",{5,6,7},
          "San Francisco",{8,9,10},
          "Palo Alto",{11,12,13}
        )
      )
    ),
    IF(
      A19="One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A19="Thymoglobulin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19" s="31" t="str">
        <f t="shared" si="6"/>
        <v>$0.00</v>
      </c>
      <c r="H19" s="32"/>
      <c r="I19" s="32"/>
      <c r="J19" s="32"/>
      <c r="K19" s="32"/>
      <c r="L19" s="51" t="str">
        <f t="shared" si="13"/>
        <v>lifetime</v>
      </c>
      <c r="M19" s="33" t="str">
        <f>IF(L19="lifetime",
    IF(I19&lt;&gt;"", H19 &amp; "-" &amp; I19 &amp; "x/lifetime", H19 &amp; "x/lifetime"),
    IF(D19='Master Data'!$B$8, AD19 &amp; AE19, AD19 &amp; AE19 &amp; AC19))</f>
        <v>x/lifetime</v>
      </c>
      <c r="N19" s="30">
        <f t="shared" si="14"/>
        <v>0</v>
      </c>
      <c r="O19" s="30">
        <f t="shared" si="15"/>
        <v>0</v>
      </c>
      <c r="P19" s="52" t="str">
        <f t="shared" si="7"/>
        <v>$0.00</v>
      </c>
      <c r="Q19" s="30">
        <f t="shared" si="16"/>
        <v>0</v>
      </c>
      <c r="R19" s="30">
        <f t="shared" si="17"/>
        <v>0</v>
      </c>
      <c r="S19" s="53" t="str">
        <f t="shared" si="8"/>
        <v>$0.00</v>
      </c>
      <c r="AA19" s="166" t="str">
        <f>IF(L19="lifetime", "one-time cost", IF(D19='Master Data'!$B$8, AD19 &amp; AE19, AD19 &amp; AE19 &amp; AC19))</f>
        <v>one-time cost</v>
      </c>
      <c r="AB19" s="208" t="str">
        <f t="shared" si="9"/>
        <v>x/lifetime</v>
      </c>
      <c r="AC19" s="166" t="str">
        <f ca="1">IF(Table7[[#This Row],[Duration (Years):]]&lt;&gt;'Master Data'!$B$8,CONCATENATE(",",CHAR(10),"for ",Table7[[#This Row],[Duration (Years):]]," years"),"lifelong")</f>
        <v>lifelong</v>
      </c>
      <c r="AD19" s="166" t="str">
        <f t="shared" si="10"/>
        <v>one-time cost</v>
      </c>
      <c r="AE19" s="166" t="str">
        <f t="shared" si="11"/>
        <v>one-time cost</v>
      </c>
    </row>
    <row r="20" spans="1:31" ht="28.5" x14ac:dyDescent="0.2">
      <c r="A20" s="28"/>
      <c r="B20" s="29">
        <f ca="1">'Master Data'!$B$6</f>
        <v>126.3</v>
      </c>
      <c r="C20" s="29">
        <f ca="1">'Master Data'!$B$7</f>
        <v>136.30000000000001</v>
      </c>
      <c r="D20" s="29">
        <f t="shared" ca="1" si="12"/>
        <v>10</v>
      </c>
      <c r="E20" s="30" cm="1">
        <f t="array" ref="E20">IF(
  A20="",
  0,
  IF(
    OR(A20="Handyman Services",A20="Housekeeping Services"),
    MIN(
      INDEX(
        'Meds Sheet'!$A$36:$M$37,
        MATCH(A20,'Meds Sheet'!$A$36:$A$37,0),
        _xlfn.SWITCH(
          'Master Data'!$B$19,
          "Los Angeles",{2,3,4},
          "San Diego",{5,6,7},
          "San Francisco",{8,9,10},
          "Palo Alto",{11,12,13}
        )
      )
    ),
    IF(
      A20="One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A20="Thymoglobulin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20" s="30" cm="1">
        <f t="array" ref="F20">IF(
  A20="",
  0,
  IF(
    OR(A20="Handyman Services",A20="Housekeeping Services"),
    MAX(
      INDEX(
        'Meds Sheet'!$A$36:$M$37,
        MATCH(A20,'Meds Sheet'!$A$36:$A$37,0),
        _xlfn.SWITCH(
          'Master Data'!$B$19,
          "Los Angeles",{2,3,4},
          "San Diego",{5,6,7},
          "San Francisco",{8,9,10},
          "Palo Alto",{11,12,13}
        )
      )
    ),
    IF(
      A20="One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A20="Thymoglobulin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20" s="31" t="str">
        <f t="shared" si="6"/>
        <v>$0.00</v>
      </c>
      <c r="H20" s="32"/>
      <c r="I20" s="32"/>
      <c r="J20" s="32"/>
      <c r="K20" s="32"/>
      <c r="L20" s="51" t="str">
        <f t="shared" si="13"/>
        <v>lifetime</v>
      </c>
      <c r="M20" s="33" t="str">
        <f>IF(L20="lifetime",
    IF(I20&lt;&gt;"", H20 &amp; "-" &amp; I20 &amp; "x/lifetime", H20 &amp; "x/lifetime"),
    IF(D20='Master Data'!$B$8, AD20 &amp; AE20, AD20 &amp; AE20 &amp; AC20))</f>
        <v>x/lifetime</v>
      </c>
      <c r="N20" s="30">
        <f t="shared" si="14"/>
        <v>0</v>
      </c>
      <c r="O20" s="30">
        <f t="shared" si="15"/>
        <v>0</v>
      </c>
      <c r="P20" s="52" t="str">
        <f t="shared" si="7"/>
        <v>$0.00</v>
      </c>
      <c r="Q20" s="30">
        <f t="shared" si="16"/>
        <v>0</v>
      </c>
      <c r="R20" s="30">
        <f t="shared" si="17"/>
        <v>0</v>
      </c>
      <c r="S20" s="53" t="str">
        <f t="shared" si="8"/>
        <v>$0.00</v>
      </c>
      <c r="AA20" s="166" t="str">
        <f>IF(L20="lifetime", "one-time cost", IF(D20='Master Data'!$B$8, AD20 &amp; AE20, AD20 &amp; AE20 &amp; AC20))</f>
        <v>one-time cost</v>
      </c>
      <c r="AB20" s="208" t="str">
        <f t="shared" si="9"/>
        <v>x/lifetime</v>
      </c>
      <c r="AC20" s="166" t="str">
        <f ca="1">IF(Table7[[#This Row],[Duration (Years):]]&lt;&gt;'Master Data'!$B$8,CONCATENATE(",",CHAR(10),"for ",Table7[[#This Row],[Duration (Years):]]," years"),"lifelong")</f>
        <v>lifelong</v>
      </c>
      <c r="AD20" s="166" t="str">
        <f t="shared" si="10"/>
        <v>one-time cost</v>
      </c>
      <c r="AE20" s="166" t="str">
        <f t="shared" si="11"/>
        <v>one-time cost</v>
      </c>
    </row>
    <row r="21" spans="1:31" ht="28.5" x14ac:dyDescent="0.2">
      <c r="A21" s="28"/>
      <c r="B21" s="29">
        <f ca="1">'Master Data'!$B$6</f>
        <v>126.3</v>
      </c>
      <c r="C21" s="29">
        <f ca="1">'Master Data'!$B$7</f>
        <v>136.30000000000001</v>
      </c>
      <c r="D21" s="29">
        <f t="shared" ca="1" si="12"/>
        <v>10</v>
      </c>
      <c r="E21" s="30" cm="1">
        <f t="array" ref="E21">IF(
  A21="",
  0,
  IF(
    OR(A21="Handyman Services",A21="Housekeeping Services"),
    MIN(
      INDEX(
        'Meds Sheet'!$A$36:$M$37,
        MATCH(A21,'Meds Sheet'!$A$36:$A$37,0),
        _xlfn.SWITCH(
          'Master Data'!$B$19,
          "Los Angeles",{2,3,4},
          "San Diego",{5,6,7},
          "San Francisco",{8,9,10},
          "Palo Alto",{11,12,13}
        )
      )
    ),
    IF(
      A21="One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A21="Thymoglobulin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21" s="30" cm="1">
        <f t="array" ref="F21">IF(
  A21="",
  0,
  IF(
    OR(A21="Handyman Services",A21="Housekeeping Services"),
    MAX(
      INDEX(
        'Meds Sheet'!$A$36:$M$37,
        MATCH(A21,'Meds Sheet'!$A$36:$A$37,0),
        _xlfn.SWITCH(
          'Master Data'!$B$19,
          "Los Angeles",{2,3,4},
          "San Diego",{5,6,7},
          "San Francisco",{8,9,10},
          "Palo Alto",{11,12,13}
        )
      )
    ),
    IF(
      A21="One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A21="Thymoglobulin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21" s="31" t="str">
        <f t="shared" si="6"/>
        <v>$0.00</v>
      </c>
      <c r="H21" s="32"/>
      <c r="I21" s="32"/>
      <c r="J21" s="32"/>
      <c r="K21" s="32"/>
      <c r="L21" s="51" t="str">
        <f t="shared" si="13"/>
        <v>lifetime</v>
      </c>
      <c r="M21" s="33" t="str">
        <f>IF(L21="lifetime",
    IF(I21&lt;&gt;"", H21 &amp; "-" &amp; I21 &amp; "x/lifetime", H21 &amp; "x/lifetime"),
    IF(D21='Master Data'!$B$8, AD21 &amp; AE21, AD21 &amp; AE21 &amp; AC21))</f>
        <v>x/lifetime</v>
      </c>
      <c r="N21" s="30">
        <f t="shared" si="14"/>
        <v>0</v>
      </c>
      <c r="O21" s="30">
        <f t="shared" si="15"/>
        <v>0</v>
      </c>
      <c r="P21" s="52" t="str">
        <f t="shared" si="7"/>
        <v>$0.00</v>
      </c>
      <c r="Q21" s="30">
        <f t="shared" si="16"/>
        <v>0</v>
      </c>
      <c r="R21" s="30">
        <f t="shared" si="17"/>
        <v>0</v>
      </c>
      <c r="S21" s="53" t="str">
        <f t="shared" si="8"/>
        <v>$0.00</v>
      </c>
      <c r="AA21" s="166" t="str">
        <f>IF(L21="lifetime", "one-time cost", IF(D21='Master Data'!$B$8, AD21 &amp; AE21, AD21 &amp; AE21 &amp; AC21))</f>
        <v>one-time cost</v>
      </c>
      <c r="AB21" s="208" t="str">
        <f t="shared" si="9"/>
        <v>x/lifetime</v>
      </c>
      <c r="AC21" s="166" t="str">
        <f ca="1">IF(Table7[[#This Row],[Duration (Years):]]&lt;&gt;'Master Data'!$B$8,CONCATENATE(",",CHAR(10),"for ",Table7[[#This Row],[Duration (Years):]]," years"),"lifelong")</f>
        <v>lifelong</v>
      </c>
      <c r="AD21" s="166" t="str">
        <f t="shared" si="10"/>
        <v>one-time cost</v>
      </c>
      <c r="AE21" s="166" t="str">
        <f t="shared" si="11"/>
        <v>one-time cost</v>
      </c>
    </row>
    <row r="22" spans="1:31" ht="28.5" x14ac:dyDescent="0.2">
      <c r="A22" s="28"/>
      <c r="B22" s="29">
        <f ca="1">'Master Data'!$B$6</f>
        <v>126.3</v>
      </c>
      <c r="C22" s="29">
        <f ca="1">'Master Data'!$B$7</f>
        <v>136.30000000000001</v>
      </c>
      <c r="D22" s="29">
        <f t="shared" ca="1" si="12"/>
        <v>10</v>
      </c>
      <c r="E22" s="30" cm="1">
        <f t="array" ref="E22">IF(
  A22="",
  0,
  IF(
    OR(A22="Handyman Services",A22="Housekeeping Services"),
    MIN(
      INDEX(
        'Meds Sheet'!$A$36:$M$37,
        MATCH(A22,'Meds Sheet'!$A$36:$A$37,0),
        _xlfn.SWITCH(
          'Master Data'!$B$19,
          "Los Angeles",{2,3,4},
          "San Diego",{5,6,7},
          "San Francisco",{8,9,10},
          "Palo Alto",{11,12,13}
        )
      )
    ),
    IF(
      A22="One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A22="Thymoglobulin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22" s="30" cm="1">
        <f t="array" ref="F22">IF(
  A22="",
  0,
  IF(
    OR(A22="Handyman Services",A22="Housekeeping Services"),
    MAX(
      INDEX(
        'Meds Sheet'!$A$36:$M$37,
        MATCH(A22,'Meds Sheet'!$A$36:$A$37,0),
        _xlfn.SWITCH(
          'Master Data'!$B$19,
          "Los Angeles",{2,3,4},
          "San Diego",{5,6,7},
          "San Francisco",{8,9,10},
          "Palo Alto",{11,12,13}
        )
      )
    ),
    IF(
      A22="One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A22="Thymoglobulin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22" s="31" t="str">
        <f t="shared" si="6"/>
        <v>$0.00</v>
      </c>
      <c r="H22" s="32"/>
      <c r="I22" s="32"/>
      <c r="J22" s="32"/>
      <c r="K22" s="32"/>
      <c r="L22" s="51" t="str">
        <f t="shared" si="13"/>
        <v>lifetime</v>
      </c>
      <c r="M22" s="33" t="str">
        <f>IF(L22="lifetime",
    IF(I22&lt;&gt;"", H22 &amp; "-" &amp; I22 &amp; "x/lifetime", H22 &amp; "x/lifetime"),
    IF(D22='Master Data'!$B$8, AD22 &amp; AE22, AD22 &amp; AE22 &amp; AC22))</f>
        <v>x/lifetime</v>
      </c>
      <c r="N22" s="30">
        <f t="shared" si="14"/>
        <v>0</v>
      </c>
      <c r="O22" s="30">
        <f t="shared" si="15"/>
        <v>0</v>
      </c>
      <c r="P22" s="52" t="str">
        <f t="shared" si="7"/>
        <v>$0.00</v>
      </c>
      <c r="Q22" s="30">
        <f t="shared" si="16"/>
        <v>0</v>
      </c>
      <c r="R22" s="30">
        <f t="shared" si="17"/>
        <v>0</v>
      </c>
      <c r="S22" s="53" t="str">
        <f t="shared" si="8"/>
        <v>$0.00</v>
      </c>
      <c r="AA22" s="166" t="str">
        <f>IF(L22="lifetime", "one-time cost", IF(D22='Master Data'!$B$8, AD22 &amp; AE22, AD22 &amp; AE22 &amp; AC22))</f>
        <v>one-time cost</v>
      </c>
      <c r="AB22" s="208" t="str">
        <f t="shared" si="9"/>
        <v>x/lifetime</v>
      </c>
      <c r="AC22" s="166" t="str">
        <f ca="1">IF(Table7[[#This Row],[Duration (Years):]]&lt;&gt;'Master Data'!$B$8,CONCATENATE(",",CHAR(10),"for ",Table7[[#This Row],[Duration (Years):]]," years"),"lifelong")</f>
        <v>lifelong</v>
      </c>
      <c r="AD22" s="166" t="str">
        <f t="shared" si="10"/>
        <v>one-time cost</v>
      </c>
      <c r="AE22" s="166" t="str">
        <f t="shared" si="11"/>
        <v>one-time cost</v>
      </c>
    </row>
    <row r="23" spans="1:31" ht="28.5" x14ac:dyDescent="0.2">
      <c r="A23" s="28"/>
      <c r="B23" s="29">
        <f ca="1">'Master Data'!$B$6</f>
        <v>126.3</v>
      </c>
      <c r="C23" s="29">
        <f ca="1">'Master Data'!$B$7</f>
        <v>136.30000000000001</v>
      </c>
      <c r="D23" s="29">
        <f t="shared" ca="1" si="12"/>
        <v>10</v>
      </c>
      <c r="E23" s="30" cm="1">
        <f t="array" ref="E23">IF(
  A23="",
  0,
  IF(
    OR(A23="Handyman Services",A23="Housekeeping Services"),
    MIN(
      INDEX(
        'Meds Sheet'!$A$36:$M$37,
        MATCH(A23,'Meds Sheet'!$A$36:$A$37,0),
        _xlfn.SWITCH(
          'Master Data'!$B$19,
          "Los Angeles",{2,3,4},
          "San Diego",{5,6,7},
          "San Francisco",{8,9,10},
          "Palo Alto",{11,12,13}
        )
      )
    ),
    IF(
      A23="One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A23="Thymoglobulin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23" s="30" cm="1">
        <f t="array" ref="F23">IF(
  A23="",
  0,
  IF(
    OR(A23="Handyman Services",A23="Housekeeping Services"),
    MAX(
      INDEX(
        'Meds Sheet'!$A$36:$M$37,
        MATCH(A23,'Meds Sheet'!$A$36:$A$37,0),
        _xlfn.SWITCH(
          'Master Data'!$B$19,
          "Los Angeles",{2,3,4},
          "San Diego",{5,6,7},
          "San Francisco",{8,9,10},
          "Palo Alto",{11,12,13}
        )
      )
    ),
    IF(
      A23="One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A23="Thymoglobulin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23" s="31" t="str">
        <f t="shared" si="6"/>
        <v>$0.00</v>
      </c>
      <c r="H23" s="32"/>
      <c r="I23" s="32"/>
      <c r="J23" s="32"/>
      <c r="K23" s="32"/>
      <c r="L23" s="51" t="str">
        <f t="shared" si="13"/>
        <v>lifetime</v>
      </c>
      <c r="M23" s="33" t="str">
        <f>IF(L23="lifetime",
    IF(I23&lt;&gt;"", H23 &amp; "-" &amp; I23 &amp; "x/lifetime", H23 &amp; "x/lifetime"),
    IF(D23='Master Data'!$B$8, AD23 &amp; AE23, AD23 &amp; AE23 &amp; AC23))</f>
        <v>x/lifetime</v>
      </c>
      <c r="N23" s="30">
        <f t="shared" si="14"/>
        <v>0</v>
      </c>
      <c r="O23" s="30">
        <f t="shared" si="15"/>
        <v>0</v>
      </c>
      <c r="P23" s="52" t="str">
        <f t="shared" si="7"/>
        <v>$0.00</v>
      </c>
      <c r="Q23" s="30">
        <f t="shared" si="16"/>
        <v>0</v>
      </c>
      <c r="R23" s="30">
        <f t="shared" si="17"/>
        <v>0</v>
      </c>
      <c r="S23" s="53" t="str">
        <f t="shared" si="8"/>
        <v>$0.00</v>
      </c>
      <c r="AA23" s="166" t="str">
        <f>IF(L23="lifetime", "one-time cost", IF(D23='Master Data'!$B$8, AD23 &amp; AE23, AD23 &amp; AE23 &amp; AC23))</f>
        <v>one-time cost</v>
      </c>
      <c r="AB23" s="208" t="str">
        <f t="shared" si="9"/>
        <v>x/lifetime</v>
      </c>
      <c r="AC23" s="166" t="str">
        <f ca="1">IF(Table7[[#This Row],[Duration (Years):]]&lt;&gt;'Master Data'!$B$8,CONCATENATE(",",CHAR(10),"for ",Table7[[#This Row],[Duration (Years):]]," years"),"lifelong")</f>
        <v>lifelong</v>
      </c>
      <c r="AD23" s="166" t="str">
        <f t="shared" si="10"/>
        <v>one-time cost</v>
      </c>
      <c r="AE23" s="166" t="str">
        <f t="shared" si="11"/>
        <v>one-time cost</v>
      </c>
    </row>
    <row r="24" spans="1:31" ht="28.5" x14ac:dyDescent="0.2">
      <c r="A24" s="28"/>
      <c r="B24" s="29">
        <f ca="1">'Master Data'!$B$6</f>
        <v>126.3</v>
      </c>
      <c r="C24" s="29">
        <f ca="1">'Master Data'!$B$7</f>
        <v>136.30000000000001</v>
      </c>
      <c r="D24" s="29">
        <f t="shared" ca="1" si="12"/>
        <v>10</v>
      </c>
      <c r="E24" s="30" cm="1">
        <f t="array" ref="E24">IF(
  A24="",
  0,
  IF(
    OR(A24="Handyman Services",A24="Housekeeping Services"),
    MIN(
      INDEX(
        'Meds Sheet'!$A$36:$M$37,
        MATCH(A24,'Meds Sheet'!$A$36:$A$37,0),
        _xlfn.SWITCH(
          'Master Data'!$B$19,
          "Los Angeles",{2,3,4},
          "San Diego",{5,6,7},
          "San Francisco",{8,9,10},
          "Palo Alto",{11,12,13}
        )
      )
    ),
    IF(
      A24="One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A24="Thymoglobulin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24" s="30" cm="1">
        <f t="array" ref="F24">IF(
  A24="",
  0,
  IF(
    OR(A24="Handyman Services",A24="Housekeeping Services"),
    MAX(
      INDEX(
        'Meds Sheet'!$A$36:$M$37,
        MATCH(A24,'Meds Sheet'!$A$36:$A$37,0),
        _xlfn.SWITCH(
          'Master Data'!$B$19,
          "Los Angeles",{2,3,4},
          "San Diego",{5,6,7},
          "San Francisco",{8,9,10},
          "Palo Alto",{11,12,13}
        )
      )
    ),
    IF(
      A24="One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A24="Thymoglobulin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24" s="31" t="str">
        <f t="shared" si="6"/>
        <v>$0.00</v>
      </c>
      <c r="H24" s="32"/>
      <c r="I24" s="32"/>
      <c r="J24" s="32"/>
      <c r="K24" s="32"/>
      <c r="L24" s="51" t="str">
        <f t="shared" si="13"/>
        <v>lifetime</v>
      </c>
      <c r="M24" s="33" t="str">
        <f>IF(L24="lifetime",
    IF(I24&lt;&gt;"", H24 &amp; "-" &amp; I24 &amp; "x/lifetime", H24 &amp; "x/lifetime"),
    IF(D24='Master Data'!$B$8, AD24 &amp; AE24, AD24 &amp; AE24 &amp; AC24))</f>
        <v>x/lifetime</v>
      </c>
      <c r="N24" s="30">
        <f t="shared" si="14"/>
        <v>0</v>
      </c>
      <c r="O24" s="30">
        <f t="shared" si="15"/>
        <v>0</v>
      </c>
      <c r="P24" s="52" t="str">
        <f t="shared" si="7"/>
        <v>$0.00</v>
      </c>
      <c r="Q24" s="30">
        <f t="shared" si="16"/>
        <v>0</v>
      </c>
      <c r="R24" s="30">
        <f t="shared" si="17"/>
        <v>0</v>
      </c>
      <c r="S24" s="53" t="str">
        <f t="shared" si="8"/>
        <v>$0.00</v>
      </c>
      <c r="AA24" s="166" t="str">
        <f>IF(L24="lifetime", "one-time cost", IF(D24='Master Data'!$B$8, AD24 &amp; AE24, AD24 &amp; AE24 &amp; AC24))</f>
        <v>one-time cost</v>
      </c>
      <c r="AB24" s="208" t="str">
        <f t="shared" si="9"/>
        <v>x/lifetime</v>
      </c>
      <c r="AC24" s="166" t="str">
        <f ca="1">IF(Table7[[#This Row],[Duration (Years):]]&lt;&gt;'Master Data'!$B$8,CONCATENATE(",",CHAR(10),"for ",Table7[[#This Row],[Duration (Years):]]," years"),"lifelong")</f>
        <v>lifelong</v>
      </c>
      <c r="AD24" s="166" t="str">
        <f t="shared" si="10"/>
        <v>one-time cost</v>
      </c>
      <c r="AE24" s="166" t="str">
        <f t="shared" si="11"/>
        <v>one-time cost</v>
      </c>
    </row>
    <row r="25" spans="1:31" ht="29.25" thickBot="1" x14ac:dyDescent="0.25">
      <c r="A25" s="28"/>
      <c r="B25" s="29">
        <f ca="1">'Master Data'!$B$6</f>
        <v>126.3</v>
      </c>
      <c r="C25" s="29">
        <f ca="1">'Master Data'!$B$7</f>
        <v>136.30000000000001</v>
      </c>
      <c r="D25" s="29">
        <f t="shared" ca="1" si="12"/>
        <v>10</v>
      </c>
      <c r="E25" s="30" cm="1">
        <f t="array" ref="E25">IF(
  A25="",
  0,
  IF(
    OR(A25="Handyman Services",A25="Housekeeping Services"),
    MIN(
      INDEX(
        'Meds Sheet'!$A$36:$M$37,
        MATCH(A25,'Meds Sheet'!$A$36:$A$37,0),
        _xlfn.SWITCH(
          'Master Data'!$B$19,
          "Los Angeles",{2,3,4},
          "San Diego",{5,6,7},
          "San Francisco",{8,9,10},
          "Palo Alto",{11,12,13}
        )
      )
    ),
    IF(
      A25="One 10-14 Day Hospitalization",
      MIN(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A25="Thymoglobulin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F25" s="30" cm="1">
        <f t="array" ref="F25">IF(
  A25="",
  0,
  IF(
    OR(A25="Handyman Services",A25="Housekeeping Services"),
    MAX(
      INDEX(
        'Meds Sheet'!$A$36:$M$37,
        MATCH(A25,'Meds Sheet'!$A$36:$A$37,0),
        _xlfn.SWITCH(
          'Master Data'!$B$19,
          "Los Angeles",{2,3,4},
          "San Diego",{5,6,7},
          "San Francisco",{8,9,10},
          "Palo Alto",{11,12,13}
        )
      )
    ),
    IF(
      A25="One 10-14 Day Hospitalization",
      MAX(
        INDEX(
          'Meds Sheet'!$A$57:$Q$57,
          1,
          _xlfn.SWITCH(
            'Master Data'!$B$19,
            "Los Angeles",{2,3,4,5},
            "San Diego",{6,7,8,9},
            "San Francisco",{10,11,12,13},
            "Palo Alto",{14,15,16,17}
          )
        )
      ),
      IF(
        A25="Thymoglobulin 1.5mg/kg, 1000mg IV (Infusion Regimens of Cytolytic or Immunomodulatory Medications)",
        SUM(
          _xlfn.XLOOKUP(
            {96365,96365.2,"J7504"},
            'Cost Data Sheet'!$A$2:$A$1006,
            _xlfn.SWITCH(
              'Master Data'!$B$19,
              "Los Angeles",'Cost Data Sheet'!$B$2:$B$1006,
              "San Diego",'Cost Data Sheet'!$C$2:$C$1006,
              "San Francisco",'Cost Data Sheet'!$D$2:$D$1006,
              "Palo Alto",'Cost Data Sheet'!$E$2:$E$1006
            ),
            0
          )
        ),
        0
      )
    )
  )
)</f>
        <v>0</v>
      </c>
      <c r="G25" s="31" t="str">
        <f t="shared" si="6"/>
        <v>$0.00</v>
      </c>
      <c r="H25" s="32"/>
      <c r="I25" s="32"/>
      <c r="J25" s="32"/>
      <c r="K25" s="32"/>
      <c r="L25" s="51" t="str">
        <f t="shared" si="13"/>
        <v>lifetime</v>
      </c>
      <c r="M25" s="33" t="str">
        <f>IF(L25="lifetime",
    IF(I25&lt;&gt;"", H25 &amp; "-" &amp; I25 &amp; "x/lifetime", H25 &amp; "x/lifetime"),
    IF(D25='Master Data'!$B$8, AD25 &amp; AE25, AD25 &amp; AE25 &amp; AC25))</f>
        <v>x/lifetime</v>
      </c>
      <c r="N25" s="30">
        <f t="shared" si="14"/>
        <v>0</v>
      </c>
      <c r="O25" s="30">
        <f t="shared" si="15"/>
        <v>0</v>
      </c>
      <c r="P25" s="52" t="str">
        <f t="shared" si="7"/>
        <v>$0.00</v>
      </c>
      <c r="Q25" s="30">
        <f t="shared" si="16"/>
        <v>0</v>
      </c>
      <c r="R25" s="30">
        <f t="shared" si="17"/>
        <v>0</v>
      </c>
      <c r="S25" s="53" t="str">
        <f t="shared" si="8"/>
        <v>$0.00</v>
      </c>
      <c r="AA25" s="166" t="str">
        <f>IF(L25="lifetime", "one-time cost", IF(D25='Master Data'!$B$8, AD25 &amp; AE25, AD25 &amp; AE25 &amp; AC25))</f>
        <v>one-time cost</v>
      </c>
      <c r="AB25" s="208" t="str">
        <f t="shared" si="9"/>
        <v>x/lifetime</v>
      </c>
      <c r="AC25" s="166" t="str">
        <f ca="1">IF(Table7[[#This Row],[Duration (Years):]]&lt;&gt;'Master Data'!$B$8,CONCATENATE(",",CHAR(10),"for ",Table7[[#This Row],[Duration (Years):]]," years"),"lifelong")</f>
        <v>lifelong</v>
      </c>
      <c r="AD25" s="166" t="str">
        <f t="shared" si="10"/>
        <v>one-time cost</v>
      </c>
      <c r="AE25" s="166" t="str">
        <f t="shared" si="11"/>
        <v>one-time cost</v>
      </c>
    </row>
    <row r="26" spans="1:31" ht="39.75" thickTop="1" thickBot="1" x14ac:dyDescent="0.25">
      <c r="A26" s="343" t="s">
        <v>32</v>
      </c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44"/>
      <c r="M26" s="344"/>
      <c r="N26" s="69"/>
      <c r="O26" s="69"/>
      <c r="P26" s="70" t="str">
        <f ca="1">IF(U3="same",IF(SUM(Table7[Annual Cost Max:])=0,"$0.00",CONCATENATE(TEXT(SUM(AnnMin),"$#,##0.00"),CHAR(10)," - ",CHAR(10),TEXT(SUM(AnnMax),"$#,##0.00"))),"Variable by year")</f>
        <v>$0.00</v>
      </c>
      <c r="Q26" s="69"/>
      <c r="R26" s="69"/>
      <c r="S26" s="71" t="str">
        <f>IF(SUM(OneTimeMax)=0,"$0.00",CONCATENATE(TEXT(SUM(OneTimeMin),"$#,##0.00"),CHAR(10)," - ",CHAR(10),TEXT(SUM(OneTimeMax),"$#,##0.00")))</f>
        <v>$88,883.00
 - 
$174,469.00</v>
      </c>
      <c r="AA26" s="166" t="e">
        <f>IF(L26="lifetime", "one-time cost", IF(D26='Master Data'!$B$8, AD26 &amp; AE26, AD26 &amp; AE26 &amp; AC26))</f>
        <v>#VALUE!</v>
      </c>
      <c r="AB26" s="208" t="str">
        <f t="shared" si="9"/>
        <v>ongoing cost</v>
      </c>
      <c r="AC26" s="166" t="e">
        <f>IF(Table7[[#This Row],[Duration (Years):]]&lt;&gt;'Master Data'!$B$8,CONCATENATE(",",CHAR(10),"for ",Table7[[#This Row],[Duration (Years):]]," years"),"lifelong")</f>
        <v>#VALUE!</v>
      </c>
      <c r="AD26" s="166" t="str">
        <f t="shared" si="10"/>
        <v>x/</v>
      </c>
      <c r="AE26" s="166">
        <f t="shared" si="11"/>
        <v>0</v>
      </c>
    </row>
    <row r="27" spans="1:31" ht="15" thickTop="1" x14ac:dyDescent="0.2">
      <c r="AA27" s="166" t="e">
        <f>IF(L27="lifetime", "one-time cost", IF(D27='Master Data'!$B$8, AD27 &amp; AE27, AD27 &amp; AE27 &amp; AC27))</f>
        <v>#VALUE!</v>
      </c>
      <c r="AB27" s="208" t="str">
        <f t="shared" si="9"/>
        <v>ongoing cost</v>
      </c>
      <c r="AC27" s="166" t="e">
        <f>IF(Table7[[#This Row],[Duration (Years):]]&lt;&gt;'Master Data'!$B$8,CONCATENATE(",",CHAR(10),"for ",Table7[[#This Row],[Duration (Years):]]," years"),"lifelong")</f>
        <v>#VALUE!</v>
      </c>
      <c r="AD27" s="166" t="str">
        <f t="shared" si="10"/>
        <v>x/</v>
      </c>
      <c r="AE27" s="166">
        <f t="shared" si="11"/>
        <v>0</v>
      </c>
    </row>
    <row r="28" spans="1:31" ht="14.25" x14ac:dyDescent="0.2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AA28" s="166" t="e">
        <f>IF(L28="lifetime", "one-time cost", IF(D28='Master Data'!$B$8, AD28 &amp; AE28, AD28 &amp; AE28 &amp; AC28))</f>
        <v>#VALUE!</v>
      </c>
      <c r="AB28" s="208" t="str">
        <f t="shared" si="9"/>
        <v>ongoing cost</v>
      </c>
      <c r="AC28" s="166" t="e">
        <f>IF(Table7[[#This Row],[Duration (Years):]]&lt;&gt;'Master Data'!$B$8,CONCATENATE(",",CHAR(10),"for ",Table7[[#This Row],[Duration (Years):]]," years"),"lifelong")</f>
        <v>#VALUE!</v>
      </c>
      <c r="AD28" s="166" t="str">
        <f t="shared" si="10"/>
        <v>x/</v>
      </c>
      <c r="AE28" s="166">
        <f t="shared" si="11"/>
        <v>0</v>
      </c>
    </row>
    <row r="29" spans="1:31" ht="14.25" x14ac:dyDescent="0.2">
      <c r="AA29" s="166" t="e">
        <f>IF(L29="lifetime", "one-time cost", IF(D29='Master Data'!$B$8, AD29 &amp; AE29, AD29 &amp; AE29 &amp; AC29))</f>
        <v>#VALUE!</v>
      </c>
      <c r="AB29" s="208" t="str">
        <f t="shared" si="9"/>
        <v>ongoing cost</v>
      </c>
      <c r="AC29" s="166" t="e">
        <f>IF(Table7[[#This Row],[Duration (Years):]]&lt;&gt;'Master Data'!$B$8,CONCATENATE(",",CHAR(10),"for ",Table7[[#This Row],[Duration (Years):]]," years"),"lifelong")</f>
        <v>#VALUE!</v>
      </c>
      <c r="AD29" s="166" t="str">
        <f t="shared" si="10"/>
        <v>x/</v>
      </c>
      <c r="AE29" s="166">
        <f t="shared" si="11"/>
        <v>0</v>
      </c>
    </row>
    <row r="30" spans="1:31" ht="14.25" x14ac:dyDescent="0.2">
      <c r="AA30" s="166" t="e">
        <f>IF(L30="lifetime", "one-time cost", IF(D30='Master Data'!$B$8, AD30 &amp; AE30, AD30 &amp; AE30 &amp; AC30))</f>
        <v>#VALUE!</v>
      </c>
      <c r="AB30" s="208" t="str">
        <f t="shared" si="9"/>
        <v>ongoing cost</v>
      </c>
      <c r="AC30" s="166" t="e">
        <f>IF(Table7[[#This Row],[Duration (Years):]]&lt;&gt;'Master Data'!$B$8,CONCATENATE(",",CHAR(10),"for ",Table7[[#This Row],[Duration (Years):]]," years"),"lifelong")</f>
        <v>#VALUE!</v>
      </c>
      <c r="AD30" s="166" t="str">
        <f t="shared" si="10"/>
        <v>x/</v>
      </c>
      <c r="AE30" s="166">
        <f t="shared" si="11"/>
        <v>0</v>
      </c>
    </row>
    <row r="31" spans="1:31" ht="14.25" x14ac:dyDescent="0.2">
      <c r="AA31" s="166" t="e">
        <f>IF(L31="lifetime", "one-time cost", IF(D31='Master Data'!$B$8, AD31 &amp; AE31, AD31 &amp; AE31 &amp; AC31))</f>
        <v>#VALUE!</v>
      </c>
      <c r="AB31" s="208" t="str">
        <f t="shared" si="9"/>
        <v>ongoing cost</v>
      </c>
      <c r="AC31" s="166" t="e">
        <f>IF(Table7[[#This Row],[Duration (Years):]]&lt;&gt;'Master Data'!$B$8,CONCATENATE(",",CHAR(10),"for ",Table7[[#This Row],[Duration (Years):]]," years"),"lifelong")</f>
        <v>#VALUE!</v>
      </c>
      <c r="AD31" s="166" t="str">
        <f t="shared" si="10"/>
        <v>x/</v>
      </c>
      <c r="AE31" s="166">
        <f t="shared" si="11"/>
        <v>0</v>
      </c>
    </row>
    <row r="32" spans="1:31" ht="14.25" x14ac:dyDescent="0.2">
      <c r="AA32" s="166" t="e">
        <f>IF(L32="lifetime", "one-time cost", IF(D32='Master Data'!$B$8, AD32 &amp; AE32, AD32 &amp; AE32 &amp; AC32))</f>
        <v>#VALUE!</v>
      </c>
      <c r="AB32" s="208" t="str">
        <f t="shared" si="9"/>
        <v>ongoing cost</v>
      </c>
      <c r="AC32" s="166" t="e">
        <f>IF(Table7[[#This Row],[Duration (Years):]]&lt;&gt;'Master Data'!$B$8,CONCATENATE(",",CHAR(10),"for ",Table7[[#This Row],[Duration (Years):]]," years"),"lifelong")</f>
        <v>#VALUE!</v>
      </c>
      <c r="AD32" s="166" t="str">
        <f t="shared" si="10"/>
        <v>x/</v>
      </c>
      <c r="AE32" s="166">
        <f t="shared" si="11"/>
        <v>0</v>
      </c>
    </row>
    <row r="33" spans="27:31" ht="14.25" x14ac:dyDescent="0.2">
      <c r="AA33" s="166" t="e">
        <f>IF(L33="lifetime", "one-time cost", IF(D33='Master Data'!$B$8, AD33 &amp; AE33, AD33 &amp; AE33 &amp; AC33))</f>
        <v>#VALUE!</v>
      </c>
      <c r="AB33" s="208" t="str">
        <f t="shared" si="9"/>
        <v>ongoing cost</v>
      </c>
      <c r="AC33" s="166" t="e">
        <f>IF(Table7[[#This Row],[Duration (Years):]]&lt;&gt;'Master Data'!$B$8,CONCATENATE(",",CHAR(10),"for ",Table7[[#This Row],[Duration (Years):]]," years"),"lifelong")</f>
        <v>#VALUE!</v>
      </c>
      <c r="AD33" s="166" t="str">
        <f t="shared" si="10"/>
        <v>x/</v>
      </c>
      <c r="AE33" s="166">
        <f t="shared" si="11"/>
        <v>0</v>
      </c>
    </row>
    <row r="34" spans="27:31" ht="14.25" x14ac:dyDescent="0.2">
      <c r="AA34" s="166" t="e">
        <f>IF(L34="lifetime", "one-time cost", IF(D34='Master Data'!$B$8, AD34 &amp; AE34, AD34 &amp; AE34 &amp; AC34))</f>
        <v>#VALUE!</v>
      </c>
      <c r="AB34" s="208" t="str">
        <f t="shared" si="9"/>
        <v>ongoing cost</v>
      </c>
      <c r="AC34" s="166" t="e">
        <f>IF(Table7[[#This Row],[Duration (Years):]]&lt;&gt;'Master Data'!$B$8,CONCATENATE(",",CHAR(10),"for ",Table7[[#This Row],[Duration (Years):]]," years"),"lifelong")</f>
        <v>#VALUE!</v>
      </c>
      <c r="AD34" s="166" t="str">
        <f t="shared" si="10"/>
        <v>x/</v>
      </c>
      <c r="AE34" s="166">
        <f t="shared" si="11"/>
        <v>0</v>
      </c>
    </row>
    <row r="35" spans="27:31" ht="14.25" x14ac:dyDescent="0.2">
      <c r="AA35" s="166" t="e">
        <f>IF(L35="lifetime", "one-time cost", IF(D35='Master Data'!$B$8, AD35 &amp; AE35, AD35 &amp; AE35 &amp; AC35))</f>
        <v>#VALUE!</v>
      </c>
      <c r="AB35" s="208" t="str">
        <f t="shared" si="9"/>
        <v>ongoing cost</v>
      </c>
      <c r="AC35" s="166" t="e">
        <f>IF(Table7[[#This Row],[Duration (Years):]]&lt;&gt;'Master Data'!$B$8,CONCATENATE(",",CHAR(10),"for ",Table7[[#This Row],[Duration (Years):]]," years"),"lifelong")</f>
        <v>#VALUE!</v>
      </c>
      <c r="AD35" s="166" t="str">
        <f t="shared" si="10"/>
        <v>x/</v>
      </c>
      <c r="AE35" s="166">
        <f t="shared" si="11"/>
        <v>0</v>
      </c>
    </row>
    <row r="36" spans="27:31" ht="14.25" x14ac:dyDescent="0.2">
      <c r="AA36" s="166" t="e">
        <f>IF(L36="lifetime", "one-time cost", IF(D36='Master Data'!$B$8, AD36 &amp; AE36, AD36 &amp; AE36 &amp; AC36))</f>
        <v>#VALUE!</v>
      </c>
      <c r="AB36" s="208" t="str">
        <f t="shared" si="9"/>
        <v>ongoing cost</v>
      </c>
      <c r="AC36" s="166" t="e">
        <f>IF(Table7[[#This Row],[Duration (Years):]]&lt;&gt;'Master Data'!$B$8,CONCATENATE(",",CHAR(10),"for ",Table7[[#This Row],[Duration (Years):]]," years"),"lifelong")</f>
        <v>#VALUE!</v>
      </c>
      <c r="AD36" s="166" t="str">
        <f t="shared" si="10"/>
        <v>x/</v>
      </c>
      <c r="AE36" s="166">
        <f t="shared" si="11"/>
        <v>0</v>
      </c>
    </row>
    <row r="37" spans="27:31" ht="14.25" x14ac:dyDescent="0.2">
      <c r="AA37" s="166" t="e">
        <f>IF(L37="lifetime", "one-time cost", IF(D37='Master Data'!$B$8, AD37 &amp; AE37, AD37 &amp; AE37 &amp; AC37))</f>
        <v>#VALUE!</v>
      </c>
      <c r="AB37" s="208" t="str">
        <f t="shared" si="9"/>
        <v>ongoing cost</v>
      </c>
      <c r="AC37" s="166" t="e">
        <f>IF(Table7[[#This Row],[Duration (Years):]]&lt;&gt;'Master Data'!$B$8,CONCATENATE(",",CHAR(10),"for ",Table7[[#This Row],[Duration (Years):]]," years"),"lifelong")</f>
        <v>#VALUE!</v>
      </c>
      <c r="AD37" s="166" t="str">
        <f t="shared" si="10"/>
        <v>x/</v>
      </c>
      <c r="AE37" s="166">
        <f t="shared" si="11"/>
        <v>0</v>
      </c>
    </row>
    <row r="38" spans="27:31" ht="14.25" x14ac:dyDescent="0.2">
      <c r="AA38" s="166" t="e">
        <f>IF(L52="lifetime", "one-time cost", IF(D52='Master Data'!$B$8, AD38 &amp; AE38, AD38 &amp; AE38 &amp; AC38))</f>
        <v>#VALUE!</v>
      </c>
      <c r="AB38" s="208" t="str">
        <f t="shared" ref="AB38:AB47" si="18">IF(L52="lifetime", IF(I52&lt;&gt;"", H52 &amp; "-" &amp; I52 &amp; "x/lifetime", H52 &amp; "x/lifetime"), "ongoing cost")</f>
        <v>ongoing cost</v>
      </c>
      <c r="AC38" s="166" t="e">
        <f>IF(Table7[[#This Row],[Duration (Years):]]&lt;&gt;'Master Data'!$B$8,CONCATENATE(",",CHAR(10),"for ",Table7[[#This Row],[Duration (Years):]]," years"),"lifelong")</f>
        <v>#VALUE!</v>
      </c>
      <c r="AD38" s="166" t="str">
        <f t="shared" ref="AD38:AD47" si="19">IF(L52="lifetime", "one-time cost", IF(I52&lt;&gt;"", H52 &amp; "-" &amp; I52 &amp; "x/", H52 &amp; "x/"))</f>
        <v>x/</v>
      </c>
      <c r="AE38" s="166">
        <f t="shared" ref="AE38:AE47" si="20">IF(L52="lifetime", "one-time cost", IF(K52&lt;&gt;"", J52 &amp; "-" &amp; K52 &amp; " " &amp; L52, IF(J52&gt;1, J52 &amp; " " &amp; L52, L52)))</f>
        <v>0</v>
      </c>
    </row>
    <row r="39" spans="27:31" ht="14.25" x14ac:dyDescent="0.2">
      <c r="AA39" s="166" t="e">
        <f>IF(L53="lifetime", "one-time cost", IF(D53='Master Data'!$B$8, AD39 &amp; AE39, AD39 &amp; AE39 &amp; AC39))</f>
        <v>#VALUE!</v>
      </c>
      <c r="AB39" s="208" t="str">
        <f t="shared" si="18"/>
        <v>ongoing cost</v>
      </c>
      <c r="AC39" s="166" t="e">
        <f>IF(Table7[[#This Row],[Duration (Years):]]&lt;&gt;'Master Data'!$B$8,CONCATENATE(",",CHAR(10),"for ",Table7[[#This Row],[Duration (Years):]]," years"),"lifelong")</f>
        <v>#VALUE!</v>
      </c>
      <c r="AD39" s="166" t="str">
        <f t="shared" si="19"/>
        <v>x/</v>
      </c>
      <c r="AE39" s="166">
        <f t="shared" si="20"/>
        <v>0</v>
      </c>
    </row>
    <row r="40" spans="27:31" ht="14.25" x14ac:dyDescent="0.2">
      <c r="AA40" s="166" t="e">
        <f>IF(L54="lifetime", "one-time cost", IF(D54='Master Data'!$B$8, AD40 &amp; AE40, AD40 &amp; AE40 &amp; AC40))</f>
        <v>#VALUE!</v>
      </c>
      <c r="AB40" s="208" t="str">
        <f t="shared" si="18"/>
        <v>ongoing cost</v>
      </c>
      <c r="AC40" s="166" t="e">
        <f>IF(Table7[[#This Row],[Duration (Years):]]&lt;&gt;'Master Data'!$B$8,CONCATENATE(",",CHAR(10),"for ",Table7[[#This Row],[Duration (Years):]]," years"),"lifelong")</f>
        <v>#VALUE!</v>
      </c>
      <c r="AD40" s="166" t="str">
        <f t="shared" si="19"/>
        <v>x/</v>
      </c>
      <c r="AE40" s="166">
        <f t="shared" si="20"/>
        <v>0</v>
      </c>
    </row>
    <row r="41" spans="27:31" ht="14.25" x14ac:dyDescent="0.2">
      <c r="AA41" s="166" t="e">
        <f>IF(L55="lifetime", "one-time cost", IF(D55='Master Data'!$B$8, AD41 &amp; AE41, AD41 &amp; AE41 &amp; AC41))</f>
        <v>#VALUE!</v>
      </c>
      <c r="AB41" s="208" t="str">
        <f t="shared" si="18"/>
        <v>ongoing cost</v>
      </c>
      <c r="AC41" s="166" t="e">
        <f>IF(Table7[[#This Row],[Duration (Years):]]&lt;&gt;'Master Data'!$B$8,CONCATENATE(",",CHAR(10),"for ",Table7[[#This Row],[Duration (Years):]]," years"),"lifelong")</f>
        <v>#VALUE!</v>
      </c>
      <c r="AD41" s="166" t="str">
        <f t="shared" si="19"/>
        <v>x/</v>
      </c>
      <c r="AE41" s="166">
        <f t="shared" si="20"/>
        <v>0</v>
      </c>
    </row>
    <row r="42" spans="27:31" ht="14.25" x14ac:dyDescent="0.2">
      <c r="AA42" s="166" t="e">
        <f>IF(L56="lifetime", "one-time cost", IF(D56='Master Data'!$B$8, AD42 &amp; AE42, AD42 &amp; AE42 &amp; AC42))</f>
        <v>#VALUE!</v>
      </c>
      <c r="AB42" s="208" t="str">
        <f t="shared" si="18"/>
        <v>ongoing cost</v>
      </c>
      <c r="AC42" s="166" t="e">
        <f>IF(Table7[[#This Row],[Duration (Years):]]&lt;&gt;'Master Data'!$B$8,CONCATENATE(",",CHAR(10),"for ",Table7[[#This Row],[Duration (Years):]]," years"),"lifelong")</f>
        <v>#VALUE!</v>
      </c>
      <c r="AD42" s="166" t="str">
        <f t="shared" si="19"/>
        <v>x/</v>
      </c>
      <c r="AE42" s="166">
        <f t="shared" si="20"/>
        <v>0</v>
      </c>
    </row>
    <row r="43" spans="27:31" ht="14.25" x14ac:dyDescent="0.2">
      <c r="AA43" s="166" t="e">
        <f>IF(L57="lifetime", "one-time cost", IF(D57='Master Data'!$B$8, AD43 &amp; AE43, AD43 &amp; AE43 &amp; AC43))</f>
        <v>#VALUE!</v>
      </c>
      <c r="AB43" s="208" t="str">
        <f t="shared" si="18"/>
        <v>ongoing cost</v>
      </c>
      <c r="AC43" s="166" t="e">
        <f>IF(Table7[[#This Row],[Duration (Years):]]&lt;&gt;'Master Data'!$B$8,CONCATENATE(",",CHAR(10),"for ",Table7[[#This Row],[Duration (Years):]]," years"),"lifelong")</f>
        <v>#VALUE!</v>
      </c>
      <c r="AD43" s="166" t="str">
        <f t="shared" si="19"/>
        <v>x/</v>
      </c>
      <c r="AE43" s="166">
        <f t="shared" si="20"/>
        <v>0</v>
      </c>
    </row>
    <row r="44" spans="27:31" ht="14.25" x14ac:dyDescent="0.2">
      <c r="AA44" s="166" t="e">
        <f>IF(L58="lifetime", "one-time cost", IF(D58='Master Data'!$B$8, AD44 &amp; AE44, AD44 &amp; AE44 &amp; AC44))</f>
        <v>#VALUE!</v>
      </c>
      <c r="AB44" s="208" t="str">
        <f t="shared" si="18"/>
        <v>ongoing cost</v>
      </c>
      <c r="AC44" s="166" t="e">
        <f>IF(Table7[[#This Row],[Duration (Years):]]&lt;&gt;'Master Data'!$B$8,CONCATENATE(",",CHAR(10),"for ",Table7[[#This Row],[Duration (Years):]]," years"),"lifelong")</f>
        <v>#VALUE!</v>
      </c>
      <c r="AD44" s="166" t="str">
        <f t="shared" si="19"/>
        <v>x/</v>
      </c>
      <c r="AE44" s="166">
        <f t="shared" si="20"/>
        <v>0</v>
      </c>
    </row>
    <row r="45" spans="27:31" ht="14.25" x14ac:dyDescent="0.2">
      <c r="AA45" s="166" t="e">
        <f>IF(L59="lifetime", "one-time cost", IF(D59='Master Data'!$B$8, AD45 &amp; AE45, AD45 &amp; AE45 &amp; AC45))</f>
        <v>#VALUE!</v>
      </c>
      <c r="AB45" s="208" t="str">
        <f t="shared" si="18"/>
        <v>ongoing cost</v>
      </c>
      <c r="AC45" s="166" t="e">
        <f>IF(Table7[[#This Row],[Duration (Years):]]&lt;&gt;'Master Data'!$B$8,CONCATENATE(",",CHAR(10),"for ",Table7[[#This Row],[Duration (Years):]]," years"),"lifelong")</f>
        <v>#VALUE!</v>
      </c>
      <c r="AD45" s="166" t="str">
        <f t="shared" si="19"/>
        <v>x/</v>
      </c>
      <c r="AE45" s="166">
        <f t="shared" si="20"/>
        <v>0</v>
      </c>
    </row>
    <row r="46" spans="27:31" ht="14.25" x14ac:dyDescent="0.2">
      <c r="AA46" s="166" t="e">
        <f>IF(L60="lifetime", "one-time cost", IF(D60='Master Data'!$B$8, AD46 &amp; AE46, AD46 &amp; AE46 &amp; AC46))</f>
        <v>#VALUE!</v>
      </c>
      <c r="AB46" s="208" t="str">
        <f t="shared" si="18"/>
        <v>ongoing cost</v>
      </c>
      <c r="AC46" s="166" t="e">
        <f>IF(Table7[[#This Row],[Duration (Years):]]&lt;&gt;'Master Data'!$B$8,CONCATENATE(",",CHAR(10),"for ",Table7[[#This Row],[Duration (Years):]]," years"),"lifelong")</f>
        <v>#VALUE!</v>
      </c>
      <c r="AD46" s="166" t="str">
        <f t="shared" si="19"/>
        <v>x/</v>
      </c>
      <c r="AE46" s="166">
        <f t="shared" si="20"/>
        <v>0</v>
      </c>
    </row>
    <row r="47" spans="27:31" ht="14.25" x14ac:dyDescent="0.2">
      <c r="AA47" s="166" t="e">
        <f>IF(L61="lifetime", "one-time cost", IF(D61='Master Data'!$B$8, AD47 &amp; AE47, AD47 &amp; AE47 &amp; AC47))</f>
        <v>#VALUE!</v>
      </c>
      <c r="AB47" s="208" t="str">
        <f t="shared" si="18"/>
        <v>ongoing cost</v>
      </c>
      <c r="AC47" s="166" t="e">
        <f>IF(Table7[[#This Row],[Duration (Years):]]&lt;&gt;'Master Data'!$B$8,CONCATENATE(",",CHAR(10),"for ",Table7[[#This Row],[Duration (Years):]]," years"),"lifelong")</f>
        <v>#VALUE!</v>
      </c>
      <c r="AD47" s="166" t="str">
        <f t="shared" si="19"/>
        <v>x/</v>
      </c>
      <c r="AE47" s="166">
        <f t="shared" si="20"/>
        <v>0</v>
      </c>
    </row>
  </sheetData>
  <sortState xmlns:xlrd2="http://schemas.microsoft.com/office/spreadsheetml/2017/richdata2" ref="A3:S4">
    <sortCondition ref="D3"/>
    <sortCondition ref="A3"/>
  </sortState>
  <mergeCells count="3">
    <mergeCell ref="A1:S1"/>
    <mergeCell ref="A26:M26"/>
    <mergeCell ref="V3:W3"/>
  </mergeCells>
  <hyperlinks>
    <hyperlink ref="V3" location="Procedure1!A1" display="Link to copy/paste table here" xr:uid="{ACAC7D83-0663-452C-BEDF-BA1F02AE24C1}"/>
    <hyperlink ref="V3:W3" location="'Long Term Care'!A1" display="Link to copy/paste table here" xr:uid="{E06DFA3D-99D6-4344-8D83-0AFC59DE2393}"/>
  </hyperlinks>
  <pageMargins left="0.25" right="0.25" top="0.75" bottom="0.75" header="0.3" footer="0.3"/>
  <pageSetup orientation="landscape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26"/>
  <sheetViews>
    <sheetView workbookViewId="0">
      <selection sqref="A1:S1"/>
    </sheetView>
  </sheetViews>
  <sheetFormatPr defaultColWidth="9.140625" defaultRowHeight="12.75" x14ac:dyDescent="0.2"/>
  <cols>
    <col min="1" max="1" width="19.7109375" style="10" customWidth="1"/>
    <col min="2" max="3" width="9.7109375" style="11" hidden="1" customWidth="1"/>
    <col min="4" max="4" width="13.42578125" style="11" customWidth="1"/>
    <col min="5" max="6" width="13.28515625" style="9" customWidth="1"/>
    <col min="7" max="7" width="15.7109375" style="12" hidden="1" customWidth="1"/>
    <col min="8" max="11" width="8.7109375" style="13" customWidth="1"/>
    <col min="12" max="12" width="10.85546875" style="10" customWidth="1"/>
    <col min="13" max="13" width="17.7109375" style="14" customWidth="1"/>
    <col min="14" max="15" width="12.28515625" style="9" hidden="1" customWidth="1"/>
    <col min="16" max="16" width="14.7109375" style="15" customWidth="1"/>
    <col min="17" max="18" width="12.28515625" style="9" hidden="1" customWidth="1"/>
    <col min="19" max="19" width="14.7109375" style="15" customWidth="1"/>
    <col min="20" max="20" width="9.140625" style="8"/>
    <col min="21" max="21" width="0" style="8" hidden="1" customWidth="1"/>
    <col min="22" max="26" width="9.140625" style="8"/>
    <col min="27" max="31" width="9.140625" style="8" hidden="1" customWidth="1"/>
    <col min="32" max="16384" width="9.140625" style="8"/>
  </cols>
  <sheetData>
    <row r="1" spans="1:31" ht="30" customHeight="1" thickTop="1" x14ac:dyDescent="0.2">
      <c r="A1" s="340" t="s">
        <v>62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2"/>
    </row>
    <row r="2" spans="1:31" s="72" customFormat="1" ht="57.75" thickBot="1" x14ac:dyDescent="0.3">
      <c r="A2" s="105" t="s">
        <v>33</v>
      </c>
      <c r="B2" s="106" t="s">
        <v>15</v>
      </c>
      <c r="C2" s="106" t="s">
        <v>16</v>
      </c>
      <c r="D2" s="106" t="s">
        <v>17</v>
      </c>
      <c r="E2" s="107" t="s">
        <v>18</v>
      </c>
      <c r="F2" s="107" t="s">
        <v>19</v>
      </c>
      <c r="G2" s="107" t="s">
        <v>29</v>
      </c>
      <c r="H2" s="108" t="s">
        <v>20</v>
      </c>
      <c r="I2" s="108" t="s">
        <v>21</v>
      </c>
      <c r="J2" s="108" t="s">
        <v>22</v>
      </c>
      <c r="K2" s="108" t="s">
        <v>23</v>
      </c>
      <c r="L2" s="109" t="s">
        <v>24</v>
      </c>
      <c r="M2" s="109" t="s">
        <v>30</v>
      </c>
      <c r="N2" s="107" t="s">
        <v>25</v>
      </c>
      <c r="O2" s="107" t="s">
        <v>26</v>
      </c>
      <c r="P2" s="109" t="s">
        <v>31</v>
      </c>
      <c r="Q2" s="107" t="s">
        <v>27</v>
      </c>
      <c r="R2" s="107" t="s">
        <v>28</v>
      </c>
      <c r="S2" s="110" t="s">
        <v>34</v>
      </c>
      <c r="U2" s="7" t="s">
        <v>48</v>
      </c>
      <c r="AA2" s="207" t="s">
        <v>148</v>
      </c>
      <c r="AB2" s="207" t="s">
        <v>144</v>
      </c>
      <c r="AC2" s="207" t="s">
        <v>145</v>
      </c>
      <c r="AD2" s="207" t="s">
        <v>146</v>
      </c>
      <c r="AE2" s="207" t="s">
        <v>147</v>
      </c>
    </row>
    <row r="3" spans="1:31" ht="45" customHeight="1" thickTop="1" x14ac:dyDescent="0.25">
      <c r="A3" s="34"/>
      <c r="B3" s="35">
        <f ca="1">'Master Data'!$B$6</f>
        <v>126.3</v>
      </c>
      <c r="C3" s="35">
        <f ca="1">'Master Data'!$B$7</f>
        <v>136.30000000000001</v>
      </c>
      <c r="D3" s="35">
        <f t="shared" ref="D3:D11" ca="1" si="0">ROUND(C3-B3,1)</f>
        <v>10</v>
      </c>
      <c r="E3" s="36"/>
      <c r="F3" s="36"/>
      <c r="G3" s="37" t="str">
        <f t="shared" ref="G3:G11" si="1">IF(E3&lt;F3,CONCATENATE(TEXT(E3,"$#,##0.00"),CHAR(10)," - ",CHAR(10),TEXT(F3,"$#,##0.00")),TEXT(E3,"$#,##0.00"))</f>
        <v>$0.00</v>
      </c>
      <c r="H3" s="38"/>
      <c r="I3" s="38"/>
      <c r="J3" s="38"/>
      <c r="K3" s="38"/>
      <c r="L3" s="48" t="str">
        <f t="shared" ref="L3:L11" si="2">IF(LEN(K3)=0,IF(LEN(J3)=0,"lifetime",IF(J3=1,"year","years")),"years")</f>
        <v>lifetime</v>
      </c>
      <c r="M3" s="39" t="str">
        <f>IF(L3="lifetime",
    IF(I3&lt;&gt;"", H3 &amp; "-" &amp; I3 &amp; "x/lifetime", H3 &amp; "x/lifetime"),
    IF(D3='Master Data'!$B$8, AD3 &amp; AE3, AD3 &amp; AE3 &amp; AC3))</f>
        <v>x/lifetime</v>
      </c>
      <c r="N3" s="36">
        <f t="shared" ref="N3:N11" si="3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3" s="36">
        <f t="shared" ref="O3:O11" si="4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3" s="49" t="str">
        <f t="shared" ref="P3:P11" si="5">IF(N3&lt;O3,CONCATENATE(TEXT(N3,"$#,##0.00"),CHAR(10)," - ",CHAR(10),TEXT(O3,"$#,##0.00")),TEXT(N3,"$0.00"))</f>
        <v>$0.00</v>
      </c>
      <c r="Q3" s="36">
        <f t="shared" ref="Q3:Q11" si="6">ROUND(IF(TimeValue="lifetime",MinCost*MinFreq,0),2)</f>
        <v>0</v>
      </c>
      <c r="R3" s="36">
        <f t="shared" ref="R3:R11" si="7">ROUND(IF(AND(TimeValue="lifetime",MaxFreq&lt;1),MinFreq*MaxCost,IF(AND(TimeValue="lifetime",MaxFreq&gt;=1),MaxFreq*MaxCost,0)),2)</f>
        <v>0</v>
      </c>
      <c r="S3" s="50" t="str">
        <f t="shared" ref="S3:S11" si="8">IF(Q3&lt;R3,CONCATENATE(TEXT(Q3,"$#,##0.00"),CHAR(10)," - ",CHAR(10),TEXT(R3,"$#,##0.00")),TEXT(Q3,"$0.00"))</f>
        <v>$0.00</v>
      </c>
      <c r="U3" s="8" t="str">
        <f t="array" aca="1" ref="U3" ca="1">IF(AND(ROUND(Table8[Duration (Years):],1)='Master Data'!$B$8),"same","different")</f>
        <v>same</v>
      </c>
      <c r="V3" s="345" t="s">
        <v>133</v>
      </c>
      <c r="W3" s="345"/>
      <c r="AA3" s="166" t="str">
        <f>IF(L3="lifetime", "one-time cost", IF(D3='Master Data'!$B$8, AD3 &amp; AE3, AD3 &amp; AE3 &amp; AC3))</f>
        <v>one-time cost</v>
      </c>
      <c r="AB3" s="208" t="str">
        <f>IF(L3="lifetime", IF(I3&lt;&gt;"", H3 &amp; "-" &amp; I3 &amp; "x/lifetime", H3 &amp; "x/lifetime"), "ongoing cost")</f>
        <v>x/lifetime</v>
      </c>
      <c r="AC3" s="166" t="str">
        <f ca="1">IF(Table8[[#This Row],[Duration (Years):]]&lt;&gt;'Master Data'!$B$8,CONCATENATE(",",CHAR(10),"for ",Table8[[#This Row],[Duration (Years):]]," years"),"lifelong")</f>
        <v>lifelong</v>
      </c>
      <c r="AD3" s="166" t="str">
        <f>IF(L3="lifetime", "one-time cost", IF(I3&lt;&gt;"", H3 &amp; "-" &amp; I3 &amp; "x/", H3 &amp; "x/"))</f>
        <v>one-time cost</v>
      </c>
      <c r="AE3" s="166" t="str">
        <f>IF(L3="lifetime", "one-time cost", IF(K3&lt;&gt;"", J3 &amp; "-" &amp; K3 &amp; " " &amp; L3, IF(J3&gt;1, J3 &amp; " " &amp; L3, L3)))</f>
        <v>one-time cost</v>
      </c>
    </row>
    <row r="4" spans="1:31" ht="45" customHeight="1" x14ac:dyDescent="0.2">
      <c r="A4" s="28"/>
      <c r="B4" s="29">
        <f ca="1">'Master Data'!$B$6</f>
        <v>126.3</v>
      </c>
      <c r="C4" s="29">
        <f ca="1">'Master Data'!$B$7</f>
        <v>136.30000000000001</v>
      </c>
      <c r="D4" s="29">
        <f t="shared" ca="1" si="0"/>
        <v>10</v>
      </c>
      <c r="E4" s="30"/>
      <c r="F4" s="30"/>
      <c r="G4" s="31" t="str">
        <f t="shared" si="1"/>
        <v>$0.00</v>
      </c>
      <c r="H4" s="32"/>
      <c r="I4" s="32"/>
      <c r="J4" s="32"/>
      <c r="K4" s="32"/>
      <c r="L4" s="51" t="str">
        <f t="shared" si="2"/>
        <v>lifetime</v>
      </c>
      <c r="M4" s="33" t="str">
        <f>IF(L4="lifetime",
    IF(I4&lt;&gt;"", H4 &amp; "-" &amp; I4 &amp; "x/lifetime", H4 &amp; "x/lifetime"),
    IF(D4='Master Data'!$B$8, AD4 &amp; AE4, AD4 &amp; AE4 &amp; AC4))</f>
        <v>x/lifetime</v>
      </c>
      <c r="N4" s="30">
        <f t="shared" si="3"/>
        <v>0</v>
      </c>
      <c r="O4" s="30">
        <f t="shared" si="4"/>
        <v>0</v>
      </c>
      <c r="P4" s="52" t="str">
        <f t="shared" si="5"/>
        <v>$0.00</v>
      </c>
      <c r="Q4" s="30">
        <f t="shared" si="6"/>
        <v>0</v>
      </c>
      <c r="R4" s="30">
        <f t="shared" si="7"/>
        <v>0</v>
      </c>
      <c r="S4" s="53" t="str">
        <f t="shared" si="8"/>
        <v>$0.00</v>
      </c>
      <c r="AA4" s="166" t="str">
        <f>IF(L4="lifetime", "one-time cost", IF(D4='Master Data'!$B$8, AD4 &amp; AE4, AD4 &amp; AE4 &amp; AC4))</f>
        <v>one-time cost</v>
      </c>
      <c r="AB4" s="208" t="str">
        <f>IF(L4="lifetime", IF(I4&lt;&gt;"", H4 &amp; "-" &amp; I4 &amp; "x/lifetime", H4 &amp; "x/lifetime"), "ongoing cost")</f>
        <v>x/lifetime</v>
      </c>
      <c r="AC4" s="166" t="str">
        <f ca="1">IF(Table8[[#This Row],[Duration (Years):]]&lt;&gt;'Master Data'!$B$8,CONCATENATE(",",CHAR(10),"for ",Table8[[#This Row],[Duration (Years):]]," years"),"lifelong")</f>
        <v>lifelong</v>
      </c>
      <c r="AD4" s="166" t="str">
        <f>IF(L4="lifetime", "one-time cost", IF(I4&lt;&gt;"", H4 &amp; "-" &amp; I4 &amp; "x/", H4 &amp; "x/"))</f>
        <v>one-time cost</v>
      </c>
      <c r="AE4" s="166" t="str">
        <f>IF(L4="lifetime", "one-time cost", IF(K4&lt;&gt;"", J4 &amp; "-" &amp; K4 &amp; " " &amp; L4, IF(J4&gt;1, J4 &amp; " " &amp; L4, L4)))</f>
        <v>one-time cost</v>
      </c>
    </row>
    <row r="5" spans="1:31" ht="45" customHeight="1" x14ac:dyDescent="0.2">
      <c r="A5" s="28"/>
      <c r="B5" s="29">
        <f ca="1">'Master Data'!$B$6</f>
        <v>126.3</v>
      </c>
      <c r="C5" s="29">
        <f ca="1">'Master Data'!$B$7</f>
        <v>136.30000000000001</v>
      </c>
      <c r="D5" s="29">
        <f t="shared" ca="1" si="0"/>
        <v>10</v>
      </c>
      <c r="E5" s="30"/>
      <c r="F5" s="30"/>
      <c r="G5" s="31" t="str">
        <f t="shared" si="1"/>
        <v>$0.00</v>
      </c>
      <c r="H5" s="32"/>
      <c r="I5" s="32"/>
      <c r="J5" s="32"/>
      <c r="K5" s="32"/>
      <c r="L5" s="51" t="str">
        <f t="shared" si="2"/>
        <v>lifetime</v>
      </c>
      <c r="M5" s="33" t="str">
        <f>IF(L5="lifetime",
    IF(I5&lt;&gt;"", H5 &amp; "-" &amp; I5 &amp; "x/lifetime", H5 &amp; "x/lifetime"),
    IF(D5='Master Data'!$B$8, AD5 &amp; AE5, AD5 &amp; AE5 &amp; AC5))</f>
        <v>x/lifetime</v>
      </c>
      <c r="N5" s="30">
        <f t="shared" si="3"/>
        <v>0</v>
      </c>
      <c r="O5" s="30">
        <f t="shared" si="4"/>
        <v>0</v>
      </c>
      <c r="P5" s="52" t="str">
        <f t="shared" si="5"/>
        <v>$0.00</v>
      </c>
      <c r="Q5" s="30">
        <f t="shared" si="6"/>
        <v>0</v>
      </c>
      <c r="R5" s="30">
        <f t="shared" si="7"/>
        <v>0</v>
      </c>
      <c r="S5" s="53" t="str">
        <f t="shared" si="8"/>
        <v>$0.00</v>
      </c>
      <c r="AA5" s="166" t="str">
        <f>IF(L5="lifetime", "one-time cost", IF(D5='Master Data'!$B$8, AD5 &amp; AE5, AD5 &amp; AE5 &amp; AC5))</f>
        <v>one-time cost</v>
      </c>
      <c r="AB5" s="208" t="str">
        <f>IF(L5="lifetime", IF(I5&lt;&gt;"", H5 &amp; "-" &amp; I5 &amp; "x/lifetime", H5 &amp; "x/lifetime"), "ongoing cost")</f>
        <v>x/lifetime</v>
      </c>
      <c r="AC5" s="166" t="str">
        <f ca="1">IF(Table8[[#This Row],[Duration (Years):]]&lt;&gt;'Master Data'!$B$8,CONCATENATE(",",CHAR(10),"for ",Table8[[#This Row],[Duration (Years):]]," years"),"lifelong")</f>
        <v>lifelong</v>
      </c>
      <c r="AD5" s="166" t="str">
        <f>IF(L5="lifetime", "one-time cost", IF(I5&lt;&gt;"", H5 &amp; "-" &amp; I5 &amp; "x/", H5 &amp; "x/"))</f>
        <v>one-time cost</v>
      </c>
      <c r="AE5" s="166" t="str">
        <f>IF(L5="lifetime", "one-time cost", IF(K5&lt;&gt;"", J5 &amp; "-" &amp; K5 &amp; " " &amp; L5, IF(J5&gt;1, J5 &amp; " " &amp; L5, L5)))</f>
        <v>one-time cost</v>
      </c>
    </row>
    <row r="6" spans="1:31" ht="45" customHeight="1" x14ac:dyDescent="0.2">
      <c r="A6" s="28"/>
      <c r="B6" s="29">
        <f ca="1">'Master Data'!$B$6</f>
        <v>126.3</v>
      </c>
      <c r="C6" s="29">
        <f ca="1">'Master Data'!$B$7</f>
        <v>136.30000000000001</v>
      </c>
      <c r="D6" s="29">
        <f t="shared" ca="1" si="0"/>
        <v>10</v>
      </c>
      <c r="E6" s="30"/>
      <c r="F6" s="30"/>
      <c r="G6" s="31" t="str">
        <f t="shared" si="1"/>
        <v>$0.00</v>
      </c>
      <c r="H6" s="32"/>
      <c r="I6" s="32"/>
      <c r="J6" s="32"/>
      <c r="K6" s="32"/>
      <c r="L6" s="51" t="str">
        <f t="shared" si="2"/>
        <v>lifetime</v>
      </c>
      <c r="M6" s="33" t="str">
        <f>IF(L6="lifetime",
    IF(I6&lt;&gt;"", H6 &amp; "-" &amp; I6 &amp; "x/lifetime", H6 &amp; "x/lifetime"),
    IF(D6='Master Data'!$B$8, AD6 &amp; AE6, AD6 &amp; AE6 &amp; AC6))</f>
        <v>x/lifetime</v>
      </c>
      <c r="N6" s="30">
        <f t="shared" si="3"/>
        <v>0</v>
      </c>
      <c r="O6" s="30">
        <f t="shared" si="4"/>
        <v>0</v>
      </c>
      <c r="P6" s="52" t="str">
        <f t="shared" si="5"/>
        <v>$0.00</v>
      </c>
      <c r="Q6" s="30">
        <f t="shared" si="6"/>
        <v>0</v>
      </c>
      <c r="R6" s="30">
        <f t="shared" si="7"/>
        <v>0</v>
      </c>
      <c r="S6" s="53" t="str">
        <f t="shared" si="8"/>
        <v>$0.00</v>
      </c>
      <c r="AA6" s="166" t="str">
        <f>IF(L6="lifetime", "one-time cost", IF(D6='Master Data'!$B$8, AD6 &amp; AE6, AD6 &amp; AE6 &amp; AC6))</f>
        <v>one-time cost</v>
      </c>
      <c r="AB6" s="208" t="str">
        <f>IF(L6="lifetime", IF(I6&lt;&gt;"", H6 &amp; "-" &amp; I6 &amp; "x/lifetime", H6 &amp; "x/lifetime"), "ongoing cost")</f>
        <v>x/lifetime</v>
      </c>
      <c r="AC6" s="166" t="str">
        <f ca="1">IF(Table8[[#This Row],[Duration (Years):]]&lt;&gt;'Master Data'!$B$8,CONCATENATE(",",CHAR(10),"for ",Table8[[#This Row],[Duration (Years):]]," years"),"lifelong")</f>
        <v>lifelong</v>
      </c>
      <c r="AD6" s="166" t="str">
        <f>IF(L6="lifetime", "one-time cost", IF(I6&lt;&gt;"", H6 &amp; "-" &amp; I6 &amp; "x/", H6 &amp; "x/"))</f>
        <v>one-time cost</v>
      </c>
      <c r="AE6" s="166" t="str">
        <f>IF(L6="lifetime", "one-time cost", IF(K6&lt;&gt;"", J6 &amp; "-" &amp; K6 &amp; " " &amp; L6, IF(J6&gt;1, J6 &amp; " " &amp; L6, L6)))</f>
        <v>one-time cost</v>
      </c>
    </row>
    <row r="7" spans="1:31" ht="45" customHeight="1" x14ac:dyDescent="0.2">
      <c r="A7" s="28"/>
      <c r="B7" s="29">
        <f ca="1">'Master Data'!$B$6</f>
        <v>126.3</v>
      </c>
      <c r="C7" s="29">
        <f ca="1">'Master Data'!$B$7</f>
        <v>136.30000000000001</v>
      </c>
      <c r="D7" s="29">
        <f t="shared" ca="1" si="0"/>
        <v>10</v>
      </c>
      <c r="E7" s="30"/>
      <c r="F7" s="30"/>
      <c r="G7" s="31" t="str">
        <f t="shared" si="1"/>
        <v>$0.00</v>
      </c>
      <c r="H7" s="32"/>
      <c r="I7" s="32"/>
      <c r="J7" s="32"/>
      <c r="K7" s="32"/>
      <c r="L7" s="51" t="str">
        <f t="shared" si="2"/>
        <v>lifetime</v>
      </c>
      <c r="M7" s="33" t="str">
        <f>IF(L7="lifetime",
    IF(I7&lt;&gt;"", H7 &amp; "-" &amp; I7 &amp; "x/lifetime", H7 &amp; "x/lifetime"),
    IF(D7='Master Data'!$B$8, AD7 &amp; AE7, AD7 &amp; AE7 &amp; AC7))</f>
        <v>x/lifetime</v>
      </c>
      <c r="N7" s="30">
        <f t="shared" si="3"/>
        <v>0</v>
      </c>
      <c r="O7" s="30">
        <f t="shared" si="4"/>
        <v>0</v>
      </c>
      <c r="P7" s="52" t="str">
        <f t="shared" si="5"/>
        <v>$0.00</v>
      </c>
      <c r="Q7" s="30">
        <f t="shared" si="6"/>
        <v>0</v>
      </c>
      <c r="R7" s="30">
        <f t="shared" si="7"/>
        <v>0</v>
      </c>
      <c r="S7" s="53" t="str">
        <f t="shared" si="8"/>
        <v>$0.00</v>
      </c>
      <c r="AA7" s="166" t="str">
        <f>IF(L7="lifetime", "one-time cost", IF(D7='Master Data'!$B$8, AD7 &amp; AE7, AD7 &amp; AE7 &amp; AC7))</f>
        <v>one-time cost</v>
      </c>
      <c r="AB7" s="208" t="str">
        <f t="shared" ref="AB7:AB26" si="9">IF(L7="lifetime", IF(I7&lt;&gt;"", H7 &amp; "-" &amp; I7 &amp; "x/lifetime", H7 &amp; "x/lifetime"), "ongoing cost")</f>
        <v>x/lifetime</v>
      </c>
      <c r="AC7" s="166" t="str">
        <f ca="1">IF(Table8[[#This Row],[Duration (Years):]]&lt;&gt;'Master Data'!$B$8,CONCATENATE(",",CHAR(10),"for ",Table8[[#This Row],[Duration (Years):]]," years"),"lifelong")</f>
        <v>lifelong</v>
      </c>
      <c r="AD7" s="166" t="str">
        <f t="shared" ref="AD7:AD26" si="10">IF(L7="lifetime", "one-time cost", IF(I7&lt;&gt;"", H7 &amp; "-" &amp; I7 &amp; "x/", H7 &amp; "x/"))</f>
        <v>one-time cost</v>
      </c>
      <c r="AE7" s="166" t="str">
        <f t="shared" ref="AE7:AE26" si="11">IF(L7="lifetime", "one-time cost", IF(K7&lt;&gt;"", J7 &amp; "-" &amp; K7 &amp; " " &amp; L7, IF(J7&gt;1, J7 &amp; " " &amp; L7, L7)))</f>
        <v>one-time cost</v>
      </c>
    </row>
    <row r="8" spans="1:31" ht="45" customHeight="1" x14ac:dyDescent="0.2">
      <c r="A8" s="28"/>
      <c r="B8" s="29">
        <f ca="1">'Master Data'!$B$6</f>
        <v>126.3</v>
      </c>
      <c r="C8" s="29">
        <f ca="1">'Master Data'!$B$7</f>
        <v>136.30000000000001</v>
      </c>
      <c r="D8" s="29">
        <f t="shared" ca="1" si="0"/>
        <v>10</v>
      </c>
      <c r="E8" s="30"/>
      <c r="F8" s="30"/>
      <c r="G8" s="31" t="str">
        <f t="shared" si="1"/>
        <v>$0.00</v>
      </c>
      <c r="H8" s="32"/>
      <c r="I8" s="32"/>
      <c r="J8" s="32"/>
      <c r="K8" s="32"/>
      <c r="L8" s="51" t="str">
        <f t="shared" si="2"/>
        <v>lifetime</v>
      </c>
      <c r="M8" s="33" t="str">
        <f>IF(L8="lifetime",
    IF(I8&lt;&gt;"", H8 &amp; "-" &amp; I8 &amp; "x/lifetime", H8 &amp; "x/lifetime"),
    IF(D8='Master Data'!$B$8, AD8 &amp; AE8, AD8 &amp; AE8 &amp; AC8))</f>
        <v>x/lifetime</v>
      </c>
      <c r="N8" s="30">
        <f t="shared" si="3"/>
        <v>0</v>
      </c>
      <c r="O8" s="30">
        <f t="shared" si="4"/>
        <v>0</v>
      </c>
      <c r="P8" s="52" t="str">
        <f t="shared" si="5"/>
        <v>$0.00</v>
      </c>
      <c r="Q8" s="30">
        <f t="shared" si="6"/>
        <v>0</v>
      </c>
      <c r="R8" s="30">
        <f t="shared" si="7"/>
        <v>0</v>
      </c>
      <c r="S8" s="53" t="str">
        <f t="shared" si="8"/>
        <v>$0.00</v>
      </c>
      <c r="AA8" s="166" t="str">
        <f>IF(L8="lifetime", "one-time cost", IF(D8='Master Data'!$B$8, AD8 &amp; AE8, AD8 &amp; AE8 &amp; AC8))</f>
        <v>one-time cost</v>
      </c>
      <c r="AB8" s="208" t="str">
        <f t="shared" si="9"/>
        <v>x/lifetime</v>
      </c>
      <c r="AC8" s="166" t="str">
        <f ca="1">IF(Table8[[#This Row],[Duration (Years):]]&lt;&gt;'Master Data'!$B$8,CONCATENATE(",",CHAR(10),"for ",Table8[[#This Row],[Duration (Years):]]," years"),"lifelong")</f>
        <v>lifelong</v>
      </c>
      <c r="AD8" s="166" t="str">
        <f t="shared" si="10"/>
        <v>one-time cost</v>
      </c>
      <c r="AE8" s="166" t="str">
        <f t="shared" si="11"/>
        <v>one-time cost</v>
      </c>
    </row>
    <row r="9" spans="1:31" ht="45" customHeight="1" x14ac:dyDescent="0.2">
      <c r="A9" s="28"/>
      <c r="B9" s="29">
        <f ca="1">'Master Data'!$B$6</f>
        <v>126.3</v>
      </c>
      <c r="C9" s="29">
        <f ca="1">'Master Data'!$B$7</f>
        <v>136.30000000000001</v>
      </c>
      <c r="D9" s="29">
        <f t="shared" ca="1" si="0"/>
        <v>10</v>
      </c>
      <c r="E9" s="30"/>
      <c r="F9" s="30"/>
      <c r="G9" s="31" t="str">
        <f t="shared" si="1"/>
        <v>$0.00</v>
      </c>
      <c r="H9" s="32"/>
      <c r="I9" s="32"/>
      <c r="J9" s="32"/>
      <c r="K9" s="32"/>
      <c r="L9" s="51" t="str">
        <f t="shared" si="2"/>
        <v>lifetime</v>
      </c>
      <c r="M9" s="33" t="str">
        <f>IF(L9="lifetime",
    IF(I9&lt;&gt;"", H9 &amp; "-" &amp; I9 &amp; "x/lifetime", H9 &amp; "x/lifetime"),
    IF(D9='Master Data'!$B$8, AD9 &amp; AE9, AD9 &amp; AE9 &amp; AC9))</f>
        <v>x/lifetime</v>
      </c>
      <c r="N9" s="30">
        <f t="shared" si="3"/>
        <v>0</v>
      </c>
      <c r="O9" s="30">
        <f t="shared" si="4"/>
        <v>0</v>
      </c>
      <c r="P9" s="52" t="str">
        <f t="shared" si="5"/>
        <v>$0.00</v>
      </c>
      <c r="Q9" s="30">
        <f t="shared" si="6"/>
        <v>0</v>
      </c>
      <c r="R9" s="30">
        <f t="shared" si="7"/>
        <v>0</v>
      </c>
      <c r="S9" s="53" t="str">
        <f t="shared" si="8"/>
        <v>$0.00</v>
      </c>
      <c r="AA9" s="166" t="str">
        <f>IF(L9="lifetime", "one-time cost", IF(D9='Master Data'!$B$8, AD9 &amp; AE9, AD9 &amp; AE9 &amp; AC9))</f>
        <v>one-time cost</v>
      </c>
      <c r="AB9" s="208" t="str">
        <f t="shared" si="9"/>
        <v>x/lifetime</v>
      </c>
      <c r="AC9" s="166" t="str">
        <f ca="1">IF(Table8[[#This Row],[Duration (Years):]]&lt;&gt;'Master Data'!$B$8,CONCATENATE(",",CHAR(10),"for ",Table8[[#This Row],[Duration (Years):]]," years"),"lifelong")</f>
        <v>lifelong</v>
      </c>
      <c r="AD9" s="166" t="str">
        <f t="shared" si="10"/>
        <v>one-time cost</v>
      </c>
      <c r="AE9" s="166" t="str">
        <f t="shared" si="11"/>
        <v>one-time cost</v>
      </c>
    </row>
    <row r="10" spans="1:31" ht="45" customHeight="1" x14ac:dyDescent="0.2">
      <c r="A10" s="28"/>
      <c r="B10" s="29">
        <f ca="1">'Master Data'!$B$6</f>
        <v>126.3</v>
      </c>
      <c r="C10" s="29">
        <f ca="1">'Master Data'!$B$7</f>
        <v>136.30000000000001</v>
      </c>
      <c r="D10" s="29">
        <f t="shared" ca="1" si="0"/>
        <v>10</v>
      </c>
      <c r="E10" s="30"/>
      <c r="F10" s="30"/>
      <c r="G10" s="31" t="str">
        <f t="shared" si="1"/>
        <v>$0.00</v>
      </c>
      <c r="H10" s="32"/>
      <c r="I10" s="32"/>
      <c r="J10" s="32"/>
      <c r="K10" s="32"/>
      <c r="L10" s="51" t="str">
        <f t="shared" si="2"/>
        <v>lifetime</v>
      </c>
      <c r="M10" s="33" t="str">
        <f>IF(L10="lifetime",
    IF(I10&lt;&gt;"", H10 &amp; "-" &amp; I10 &amp; "x/lifetime", H10 &amp; "x/lifetime"),
    IF(D10='Master Data'!$B$8, AD10 &amp; AE10, AD10 &amp; AE10 &amp; AC10))</f>
        <v>x/lifetime</v>
      </c>
      <c r="N10" s="30">
        <f t="shared" si="3"/>
        <v>0</v>
      </c>
      <c r="O10" s="30">
        <f t="shared" si="4"/>
        <v>0</v>
      </c>
      <c r="P10" s="52" t="str">
        <f t="shared" si="5"/>
        <v>$0.00</v>
      </c>
      <c r="Q10" s="30">
        <f t="shared" si="6"/>
        <v>0</v>
      </c>
      <c r="R10" s="30">
        <f t="shared" si="7"/>
        <v>0</v>
      </c>
      <c r="S10" s="53" t="str">
        <f t="shared" si="8"/>
        <v>$0.00</v>
      </c>
      <c r="AA10" s="166" t="str">
        <f>IF(L10="lifetime", "one-time cost", IF(D10='Master Data'!$B$8, AD10 &amp; AE10, AD10 &amp; AE10 &amp; AC10))</f>
        <v>one-time cost</v>
      </c>
      <c r="AB10" s="208" t="str">
        <f t="shared" si="9"/>
        <v>x/lifetime</v>
      </c>
      <c r="AC10" s="166" t="str">
        <f ca="1">IF(Table8[[#This Row],[Duration (Years):]]&lt;&gt;'Master Data'!$B$8,CONCATENATE(",",CHAR(10),"for ",Table8[[#This Row],[Duration (Years):]]," years"),"lifelong")</f>
        <v>lifelong</v>
      </c>
      <c r="AD10" s="166" t="str">
        <f t="shared" si="10"/>
        <v>one-time cost</v>
      </c>
      <c r="AE10" s="166" t="str">
        <f t="shared" si="11"/>
        <v>one-time cost</v>
      </c>
    </row>
    <row r="11" spans="1:31" ht="45" customHeight="1" thickBot="1" x14ac:dyDescent="0.25">
      <c r="A11" s="80"/>
      <c r="B11" s="81">
        <f ca="1">'Master Data'!$B$6</f>
        <v>126.3</v>
      </c>
      <c r="C11" s="81">
        <f ca="1">'Master Data'!$B$7</f>
        <v>136.30000000000001</v>
      </c>
      <c r="D11" s="81">
        <f t="shared" ca="1" si="0"/>
        <v>10</v>
      </c>
      <c r="E11" s="18"/>
      <c r="F11" s="18"/>
      <c r="G11" s="91" t="str">
        <f t="shared" si="1"/>
        <v>$0.00</v>
      </c>
      <c r="H11" s="92"/>
      <c r="I11" s="92"/>
      <c r="J11" s="92"/>
      <c r="K11" s="92"/>
      <c r="L11" s="90" t="str">
        <f t="shared" si="2"/>
        <v>lifetime</v>
      </c>
      <c r="M11" s="253" t="str">
        <f>IF(L11="lifetime",
    IF(I11&lt;&gt;"", H11 &amp; "-" &amp; I11 &amp; "x/lifetime", H11 &amp; "x/lifetime"),
    IF(D11='Master Data'!$B$8, AD11 &amp; AE11, AD11 &amp; AE11 &amp; AC11))</f>
        <v>x/lifetime</v>
      </c>
      <c r="N11" s="18">
        <f t="shared" si="3"/>
        <v>0</v>
      </c>
      <c r="O11" s="18">
        <f t="shared" si="4"/>
        <v>0</v>
      </c>
      <c r="P11" s="254" t="str">
        <f t="shared" si="5"/>
        <v>$0.00</v>
      </c>
      <c r="Q11" s="18">
        <f t="shared" si="6"/>
        <v>0</v>
      </c>
      <c r="R11" s="18">
        <f t="shared" si="7"/>
        <v>0</v>
      </c>
      <c r="S11" s="255" t="str">
        <f t="shared" si="8"/>
        <v>$0.00</v>
      </c>
      <c r="AA11" s="166" t="str">
        <f>IF(L11="lifetime", "one-time cost", IF(D11='Master Data'!$B$8, AD11 &amp; AE11, AD11 &amp; AE11 &amp; AC11))</f>
        <v>one-time cost</v>
      </c>
      <c r="AB11" s="208" t="str">
        <f t="shared" si="9"/>
        <v>x/lifetime</v>
      </c>
      <c r="AC11" s="166" t="str">
        <f ca="1">IF(Table8[[#This Row],[Duration (Years):]]&lt;&gt;'Master Data'!$B$8,CONCATENATE(",",CHAR(10),"for ",Table8[[#This Row],[Duration (Years):]]," years"),"lifelong")</f>
        <v>lifelong</v>
      </c>
      <c r="AD11" s="166" t="str">
        <f t="shared" si="10"/>
        <v>one-time cost</v>
      </c>
      <c r="AE11" s="166" t="str">
        <f t="shared" si="11"/>
        <v>one-time cost</v>
      </c>
    </row>
    <row r="12" spans="1:31" ht="15.75" thickTop="1" thickBot="1" x14ac:dyDescent="0.25">
      <c r="A12" s="343" t="s">
        <v>32</v>
      </c>
      <c r="B12" s="344"/>
      <c r="C12" s="344"/>
      <c r="D12" s="344"/>
      <c r="E12" s="344"/>
      <c r="F12" s="344"/>
      <c r="G12" s="344"/>
      <c r="H12" s="344"/>
      <c r="I12" s="344"/>
      <c r="J12" s="344"/>
      <c r="K12" s="344"/>
      <c r="L12" s="344"/>
      <c r="M12" s="344"/>
      <c r="N12" s="69"/>
      <c r="O12" s="69"/>
      <c r="P12" s="70" t="str">
        <f ca="1">IF(U3="same",IF(SUM(Table8[Annual Cost Max:])=0,"$0.00",CONCATENATE(TEXT(SUM(AnnMin),"$#,##0.00"),CHAR(10)," - ",CHAR(10),TEXT(SUM(AnnMax),"$#,##0.00"))),"Variable by year")</f>
        <v>$0.00</v>
      </c>
      <c r="Q12" s="69"/>
      <c r="R12" s="69"/>
      <c r="S12" s="71" t="str">
        <f>IF(SUM(OneTimeMax)=0,"$0.00",CONCATENATE(TEXT(SUM(OneTimeMin),"$#,##0.00"),CHAR(10)," - ",CHAR(10),TEXT(SUM(OneTimeMax),"$#,##0.00")))</f>
        <v>$0.00</v>
      </c>
      <c r="AA12" s="166" t="e">
        <f>IF(L12="lifetime", "one-time cost", IF(D12='Master Data'!$B$8, AD12 &amp; AE12, AD12 &amp; AE12 &amp; AC12))</f>
        <v>#VALUE!</v>
      </c>
      <c r="AB12" s="208" t="str">
        <f t="shared" si="9"/>
        <v>ongoing cost</v>
      </c>
      <c r="AC12" s="166" t="e">
        <f>IF(Table8[[#This Row],[Duration (Years):]]&lt;&gt;'Master Data'!$B$8,CONCATENATE(",",CHAR(10),"for ",Table8[[#This Row],[Duration (Years):]]," years"),"lifelong")</f>
        <v>#VALUE!</v>
      </c>
      <c r="AD12" s="166" t="str">
        <f t="shared" si="10"/>
        <v>x/</v>
      </c>
      <c r="AE12" s="166">
        <f t="shared" si="11"/>
        <v>0</v>
      </c>
    </row>
    <row r="13" spans="1:31" ht="15" thickTop="1" x14ac:dyDescent="0.2">
      <c r="AA13" s="166" t="e">
        <f>IF(L13="lifetime", "one-time cost", IF(D13='Master Data'!$B$8, AD13 &amp; AE13, AD13 &amp; AE13 &amp; AC13))</f>
        <v>#VALUE!</v>
      </c>
      <c r="AB13" s="208" t="str">
        <f t="shared" si="9"/>
        <v>ongoing cost</v>
      </c>
      <c r="AC13" s="166" t="e">
        <f>IF(Table8[[#This Row],[Duration (Years):]]&lt;&gt;'Master Data'!$B$8,CONCATENATE(",",CHAR(10),"for ",Table8[[#This Row],[Duration (Years):]]," years"),"lifelong")</f>
        <v>#VALUE!</v>
      </c>
      <c r="AD13" s="166" t="str">
        <f t="shared" si="10"/>
        <v>x/</v>
      </c>
      <c r="AE13" s="166">
        <f t="shared" si="11"/>
        <v>0</v>
      </c>
    </row>
    <row r="14" spans="1:31" ht="14.25" x14ac:dyDescent="0.2">
      <c r="A14" s="9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AA14" s="166" t="e">
        <f>IF(L14="lifetime", "one-time cost", IF(D14='Master Data'!$B$8, AD14 &amp; AE14, AD14 &amp; AE14 &amp; AC14))</f>
        <v>#VALUE!</v>
      </c>
      <c r="AB14" s="208" t="str">
        <f t="shared" si="9"/>
        <v>ongoing cost</v>
      </c>
      <c r="AC14" s="166" t="e">
        <f>IF(Table8[[#This Row],[Duration (Years):]]&lt;&gt;'Master Data'!$B$8,CONCATENATE(",",CHAR(10),"for ",Table8[[#This Row],[Duration (Years):]]," years"),"lifelong")</f>
        <v>#VALUE!</v>
      </c>
      <c r="AD14" s="166" t="str">
        <f t="shared" si="10"/>
        <v>x/</v>
      </c>
      <c r="AE14" s="166">
        <f t="shared" si="11"/>
        <v>0</v>
      </c>
    </row>
    <row r="15" spans="1:31" ht="14.25" x14ac:dyDescent="0.2">
      <c r="AA15" s="166" t="e">
        <f>IF(L15="lifetime", "one-time cost", IF(D15='Master Data'!$B$8, AD15 &amp; AE15, AD15 &amp; AE15 &amp; AC15))</f>
        <v>#VALUE!</v>
      </c>
      <c r="AB15" s="208" t="str">
        <f t="shared" si="9"/>
        <v>ongoing cost</v>
      </c>
      <c r="AC15" s="166" t="e">
        <f>IF(Table8[[#This Row],[Duration (Years):]]&lt;&gt;'Master Data'!$B$8,CONCATENATE(",",CHAR(10),"for ",Table8[[#This Row],[Duration (Years):]]," years"),"lifelong")</f>
        <v>#VALUE!</v>
      </c>
      <c r="AD15" s="166" t="str">
        <f t="shared" si="10"/>
        <v>x/</v>
      </c>
      <c r="AE15" s="166">
        <f t="shared" si="11"/>
        <v>0</v>
      </c>
    </row>
    <row r="16" spans="1:31" ht="14.25" x14ac:dyDescent="0.2">
      <c r="AA16" s="166" t="e">
        <f>IF(L16="lifetime", "one-time cost", IF(D16='Master Data'!$B$8, AD16 &amp; AE16, AD16 &amp; AE16 &amp; AC16))</f>
        <v>#VALUE!</v>
      </c>
      <c r="AB16" s="208" t="str">
        <f t="shared" si="9"/>
        <v>ongoing cost</v>
      </c>
      <c r="AC16" s="166" t="e">
        <f>IF(Table8[[#This Row],[Duration (Years):]]&lt;&gt;'Master Data'!$B$8,CONCATENATE(",",CHAR(10),"for ",Table8[[#This Row],[Duration (Years):]]," years"),"lifelong")</f>
        <v>#VALUE!</v>
      </c>
      <c r="AD16" s="166" t="str">
        <f t="shared" si="10"/>
        <v>x/</v>
      </c>
      <c r="AE16" s="166">
        <f t="shared" si="11"/>
        <v>0</v>
      </c>
    </row>
    <row r="17" spans="27:31" ht="14.25" x14ac:dyDescent="0.2">
      <c r="AA17" s="166" t="e">
        <f>IF(L17="lifetime", "one-time cost", IF(D17='Master Data'!$B$8, AD17 &amp; AE17, AD17 &amp; AE17 &amp; AC17))</f>
        <v>#VALUE!</v>
      </c>
      <c r="AB17" s="208" t="str">
        <f t="shared" si="9"/>
        <v>ongoing cost</v>
      </c>
      <c r="AC17" s="166" t="e">
        <f>IF(Table8[[#This Row],[Duration (Years):]]&lt;&gt;'Master Data'!$B$8,CONCATENATE(",",CHAR(10),"for ",Table8[[#This Row],[Duration (Years):]]," years"),"lifelong")</f>
        <v>#VALUE!</v>
      </c>
      <c r="AD17" s="166" t="str">
        <f t="shared" si="10"/>
        <v>x/</v>
      </c>
      <c r="AE17" s="166">
        <f t="shared" si="11"/>
        <v>0</v>
      </c>
    </row>
    <row r="18" spans="27:31" ht="14.25" x14ac:dyDescent="0.2">
      <c r="AA18" s="166" t="e">
        <f>IF(L18="lifetime", "one-time cost", IF(D18='Master Data'!$B$8, AD18 &amp; AE18, AD18 &amp; AE18 &amp; AC18))</f>
        <v>#VALUE!</v>
      </c>
      <c r="AB18" s="208" t="str">
        <f t="shared" si="9"/>
        <v>ongoing cost</v>
      </c>
      <c r="AC18" s="166" t="e">
        <f>IF(Table8[[#This Row],[Duration (Years):]]&lt;&gt;'Master Data'!$B$8,CONCATENATE(",",CHAR(10),"for ",Table8[[#This Row],[Duration (Years):]]," years"),"lifelong")</f>
        <v>#VALUE!</v>
      </c>
      <c r="AD18" s="166" t="str">
        <f t="shared" si="10"/>
        <v>x/</v>
      </c>
      <c r="AE18" s="166">
        <f t="shared" si="11"/>
        <v>0</v>
      </c>
    </row>
    <row r="19" spans="27:31" ht="14.25" x14ac:dyDescent="0.2">
      <c r="AA19" s="166" t="e">
        <f>IF(L19="lifetime", "one-time cost", IF(D19='Master Data'!$B$8, AD19 &amp; AE19, AD19 &amp; AE19 &amp; AC19))</f>
        <v>#VALUE!</v>
      </c>
      <c r="AB19" s="208" t="str">
        <f t="shared" si="9"/>
        <v>ongoing cost</v>
      </c>
      <c r="AC19" s="166" t="e">
        <f>IF(Table8[[#This Row],[Duration (Years):]]&lt;&gt;'Master Data'!$B$8,CONCATENATE(",",CHAR(10),"for ",Table8[[#This Row],[Duration (Years):]]," years"),"lifelong")</f>
        <v>#VALUE!</v>
      </c>
      <c r="AD19" s="166" t="str">
        <f t="shared" si="10"/>
        <v>x/</v>
      </c>
      <c r="AE19" s="166">
        <f t="shared" si="11"/>
        <v>0</v>
      </c>
    </row>
    <row r="20" spans="27:31" ht="14.25" x14ac:dyDescent="0.2">
      <c r="AA20" s="166" t="e">
        <f>IF(L20="lifetime", "one-time cost", IF(D20='Master Data'!$B$8, AD20 &amp; AE20, AD20 &amp; AE20 &amp; AC20))</f>
        <v>#VALUE!</v>
      </c>
      <c r="AB20" s="208" t="str">
        <f t="shared" si="9"/>
        <v>ongoing cost</v>
      </c>
      <c r="AC20" s="166" t="e">
        <f>IF(Table8[[#This Row],[Duration (Years):]]&lt;&gt;'Master Data'!$B$8,CONCATENATE(",",CHAR(10),"for ",Table8[[#This Row],[Duration (Years):]]," years"),"lifelong")</f>
        <v>#VALUE!</v>
      </c>
      <c r="AD20" s="166" t="str">
        <f t="shared" si="10"/>
        <v>x/</v>
      </c>
      <c r="AE20" s="166">
        <f t="shared" si="11"/>
        <v>0</v>
      </c>
    </row>
    <row r="21" spans="27:31" ht="14.25" x14ac:dyDescent="0.2">
      <c r="AA21" s="166" t="e">
        <f>IF(L21="lifetime", "one-time cost", IF(D21='Master Data'!$B$8, AD21 &amp; AE21, AD21 &amp; AE21 &amp; AC21))</f>
        <v>#VALUE!</v>
      </c>
      <c r="AB21" s="208" t="str">
        <f t="shared" si="9"/>
        <v>ongoing cost</v>
      </c>
      <c r="AC21" s="166" t="e">
        <f>IF(Table8[[#This Row],[Duration (Years):]]&lt;&gt;'Master Data'!$B$8,CONCATENATE(",",CHAR(10),"for ",Table8[[#This Row],[Duration (Years):]]," years"),"lifelong")</f>
        <v>#VALUE!</v>
      </c>
      <c r="AD21" s="166" t="str">
        <f t="shared" si="10"/>
        <v>x/</v>
      </c>
      <c r="AE21" s="166">
        <f t="shared" si="11"/>
        <v>0</v>
      </c>
    </row>
    <row r="22" spans="27:31" ht="14.25" x14ac:dyDescent="0.2">
      <c r="AA22" s="166" t="e">
        <f>IF(L22="lifetime", "one-time cost", IF(D22='Master Data'!$B$8, AD22 &amp; AE22, AD22 &amp; AE22 &amp; AC22))</f>
        <v>#VALUE!</v>
      </c>
      <c r="AB22" s="208" t="str">
        <f t="shared" si="9"/>
        <v>ongoing cost</v>
      </c>
      <c r="AC22" s="166" t="e">
        <f>IF(Table8[[#This Row],[Duration (Years):]]&lt;&gt;'Master Data'!$B$8,CONCATENATE(",",CHAR(10),"for ",Table8[[#This Row],[Duration (Years):]]," years"),"lifelong")</f>
        <v>#VALUE!</v>
      </c>
      <c r="AD22" s="166" t="str">
        <f t="shared" si="10"/>
        <v>x/</v>
      </c>
      <c r="AE22" s="166">
        <f t="shared" si="11"/>
        <v>0</v>
      </c>
    </row>
    <row r="23" spans="27:31" ht="14.25" x14ac:dyDescent="0.2">
      <c r="AA23" s="166" t="e">
        <f>IF(L23="lifetime", "one-time cost", IF(D23='Master Data'!$B$8, AD23 &amp; AE23, AD23 &amp; AE23 &amp; AC23))</f>
        <v>#VALUE!</v>
      </c>
      <c r="AB23" s="208" t="str">
        <f t="shared" si="9"/>
        <v>ongoing cost</v>
      </c>
      <c r="AC23" s="166" t="e">
        <f>IF(Table8[[#This Row],[Duration (Years):]]&lt;&gt;'Master Data'!$B$8,CONCATENATE(",",CHAR(10),"for ",Table8[[#This Row],[Duration (Years):]]," years"),"lifelong")</f>
        <v>#VALUE!</v>
      </c>
      <c r="AD23" s="166" t="str">
        <f t="shared" si="10"/>
        <v>x/</v>
      </c>
      <c r="AE23" s="166">
        <f t="shared" si="11"/>
        <v>0</v>
      </c>
    </row>
    <row r="24" spans="27:31" ht="14.25" x14ac:dyDescent="0.2">
      <c r="AA24" s="166" t="e">
        <f>IF(L24="lifetime", "one-time cost", IF(D24='Master Data'!$B$8, AD24 &amp; AE24, AD24 &amp; AE24 &amp; AC24))</f>
        <v>#VALUE!</v>
      </c>
      <c r="AB24" s="208" t="str">
        <f t="shared" si="9"/>
        <v>ongoing cost</v>
      </c>
      <c r="AC24" s="166" t="e">
        <f>IF(Table8[[#This Row],[Duration (Years):]]&lt;&gt;'Master Data'!$B$8,CONCATENATE(",",CHAR(10),"for ",Table8[[#This Row],[Duration (Years):]]," years"),"lifelong")</f>
        <v>#VALUE!</v>
      </c>
      <c r="AD24" s="166" t="str">
        <f t="shared" si="10"/>
        <v>x/</v>
      </c>
      <c r="AE24" s="166">
        <f t="shared" si="11"/>
        <v>0</v>
      </c>
    </row>
    <row r="25" spans="27:31" ht="14.25" x14ac:dyDescent="0.2">
      <c r="AA25" s="166" t="e">
        <f>IF(L25="lifetime", "one-time cost", IF(D25='Master Data'!$B$8, AD25 &amp; AE25, AD25 &amp; AE25 &amp; AC25))</f>
        <v>#VALUE!</v>
      </c>
      <c r="AB25" s="208" t="str">
        <f t="shared" si="9"/>
        <v>ongoing cost</v>
      </c>
      <c r="AC25" s="166" t="e">
        <f>IF(Table8[[#This Row],[Duration (Years):]]&lt;&gt;'Master Data'!$B$8,CONCATENATE(",",CHAR(10),"for ",Table8[[#This Row],[Duration (Years):]]," years"),"lifelong")</f>
        <v>#VALUE!</v>
      </c>
      <c r="AD25" s="166" t="str">
        <f t="shared" si="10"/>
        <v>x/</v>
      </c>
      <c r="AE25" s="166">
        <f t="shared" si="11"/>
        <v>0</v>
      </c>
    </row>
    <row r="26" spans="27:31" ht="14.25" x14ac:dyDescent="0.2">
      <c r="AA26" s="166" t="e">
        <f>IF(L26="lifetime", "one-time cost", IF(D26='Master Data'!$B$8, AD26 &amp; AE26, AD26 &amp; AE26 &amp; AC26))</f>
        <v>#VALUE!</v>
      </c>
      <c r="AB26" s="208" t="str">
        <f t="shared" si="9"/>
        <v>ongoing cost</v>
      </c>
      <c r="AC26" s="166" t="e">
        <f>IF(Table8[[#This Row],[Duration (Years):]]&lt;&gt;'Master Data'!$B$8,CONCATENATE(",",CHAR(10),"for ",Table8[[#This Row],[Duration (Years):]]," years"),"lifelong")</f>
        <v>#VALUE!</v>
      </c>
      <c r="AD26" s="166" t="str">
        <f t="shared" si="10"/>
        <v>x/</v>
      </c>
      <c r="AE26" s="166">
        <f t="shared" si="11"/>
        <v>0</v>
      </c>
    </row>
  </sheetData>
  <sortState xmlns:xlrd2="http://schemas.microsoft.com/office/spreadsheetml/2017/richdata2" ref="A3:S12">
    <sortCondition ref="D3"/>
    <sortCondition ref="A3"/>
  </sortState>
  <mergeCells count="3">
    <mergeCell ref="A1:S1"/>
    <mergeCell ref="A12:M12"/>
    <mergeCell ref="V3:W3"/>
  </mergeCells>
  <hyperlinks>
    <hyperlink ref="V3" location="Procedure1!A1" display="Link to copy/paste table here" xr:uid="{7BA3CB49-CD42-49C9-8813-EC1428CCD684}"/>
    <hyperlink ref="V3:W3" location="Maintenance!A1" display="Link to copy/paste table here" xr:uid="{7C847B09-6476-4410-BEF6-6168B1EBBB1F}"/>
  </hyperlinks>
  <pageMargins left="0.25" right="0.25" top="0.75" bottom="0.75" header="0.3" footer="0.3"/>
  <pageSetup orientation="landscape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36"/>
  <sheetViews>
    <sheetView workbookViewId="0">
      <selection sqref="A1:S1"/>
    </sheetView>
  </sheetViews>
  <sheetFormatPr defaultColWidth="9.140625" defaultRowHeight="12.75" x14ac:dyDescent="0.2"/>
  <cols>
    <col min="1" max="1" width="19.7109375" style="10" customWidth="1"/>
    <col min="2" max="3" width="9.7109375" style="11" hidden="1" customWidth="1"/>
    <col min="4" max="4" width="13.42578125" style="11" customWidth="1"/>
    <col min="5" max="6" width="13.28515625" style="9" customWidth="1"/>
    <col min="7" max="7" width="15.7109375" style="12" hidden="1" customWidth="1"/>
    <col min="8" max="11" width="8.7109375" style="13" customWidth="1"/>
    <col min="12" max="12" width="10.85546875" style="10" customWidth="1"/>
    <col min="13" max="13" width="17.7109375" style="14" customWidth="1"/>
    <col min="14" max="15" width="12.28515625" style="9" hidden="1" customWidth="1"/>
    <col min="16" max="16" width="14.7109375" style="15" customWidth="1"/>
    <col min="17" max="18" width="12.28515625" style="9" hidden="1" customWidth="1"/>
    <col min="19" max="19" width="14.7109375" style="15" customWidth="1"/>
    <col min="20" max="20" width="9.140625" style="8"/>
    <col min="21" max="21" width="0" style="8" hidden="1" customWidth="1"/>
    <col min="22" max="26" width="9.140625" style="8"/>
    <col min="27" max="31" width="9.140625" style="8" hidden="1" customWidth="1"/>
    <col min="32" max="32" width="0" style="8" hidden="1" customWidth="1"/>
    <col min="33" max="16384" width="9.140625" style="8"/>
  </cols>
  <sheetData>
    <row r="1" spans="1:31" ht="30" customHeight="1" thickTop="1" x14ac:dyDescent="0.2">
      <c r="A1" s="340" t="s">
        <v>63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2"/>
    </row>
    <row r="2" spans="1:31" s="72" customFormat="1" ht="57.75" thickBot="1" x14ac:dyDescent="0.3">
      <c r="A2" s="105" t="s">
        <v>33</v>
      </c>
      <c r="B2" s="106" t="s">
        <v>15</v>
      </c>
      <c r="C2" s="106" t="s">
        <v>16</v>
      </c>
      <c r="D2" s="106" t="s">
        <v>17</v>
      </c>
      <c r="E2" s="107" t="s">
        <v>18</v>
      </c>
      <c r="F2" s="107" t="s">
        <v>19</v>
      </c>
      <c r="G2" s="107" t="s">
        <v>29</v>
      </c>
      <c r="H2" s="108" t="s">
        <v>20</v>
      </c>
      <c r="I2" s="108" t="s">
        <v>21</v>
      </c>
      <c r="J2" s="108" t="s">
        <v>22</v>
      </c>
      <c r="K2" s="108" t="s">
        <v>23</v>
      </c>
      <c r="L2" s="109" t="s">
        <v>24</v>
      </c>
      <c r="M2" s="109" t="s">
        <v>30</v>
      </c>
      <c r="N2" s="107" t="s">
        <v>25</v>
      </c>
      <c r="O2" s="107" t="s">
        <v>26</v>
      </c>
      <c r="P2" s="109" t="s">
        <v>31</v>
      </c>
      <c r="Q2" s="107" t="s">
        <v>27</v>
      </c>
      <c r="R2" s="107" t="s">
        <v>28</v>
      </c>
      <c r="S2" s="110" t="s">
        <v>34</v>
      </c>
      <c r="U2" s="7" t="s">
        <v>48</v>
      </c>
      <c r="AA2" s="207" t="s">
        <v>148</v>
      </c>
      <c r="AB2" s="207" t="s">
        <v>144</v>
      </c>
      <c r="AC2" s="207" t="s">
        <v>145</v>
      </c>
      <c r="AD2" s="207" t="s">
        <v>146</v>
      </c>
      <c r="AE2" s="207" t="s">
        <v>147</v>
      </c>
    </row>
    <row r="3" spans="1:31" ht="45" customHeight="1" thickTop="1" x14ac:dyDescent="0.25">
      <c r="A3" s="34"/>
      <c r="B3" s="35">
        <f ca="1">'Master Data'!$B$6</f>
        <v>126.3</v>
      </c>
      <c r="C3" s="35">
        <f ca="1">'Master Data'!$B$7</f>
        <v>136.30000000000001</v>
      </c>
      <c r="D3" s="35">
        <f ca="1">ROUND(C3-B3,1)</f>
        <v>10</v>
      </c>
      <c r="E3" s="36"/>
      <c r="F3" s="36"/>
      <c r="G3" s="37" t="str">
        <f>IF(E3&lt;F3,CONCATENATE(TEXT(E3,"$#,##0.00"),CHAR(10)," - ",CHAR(10),TEXT(F3,"$#,##0.00")),TEXT(E3,"$#,##0.00"))</f>
        <v>$0.00</v>
      </c>
      <c r="H3" s="38"/>
      <c r="I3" s="38"/>
      <c r="J3" s="38"/>
      <c r="K3" s="38"/>
      <c r="L3" s="48" t="str">
        <f t="shared" ref="L3:L11" si="0">IF(LEN(K3)=0,IF(LEN(J3)=0,"lifetime",IF(J3=1,"year","years")),"years")</f>
        <v>lifetime</v>
      </c>
      <c r="M3" s="39" t="str">
        <f>IF(L3="lifetime",
    IF(I3&lt;&gt;"", H3 &amp; "-" &amp; I3 &amp; "x/lifetime", H3 &amp; "x/lifetime"),
    IF(D3='Master Data'!$B$8, AD3 &amp; AE3, AD3 &amp; AE3 &amp; AC3))</f>
        <v>x/lifetime</v>
      </c>
      <c r="N3" s="36">
        <f t="shared" ref="N3:N11" si="1">ROUND(IF(OR(EXACT(TimeValue,"years"),EXACT(TimeValue,"year")),IF(OR(MinTimePeriod&gt;0,MaxTimePeriod&gt;0),MinFreq*MinCost/(IF(MaxTimePeriod&gt;0,MaxTimePeriod,MinTimePeriod)),0),IF(EXACT(TimeValue,"lifetime"),0,IF(OR(EXACT(TimeValue,"month"),EXACT(TimeValue,"months")),IF(OR(MinTimePeriod&gt;0,MaxTimePeriod&gt;0),MinFreq*MinCost/(IF(MaxTimePeriod&gt;0,MaxTimePeriod/12,MinTimePeriod/12)),0),IF(OR(EXACT(TimeValue,"week"),EXACT(TimeValue,"weeks")),IF(OR(MinTimePeriod&gt;0,MaxTimePeriod&gt;0),MinFreq*MinCost/(IF(MaxTimePeriod&gt;0,MaxTimePeriod/52,MinTimePeriod/52)),0),IF(OR(EXACT(TimeValue,"day"),EXACT(TimeValue,"days")),IF(OR(MinTimePeriod&gt;0,MaxTimePeriod&gt;0),MinFreq*MinCost/(IF(MaxTimePeriod&gt;0,MaxTimePeriod/365,MinTimePeriod/365))),"invalidinput"))))),2)</f>
        <v>0</v>
      </c>
      <c r="O3" s="36">
        <f t="shared" ref="O3:O11" si="2">ROUND(IF(TimeValue="lifetime",0,IF(OR(EXACT(TimeValue,"years"),EXACT(TimeValue,"year")),IF(OR(MinTimePeriod&gt;0,MaxTimePeriod&gt;0),(IF(MaxFreq&gt;0,MaxFreq,MinFreq))*MaxCost/MinTimePeriod),IF(OR(EXACT(TimeValue,"month"),EXACT(TimeValue,"months")),IF(OR(MinTimePeriod&gt;0,MaxTimePeriod&gt;0),(IF(MaxFreq&gt;0,MaxFreq,MinFreq))*MaxCost/(MinTimePeriod/12),0),IF(OR(EXACT(TimeValue,"week"),EXACT(TimeValue,"weeks")),IF(OR(MinTimePeriod&gt;0,MaxTimePeriod&gt;0),IF(MaxFreq&gt;0,MaxFreq,MinFreq))*MaxCost/(MinTimePeriod/52),IF(OR(EXACT(TimeValue,"day"),EXACT(TimeValue,"days")),IF(OR(MinTimePeriod&gt;0,MaxTimePeriod&gt;0),IF(MaxFreq&gt;0,MaxFreq,MinFreq))*MaxCost/(MinTimePeriod/365),"invalidinput"))))),2)</f>
        <v>0</v>
      </c>
      <c r="P3" s="49" t="str">
        <f>IF(N3&lt;O3,CONCATENATE(TEXT(N3,"$#,##0.00"),CHAR(10)," - ",CHAR(10),TEXT(O3,"$#,##0.00")),TEXT(N3,"$0.00"))</f>
        <v>$0.00</v>
      </c>
      <c r="Q3" s="36">
        <f t="shared" ref="Q3:Q11" si="3">ROUND(IF(TimeValue="lifetime",MinCost*MinFreq,0),2)</f>
        <v>0</v>
      </c>
      <c r="R3" s="36">
        <f t="shared" ref="R3:R11" si="4">ROUND(IF(AND(TimeValue="lifetime",MaxFreq&lt;1),MinFreq*MaxCost,IF(AND(TimeValue="lifetime",MaxFreq&gt;=1),MaxFreq*MaxCost,0)),2)</f>
        <v>0</v>
      </c>
      <c r="S3" s="50" t="str">
        <f>IF(Q3&lt;R3,CONCATENATE(TEXT(Q3,"$#,##0.00"),CHAR(10)," - ",CHAR(10),TEXT(R3,"$#,##0.00")),TEXT(Q3,"$0.00"))</f>
        <v>$0.00</v>
      </c>
      <c r="U3" s="8" t="str">
        <f t="array" aca="1" ref="U3" ca="1">IF(AND(ROUND(Table10[Duration (Years):],1)='Master Data'!$B$8),"same","different")</f>
        <v>same</v>
      </c>
      <c r="V3" s="345" t="s">
        <v>133</v>
      </c>
      <c r="W3" s="345"/>
      <c r="AA3" s="166" t="str">
        <f>IF(L3="lifetime", "one-time cost", IF(D3='Master Data'!$B$8, AD3 &amp; AE3, AD3 &amp; AE3 &amp; AC3))</f>
        <v>one-time cost</v>
      </c>
      <c r="AB3" s="208" t="str">
        <f>IF(L3="lifetime", IF(I3&lt;&gt;"", H3 &amp; "-" &amp; I3 &amp; "x/lifetime", H3 &amp; "x/lifetime"), "ongoing cost")</f>
        <v>x/lifetime</v>
      </c>
      <c r="AC3" s="166" t="str">
        <f ca="1">IF(Table10[[#This Row],[Duration (Years):]]&lt;&gt;'Master Data'!$B$8,CONCATENATE(",",CHAR(10),"for ",Table10[[#This Row],[Duration (Years):]]," years"),"lifelong")</f>
        <v>lifelong</v>
      </c>
      <c r="AD3" s="166" t="str">
        <f>IF(L3="lifetime", "one-time cost", IF(I3&lt;&gt;"", H3 &amp; "-" &amp; I3 &amp; "x/", H3 &amp; "x/"))</f>
        <v>one-time cost</v>
      </c>
      <c r="AE3" s="166" t="str">
        <f>IF(L3="lifetime", "one-time cost", IF(K3&lt;&gt;"", J3 &amp; "-" &amp; K3 &amp; " " &amp; L3, IF(J3&gt;1, J3 &amp; " " &amp; L3, L3)))</f>
        <v>one-time cost</v>
      </c>
    </row>
    <row r="4" spans="1:31" ht="45" customHeight="1" x14ac:dyDescent="0.2">
      <c r="A4" s="28"/>
      <c r="B4" s="29">
        <f ca="1">'Master Data'!$B$6</f>
        <v>126.3</v>
      </c>
      <c r="C4" s="29">
        <f ca="1">'Master Data'!$B$7</f>
        <v>136.30000000000001</v>
      </c>
      <c r="D4" s="29">
        <f ca="1">ROUND(C4-B4,1)</f>
        <v>10</v>
      </c>
      <c r="E4" s="30"/>
      <c r="F4" s="30"/>
      <c r="G4" s="31" t="str">
        <f>IF(E4&lt;F4,CONCATENATE(TEXT(E4,"$#,##0.00"),CHAR(10)," - ",CHAR(10),TEXT(F4,"$#,##0.00")),TEXT(E4,"$#,##0.00"))</f>
        <v>$0.00</v>
      </c>
      <c r="H4" s="32"/>
      <c r="I4" s="32"/>
      <c r="J4" s="32"/>
      <c r="K4" s="32"/>
      <c r="L4" s="51" t="str">
        <f t="shared" si="0"/>
        <v>lifetime</v>
      </c>
      <c r="M4" s="33" t="str">
        <f>IF(L4="lifetime",
    IF(I4&lt;&gt;"", H4 &amp; "-" &amp; I4 &amp; "x/lifetime", H4 &amp; "x/lifetime"),
    IF(D4='Master Data'!$B$8, AD4 &amp; AE4, AD4 &amp; AE4 &amp; AC4))</f>
        <v>x/lifetime</v>
      </c>
      <c r="N4" s="30">
        <f t="shared" si="1"/>
        <v>0</v>
      </c>
      <c r="O4" s="30">
        <f t="shared" si="2"/>
        <v>0</v>
      </c>
      <c r="P4" s="52" t="str">
        <f>IF(N4&lt;O4,CONCATENATE(TEXT(N4,"$#,##0.00"),CHAR(10)," - ",CHAR(10),TEXT(O4,"$#,##0.00")),TEXT(N4,"$0.00"))</f>
        <v>$0.00</v>
      </c>
      <c r="Q4" s="30">
        <f t="shared" si="3"/>
        <v>0</v>
      </c>
      <c r="R4" s="30">
        <f t="shared" si="4"/>
        <v>0</v>
      </c>
      <c r="S4" s="53" t="str">
        <f>IF(Q4&lt;R4,CONCATENATE(TEXT(Q4,"$#,##0.00"),CHAR(10)," - ",CHAR(10),TEXT(R4,"$#,##0.00")),TEXT(Q4,"$0.00"))</f>
        <v>$0.00</v>
      </c>
      <c r="AA4" s="166" t="str">
        <f>IF(L4="lifetime", "one-time cost", IF(D4='Master Data'!$B$8, AD4 &amp; AE4, AD4 &amp; AE4 &amp; AC4))</f>
        <v>one-time cost</v>
      </c>
      <c r="AB4" s="208" t="str">
        <f>IF(L4="lifetime", IF(I4&lt;&gt;"", H4 &amp; "-" &amp; I4 &amp; "x/lifetime", H4 &amp; "x/lifetime"), "ongoing cost")</f>
        <v>x/lifetime</v>
      </c>
      <c r="AC4" s="166" t="str">
        <f ca="1">IF(Table10[[#This Row],[Duration (Years):]]&lt;&gt;'Master Data'!$B$8,CONCATENATE(",",CHAR(10),"for ",Table10[[#This Row],[Duration (Years):]]," years"),"lifelong")</f>
        <v>lifelong</v>
      </c>
      <c r="AD4" s="166" t="str">
        <f>IF(L4="lifetime", "one-time cost", IF(I4&lt;&gt;"", H4 &amp; "-" &amp; I4 &amp; "x/", H4 &amp; "x/"))</f>
        <v>one-time cost</v>
      </c>
      <c r="AE4" s="166" t="str">
        <f>IF(L4="lifetime", "one-time cost", IF(K4&lt;&gt;"", J4 &amp; "-" &amp; K4 &amp; " " &amp; L4, IF(J4&gt;1, J4 &amp; " " &amp; L4, L4)))</f>
        <v>one-time cost</v>
      </c>
    </row>
    <row r="5" spans="1:31" ht="45" customHeight="1" x14ac:dyDescent="0.2">
      <c r="A5" s="40"/>
      <c r="B5" s="41">
        <f ca="1">'Master Data'!$B$6</f>
        <v>126.3</v>
      </c>
      <c r="C5" s="41">
        <f ca="1">'Master Data'!$B$7</f>
        <v>136.30000000000001</v>
      </c>
      <c r="D5" s="41">
        <f ca="1">ROUND(C5-B5,1)</f>
        <v>10</v>
      </c>
      <c r="E5" s="42"/>
      <c r="F5" s="42"/>
      <c r="G5" s="43" t="str">
        <f>IF(E5&lt;F5,CONCATENATE(TEXT(E5,"$#,##0.00"),CHAR(10)," - ",CHAR(10),TEXT(F5,"$#,##0.00")),TEXT(E5,"$#,##0.00"))</f>
        <v>$0.00</v>
      </c>
      <c r="H5" s="44"/>
      <c r="I5" s="44"/>
      <c r="J5" s="44"/>
      <c r="K5" s="44"/>
      <c r="L5" s="64" t="str">
        <f t="shared" si="0"/>
        <v>lifetime</v>
      </c>
      <c r="M5" s="45" t="str">
        <f>IF(L5="lifetime",
    IF(I5&lt;&gt;"", H5 &amp; "-" &amp; I5 &amp; "x/lifetime", H5 &amp; "x/lifetime"),
    IF(D5='Master Data'!$B$8, AD5 &amp; AE5, AD5 &amp; AE5 &amp; AC5))</f>
        <v>x/lifetime</v>
      </c>
      <c r="N5" s="42">
        <f t="shared" si="1"/>
        <v>0</v>
      </c>
      <c r="O5" s="42">
        <f t="shared" si="2"/>
        <v>0</v>
      </c>
      <c r="P5" s="65" t="str">
        <f>IF(N5&lt;O5,CONCATENATE(TEXT(N5,"$#,##0.00"),CHAR(10)," - ",CHAR(10),TEXT(O5,"$#,##0.00")),TEXT(N5,"$0.00"))</f>
        <v>$0.00</v>
      </c>
      <c r="Q5" s="42">
        <f t="shared" si="3"/>
        <v>0</v>
      </c>
      <c r="R5" s="42">
        <f t="shared" si="4"/>
        <v>0</v>
      </c>
      <c r="S5" s="66" t="str">
        <f>IF(Q5&lt;R5,CONCATENATE(TEXT(Q5,"$#,##0.00"),CHAR(10)," - ",CHAR(10),TEXT(R5,"$#,##0.00")),TEXT(Q5,"$0.00"))</f>
        <v>$0.00</v>
      </c>
      <c r="AA5" s="166" t="str">
        <f>IF(L5="lifetime", "one-time cost", IF(D5='Master Data'!$B$8, AD5 &amp; AE5, AD5 &amp; AE5 &amp; AC5))</f>
        <v>one-time cost</v>
      </c>
      <c r="AB5" s="208" t="str">
        <f t="shared" ref="AB5:AB36" si="5">IF(L5="lifetime", IF(I5&lt;&gt;"", H5 &amp; "-" &amp; I5 &amp; "x/lifetime", H5 &amp; "x/lifetime"), "ongoing cost")</f>
        <v>x/lifetime</v>
      </c>
      <c r="AC5" s="166" t="str">
        <f ca="1">IF(Table10[[#This Row],[Duration (Years):]]&lt;&gt;'Master Data'!$B$8,CONCATENATE(",",CHAR(10),"for ",Table10[[#This Row],[Duration (Years):]]," years"),"lifelong")</f>
        <v>lifelong</v>
      </c>
      <c r="AD5" s="166" t="str">
        <f t="shared" ref="AD5:AD36" si="6">IF(L5="lifetime", "one-time cost", IF(I5&lt;&gt;"", H5 &amp; "-" &amp; I5 &amp; "x/", H5 &amp; "x/"))</f>
        <v>one-time cost</v>
      </c>
      <c r="AE5" s="166" t="str">
        <f t="shared" ref="AE5:AE36" si="7">IF(L5="lifetime", "one-time cost", IF(K5&lt;&gt;"", J5 &amp; "-" &amp; K5 &amp; " " &amp; L5, IF(J5&gt;1, J5 &amp; " " &amp; L5, L5)))</f>
        <v>one-time cost</v>
      </c>
    </row>
    <row r="6" spans="1:31" ht="45" customHeight="1" x14ac:dyDescent="0.2">
      <c r="A6" s="93"/>
      <c r="B6" s="82">
        <f ca="1">'Master Data'!$B$6</f>
        <v>126.3</v>
      </c>
      <c r="C6" s="82">
        <f ca="1">'Master Data'!$B$7</f>
        <v>136.30000000000001</v>
      </c>
      <c r="D6" s="82">
        <f t="shared" ref="D6:D11" ca="1" si="8">ROUND(C6-B6,1)</f>
        <v>10</v>
      </c>
      <c r="E6" s="83"/>
      <c r="F6" s="83"/>
      <c r="G6" s="84" t="str">
        <f t="shared" ref="G6:G11" si="9">IF(E6&lt;F6,CONCATENATE(TEXT(E6,"$#,##0.00"),CHAR(10)," - ",CHAR(10),TEXT(F6,"$#,##0.00")),TEXT(E6,"$#,##0.00"))</f>
        <v>$0.00</v>
      </c>
      <c r="H6" s="85"/>
      <c r="I6" s="85"/>
      <c r="J6" s="85"/>
      <c r="K6" s="85"/>
      <c r="L6" s="103" t="str">
        <f t="shared" si="0"/>
        <v>lifetime</v>
      </c>
      <c r="M6" s="86" t="str">
        <f>IF(L6="lifetime",
    IF(I6&lt;&gt;"", H6 &amp; "-" &amp; I6 &amp; "x/lifetime", H6 &amp; "x/lifetime"),
    IF(D6='Master Data'!$B$8, AD6 &amp; AE6, AD6 &amp; AE6 &amp; AC6))</f>
        <v>x/lifetime</v>
      </c>
      <c r="N6" s="83">
        <f t="shared" si="1"/>
        <v>0</v>
      </c>
      <c r="O6" s="83">
        <f t="shared" si="2"/>
        <v>0</v>
      </c>
      <c r="P6" s="87" t="str">
        <f t="shared" ref="P6:P11" si="10">IF(N6&lt;O6,CONCATENATE(TEXT(N6,"$#,##0.00"),CHAR(10)," - ",CHAR(10),TEXT(O6,"$#,##0.00")),TEXT(N6,"$0.00"))</f>
        <v>$0.00</v>
      </c>
      <c r="Q6" s="83">
        <f t="shared" si="3"/>
        <v>0</v>
      </c>
      <c r="R6" s="83">
        <f t="shared" si="4"/>
        <v>0</v>
      </c>
      <c r="S6" s="88" t="str">
        <f t="shared" ref="S6:S11" si="11">IF(Q6&lt;R6,CONCATENATE(TEXT(Q6,"$#,##0.00"),CHAR(10)," - ",CHAR(10),TEXT(R6,"$#,##0.00")),TEXT(Q6,"$0.00"))</f>
        <v>$0.00</v>
      </c>
      <c r="AA6" s="166" t="str">
        <f>IF(L6="lifetime", "one-time cost", IF(D6='Master Data'!$B$8, AD6 &amp; AE6, AD6 &amp; AE6 &amp; AC6))</f>
        <v>one-time cost</v>
      </c>
      <c r="AB6" s="208" t="str">
        <f t="shared" si="5"/>
        <v>x/lifetime</v>
      </c>
      <c r="AC6" s="166" t="str">
        <f ca="1">IF(Table10[[#This Row],[Duration (Years):]]&lt;&gt;'Master Data'!$B$8,CONCATENATE(",",CHAR(10),"for ",Table10[[#This Row],[Duration (Years):]]," years"),"lifelong")</f>
        <v>lifelong</v>
      </c>
      <c r="AD6" s="166" t="str">
        <f t="shared" si="6"/>
        <v>one-time cost</v>
      </c>
      <c r="AE6" s="166" t="str">
        <f t="shared" si="7"/>
        <v>one-time cost</v>
      </c>
    </row>
    <row r="7" spans="1:31" ht="45" customHeight="1" x14ac:dyDescent="0.2">
      <c r="A7" s="93"/>
      <c r="B7" s="82">
        <f ca="1">'Master Data'!$B$6</f>
        <v>126.3</v>
      </c>
      <c r="C7" s="82">
        <f ca="1">'Master Data'!$B$7</f>
        <v>136.30000000000001</v>
      </c>
      <c r="D7" s="82">
        <f t="shared" ca="1" si="8"/>
        <v>10</v>
      </c>
      <c r="E7" s="83"/>
      <c r="F7" s="83"/>
      <c r="G7" s="84" t="str">
        <f t="shared" si="9"/>
        <v>$0.00</v>
      </c>
      <c r="H7" s="85"/>
      <c r="I7" s="85"/>
      <c r="J7" s="85"/>
      <c r="K7" s="85"/>
      <c r="L7" s="103" t="str">
        <f t="shared" si="0"/>
        <v>lifetime</v>
      </c>
      <c r="M7" s="86" t="str">
        <f>IF(L7="lifetime",
    IF(I7&lt;&gt;"", H7 &amp; "-" &amp; I7 &amp; "x/lifetime", H7 &amp; "x/lifetime"),
    IF(D7='Master Data'!$B$8, AD7 &amp; AE7, AD7 &amp; AE7 &amp; AC7))</f>
        <v>x/lifetime</v>
      </c>
      <c r="N7" s="83">
        <f t="shared" si="1"/>
        <v>0</v>
      </c>
      <c r="O7" s="83">
        <f t="shared" si="2"/>
        <v>0</v>
      </c>
      <c r="P7" s="87" t="str">
        <f t="shared" si="10"/>
        <v>$0.00</v>
      </c>
      <c r="Q7" s="83">
        <f t="shared" si="3"/>
        <v>0</v>
      </c>
      <c r="R7" s="83">
        <f t="shared" si="4"/>
        <v>0</v>
      </c>
      <c r="S7" s="88" t="str">
        <f t="shared" si="11"/>
        <v>$0.00</v>
      </c>
      <c r="AA7" s="166" t="str">
        <f>IF(L7="lifetime", "one-time cost", IF(D7='Master Data'!$B$8, AD7 &amp; AE7, AD7 &amp; AE7 &amp; AC7))</f>
        <v>one-time cost</v>
      </c>
      <c r="AB7" s="208" t="str">
        <f t="shared" si="5"/>
        <v>x/lifetime</v>
      </c>
      <c r="AC7" s="166" t="str">
        <f ca="1">IF(Table10[[#This Row],[Duration (Years):]]&lt;&gt;'Master Data'!$B$8,CONCATENATE(",",CHAR(10),"for ",Table10[[#This Row],[Duration (Years):]]," years"),"lifelong")</f>
        <v>lifelong</v>
      </c>
      <c r="AD7" s="166" t="str">
        <f t="shared" si="6"/>
        <v>one-time cost</v>
      </c>
      <c r="AE7" s="166" t="str">
        <f t="shared" si="7"/>
        <v>one-time cost</v>
      </c>
    </row>
    <row r="8" spans="1:31" ht="45" customHeight="1" x14ac:dyDescent="0.2">
      <c r="A8" s="93"/>
      <c r="B8" s="82">
        <f ca="1">'Master Data'!$B$6</f>
        <v>126.3</v>
      </c>
      <c r="C8" s="82">
        <f ca="1">'Master Data'!$B$7</f>
        <v>136.30000000000001</v>
      </c>
      <c r="D8" s="82">
        <f t="shared" ca="1" si="8"/>
        <v>10</v>
      </c>
      <c r="E8" s="83"/>
      <c r="F8" s="83"/>
      <c r="G8" s="84" t="str">
        <f t="shared" si="9"/>
        <v>$0.00</v>
      </c>
      <c r="H8" s="85"/>
      <c r="I8" s="85"/>
      <c r="J8" s="85"/>
      <c r="K8" s="85"/>
      <c r="L8" s="103" t="str">
        <f t="shared" si="0"/>
        <v>lifetime</v>
      </c>
      <c r="M8" s="86" t="str">
        <f>IF(L8="lifetime",
    IF(I8&lt;&gt;"", H8 &amp; "-" &amp; I8 &amp; "x/lifetime", H8 &amp; "x/lifetime"),
    IF(D8='Master Data'!$B$8, AD8 &amp; AE8, AD8 &amp; AE8 &amp; AC8))</f>
        <v>x/lifetime</v>
      </c>
      <c r="N8" s="83">
        <f t="shared" si="1"/>
        <v>0</v>
      </c>
      <c r="O8" s="83">
        <f t="shared" si="2"/>
        <v>0</v>
      </c>
      <c r="P8" s="87" t="str">
        <f t="shared" si="10"/>
        <v>$0.00</v>
      </c>
      <c r="Q8" s="83">
        <f t="shared" si="3"/>
        <v>0</v>
      </c>
      <c r="R8" s="83">
        <f t="shared" si="4"/>
        <v>0</v>
      </c>
      <c r="S8" s="88" t="str">
        <f t="shared" si="11"/>
        <v>$0.00</v>
      </c>
      <c r="AA8" s="166" t="str">
        <f>IF(L8="lifetime", "one-time cost", IF(D8='Master Data'!$B$8, AD8 &amp; AE8, AD8 &amp; AE8 &amp; AC8))</f>
        <v>one-time cost</v>
      </c>
      <c r="AB8" s="208" t="str">
        <f t="shared" si="5"/>
        <v>x/lifetime</v>
      </c>
      <c r="AC8" s="166" t="str">
        <f ca="1">IF(Table10[[#This Row],[Duration (Years):]]&lt;&gt;'Master Data'!$B$8,CONCATENATE(",",CHAR(10),"for ",Table10[[#This Row],[Duration (Years):]]," years"),"lifelong")</f>
        <v>lifelong</v>
      </c>
      <c r="AD8" s="166" t="str">
        <f t="shared" si="6"/>
        <v>one-time cost</v>
      </c>
      <c r="AE8" s="166" t="str">
        <f t="shared" si="7"/>
        <v>one-time cost</v>
      </c>
    </row>
    <row r="9" spans="1:31" ht="45" customHeight="1" x14ac:dyDescent="0.2">
      <c r="A9" s="93"/>
      <c r="B9" s="82">
        <f ca="1">'Master Data'!$B$6</f>
        <v>126.3</v>
      </c>
      <c r="C9" s="82">
        <f ca="1">'Master Data'!$B$7</f>
        <v>136.30000000000001</v>
      </c>
      <c r="D9" s="82">
        <f t="shared" ca="1" si="8"/>
        <v>10</v>
      </c>
      <c r="E9" s="83"/>
      <c r="F9" s="83"/>
      <c r="G9" s="84" t="str">
        <f t="shared" si="9"/>
        <v>$0.00</v>
      </c>
      <c r="H9" s="85"/>
      <c r="I9" s="85"/>
      <c r="J9" s="85"/>
      <c r="K9" s="85"/>
      <c r="L9" s="103" t="str">
        <f t="shared" si="0"/>
        <v>lifetime</v>
      </c>
      <c r="M9" s="86" t="str">
        <f>IF(L9="lifetime",
    IF(I9&lt;&gt;"", H9 &amp; "-" &amp; I9 &amp; "x/lifetime", H9 &amp; "x/lifetime"),
    IF(D9='Master Data'!$B$8, AD9 &amp; AE9, AD9 &amp; AE9 &amp; AC9))</f>
        <v>x/lifetime</v>
      </c>
      <c r="N9" s="83">
        <f t="shared" si="1"/>
        <v>0</v>
      </c>
      <c r="O9" s="83">
        <f t="shared" si="2"/>
        <v>0</v>
      </c>
      <c r="P9" s="87" t="str">
        <f t="shared" si="10"/>
        <v>$0.00</v>
      </c>
      <c r="Q9" s="83">
        <f t="shared" si="3"/>
        <v>0</v>
      </c>
      <c r="R9" s="83">
        <f t="shared" si="4"/>
        <v>0</v>
      </c>
      <c r="S9" s="88" t="str">
        <f t="shared" si="11"/>
        <v>$0.00</v>
      </c>
      <c r="AA9" s="166" t="str">
        <f>IF(L9="lifetime", "one-time cost", IF(D9='Master Data'!$B$8, AD9 &amp; AE9, AD9 &amp; AE9 &amp; AC9))</f>
        <v>one-time cost</v>
      </c>
      <c r="AB9" s="208" t="str">
        <f t="shared" si="5"/>
        <v>x/lifetime</v>
      </c>
      <c r="AC9" s="166" t="str">
        <f ca="1">IF(Table10[[#This Row],[Duration (Years):]]&lt;&gt;'Master Data'!$B$8,CONCATENATE(",",CHAR(10),"for ",Table10[[#This Row],[Duration (Years):]]," years"),"lifelong")</f>
        <v>lifelong</v>
      </c>
      <c r="AD9" s="166" t="str">
        <f t="shared" si="6"/>
        <v>one-time cost</v>
      </c>
      <c r="AE9" s="166" t="str">
        <f t="shared" si="7"/>
        <v>one-time cost</v>
      </c>
    </row>
    <row r="10" spans="1:31" ht="45" customHeight="1" x14ac:dyDescent="0.2">
      <c r="A10" s="93"/>
      <c r="B10" s="82">
        <f ca="1">'Master Data'!$B$6</f>
        <v>126.3</v>
      </c>
      <c r="C10" s="82">
        <f ca="1">'Master Data'!$B$7</f>
        <v>136.30000000000001</v>
      </c>
      <c r="D10" s="82">
        <f t="shared" ca="1" si="8"/>
        <v>10</v>
      </c>
      <c r="E10" s="83"/>
      <c r="F10" s="83"/>
      <c r="G10" s="84" t="str">
        <f t="shared" si="9"/>
        <v>$0.00</v>
      </c>
      <c r="H10" s="85"/>
      <c r="I10" s="85"/>
      <c r="J10" s="85"/>
      <c r="K10" s="85"/>
      <c r="L10" s="103" t="str">
        <f t="shared" si="0"/>
        <v>lifetime</v>
      </c>
      <c r="M10" s="86" t="str">
        <f>IF(L10="lifetime",
    IF(I10&lt;&gt;"", H10 &amp; "-" &amp; I10 &amp; "x/lifetime", H10 &amp; "x/lifetime"),
    IF(D10='Master Data'!$B$8, AD10 &amp; AE10, AD10 &amp; AE10 &amp; AC10))</f>
        <v>x/lifetime</v>
      </c>
      <c r="N10" s="83">
        <f t="shared" si="1"/>
        <v>0</v>
      </c>
      <c r="O10" s="83">
        <f t="shared" si="2"/>
        <v>0</v>
      </c>
      <c r="P10" s="87" t="str">
        <f t="shared" si="10"/>
        <v>$0.00</v>
      </c>
      <c r="Q10" s="83">
        <f t="shared" si="3"/>
        <v>0</v>
      </c>
      <c r="R10" s="83">
        <f t="shared" si="4"/>
        <v>0</v>
      </c>
      <c r="S10" s="88" t="str">
        <f t="shared" si="11"/>
        <v>$0.00</v>
      </c>
      <c r="AA10" s="166" t="str">
        <f>IF(L10="lifetime", "one-time cost", IF(D10='Master Data'!$B$8, AD10 &amp; AE10, AD10 &amp; AE10 &amp; AC10))</f>
        <v>one-time cost</v>
      </c>
      <c r="AB10" s="208" t="str">
        <f t="shared" si="5"/>
        <v>x/lifetime</v>
      </c>
      <c r="AC10" s="166" t="str">
        <f ca="1">IF(Table10[[#This Row],[Duration (Years):]]&lt;&gt;'Master Data'!$B$8,CONCATENATE(",",CHAR(10),"for ",Table10[[#This Row],[Duration (Years):]]," years"),"lifelong")</f>
        <v>lifelong</v>
      </c>
      <c r="AD10" s="166" t="str">
        <f t="shared" si="6"/>
        <v>one-time cost</v>
      </c>
      <c r="AE10" s="166" t="str">
        <f t="shared" si="7"/>
        <v>one-time cost</v>
      </c>
    </row>
    <row r="11" spans="1:31" ht="45" customHeight="1" thickBot="1" x14ac:dyDescent="0.25">
      <c r="A11" s="93"/>
      <c r="B11" s="82">
        <f ca="1">'Master Data'!$B$6</f>
        <v>126.3</v>
      </c>
      <c r="C11" s="82">
        <f ca="1">'Master Data'!$B$7</f>
        <v>136.30000000000001</v>
      </c>
      <c r="D11" s="82">
        <f t="shared" ca="1" si="8"/>
        <v>10</v>
      </c>
      <c r="E11" s="83"/>
      <c r="F11" s="83"/>
      <c r="G11" s="84" t="str">
        <f t="shared" si="9"/>
        <v>$0.00</v>
      </c>
      <c r="H11" s="85"/>
      <c r="I11" s="85"/>
      <c r="J11" s="85"/>
      <c r="K11" s="85"/>
      <c r="L11" s="103" t="str">
        <f t="shared" si="0"/>
        <v>lifetime</v>
      </c>
      <c r="M11" s="86" t="str">
        <f>IF(L11="lifetime",
    IF(I11&lt;&gt;"", H11 &amp; "-" &amp; I11 &amp; "x/lifetime", H11 &amp; "x/lifetime"),
    IF(D11='Master Data'!$B$8, AD11 &amp; AE11, AD11 &amp; AE11 &amp; AC11))</f>
        <v>x/lifetime</v>
      </c>
      <c r="N11" s="83">
        <f t="shared" si="1"/>
        <v>0</v>
      </c>
      <c r="O11" s="83">
        <f t="shared" si="2"/>
        <v>0</v>
      </c>
      <c r="P11" s="87" t="str">
        <f t="shared" si="10"/>
        <v>$0.00</v>
      </c>
      <c r="Q11" s="83">
        <f t="shared" si="3"/>
        <v>0</v>
      </c>
      <c r="R11" s="83">
        <f t="shared" si="4"/>
        <v>0</v>
      </c>
      <c r="S11" s="88" t="str">
        <f t="shared" si="11"/>
        <v>$0.00</v>
      </c>
      <c r="AA11" s="166" t="str">
        <f>IF(L11="lifetime", "one-time cost", IF(D11='Master Data'!$B$8, AD11 &amp; AE11, AD11 &amp; AE11 &amp; AC11))</f>
        <v>one-time cost</v>
      </c>
      <c r="AB11" s="208" t="str">
        <f t="shared" si="5"/>
        <v>x/lifetime</v>
      </c>
      <c r="AC11" s="166" t="str">
        <f ca="1">IF(Table10[[#This Row],[Duration (Years):]]&lt;&gt;'Master Data'!$B$8,CONCATENATE(",",CHAR(10),"for ",Table10[[#This Row],[Duration (Years):]]," years"),"lifelong")</f>
        <v>lifelong</v>
      </c>
      <c r="AD11" s="166" t="str">
        <f t="shared" si="6"/>
        <v>one-time cost</v>
      </c>
      <c r="AE11" s="166" t="str">
        <f t="shared" si="7"/>
        <v>one-time cost</v>
      </c>
    </row>
    <row r="12" spans="1:31" ht="15.75" thickTop="1" thickBot="1" x14ac:dyDescent="0.25">
      <c r="A12" s="343" t="s">
        <v>32</v>
      </c>
      <c r="B12" s="344"/>
      <c r="C12" s="344"/>
      <c r="D12" s="344"/>
      <c r="E12" s="344"/>
      <c r="F12" s="344"/>
      <c r="G12" s="344"/>
      <c r="H12" s="344"/>
      <c r="I12" s="344"/>
      <c r="J12" s="344"/>
      <c r="K12" s="344"/>
      <c r="L12" s="344"/>
      <c r="M12" s="344"/>
      <c r="N12" s="69"/>
      <c r="O12" s="69"/>
      <c r="P12" s="70" t="str">
        <f ca="1">IF(U3="same",IF(SUM(Table10[Annual Cost Max:])=0,"$0.00",CONCATENATE(TEXT(SUM(AnnMin),"$#,##0.00"),CHAR(10)," - ",CHAR(10),TEXT(SUM(AnnMax),"$#,##0.00"))),"Variable by year")</f>
        <v>$0.00</v>
      </c>
      <c r="Q12" s="69"/>
      <c r="R12" s="69"/>
      <c r="S12" s="71" t="str">
        <f>IF(SUM(OneTimeMax)=0,"$0.00",CONCATENATE(TEXT(SUM(OneTimeMin),"$#,##0.00"),CHAR(10)," - ",CHAR(10),TEXT(SUM(OneTimeMax),"$#,##0.00")))</f>
        <v>$0.00</v>
      </c>
      <c r="AA12" s="166" t="e">
        <f>IF(L12="lifetime", "one-time cost", IF(D12='Master Data'!$B$8, AD12 &amp; AE12, AD12 &amp; AE12 &amp; AC12))</f>
        <v>#VALUE!</v>
      </c>
      <c r="AB12" s="208" t="str">
        <f t="shared" si="5"/>
        <v>ongoing cost</v>
      </c>
      <c r="AC12" s="166" t="e">
        <f>IF(Table10[[#This Row],[Duration (Years):]]&lt;&gt;'Master Data'!$B$8,CONCATENATE(",",CHAR(10),"for ",Table10[[#This Row],[Duration (Years):]]," years"),"lifelong")</f>
        <v>#VALUE!</v>
      </c>
      <c r="AD12" s="166" t="str">
        <f t="shared" si="6"/>
        <v>x/</v>
      </c>
      <c r="AE12" s="166">
        <f t="shared" si="7"/>
        <v>0</v>
      </c>
    </row>
    <row r="13" spans="1:31" ht="15" thickTop="1" x14ac:dyDescent="0.2">
      <c r="AA13" s="166" t="e">
        <f>IF(L13="lifetime", "one-time cost", IF(D13='Master Data'!$B$8, AD13 &amp; AE13, AD13 &amp; AE13 &amp; AC13))</f>
        <v>#VALUE!</v>
      </c>
      <c r="AB13" s="208" t="str">
        <f t="shared" si="5"/>
        <v>ongoing cost</v>
      </c>
      <c r="AC13" s="166" t="e">
        <f>IF(Table10[[#This Row],[Duration (Years):]]&lt;&gt;'Master Data'!$B$8,CONCATENATE(",",CHAR(10),"for ",Table10[[#This Row],[Duration (Years):]]," years"),"lifelong")</f>
        <v>#VALUE!</v>
      </c>
      <c r="AD13" s="166" t="str">
        <f t="shared" si="6"/>
        <v>x/</v>
      </c>
      <c r="AE13" s="166">
        <f t="shared" si="7"/>
        <v>0</v>
      </c>
    </row>
    <row r="14" spans="1:31" ht="14.25" x14ac:dyDescent="0.2">
      <c r="A14" s="94"/>
      <c r="B14" s="8"/>
      <c r="C14" s="8"/>
      <c r="D14" s="94" t="s">
        <v>69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AA14" s="166" t="e">
        <f>IF(L14="lifetime", "one-time cost", IF(D14='Master Data'!$B$8, AD14 &amp; AE14, AD14 &amp; AE14 &amp; AC14))</f>
        <v>#VALUE!</v>
      </c>
      <c r="AB14" s="208" t="str">
        <f t="shared" si="5"/>
        <v>ongoing cost</v>
      </c>
      <c r="AC14" s="166" t="e">
        <f>IF(Table10[[#This Row],[Duration (Years):]]&lt;&gt;'Master Data'!$B$8,CONCATENATE(",",CHAR(10),"for ",Table10[[#This Row],[Duration (Years):]]," years"),"lifelong")</f>
        <v>#VALUE!</v>
      </c>
      <c r="AD14" s="166" t="str">
        <f t="shared" si="6"/>
        <v>x/</v>
      </c>
      <c r="AE14" s="166">
        <f t="shared" si="7"/>
        <v>0</v>
      </c>
    </row>
    <row r="15" spans="1:31" ht="14.25" x14ac:dyDescent="0.2">
      <c r="AA15" s="166" t="e">
        <f>IF(L15="lifetime", "one-time cost", IF(D15='Master Data'!$B$8, AD15 &amp; AE15, AD15 &amp; AE15 &amp; AC15))</f>
        <v>#VALUE!</v>
      </c>
      <c r="AB15" s="208" t="str">
        <f t="shared" si="5"/>
        <v>ongoing cost</v>
      </c>
      <c r="AC15" s="166" t="e">
        <f>IF(Table10[[#This Row],[Duration (Years):]]&lt;&gt;'Master Data'!$B$8,CONCATENATE(",",CHAR(10),"for ",Table10[[#This Row],[Duration (Years):]]," years"),"lifelong")</f>
        <v>#VALUE!</v>
      </c>
      <c r="AD15" s="166" t="str">
        <f t="shared" si="6"/>
        <v>x/</v>
      </c>
      <c r="AE15" s="166">
        <f t="shared" si="7"/>
        <v>0</v>
      </c>
    </row>
    <row r="16" spans="1:31" ht="14.25" x14ac:dyDescent="0.2">
      <c r="AA16" s="166" t="e">
        <f>IF(L16="lifetime", "one-time cost", IF(D16='Master Data'!$B$8, AD16 &amp; AE16, AD16 &amp; AE16 &amp; AC16))</f>
        <v>#VALUE!</v>
      </c>
      <c r="AB16" s="208" t="str">
        <f t="shared" si="5"/>
        <v>ongoing cost</v>
      </c>
      <c r="AC16" s="166" t="e">
        <f>IF(Table10[[#This Row],[Duration (Years):]]&lt;&gt;'Master Data'!$B$8,CONCATENATE(",",CHAR(10),"for ",Table10[[#This Row],[Duration (Years):]]," years"),"lifelong")</f>
        <v>#VALUE!</v>
      </c>
      <c r="AD16" s="166" t="str">
        <f t="shared" si="6"/>
        <v>x/</v>
      </c>
      <c r="AE16" s="166">
        <f t="shared" si="7"/>
        <v>0</v>
      </c>
    </row>
    <row r="17" spans="27:31" ht="14.25" x14ac:dyDescent="0.2">
      <c r="AA17" s="166" t="e">
        <f>IF(L17="lifetime", "one-time cost", IF(D17='Master Data'!$B$8, AD17 &amp; AE17, AD17 &amp; AE17 &amp; AC17))</f>
        <v>#VALUE!</v>
      </c>
      <c r="AB17" s="208" t="str">
        <f t="shared" si="5"/>
        <v>ongoing cost</v>
      </c>
      <c r="AC17" s="166" t="e">
        <f>IF(Table10[[#This Row],[Duration (Years):]]&lt;&gt;'Master Data'!$B$8,CONCATENATE(",",CHAR(10),"for ",Table10[[#This Row],[Duration (Years):]]," years"),"lifelong")</f>
        <v>#VALUE!</v>
      </c>
      <c r="AD17" s="166" t="str">
        <f t="shared" si="6"/>
        <v>x/</v>
      </c>
      <c r="AE17" s="166">
        <f t="shared" si="7"/>
        <v>0</v>
      </c>
    </row>
    <row r="18" spans="27:31" ht="14.25" x14ac:dyDescent="0.2">
      <c r="AA18" s="166" t="e">
        <f>IF(L18="lifetime", "one-time cost", IF(D18='Master Data'!$B$8, AD18 &amp; AE18, AD18 &amp; AE18 &amp; AC18))</f>
        <v>#VALUE!</v>
      </c>
      <c r="AB18" s="208" t="str">
        <f t="shared" si="5"/>
        <v>ongoing cost</v>
      </c>
      <c r="AC18" s="166" t="e">
        <f>IF(Table10[[#This Row],[Duration (Years):]]&lt;&gt;'Master Data'!$B$8,CONCATENATE(",",CHAR(10),"for ",Table10[[#This Row],[Duration (Years):]]," years"),"lifelong")</f>
        <v>#VALUE!</v>
      </c>
      <c r="AD18" s="166" t="str">
        <f t="shared" si="6"/>
        <v>x/</v>
      </c>
      <c r="AE18" s="166">
        <f t="shared" si="7"/>
        <v>0</v>
      </c>
    </row>
    <row r="19" spans="27:31" ht="14.25" x14ac:dyDescent="0.2">
      <c r="AA19" s="166" t="e">
        <f>IF(L19="lifetime", "one-time cost", IF(D19='Master Data'!$B$8, AD19 &amp; AE19, AD19 &amp; AE19 &amp; AC19))</f>
        <v>#VALUE!</v>
      </c>
      <c r="AB19" s="208" t="str">
        <f t="shared" si="5"/>
        <v>ongoing cost</v>
      </c>
      <c r="AC19" s="166" t="e">
        <f>IF(Table10[[#This Row],[Duration (Years):]]&lt;&gt;'Master Data'!$B$8,CONCATENATE(",",CHAR(10),"for ",Table10[[#This Row],[Duration (Years):]]," years"),"lifelong")</f>
        <v>#VALUE!</v>
      </c>
      <c r="AD19" s="166" t="str">
        <f t="shared" si="6"/>
        <v>x/</v>
      </c>
      <c r="AE19" s="166">
        <f t="shared" si="7"/>
        <v>0</v>
      </c>
    </row>
    <row r="20" spans="27:31" ht="14.25" x14ac:dyDescent="0.2">
      <c r="AA20" s="166" t="e">
        <f>IF(L20="lifetime", "one-time cost", IF(D20='Master Data'!$B$8, AD20 &amp; AE20, AD20 &amp; AE20 &amp; AC20))</f>
        <v>#VALUE!</v>
      </c>
      <c r="AB20" s="208" t="str">
        <f t="shared" si="5"/>
        <v>ongoing cost</v>
      </c>
      <c r="AC20" s="166" t="e">
        <f>IF(Table10[[#This Row],[Duration (Years):]]&lt;&gt;'Master Data'!$B$8,CONCATENATE(",",CHAR(10),"for ",Table10[[#This Row],[Duration (Years):]]," years"),"lifelong")</f>
        <v>#VALUE!</v>
      </c>
      <c r="AD20" s="166" t="str">
        <f t="shared" si="6"/>
        <v>x/</v>
      </c>
      <c r="AE20" s="166">
        <f t="shared" si="7"/>
        <v>0</v>
      </c>
    </row>
    <row r="21" spans="27:31" ht="14.25" x14ac:dyDescent="0.2">
      <c r="AA21" s="166" t="e">
        <f>IF(L21="lifetime", "one-time cost", IF(D21='Master Data'!$B$8, AD21 &amp; AE21, AD21 &amp; AE21 &amp; AC21))</f>
        <v>#VALUE!</v>
      </c>
      <c r="AB21" s="208" t="str">
        <f t="shared" si="5"/>
        <v>ongoing cost</v>
      </c>
      <c r="AC21" s="166" t="e">
        <f>IF(Table10[[#This Row],[Duration (Years):]]&lt;&gt;'Master Data'!$B$8,CONCATENATE(",",CHAR(10),"for ",Table10[[#This Row],[Duration (Years):]]," years"),"lifelong")</f>
        <v>#VALUE!</v>
      </c>
      <c r="AD21" s="166" t="str">
        <f t="shared" si="6"/>
        <v>x/</v>
      </c>
      <c r="AE21" s="166">
        <f t="shared" si="7"/>
        <v>0</v>
      </c>
    </row>
    <row r="22" spans="27:31" ht="14.25" x14ac:dyDescent="0.2">
      <c r="AA22" s="166" t="e">
        <f>IF(L22="lifetime", "one-time cost", IF(D22='Master Data'!$B$8, AD22 &amp; AE22, AD22 &amp; AE22 &amp; AC22))</f>
        <v>#VALUE!</v>
      </c>
      <c r="AB22" s="208" t="str">
        <f t="shared" si="5"/>
        <v>ongoing cost</v>
      </c>
      <c r="AC22" s="166" t="e">
        <f>IF(Table10[[#This Row],[Duration (Years):]]&lt;&gt;'Master Data'!$B$8,CONCATENATE(",",CHAR(10),"for ",Table10[[#This Row],[Duration (Years):]]," years"),"lifelong")</f>
        <v>#VALUE!</v>
      </c>
      <c r="AD22" s="166" t="str">
        <f t="shared" si="6"/>
        <v>x/</v>
      </c>
      <c r="AE22" s="166">
        <f t="shared" si="7"/>
        <v>0</v>
      </c>
    </row>
    <row r="23" spans="27:31" ht="14.25" x14ac:dyDescent="0.2">
      <c r="AA23" s="166" t="e">
        <f>IF(L23="lifetime", "one-time cost", IF(D23='Master Data'!$B$8, AD23 &amp; AE23, AD23 &amp; AE23 &amp; AC23))</f>
        <v>#VALUE!</v>
      </c>
      <c r="AB23" s="208" t="str">
        <f t="shared" si="5"/>
        <v>ongoing cost</v>
      </c>
      <c r="AC23" s="166" t="e">
        <f>IF(Table10[[#This Row],[Duration (Years):]]&lt;&gt;'Master Data'!$B$8,CONCATENATE(",",CHAR(10),"for ",Table10[[#This Row],[Duration (Years):]]," years"),"lifelong")</f>
        <v>#VALUE!</v>
      </c>
      <c r="AD23" s="166" t="str">
        <f t="shared" si="6"/>
        <v>x/</v>
      </c>
      <c r="AE23" s="166">
        <f t="shared" si="7"/>
        <v>0</v>
      </c>
    </row>
    <row r="24" spans="27:31" ht="14.25" x14ac:dyDescent="0.2">
      <c r="AA24" s="166" t="e">
        <f>IF(L24="lifetime", "one-time cost", IF(D24='Master Data'!$B$8, AD24 &amp; AE24, AD24 &amp; AE24 &amp; AC24))</f>
        <v>#VALUE!</v>
      </c>
      <c r="AB24" s="208" t="str">
        <f t="shared" si="5"/>
        <v>ongoing cost</v>
      </c>
      <c r="AC24" s="166" t="e">
        <f>IF(Table10[[#This Row],[Duration (Years):]]&lt;&gt;'Master Data'!$B$8,CONCATENATE(",",CHAR(10),"for ",Table10[[#This Row],[Duration (Years):]]," years"),"lifelong")</f>
        <v>#VALUE!</v>
      </c>
      <c r="AD24" s="166" t="str">
        <f t="shared" si="6"/>
        <v>x/</v>
      </c>
      <c r="AE24" s="166">
        <f t="shared" si="7"/>
        <v>0</v>
      </c>
    </row>
    <row r="25" spans="27:31" ht="14.25" x14ac:dyDescent="0.2">
      <c r="AA25" s="166" t="e">
        <f>IF(L25="lifetime", "one-time cost", IF(D25='Master Data'!$B$8, AD25 &amp; AE25, AD25 &amp; AE25 &amp; AC25))</f>
        <v>#VALUE!</v>
      </c>
      <c r="AB25" s="208" t="str">
        <f t="shared" si="5"/>
        <v>ongoing cost</v>
      </c>
      <c r="AC25" s="166" t="e">
        <f>IF(Table10[[#This Row],[Duration (Years):]]&lt;&gt;'Master Data'!$B$8,CONCATENATE(",",CHAR(10),"for ",Table10[[#This Row],[Duration (Years):]]," years"),"lifelong")</f>
        <v>#VALUE!</v>
      </c>
      <c r="AD25" s="166" t="str">
        <f t="shared" si="6"/>
        <v>x/</v>
      </c>
      <c r="AE25" s="166">
        <f t="shared" si="7"/>
        <v>0</v>
      </c>
    </row>
    <row r="26" spans="27:31" ht="14.25" x14ac:dyDescent="0.2">
      <c r="AA26" s="166" t="e">
        <f>IF(L26="lifetime", "one-time cost", IF(D26='Master Data'!$B$8, AD26 &amp; AE26, AD26 &amp; AE26 &amp; AC26))</f>
        <v>#VALUE!</v>
      </c>
      <c r="AB26" s="208" t="str">
        <f t="shared" si="5"/>
        <v>ongoing cost</v>
      </c>
      <c r="AC26" s="166" t="e">
        <f>IF(Table10[[#This Row],[Duration (Years):]]&lt;&gt;'Master Data'!$B$8,CONCATENATE(",",CHAR(10),"for ",Table10[[#This Row],[Duration (Years):]]," years"),"lifelong")</f>
        <v>#VALUE!</v>
      </c>
      <c r="AD26" s="166" t="str">
        <f t="shared" si="6"/>
        <v>x/</v>
      </c>
      <c r="AE26" s="166">
        <f t="shared" si="7"/>
        <v>0</v>
      </c>
    </row>
    <row r="27" spans="27:31" ht="14.25" x14ac:dyDescent="0.2">
      <c r="AA27" s="166" t="e">
        <f>IF(L27="lifetime", "one-time cost", IF(D27='Master Data'!$B$8, AD27 &amp; AE27, AD27 &amp; AE27 &amp; AC27))</f>
        <v>#VALUE!</v>
      </c>
      <c r="AB27" s="208" t="str">
        <f t="shared" si="5"/>
        <v>ongoing cost</v>
      </c>
      <c r="AC27" s="166" t="e">
        <f>IF(Table10[[#This Row],[Duration (Years):]]&lt;&gt;'Master Data'!$B$8,CONCATENATE(",",CHAR(10),"for ",Table10[[#This Row],[Duration (Years):]]," years"),"lifelong")</f>
        <v>#VALUE!</v>
      </c>
      <c r="AD27" s="166" t="str">
        <f t="shared" si="6"/>
        <v>x/</v>
      </c>
      <c r="AE27" s="166">
        <f t="shared" si="7"/>
        <v>0</v>
      </c>
    </row>
    <row r="28" spans="27:31" ht="14.25" x14ac:dyDescent="0.2">
      <c r="AA28" s="166" t="e">
        <f>IF(L28="lifetime", "one-time cost", IF(D28='Master Data'!$B$8, AD28 &amp; AE28, AD28 &amp; AE28 &amp; AC28))</f>
        <v>#VALUE!</v>
      </c>
      <c r="AB28" s="208" t="str">
        <f t="shared" si="5"/>
        <v>ongoing cost</v>
      </c>
      <c r="AC28" s="166" t="e">
        <f>IF(Table10[[#This Row],[Duration (Years):]]&lt;&gt;'Master Data'!$B$8,CONCATENATE(",",CHAR(10),"for ",Table10[[#This Row],[Duration (Years):]]," years"),"lifelong")</f>
        <v>#VALUE!</v>
      </c>
      <c r="AD28" s="166" t="str">
        <f t="shared" si="6"/>
        <v>x/</v>
      </c>
      <c r="AE28" s="166">
        <f t="shared" si="7"/>
        <v>0</v>
      </c>
    </row>
    <row r="29" spans="27:31" ht="14.25" x14ac:dyDescent="0.2">
      <c r="AA29" s="166" t="e">
        <f>IF(L29="lifetime", "one-time cost", IF(D29='Master Data'!$B$8, AD29 &amp; AE29, AD29 &amp; AE29 &amp; AC29))</f>
        <v>#VALUE!</v>
      </c>
      <c r="AB29" s="208" t="str">
        <f t="shared" si="5"/>
        <v>ongoing cost</v>
      </c>
      <c r="AC29" s="166" t="e">
        <f>IF(Table10[[#This Row],[Duration (Years):]]&lt;&gt;'Master Data'!$B$8,CONCATENATE(",",CHAR(10),"for ",Table10[[#This Row],[Duration (Years):]]," years"),"lifelong")</f>
        <v>#VALUE!</v>
      </c>
      <c r="AD29" s="166" t="str">
        <f t="shared" si="6"/>
        <v>x/</v>
      </c>
      <c r="AE29" s="166">
        <f t="shared" si="7"/>
        <v>0</v>
      </c>
    </row>
    <row r="30" spans="27:31" ht="14.25" x14ac:dyDescent="0.2">
      <c r="AA30" s="166" t="e">
        <f>IF(L30="lifetime", "one-time cost", IF(D30='Master Data'!$B$8, AD30 &amp; AE30, AD30 &amp; AE30 &amp; AC30))</f>
        <v>#VALUE!</v>
      </c>
      <c r="AB30" s="208" t="str">
        <f t="shared" si="5"/>
        <v>ongoing cost</v>
      </c>
      <c r="AC30" s="166" t="e">
        <f>IF(Table10[[#This Row],[Duration (Years):]]&lt;&gt;'Master Data'!$B$8,CONCATENATE(",",CHAR(10),"for ",Table10[[#This Row],[Duration (Years):]]," years"),"lifelong")</f>
        <v>#VALUE!</v>
      </c>
      <c r="AD30" s="166" t="str">
        <f t="shared" si="6"/>
        <v>x/</v>
      </c>
      <c r="AE30" s="166">
        <f t="shared" si="7"/>
        <v>0</v>
      </c>
    </row>
    <row r="31" spans="27:31" ht="14.25" x14ac:dyDescent="0.2">
      <c r="AA31" s="166" t="e">
        <f>IF(L31="lifetime", "one-time cost", IF(D31='Master Data'!$B$8, AD31 &amp; AE31, AD31 &amp; AE31 &amp; AC31))</f>
        <v>#VALUE!</v>
      </c>
      <c r="AB31" s="208" t="str">
        <f t="shared" si="5"/>
        <v>ongoing cost</v>
      </c>
      <c r="AC31" s="166" t="e">
        <f>IF(Table10[[#This Row],[Duration (Years):]]&lt;&gt;'Master Data'!$B$8,CONCATENATE(",",CHAR(10),"for ",Table10[[#This Row],[Duration (Years):]]," years"),"lifelong")</f>
        <v>#VALUE!</v>
      </c>
      <c r="AD31" s="166" t="str">
        <f t="shared" si="6"/>
        <v>x/</v>
      </c>
      <c r="AE31" s="166">
        <f t="shared" si="7"/>
        <v>0</v>
      </c>
    </row>
    <row r="32" spans="27:31" ht="14.25" x14ac:dyDescent="0.2">
      <c r="AA32" s="166" t="e">
        <f>IF(L32="lifetime", "one-time cost", IF(D32='Master Data'!$B$8, AD32 &amp; AE32, AD32 &amp; AE32 &amp; AC32))</f>
        <v>#VALUE!</v>
      </c>
      <c r="AB32" s="208" t="str">
        <f t="shared" si="5"/>
        <v>ongoing cost</v>
      </c>
      <c r="AC32" s="166" t="e">
        <f>IF(Table10[[#This Row],[Duration (Years):]]&lt;&gt;'Master Data'!$B$8,CONCATENATE(",",CHAR(10),"for ",Table10[[#This Row],[Duration (Years):]]," years"),"lifelong")</f>
        <v>#VALUE!</v>
      </c>
      <c r="AD32" s="166" t="str">
        <f t="shared" si="6"/>
        <v>x/</v>
      </c>
      <c r="AE32" s="166">
        <f t="shared" si="7"/>
        <v>0</v>
      </c>
    </row>
    <row r="33" spans="27:31" ht="14.25" x14ac:dyDescent="0.2">
      <c r="AA33" s="166" t="e">
        <f>IF(L33="lifetime", "one-time cost", IF(D33='Master Data'!$B$8, AD33 &amp; AE33, AD33 &amp; AE33 &amp; AC33))</f>
        <v>#VALUE!</v>
      </c>
      <c r="AB33" s="208" t="str">
        <f t="shared" si="5"/>
        <v>ongoing cost</v>
      </c>
      <c r="AC33" s="166" t="e">
        <f>IF(Table10[[#This Row],[Duration (Years):]]&lt;&gt;'Master Data'!$B$8,CONCATENATE(",",CHAR(10),"for ",Table10[[#This Row],[Duration (Years):]]," years"),"lifelong")</f>
        <v>#VALUE!</v>
      </c>
      <c r="AD33" s="166" t="str">
        <f t="shared" si="6"/>
        <v>x/</v>
      </c>
      <c r="AE33" s="166">
        <f t="shared" si="7"/>
        <v>0</v>
      </c>
    </row>
    <row r="34" spans="27:31" ht="14.25" x14ac:dyDescent="0.2">
      <c r="AA34" s="166" t="e">
        <f>IF(L34="lifetime", "one-time cost", IF(D34='Master Data'!$B$8, AD34 &amp; AE34, AD34 &amp; AE34 &amp; AC34))</f>
        <v>#VALUE!</v>
      </c>
      <c r="AB34" s="208" t="str">
        <f t="shared" si="5"/>
        <v>ongoing cost</v>
      </c>
      <c r="AC34" s="166" t="e">
        <f>IF(Table10[[#This Row],[Duration (Years):]]&lt;&gt;'Master Data'!$B$8,CONCATENATE(",",CHAR(10),"for ",Table10[[#This Row],[Duration (Years):]]," years"),"lifelong")</f>
        <v>#VALUE!</v>
      </c>
      <c r="AD34" s="166" t="str">
        <f t="shared" si="6"/>
        <v>x/</v>
      </c>
      <c r="AE34" s="166">
        <f t="shared" si="7"/>
        <v>0</v>
      </c>
    </row>
    <row r="35" spans="27:31" ht="14.25" x14ac:dyDescent="0.2">
      <c r="AA35" s="166" t="e">
        <f>IF(L35="lifetime", "one-time cost", IF(D35='Master Data'!$B$8, AD35 &amp; AE35, AD35 &amp; AE35 &amp; AC35))</f>
        <v>#VALUE!</v>
      </c>
      <c r="AB35" s="208" t="str">
        <f t="shared" si="5"/>
        <v>ongoing cost</v>
      </c>
      <c r="AC35" s="166" t="e">
        <f>IF(Table10[[#This Row],[Duration (Years):]]&lt;&gt;'Master Data'!$B$8,CONCATENATE(",",CHAR(10),"for ",Table10[[#This Row],[Duration (Years):]]," years"),"lifelong")</f>
        <v>#VALUE!</v>
      </c>
      <c r="AD35" s="166" t="str">
        <f t="shared" si="6"/>
        <v>x/</v>
      </c>
      <c r="AE35" s="166">
        <f t="shared" si="7"/>
        <v>0</v>
      </c>
    </row>
    <row r="36" spans="27:31" ht="14.25" x14ac:dyDescent="0.2">
      <c r="AA36" s="166" t="e">
        <f>IF(L36="lifetime", "one-time cost", IF(D36='Master Data'!$B$8, AD36 &amp; AE36, AD36 &amp; AE36 &amp; AC36))</f>
        <v>#VALUE!</v>
      </c>
      <c r="AB36" s="208" t="str">
        <f t="shared" si="5"/>
        <v>ongoing cost</v>
      </c>
      <c r="AC36" s="166" t="e">
        <f>IF(Table10[[#This Row],[Duration (Years):]]&lt;&gt;'Master Data'!$B$8,CONCATENATE(",",CHAR(10),"for ",Table10[[#This Row],[Duration (Years):]]," years"),"lifelong")</f>
        <v>#VALUE!</v>
      </c>
      <c r="AD36" s="166" t="str">
        <f t="shared" si="6"/>
        <v>x/</v>
      </c>
      <c r="AE36" s="166">
        <f t="shared" si="7"/>
        <v>0</v>
      </c>
    </row>
  </sheetData>
  <sortState xmlns:xlrd2="http://schemas.microsoft.com/office/spreadsheetml/2017/richdata2" ref="A3:S5">
    <sortCondition ref="D3"/>
    <sortCondition ref="A3"/>
  </sortState>
  <mergeCells count="3">
    <mergeCell ref="A1:S1"/>
    <mergeCell ref="A12:M12"/>
    <mergeCell ref="V3:W3"/>
  </mergeCells>
  <hyperlinks>
    <hyperlink ref="V3" location="Procedure1!A1" display="Link to copy/paste table here" xr:uid="{431BFD35-8B4E-421F-8920-18883FCD083E}"/>
    <hyperlink ref="V3:W3" location="Transport!A1" display="Link to copy/paste table here" xr:uid="{71CAC525-F83B-477E-A1B0-394EA5AD5F69}"/>
  </hyperlinks>
  <pageMargins left="0.25" right="0.25" top="0.75" bottom="0.75" header="0.3" footer="0.3"/>
  <pageSetup orientation="landscape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5F29-39D6-4AEA-994D-D34819080DB8}">
  <sheetPr codeName="Sheet45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F7F6-D3E9-4EE1-9927-CF3E27C86AC9}">
  <sheetPr codeName="Sheet29"/>
  <dimension ref="A1:I34"/>
  <sheetViews>
    <sheetView workbookViewId="0">
      <selection sqref="A1:G1"/>
    </sheetView>
  </sheetViews>
  <sheetFormatPr defaultRowHeight="15.75" x14ac:dyDescent="0.25"/>
  <cols>
    <col min="1" max="2" width="18.7109375" style="118" customWidth="1"/>
    <col min="3" max="4" width="10.7109375" style="118" customWidth="1"/>
    <col min="5" max="6" width="13.7109375" style="119" customWidth="1"/>
    <col min="7" max="7" width="18.7109375" style="118" customWidth="1"/>
    <col min="8" max="16384" width="9.140625" style="118"/>
  </cols>
  <sheetData>
    <row r="1" spans="1:9" x14ac:dyDescent="0.25">
      <c r="A1" s="353" t="str">
        <f>'1st Procedure'!A1</f>
        <v>PROCEDURES</v>
      </c>
      <c r="B1" s="353"/>
      <c r="C1" s="353"/>
      <c r="D1" s="353"/>
      <c r="E1" s="353"/>
      <c r="F1" s="353"/>
      <c r="G1" s="353"/>
    </row>
    <row r="2" spans="1:9" s="120" customFormat="1" x14ac:dyDescent="0.25">
      <c r="A2" s="256" t="s">
        <v>117</v>
      </c>
      <c r="B2" s="256" t="s">
        <v>118</v>
      </c>
      <c r="C2" s="256" t="s">
        <v>119</v>
      </c>
      <c r="D2" s="256" t="s">
        <v>120</v>
      </c>
      <c r="E2" s="258" t="s">
        <v>121</v>
      </c>
      <c r="F2" s="258" t="s">
        <v>122</v>
      </c>
      <c r="G2" s="256" t="s">
        <v>123</v>
      </c>
    </row>
    <row r="3" spans="1:9" s="121" customFormat="1" ht="102" x14ac:dyDescent="0.25">
      <c r="A3" s="260" t="str">
        <f>IFERROR(IF(Table14[[#This Row],[Description:]]&lt;&gt;"", Table14[[#This Row],[Description:]], ""), "")</f>
        <v>Double Lung Transplant</v>
      </c>
      <c r="B3" s="260" t="s">
        <v>284</v>
      </c>
      <c r="C3" s="261">
        <f ca="1">IFERROR(IF(Table14[[#This Row],[Description:]]&lt;&gt;"", Table14[[#This Row],[Duration (Years):]], ""), "")</f>
        <v>10</v>
      </c>
      <c r="D3" s="262" t="str">
        <f>IFERROR(IF(Table14[[#This Row],[Description:]]&lt;&gt;"", Table14[[#This Row],[Frequency:]], ""), "")</f>
        <v>1x/lifetime</v>
      </c>
      <c r="E3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>$2,346,500.00*
(based on $2,346,500.00/unit)</v>
      </c>
      <c r="F3" s="263" t="str">
        <f>IFERROR(IF(Table14[[#This Row],[Description:]]&lt;&gt;"", Table14[[#This Row],[Annual Cost:]], ""), "")</f>
        <v>$0.00</v>
      </c>
      <c r="G3" s="260" t="s">
        <v>276</v>
      </c>
    </row>
    <row r="4" spans="1:9" s="121" customFormat="1" ht="165.75" x14ac:dyDescent="0.25">
      <c r="A4" s="260" t="str">
        <f>IFERROR(IF(Table14[[#This Row],[Description:]]&lt;&gt;"", Table14[[#This Row],[Description:]], ""), "")</f>
        <v>Flexible Bronchoscopy with Transbronchial Biopsy or "Cryo Biopsy"</v>
      </c>
      <c r="B4" s="260" t="s">
        <v>285</v>
      </c>
      <c r="C4" s="261">
        <f ca="1">IFERROR(IF(Table14[[#This Row],[Description:]]&lt;&gt;"", Table14[[#This Row],[Duration (Years):]], ""), "")</f>
        <v>10</v>
      </c>
      <c r="D4" s="262" t="str">
        <f>IFERROR(IF(Table14[[#This Row],[Description:]]&lt;&gt;"", Table14[[#This Row],[Frequency:]], ""), "")</f>
        <v>5x/lifetime</v>
      </c>
      <c r="E4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>$84,315.00
 - 
$110,695.00*
(based on $16,863.00
 - 
$22,139.00/unit)</v>
      </c>
      <c r="F4" s="263" t="str">
        <f>IFERROR(IF(Table14[[#This Row],[Description:]]&lt;&gt;"", Table14[[#This Row],[Annual Cost:]], ""), "")</f>
        <v>$0.00</v>
      </c>
      <c r="G4" s="260" t="s">
        <v>277</v>
      </c>
    </row>
    <row r="5" spans="1:9" s="121" customFormat="1" ht="102" x14ac:dyDescent="0.25">
      <c r="A5" s="260" t="str">
        <f>IFERROR(IF(Table14[[#This Row],[Description:]]&lt;&gt;"", Table14[[#This Row],[Description:]], ""), "")</f>
        <v>Mohs Procedure</v>
      </c>
      <c r="B5" s="260" t="s">
        <v>286</v>
      </c>
      <c r="C5" s="261">
        <f ca="1">IFERROR(IF(Table14[[#This Row],[Description:]]&lt;&gt;"", Table14[[#This Row],[Duration (Years):]], ""), "")</f>
        <v>10</v>
      </c>
      <c r="D5" s="262" t="str">
        <f>IFERROR(IF(Table14[[#This Row],[Description:]]&lt;&gt;"", Table14[[#This Row],[Frequency:]], ""), "")</f>
        <v>1-2x/lifetime</v>
      </c>
      <c r="E5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>$4,253.00
 - 
$16,170.00*
(based on $4,253.00
 - 
$8,085.00/unit)</v>
      </c>
      <c r="F5" s="263" t="str">
        <f>IFERROR(IF(Table14[[#This Row],[Description:]]&lt;&gt;"", Table14[[#This Row],[Annual Cost:]], ""), "")</f>
        <v>$0.00</v>
      </c>
      <c r="G5" s="260" t="s">
        <v>278</v>
      </c>
    </row>
    <row r="6" spans="1:9" s="121" customFormat="1" ht="15" customHeight="1" x14ac:dyDescent="0.25">
      <c r="A6" s="260" t="str">
        <f>IFERROR(IF(Table14[[#This Row],[Description:]]&lt;&gt;"", Table14[[#This Row],[Description:]], ""), "")</f>
        <v/>
      </c>
      <c r="B6" s="260"/>
      <c r="C6" s="261" t="str">
        <f>IFERROR(IF(Table14[[#This Row],[Description:]]&lt;&gt;"", Table14[[#This Row],[Duration (Years):]], ""), "")</f>
        <v/>
      </c>
      <c r="D6" s="262" t="str">
        <f>IFERROR(IF(Table14[[#This Row],[Description:]]&lt;&gt;"", Table14[[#This Row],[Frequency:]], ""), "")</f>
        <v/>
      </c>
      <c r="E6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6" s="263" t="str">
        <f>IFERROR(IF(Table14[[#This Row],[Description:]]&lt;&gt;"", Table14[[#This Row],[Annual Cost:]], ""), "")</f>
        <v/>
      </c>
      <c r="G6" s="260"/>
    </row>
    <row r="7" spans="1:9" s="121" customFormat="1" ht="15" customHeight="1" x14ac:dyDescent="0.25">
      <c r="A7" s="260" t="str">
        <f>IFERROR(IF(Table14[[#This Row],[Description:]]&lt;&gt;"", Table14[[#This Row],[Description:]], ""), "")</f>
        <v/>
      </c>
      <c r="B7" s="260"/>
      <c r="C7" s="261" t="str">
        <f>IFERROR(IF(Table14[[#This Row],[Description:]]&lt;&gt;"", Table14[[#This Row],[Duration (Years):]], ""), "")</f>
        <v/>
      </c>
      <c r="D7" s="262" t="str">
        <f>IFERROR(IF(Table14[[#This Row],[Description:]]&lt;&gt;"", Table14[[#This Row],[Frequency:]], ""), "")</f>
        <v/>
      </c>
      <c r="E7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7" s="263" t="str">
        <f>IFERROR(IF(Table14[[#This Row],[Description:]]&lt;&gt;"", Table14[[#This Row],[Annual Cost:]], ""), "")</f>
        <v/>
      </c>
      <c r="G7" s="260"/>
    </row>
    <row r="8" spans="1:9" s="121" customFormat="1" ht="15" customHeight="1" x14ac:dyDescent="0.25">
      <c r="A8" s="260" t="str">
        <f>IFERROR(IF(Table14[[#This Row],[Description:]]&lt;&gt;"", Table14[[#This Row],[Description:]], ""), "")</f>
        <v/>
      </c>
      <c r="B8" s="260"/>
      <c r="C8" s="261" t="str">
        <f>IFERROR(IF(Table14[[#This Row],[Description:]]&lt;&gt;"", Table14[[#This Row],[Duration (Years):]], ""), "")</f>
        <v/>
      </c>
      <c r="D8" s="262" t="str">
        <f>IFERROR(IF(Table14[[#This Row],[Description:]]&lt;&gt;"", Table14[[#This Row],[Frequency:]], ""), "")</f>
        <v/>
      </c>
      <c r="E8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8" s="263" t="str">
        <f>IFERROR(IF(Table14[[#This Row],[Description:]]&lt;&gt;"", Table14[[#This Row],[Annual Cost:]], ""), "")</f>
        <v/>
      </c>
      <c r="G8" s="260"/>
      <c r="I8" s="118" t="s">
        <v>140</v>
      </c>
    </row>
    <row r="9" spans="1:9" s="121" customFormat="1" x14ac:dyDescent="0.25">
      <c r="A9" s="260" t="str">
        <f>IFERROR(IF(Table14[[#This Row],[Description:]]&lt;&gt;"", Table14[[#This Row],[Description:]], ""), "")</f>
        <v/>
      </c>
      <c r="B9" s="260"/>
      <c r="C9" s="261" t="str">
        <f>IFERROR(IF(Table14[[#This Row],[Description:]]&lt;&gt;"", Table14[[#This Row],[Duration (Years):]], ""), "")</f>
        <v/>
      </c>
      <c r="D9" s="262" t="str">
        <f>IFERROR(IF(Table14[[#This Row],[Description:]]&lt;&gt;"", Table14[[#This Row],[Frequency:]], ""), "")</f>
        <v/>
      </c>
      <c r="E9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9" s="263" t="str">
        <f>IFERROR(IF(Table14[[#This Row],[Description:]]&lt;&gt;"", Table14[[#This Row],[Annual Cost:]], ""), "")</f>
        <v/>
      </c>
      <c r="G9" s="260"/>
      <c r="I9" s="118" t="s">
        <v>141</v>
      </c>
    </row>
    <row r="10" spans="1:9" s="121" customFormat="1" x14ac:dyDescent="0.25">
      <c r="A10" s="260" t="str">
        <f>IFERROR(IF(Table14[[#This Row],[Description:]]&lt;&gt;"", Table14[[#This Row],[Description:]], ""), "")</f>
        <v/>
      </c>
      <c r="B10" s="260"/>
      <c r="C10" s="261" t="str">
        <f>IFERROR(IF(Table14[[#This Row],[Description:]]&lt;&gt;"", Table14[[#This Row],[Duration (Years):]], ""), "")</f>
        <v/>
      </c>
      <c r="D10" s="262" t="str">
        <f>IFERROR(IF(Table14[[#This Row],[Description:]]&lt;&gt;"", Table14[[#This Row],[Frequency:]], ""), "")</f>
        <v/>
      </c>
      <c r="E10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10" s="263" t="str">
        <f>IFERROR(IF(Table14[[#This Row],[Description:]]&lt;&gt;"", Table14[[#This Row],[Annual Cost:]], ""), "")</f>
        <v/>
      </c>
      <c r="G10" s="260"/>
    </row>
    <row r="11" spans="1:9" s="121" customFormat="1" x14ac:dyDescent="0.25">
      <c r="A11" s="260" t="str">
        <f>IFERROR(IF(Table14[[#This Row],[Description:]]&lt;&gt;"", Table14[[#This Row],[Description:]], ""), "")</f>
        <v/>
      </c>
      <c r="B11" s="260"/>
      <c r="C11" s="261" t="str">
        <f>IFERROR(IF(Table14[[#This Row],[Description:]]&lt;&gt;"", Table14[[#This Row],[Duration (Years):]], ""), "")</f>
        <v/>
      </c>
      <c r="D11" s="262" t="str">
        <f>IFERROR(IF(Table14[[#This Row],[Description:]]&lt;&gt;"", Table14[[#This Row],[Frequency:]], ""), "")</f>
        <v/>
      </c>
      <c r="E11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11" s="263" t="str">
        <f>IFERROR(IF(Table14[[#This Row],[Description:]]&lt;&gt;"", Table14[[#This Row],[Annual Cost:]], ""), "")</f>
        <v/>
      </c>
      <c r="G11" s="260"/>
      <c r="I11" s="118" t="s">
        <v>142</v>
      </c>
    </row>
    <row r="12" spans="1:9" s="121" customFormat="1" x14ac:dyDescent="0.25">
      <c r="A12" s="260" t="str">
        <f>IFERROR(IF(Table14[[#This Row],[Description:]]&lt;&gt;"", Table14[[#This Row],[Description:]], ""), "")</f>
        <v/>
      </c>
      <c r="B12" s="260"/>
      <c r="C12" s="261" t="str">
        <f>IFERROR(IF(Table14[[#This Row],[Description:]]&lt;&gt;"", Table14[[#This Row],[Duration (Years):]], ""), "")</f>
        <v/>
      </c>
      <c r="D12" s="262" t="str">
        <f>IFERROR(IF(Table14[[#This Row],[Description:]]&lt;&gt;"", Table14[[#This Row],[Frequency:]], ""), "")</f>
        <v/>
      </c>
      <c r="E12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12" s="263" t="str">
        <f>IFERROR(IF(Table14[[#This Row],[Description:]]&lt;&gt;"", Table14[[#This Row],[Annual Cost:]], ""), "")</f>
        <v/>
      </c>
      <c r="G12" s="260"/>
      <c r="I12" s="118" t="s">
        <v>143</v>
      </c>
    </row>
    <row r="13" spans="1:9" s="121" customFormat="1" x14ac:dyDescent="0.25">
      <c r="A13" s="260" t="str">
        <f>IFERROR(IF(Table14[[#This Row],[Description:]]&lt;&gt;"", Table14[[#This Row],[Description:]], ""), "")</f>
        <v/>
      </c>
      <c r="B13" s="260"/>
      <c r="C13" s="261" t="str">
        <f>IFERROR(IF(Table14[[#This Row],[Description:]]&lt;&gt;"", Table14[[#This Row],[Duration (Years):]], ""), "")</f>
        <v/>
      </c>
      <c r="D13" s="262" t="str">
        <f>IFERROR(IF(Table14[[#This Row],[Description:]]&lt;&gt;"", Table14[[#This Row],[Frequency:]], ""), "")</f>
        <v/>
      </c>
      <c r="E13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13" s="263" t="str">
        <f>IFERROR(IF(Table14[[#This Row],[Description:]]&lt;&gt;"", Table14[[#This Row],[Annual Cost:]], ""), "")</f>
        <v/>
      </c>
      <c r="G13" s="260"/>
    </row>
    <row r="14" spans="1:9" s="121" customFormat="1" x14ac:dyDescent="0.25">
      <c r="A14" s="260" t="str">
        <f>IFERROR(IF(Table14[[#This Row],[Description:]]&lt;&gt;"", Table14[[#This Row],[Description:]], ""), "")</f>
        <v/>
      </c>
      <c r="B14" s="260"/>
      <c r="C14" s="261" t="str">
        <f>IFERROR(IF(Table14[[#This Row],[Description:]]&lt;&gt;"", Table14[[#This Row],[Duration (Years):]], ""), "")</f>
        <v/>
      </c>
      <c r="D14" s="262" t="str">
        <f>IFERROR(IF(Table14[[#This Row],[Description:]]&lt;&gt;"", Table14[[#This Row],[Frequency:]], ""), "")</f>
        <v/>
      </c>
      <c r="E14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14" s="263" t="str">
        <f>IFERROR(IF(Table14[[#This Row],[Description:]]&lt;&gt;"", Table14[[#This Row],[Annual Cost:]], ""), "")</f>
        <v/>
      </c>
      <c r="G14" s="260"/>
    </row>
    <row r="15" spans="1:9" s="121" customFormat="1" x14ac:dyDescent="0.25">
      <c r="A15" s="260" t="str">
        <f>IFERROR(IF(Table14[[#This Row],[Description:]]&lt;&gt;"", Table14[[#This Row],[Description:]], ""), "")</f>
        <v/>
      </c>
      <c r="B15" s="260"/>
      <c r="C15" s="261" t="str">
        <f>IFERROR(IF(Table14[[#This Row],[Description:]]&lt;&gt;"", Table14[[#This Row],[Duration (Years):]], ""), "")</f>
        <v/>
      </c>
      <c r="D15" s="262" t="str">
        <f>IFERROR(IF(Table14[[#This Row],[Description:]]&lt;&gt;"", Table14[[#This Row],[Frequency:]], ""), "")</f>
        <v/>
      </c>
      <c r="E15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15" s="263" t="str">
        <f>IFERROR(IF(Table14[[#This Row],[Description:]]&lt;&gt;"", Table14[[#This Row],[Annual Cost:]], ""), "")</f>
        <v/>
      </c>
      <c r="G15" s="260"/>
    </row>
    <row r="16" spans="1:9" s="121" customFormat="1" x14ac:dyDescent="0.25">
      <c r="A16" s="260" t="str">
        <f>IFERROR(IF(Table14[[#This Row],[Description:]]&lt;&gt;"", Table14[[#This Row],[Description:]], ""), "")</f>
        <v/>
      </c>
      <c r="B16" s="260"/>
      <c r="C16" s="261" t="str">
        <f>IFERROR(IF(Table14[[#This Row],[Description:]]&lt;&gt;"", Table14[[#This Row],[Duration (Years):]], ""), "")</f>
        <v/>
      </c>
      <c r="D16" s="262" t="str">
        <f>IFERROR(IF(Table14[[#This Row],[Description:]]&lt;&gt;"", Table14[[#This Row],[Frequency:]], ""), "")</f>
        <v/>
      </c>
      <c r="E16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16" s="263" t="str">
        <f>IFERROR(IF(Table14[[#This Row],[Description:]]&lt;&gt;"", Table14[[#This Row],[Annual Cost:]], ""), "")</f>
        <v/>
      </c>
      <c r="G16" s="260"/>
    </row>
    <row r="17" spans="1:7" s="121" customFormat="1" x14ac:dyDescent="0.25">
      <c r="A17" s="260" t="str">
        <f>IFERROR(IF(Table14[[#This Row],[Description:]]&lt;&gt;"", Table14[[#This Row],[Description:]], ""), "")</f>
        <v/>
      </c>
      <c r="B17" s="260"/>
      <c r="C17" s="261" t="str">
        <f>IFERROR(IF(Table14[[#This Row],[Description:]]&lt;&gt;"", Table14[[#This Row],[Duration (Years):]], ""), "")</f>
        <v/>
      </c>
      <c r="D17" s="262" t="str">
        <f>IFERROR(IF(Table14[[#This Row],[Description:]]&lt;&gt;"", Table14[[#This Row],[Frequency:]], ""), "")</f>
        <v/>
      </c>
      <c r="E17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17" s="263" t="str">
        <f>IFERROR(IF(Table14[[#This Row],[Description:]]&lt;&gt;"", Table14[[#This Row],[Annual Cost:]], ""), "")</f>
        <v/>
      </c>
      <c r="G17" s="260"/>
    </row>
    <row r="18" spans="1:7" s="121" customFormat="1" x14ac:dyDescent="0.25">
      <c r="A18" s="260" t="str">
        <f>IFERROR(IF(Table14[[#This Row],[Description:]]&lt;&gt;"", Table14[[#This Row],[Description:]], ""), "")</f>
        <v/>
      </c>
      <c r="B18" s="260"/>
      <c r="C18" s="261" t="str">
        <f>IFERROR(IF(Table14[[#This Row],[Description:]]&lt;&gt;"", Table14[[#This Row],[Duration (Years):]], ""), "")</f>
        <v/>
      </c>
      <c r="D18" s="262" t="str">
        <f>IFERROR(IF(Table14[[#This Row],[Description:]]&lt;&gt;"", Table14[[#This Row],[Frequency:]], ""), "")</f>
        <v/>
      </c>
      <c r="E18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18" s="263" t="str">
        <f>IFERROR(IF(Table14[[#This Row],[Description:]]&lt;&gt;"", Table14[[#This Row],[Annual Cost:]], ""), "")</f>
        <v/>
      </c>
      <c r="G18" s="260"/>
    </row>
    <row r="19" spans="1:7" s="121" customFormat="1" x14ac:dyDescent="0.25">
      <c r="A19" s="260" t="str">
        <f>IFERROR(IF(Table14[[#This Row],[Description:]]&lt;&gt;"", Table14[[#This Row],[Description:]], ""), "")</f>
        <v/>
      </c>
      <c r="B19" s="260"/>
      <c r="C19" s="261" t="str">
        <f>IFERROR(IF(Table14[[#This Row],[Description:]]&lt;&gt;"", Table14[[#This Row],[Duration (Years):]], ""), "")</f>
        <v/>
      </c>
      <c r="D19" s="262" t="str">
        <f>IFERROR(IF(Table14[[#This Row],[Description:]]&lt;&gt;"", Table14[[#This Row],[Frequency:]], ""), "")</f>
        <v/>
      </c>
      <c r="E19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19" s="263" t="str">
        <f>IFERROR(IF(Table14[[#This Row],[Description:]]&lt;&gt;"", Table14[[#This Row],[Annual Cost:]], ""), "")</f>
        <v/>
      </c>
      <c r="G19" s="260"/>
    </row>
    <row r="20" spans="1:7" s="121" customFormat="1" x14ac:dyDescent="0.25">
      <c r="A20" s="260" t="str">
        <f>IFERROR(IF(Table14[[#This Row],[Description:]]&lt;&gt;"", Table14[[#This Row],[Description:]], ""), "")</f>
        <v/>
      </c>
      <c r="B20" s="260"/>
      <c r="C20" s="261" t="str">
        <f>IFERROR(IF(Table14[[#This Row],[Description:]]&lt;&gt;"", Table14[[#This Row],[Duration (Years):]], ""), "")</f>
        <v/>
      </c>
      <c r="D20" s="262" t="str">
        <f>IFERROR(IF(Table14[[#This Row],[Description:]]&lt;&gt;"", Table14[[#This Row],[Frequency:]], ""), "")</f>
        <v/>
      </c>
      <c r="E20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20" s="263" t="str">
        <f>IFERROR(IF(Table14[[#This Row],[Description:]]&lt;&gt;"", Table14[[#This Row],[Annual Cost:]], ""), "")</f>
        <v/>
      </c>
      <c r="G20" s="260"/>
    </row>
    <row r="21" spans="1:7" s="121" customFormat="1" x14ac:dyDescent="0.25">
      <c r="A21" s="260" t="str">
        <f>IFERROR(IF(Table14[[#This Row],[Description:]]&lt;&gt;"", Table14[[#This Row],[Description:]], ""), "")</f>
        <v/>
      </c>
      <c r="B21" s="260"/>
      <c r="C21" s="261" t="str">
        <f>IFERROR(IF(Table14[[#This Row],[Description:]]&lt;&gt;"", Table14[[#This Row],[Duration (Years):]], ""), "")</f>
        <v/>
      </c>
      <c r="D21" s="262" t="str">
        <f>IFERROR(IF(Table14[[#This Row],[Description:]]&lt;&gt;"", Table14[[#This Row],[Frequency:]], ""), "")</f>
        <v/>
      </c>
      <c r="E21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21" s="263" t="str">
        <f>IFERROR(IF(Table14[[#This Row],[Description:]]&lt;&gt;"", Table14[[#This Row],[Annual Cost:]], ""), "")</f>
        <v/>
      </c>
      <c r="G21" s="260"/>
    </row>
    <row r="22" spans="1:7" s="121" customFormat="1" x14ac:dyDescent="0.25">
      <c r="A22" s="260" t="str">
        <f>IFERROR(IF(Table14[[#This Row],[Description:]]&lt;&gt;"", Table14[[#This Row],[Description:]], ""), "")</f>
        <v/>
      </c>
      <c r="B22" s="260"/>
      <c r="C22" s="261" t="str">
        <f>IFERROR(IF(Table14[[#This Row],[Description:]]&lt;&gt;"", Table14[[#This Row],[Duration (Years):]], ""), "")</f>
        <v/>
      </c>
      <c r="D22" s="262" t="str">
        <f>IFERROR(IF(Table14[[#This Row],[Description:]]&lt;&gt;"", Table14[[#This Row],[Frequency:]], ""), "")</f>
        <v/>
      </c>
      <c r="E22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22" s="263" t="str">
        <f>IFERROR(IF(Table14[[#This Row],[Description:]]&lt;&gt;"", Table14[[#This Row],[Annual Cost:]], ""), "")</f>
        <v/>
      </c>
      <c r="G22" s="260"/>
    </row>
    <row r="23" spans="1:7" s="121" customFormat="1" x14ac:dyDescent="0.25">
      <c r="A23" s="260" t="str">
        <f>IFERROR(IF(Table14[[#This Row],[Description:]]&lt;&gt;"", Table14[[#This Row],[Description:]], ""), "")</f>
        <v/>
      </c>
      <c r="B23" s="260"/>
      <c r="C23" s="261" t="str">
        <f>IFERROR(IF(Table14[[#This Row],[Description:]]&lt;&gt;"", Table14[[#This Row],[Duration (Years):]], ""), "")</f>
        <v/>
      </c>
      <c r="D23" s="262" t="str">
        <f>IFERROR(IF(Table14[[#This Row],[Description:]]&lt;&gt;"", Table14[[#This Row],[Frequency:]], ""), "")</f>
        <v/>
      </c>
      <c r="E23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23" s="263" t="str">
        <f>IFERROR(IF(Table14[[#This Row],[Description:]]&lt;&gt;"", Table14[[#This Row],[Annual Cost:]], ""), "")</f>
        <v/>
      </c>
      <c r="G23" s="260"/>
    </row>
    <row r="24" spans="1:7" s="121" customFormat="1" x14ac:dyDescent="0.25">
      <c r="A24" s="260" t="str">
        <f>IFERROR(IF(Table14[[#This Row],[Description:]]&lt;&gt;"", Table14[[#This Row],[Description:]], ""), "")</f>
        <v/>
      </c>
      <c r="B24" s="260"/>
      <c r="C24" s="261" t="str">
        <f>IFERROR(IF(Table14[[#This Row],[Description:]]&lt;&gt;"", Table14[[#This Row],[Duration (Years):]], ""), "")</f>
        <v/>
      </c>
      <c r="D24" s="262" t="str">
        <f>IFERROR(IF(Table14[[#This Row],[Description:]]&lt;&gt;"", Table14[[#This Row],[Frequency:]], ""), "")</f>
        <v/>
      </c>
      <c r="E24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24" s="263" t="str">
        <f>IFERROR(IF(Table14[[#This Row],[Description:]]&lt;&gt;"", Table14[[#This Row],[Annual Cost:]], ""), "")</f>
        <v/>
      </c>
      <c r="G24" s="260"/>
    </row>
    <row r="25" spans="1:7" s="121" customFormat="1" x14ac:dyDescent="0.25">
      <c r="A25" s="260" t="str">
        <f>IFERROR(IF(Table14[[#This Row],[Description:]]&lt;&gt;"", Table14[[#This Row],[Description:]], ""), "")</f>
        <v/>
      </c>
      <c r="B25" s="260"/>
      <c r="C25" s="261" t="str">
        <f>IFERROR(IF(Table14[[#This Row],[Description:]]&lt;&gt;"", Table14[[#This Row],[Duration (Years):]], ""), "")</f>
        <v/>
      </c>
      <c r="D25" s="262" t="str">
        <f>IFERROR(IF(Table14[[#This Row],[Description:]]&lt;&gt;"", Table14[[#This Row],[Frequency:]], ""), "")</f>
        <v/>
      </c>
      <c r="E25" s="263" t="str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/>
      </c>
      <c r="F25" s="263" t="str">
        <f>IFERROR(IF(Table14[[#This Row],[Description:]]&lt;&gt;"", Table14[[#This Row],[Annual Cost:]], ""), "")</f>
        <v/>
      </c>
      <c r="G25" s="260"/>
    </row>
    <row r="26" spans="1:7" s="121" customFormat="1" x14ac:dyDescent="0.25">
      <c r="A26" s="260" t="str">
        <f>IFERROR(IF(Table14[[#This Row],[Description:]]&lt;&gt;"", Table14[[#This Row],[Description:]], ""), "")</f>
        <v/>
      </c>
      <c r="B26" s="260"/>
      <c r="C26" s="261" t="str">
        <f>IFERROR(IF(Table14[[#This Row],[Description:]]&lt;&gt;"", Table14[[#This Row],[Duration (Years):]], ""), "")</f>
        <v/>
      </c>
      <c r="D26" s="262" t="str">
        <f>IFERROR(IF(Table14[[#This Row],[Description:]]&lt;&gt;"", Table14[[#This Row],[Frequency:]], ""), "")</f>
        <v/>
      </c>
      <c r="E26" s="263" t="e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>#VALUE!</v>
      </c>
      <c r="F26" s="263" t="str">
        <f>IFERROR(IF(Table14[[#This Row],[Description:]]&lt;&gt;"", Table14[[#This Row],[Annual Cost:]], ""), "")</f>
        <v/>
      </c>
      <c r="G26" s="260"/>
    </row>
    <row r="27" spans="1:7" s="121" customFormat="1" x14ac:dyDescent="0.25">
      <c r="A27" s="260" t="str">
        <f>IFERROR(IF(Table14[[#This Row],[Description:]]&lt;&gt;"", Table14[[#This Row],[Description:]], ""), "")</f>
        <v/>
      </c>
      <c r="B27" s="260"/>
      <c r="C27" s="261" t="str">
        <f>IFERROR(IF(Table14[[#This Row],[Description:]]&lt;&gt;"", Table14[[#This Row],[Duration (Years):]], ""), "")</f>
        <v/>
      </c>
      <c r="D27" s="262" t="str">
        <f>IFERROR(IF(Table14[[#This Row],[Description:]]&lt;&gt;"", Table14[[#This Row],[Frequency:]], ""), "")</f>
        <v/>
      </c>
      <c r="E27" s="263" t="e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>#VALUE!</v>
      </c>
      <c r="F27" s="263" t="str">
        <f>IFERROR(IF(Table14[[#This Row],[Description:]]&lt;&gt;"", Table14[[#This Row],[Annual Cost:]], ""), "")</f>
        <v/>
      </c>
      <c r="G27" s="260"/>
    </row>
    <row r="28" spans="1:7" s="121" customFormat="1" x14ac:dyDescent="0.25">
      <c r="A28" s="260" t="str">
        <f>IFERROR(IF(Table14[[#This Row],[Description:]]&lt;&gt;"", Table14[[#This Row],[Description:]], ""), "")</f>
        <v/>
      </c>
      <c r="B28" s="260"/>
      <c r="C28" s="261" t="str">
        <f>IFERROR(IF(Table14[[#This Row],[Description:]]&lt;&gt;"", Table14[[#This Row],[Duration (Years):]], ""), "")</f>
        <v/>
      </c>
      <c r="D28" s="262" t="str">
        <f>IFERROR(IF(Table14[[#This Row],[Description:]]&lt;&gt;"", Table14[[#This Row],[Frequency:]], ""), "")</f>
        <v/>
      </c>
      <c r="E28" s="263" t="e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>#VALUE!</v>
      </c>
      <c r="F28" s="263" t="str">
        <f>IFERROR(IF(Table14[[#This Row],[Description:]]&lt;&gt;"", Table14[[#This Row],[Annual Cost:]], ""), "")</f>
        <v/>
      </c>
      <c r="G28" s="260"/>
    </row>
    <row r="29" spans="1:7" s="121" customFormat="1" x14ac:dyDescent="0.25">
      <c r="A29" s="260" t="str">
        <f>IFERROR(IF(Table14[[#This Row],[Description:]]&lt;&gt;"", Table14[[#This Row],[Description:]], ""), "")</f>
        <v/>
      </c>
      <c r="B29" s="260"/>
      <c r="C29" s="261" t="str">
        <f>IFERROR(IF(Table14[[#This Row],[Description:]]&lt;&gt;"", Table14[[#This Row],[Duration (Years):]], ""), "")</f>
        <v/>
      </c>
      <c r="D29" s="262" t="str">
        <f>IFERROR(IF(Table14[[#This Row],[Description:]]&lt;&gt;"", Table14[[#This Row],[Frequency:]], ""), "")</f>
        <v/>
      </c>
      <c r="E29" s="263" t="e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>#VALUE!</v>
      </c>
      <c r="F29" s="263" t="str">
        <f>IFERROR(IF(Table14[[#This Row],[Description:]]&lt;&gt;"", Table14[[#This Row],[Annual Cost:]], ""), "")</f>
        <v/>
      </c>
      <c r="G29" s="260"/>
    </row>
    <row r="30" spans="1:7" s="121" customFormat="1" x14ac:dyDescent="0.25">
      <c r="A30" s="260" t="str">
        <f>IFERROR(IF(Table14[[#This Row],[Description:]]&lt;&gt;"", Table14[[#This Row],[Description:]], ""), "")</f>
        <v/>
      </c>
      <c r="B30" s="260"/>
      <c r="C30" s="261" t="str">
        <f>IFERROR(IF(Table14[[#This Row],[Description:]]&lt;&gt;"", Table14[[#This Row],[Duration (Years):]], ""), "")</f>
        <v/>
      </c>
      <c r="D30" s="262" t="str">
        <f>IFERROR(IF(Table14[[#This Row],[Description:]]&lt;&gt;"", Table14[[#This Row],[Frequency:]], ""), "")</f>
        <v/>
      </c>
      <c r="E30" s="263" t="e">
        <f>IF(Table14[[#This Row],[Description:]]="", "", IFERROR(IF(Table14[[#This Row],[Time Value:]]="lifetime", CONCATENATE(Table14[[#This Row],[One-Time Cost:]] &amp; "*", CHAR(10), CHAR(10), "(based on ", Table14[[#This Row],[Cost:]], "/unit)"), Table14[[#This Row],[Cost:]]), ""))</f>
        <v>#VALUE!</v>
      </c>
      <c r="F30" s="263" t="str">
        <f>IFERROR(IF(Table14[[#This Row],[Description:]]&lt;&gt;"", Table14[[#This Row],[Annual Cost:]], ""), "")</f>
        <v/>
      </c>
      <c r="G30" s="260"/>
    </row>
    <row r="31" spans="1:7" x14ac:dyDescent="0.25">
      <c r="A31" s="257"/>
      <c r="B31" s="257"/>
      <c r="C31" s="265"/>
      <c r="D31" s="265"/>
      <c r="E31" s="266"/>
      <c r="F31" s="266"/>
      <c r="G31" s="257"/>
    </row>
    <row r="32" spans="1:7" x14ac:dyDescent="0.25">
      <c r="A32" s="257"/>
      <c r="B32" s="257"/>
      <c r="C32" s="257"/>
      <c r="D32" s="267" t="s">
        <v>125</v>
      </c>
      <c r="E32" s="268" t="str">
        <f>'1st Procedure'!S26</f>
        <v>$2,435,068.00
 - 
$2,473,365.00</v>
      </c>
      <c r="F32" s="269"/>
      <c r="G32" s="257"/>
    </row>
    <row r="33" spans="1:7" x14ac:dyDescent="0.25">
      <c r="A33" s="257"/>
      <c r="B33" s="257"/>
      <c r="C33" s="257"/>
      <c r="D33" s="267" t="s">
        <v>124</v>
      </c>
      <c r="E33" s="268" t="str">
        <f ca="1">'1st Procedure'!P26</f>
        <v>Variable by year</v>
      </c>
      <c r="F33" s="269"/>
      <c r="G33" s="257"/>
    </row>
    <row r="34" spans="1:7" x14ac:dyDescent="0.25">
      <c r="A34" s="257"/>
      <c r="B34" s="257"/>
      <c r="C34" s="257"/>
      <c r="D34" s="257"/>
      <c r="E34" s="269"/>
      <c r="F34" s="269"/>
      <c r="G34" s="257"/>
    </row>
  </sheetData>
  <mergeCells count="1">
    <mergeCell ref="A1:G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2E5A-4B70-4C10-865A-51A56F2120B3}">
  <sheetPr codeName="Sheet30"/>
  <dimension ref="A1:I36"/>
  <sheetViews>
    <sheetView workbookViewId="0">
      <selection sqref="A1:G1"/>
    </sheetView>
  </sheetViews>
  <sheetFormatPr defaultRowHeight="15" x14ac:dyDescent="0.25"/>
  <cols>
    <col min="1" max="2" width="18.7109375" style="190" customWidth="1"/>
    <col min="3" max="4" width="10.7109375" style="190" customWidth="1"/>
    <col min="5" max="6" width="13.7109375" style="193" customWidth="1"/>
    <col min="7" max="7" width="18.7109375" style="190" customWidth="1"/>
    <col min="8" max="16384" width="9.140625" style="190"/>
  </cols>
  <sheetData>
    <row r="1" spans="1:9" ht="23.1" customHeight="1" x14ac:dyDescent="0.25">
      <c r="A1" s="353" t="str">
        <f>'2nd'!A1</f>
        <v>PROCEDURE 2 (RENAME)</v>
      </c>
      <c r="B1" s="353"/>
      <c r="C1" s="353"/>
      <c r="D1" s="353"/>
      <c r="E1" s="353"/>
      <c r="F1" s="353"/>
      <c r="G1" s="353"/>
    </row>
    <row r="2" spans="1:9" s="191" customFormat="1" ht="18" customHeight="1" x14ac:dyDescent="0.25">
      <c r="A2" s="256" t="s">
        <v>117</v>
      </c>
      <c r="B2" s="256" t="s">
        <v>118</v>
      </c>
      <c r="C2" s="256" t="s">
        <v>119</v>
      </c>
      <c r="D2" s="256" t="s">
        <v>120</v>
      </c>
      <c r="E2" s="258" t="s">
        <v>121</v>
      </c>
      <c r="F2" s="258" t="s">
        <v>122</v>
      </c>
      <c r="G2" s="256" t="s">
        <v>123</v>
      </c>
    </row>
    <row r="3" spans="1:9" s="192" customFormat="1" x14ac:dyDescent="0.25">
      <c r="A3" s="260" t="str">
        <f>IFERROR(IF(Table6[[#This Row],[Description:]]&lt;&gt;"", Table6[[#This Row],[Description:]], ""), "")</f>
        <v/>
      </c>
      <c r="B3" s="260"/>
      <c r="C3" s="261" t="str">
        <f>IFERROR(IF(Table6[[#This Row],[Description:]]&lt;&gt;"", Table6[[#This Row],[Duration (Years):]], ""), "")</f>
        <v/>
      </c>
      <c r="D3" s="262" t="str">
        <f>IFERROR(IF(Table6[[#This Row],[Description:]]&lt;&gt;"", Table6[[#This Row],[Frequency:]], ""), "")</f>
        <v/>
      </c>
      <c r="E3" s="263" t="str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/>
      </c>
      <c r="F3" s="263" t="str">
        <f>IFERROR(IF(Table6[[#This Row],[Description:]]&lt;&gt;"", Table6[[#This Row],[Annual Cost:]], ""), "")</f>
        <v/>
      </c>
      <c r="G3" s="260"/>
    </row>
    <row r="4" spans="1:9" s="192" customFormat="1" x14ac:dyDescent="0.25">
      <c r="A4" s="260" t="str">
        <f>IFERROR(IF(Table6[[#This Row],[Description:]]&lt;&gt;"", Table6[[#This Row],[Description:]], ""), "")</f>
        <v/>
      </c>
      <c r="B4" s="260"/>
      <c r="C4" s="261" t="str">
        <f>IFERROR(IF(Table6[[#This Row],[Description:]]&lt;&gt;"", Table6[[#This Row],[Duration (Years):]], ""), "")</f>
        <v/>
      </c>
      <c r="D4" s="262" t="str">
        <f>IFERROR(IF(Table6[[#This Row],[Description:]]&lt;&gt;"", Table6[[#This Row],[Frequency:]], ""), "")</f>
        <v/>
      </c>
      <c r="E4" s="263" t="str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/>
      </c>
      <c r="F4" s="263" t="str">
        <f>IFERROR(IF(Table6[[#This Row],[Description:]]&lt;&gt;"", Table6[[#This Row],[Annual Cost:]], ""), "")</f>
        <v/>
      </c>
      <c r="G4" s="260"/>
    </row>
    <row r="5" spans="1:9" s="192" customFormat="1" x14ac:dyDescent="0.25">
      <c r="A5" s="260" t="str">
        <f>IFERROR(IF(Table6[[#This Row],[Description:]]&lt;&gt;"", Table6[[#This Row],[Description:]], ""), "")</f>
        <v/>
      </c>
      <c r="B5" s="260"/>
      <c r="C5" s="261" t="str">
        <f>IFERROR(IF(Table6[[#This Row],[Description:]]&lt;&gt;"", Table6[[#This Row],[Duration (Years):]], ""), "")</f>
        <v/>
      </c>
      <c r="D5" s="262" t="str">
        <f>IFERROR(IF(Table6[[#This Row],[Description:]]&lt;&gt;"", Table6[[#This Row],[Frequency:]], ""), "")</f>
        <v/>
      </c>
      <c r="E5" s="263" t="str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/>
      </c>
      <c r="F5" s="263" t="str">
        <f>IFERROR(IF(Table6[[#This Row],[Description:]]&lt;&gt;"", Table6[[#This Row],[Annual Cost:]], ""), "")</f>
        <v/>
      </c>
      <c r="G5" s="260"/>
    </row>
    <row r="6" spans="1:9" s="192" customFormat="1" x14ac:dyDescent="0.25">
      <c r="A6" s="260" t="str">
        <f>IFERROR(IF(Table6[[#This Row],[Description:]]&lt;&gt;"", Table6[[#This Row],[Description:]], ""), "")</f>
        <v/>
      </c>
      <c r="B6" s="260"/>
      <c r="C6" s="261" t="str">
        <f>IFERROR(IF(Table6[[#This Row],[Description:]]&lt;&gt;"", Table6[[#This Row],[Duration (Years):]], ""), "")</f>
        <v/>
      </c>
      <c r="D6" s="262" t="str">
        <f>IFERROR(IF(Table6[[#This Row],[Description:]]&lt;&gt;"", Table6[[#This Row],[Frequency:]], ""), "")</f>
        <v/>
      </c>
      <c r="E6" s="263" t="str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/>
      </c>
      <c r="F6" s="263" t="str">
        <f>IFERROR(IF(Table6[[#This Row],[Description:]]&lt;&gt;"", Table6[[#This Row],[Annual Cost:]], ""), "")</f>
        <v/>
      </c>
      <c r="G6" s="260"/>
    </row>
    <row r="7" spans="1:9" s="192" customFormat="1" x14ac:dyDescent="0.25">
      <c r="A7" s="260" t="str">
        <f>IFERROR(IF(Table6[[#This Row],[Description:]]&lt;&gt;"", Table6[[#This Row],[Description:]], ""), "")</f>
        <v/>
      </c>
      <c r="B7" s="260"/>
      <c r="C7" s="261" t="str">
        <f>IFERROR(IF(Table6[[#This Row],[Description:]]&lt;&gt;"", Table6[[#This Row],[Duration (Years):]], ""), "")</f>
        <v/>
      </c>
      <c r="D7" s="262" t="str">
        <f>IFERROR(IF(Table6[[#This Row],[Description:]]&lt;&gt;"", Table6[[#This Row],[Frequency:]], ""), "")</f>
        <v/>
      </c>
      <c r="E7" s="263" t="str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/>
      </c>
      <c r="F7" s="263" t="str">
        <f>IFERROR(IF(Table6[[#This Row],[Description:]]&lt;&gt;"", Table6[[#This Row],[Annual Cost:]], ""), "")</f>
        <v/>
      </c>
      <c r="G7" s="260"/>
    </row>
    <row r="8" spans="1:9" s="192" customFormat="1" x14ac:dyDescent="0.25">
      <c r="A8" s="260" t="str">
        <f>IFERROR(IF(Table6[[#This Row],[Description:]]&lt;&gt;"", Table6[[#This Row],[Description:]], ""), "")</f>
        <v/>
      </c>
      <c r="B8" s="260"/>
      <c r="C8" s="261" t="str">
        <f>IFERROR(IF(Table6[[#This Row],[Description:]]&lt;&gt;"", Table6[[#This Row],[Duration (Years):]], ""), "")</f>
        <v/>
      </c>
      <c r="D8" s="262" t="str">
        <f>IFERROR(IF(Table6[[#This Row],[Description:]]&lt;&gt;"", Table6[[#This Row],[Frequency:]], ""), "")</f>
        <v/>
      </c>
      <c r="E8" s="263" t="str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/>
      </c>
      <c r="F8" s="263" t="str">
        <f>IFERROR(IF(Table6[[#This Row],[Description:]]&lt;&gt;"", Table6[[#This Row],[Annual Cost:]], ""), "")</f>
        <v/>
      </c>
      <c r="G8" s="260"/>
    </row>
    <row r="9" spans="1:9" s="192" customFormat="1" x14ac:dyDescent="0.25">
      <c r="A9" s="260" t="str">
        <f>IFERROR(IF(Table6[[#This Row],[Description:]]&lt;&gt;"", Table6[[#This Row],[Description:]], ""), "")</f>
        <v/>
      </c>
      <c r="B9" s="260"/>
      <c r="C9" s="261" t="str">
        <f>IFERROR(IF(Table6[[#This Row],[Description:]]&lt;&gt;"", Table6[[#This Row],[Duration (Years):]], ""), "")</f>
        <v/>
      </c>
      <c r="D9" s="262" t="str">
        <f>IFERROR(IF(Table6[[#This Row],[Description:]]&lt;&gt;"", Table6[[#This Row],[Frequency:]], ""), "")</f>
        <v/>
      </c>
      <c r="E9" s="263" t="str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/>
      </c>
      <c r="F9" s="263" t="str">
        <f>IFERROR(IF(Table6[[#This Row],[Description:]]&lt;&gt;"", Table6[[#This Row],[Annual Cost:]], ""), "")</f>
        <v/>
      </c>
      <c r="G9" s="260"/>
    </row>
    <row r="10" spans="1:9" s="192" customFormat="1" ht="15.75" x14ac:dyDescent="0.25">
      <c r="A10" s="260" t="str">
        <f>IFERROR(IF(Table6[[#This Row],[Description:]]&lt;&gt;"", Table6[[#This Row],[Description:]], ""), "")</f>
        <v/>
      </c>
      <c r="B10" s="260"/>
      <c r="C10" s="261" t="str">
        <f>IFERROR(IF(Table6[[#This Row],[Description:]]&lt;&gt;"", Table6[[#This Row],[Duration (Years):]], ""), "")</f>
        <v/>
      </c>
      <c r="D10" s="262" t="str">
        <f>IFERROR(IF(Table6[[#This Row],[Description:]]&lt;&gt;"", Table6[[#This Row],[Frequency:]], ""), "")</f>
        <v/>
      </c>
      <c r="E10" s="263" t="str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/>
      </c>
      <c r="F10" s="263" t="str">
        <f>IFERROR(IF(Table6[[#This Row],[Description:]]&lt;&gt;"", Table6[[#This Row],[Annual Cost:]], ""), "")</f>
        <v/>
      </c>
      <c r="G10" s="260"/>
      <c r="I10" s="118" t="s">
        <v>140</v>
      </c>
    </row>
    <row r="11" spans="1:9" s="192" customFormat="1" ht="15.75" x14ac:dyDescent="0.25">
      <c r="A11" s="260" t="str">
        <f>IFERROR(IF(Table6[[#This Row],[Description:]]&lt;&gt;"", Table6[[#This Row],[Description:]], ""), "")</f>
        <v/>
      </c>
      <c r="B11" s="260"/>
      <c r="C11" s="261" t="str">
        <f>IFERROR(IF(Table6[[#This Row],[Description:]]&lt;&gt;"", Table6[[#This Row],[Duration (Years):]], ""), "")</f>
        <v/>
      </c>
      <c r="D11" s="262" t="str">
        <f>IFERROR(IF(Table6[[#This Row],[Description:]]&lt;&gt;"", Table6[[#This Row],[Frequency:]], ""), "")</f>
        <v/>
      </c>
      <c r="E11" s="263" t="str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/>
      </c>
      <c r="F11" s="263" t="str">
        <f>IFERROR(IF(Table6[[#This Row],[Description:]]&lt;&gt;"", Table6[[#This Row],[Annual Cost:]], ""), "")</f>
        <v/>
      </c>
      <c r="G11" s="260"/>
      <c r="I11" s="118" t="s">
        <v>141</v>
      </c>
    </row>
    <row r="12" spans="1:9" s="192" customFormat="1" ht="15.75" x14ac:dyDescent="0.25">
      <c r="A12" s="260" t="str">
        <f>IFERROR(IF(Table6[[#This Row],[Description:]]&lt;&gt;"", Table6[[#This Row],[Description:]], ""), "")</f>
        <v/>
      </c>
      <c r="B12" s="260"/>
      <c r="C12" s="261" t="str">
        <f>IFERROR(IF(Table6[[#This Row],[Description:]]&lt;&gt;"", Table6[[#This Row],[Duration (Years):]], ""), "")</f>
        <v/>
      </c>
      <c r="D12" s="262" t="str">
        <f>IFERROR(IF(Table6[[#This Row],[Description:]]&lt;&gt;"", Table6[[#This Row],[Frequency:]], ""), "")</f>
        <v/>
      </c>
      <c r="E12" s="263" t="str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/>
      </c>
      <c r="F12" s="263" t="str">
        <f>IFERROR(IF(Table6[[#This Row],[Description:]]&lt;&gt;"", Table6[[#This Row],[Annual Cost:]], ""), "")</f>
        <v/>
      </c>
      <c r="G12" s="260"/>
      <c r="I12" s="121"/>
    </row>
    <row r="13" spans="1:9" s="192" customFormat="1" ht="15.75" x14ac:dyDescent="0.25">
      <c r="A13" s="260" t="str">
        <f>IFERROR(IF(Table6[[#This Row],[Description:]]&lt;&gt;"", Table6[[#This Row],[Description:]], ""), "")</f>
        <v/>
      </c>
      <c r="B13" s="260"/>
      <c r="C13" s="261" t="str">
        <f>IFERROR(IF(Table6[[#This Row],[Description:]]&lt;&gt;"", Table6[[#This Row],[Duration (Years):]], ""), "")</f>
        <v/>
      </c>
      <c r="D13" s="262" t="str">
        <f>IFERROR(IF(Table6[[#This Row],[Description:]]&lt;&gt;"", Table6[[#This Row],[Frequency:]], ""), "")</f>
        <v/>
      </c>
      <c r="E13" s="263" t="str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/>
      </c>
      <c r="F13" s="263" t="str">
        <f>IFERROR(IF(Table6[[#This Row],[Description:]]&lt;&gt;"", Table6[[#This Row],[Annual Cost:]], ""), "")</f>
        <v/>
      </c>
      <c r="G13" s="260"/>
      <c r="I13" s="118" t="s">
        <v>142</v>
      </c>
    </row>
    <row r="14" spans="1:9" s="192" customFormat="1" ht="15.75" x14ac:dyDescent="0.25">
      <c r="A14" s="260" t="str">
        <f>IFERROR(IF(Table6[[#This Row],[Description:]]&lt;&gt;"", Table6[[#This Row],[Description:]], ""), "")</f>
        <v/>
      </c>
      <c r="B14" s="260"/>
      <c r="C14" s="261" t="str">
        <f>IFERROR(IF(Table6[[#This Row],[Description:]]&lt;&gt;"", Table6[[#This Row],[Duration (Years):]], ""), "")</f>
        <v/>
      </c>
      <c r="D14" s="262" t="str">
        <f>IFERROR(IF(Table6[[#This Row],[Description:]]&lt;&gt;"", Table6[[#This Row],[Frequency:]], ""), "")</f>
        <v/>
      </c>
      <c r="E14" s="263" t="str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/>
      </c>
      <c r="F14" s="263" t="str">
        <f>IFERROR(IF(Table6[[#This Row],[Description:]]&lt;&gt;"", Table6[[#This Row],[Annual Cost:]], ""), "")</f>
        <v/>
      </c>
      <c r="G14" s="260"/>
      <c r="I14" s="118" t="s">
        <v>143</v>
      </c>
    </row>
    <row r="15" spans="1:9" s="192" customFormat="1" x14ac:dyDescent="0.25">
      <c r="A15" s="260" t="str">
        <f>IFERROR(IF(Table6[[#This Row],[Description:]]&lt;&gt;"", Table6[[#This Row],[Description:]], ""), "")</f>
        <v/>
      </c>
      <c r="B15" s="260"/>
      <c r="C15" s="261" t="str">
        <f>IFERROR(IF(Table6[[#This Row],[Description:]]&lt;&gt;"", Table6[[#This Row],[Duration (Years):]], ""), "")</f>
        <v/>
      </c>
      <c r="D15" s="262" t="str">
        <f>IFERROR(IF(Table6[[#This Row],[Description:]]&lt;&gt;"", Table6[[#This Row],[Frequency:]], ""), "")</f>
        <v/>
      </c>
      <c r="E15" s="263" t="str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/>
      </c>
      <c r="F15" s="263" t="str">
        <f>IFERROR(IF(Table6[[#This Row],[Description:]]&lt;&gt;"", Table6[[#This Row],[Annual Cost:]], ""), "")</f>
        <v/>
      </c>
      <c r="G15" s="260"/>
    </row>
    <row r="16" spans="1:9" s="192" customFormat="1" x14ac:dyDescent="0.25">
      <c r="A16" s="260" t="str">
        <f>IFERROR(IF(Table6[[#This Row],[Description:]]&lt;&gt;"", Table6[[#This Row],[Description:]], ""), "")</f>
        <v/>
      </c>
      <c r="B16" s="260"/>
      <c r="C16" s="261" t="str">
        <f>IFERROR(IF(Table6[[#This Row],[Description:]]&lt;&gt;"", Table6[[#This Row],[Duration (Years):]], ""), "")</f>
        <v/>
      </c>
      <c r="D16" s="262" t="str">
        <f>IFERROR(IF(Table6[[#This Row],[Description:]]&lt;&gt;"", Table6[[#This Row],[Frequency:]], ""), "")</f>
        <v/>
      </c>
      <c r="E16" s="263" t="e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>#VALUE!</v>
      </c>
      <c r="F16" s="263" t="str">
        <f>IFERROR(IF(Table6[[#This Row],[Description:]]&lt;&gt;"", Table6[[#This Row],[Annual Cost:]], ""), "")</f>
        <v/>
      </c>
      <c r="G16" s="260"/>
    </row>
    <row r="17" spans="1:7" s="192" customFormat="1" x14ac:dyDescent="0.25">
      <c r="A17" s="260" t="str">
        <f>IFERROR(IF(Table6[[#This Row],[Description:]]&lt;&gt;"", Table6[[#This Row],[Description:]], ""), "")</f>
        <v/>
      </c>
      <c r="B17" s="260"/>
      <c r="C17" s="261" t="str">
        <f>IFERROR(IF(Table6[[#This Row],[Description:]]&lt;&gt;"", Table6[[#This Row],[Duration (Years):]], ""), "")</f>
        <v/>
      </c>
      <c r="D17" s="262" t="str">
        <f>IFERROR(IF(Table6[[#This Row],[Description:]]&lt;&gt;"", Table6[[#This Row],[Frequency:]], ""), "")</f>
        <v/>
      </c>
      <c r="E17" s="263" t="e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>#VALUE!</v>
      </c>
      <c r="F17" s="263" t="str">
        <f>IFERROR(IF(Table6[[#This Row],[Description:]]&lt;&gt;"", Table6[[#This Row],[Annual Cost:]], ""), "")</f>
        <v/>
      </c>
      <c r="G17" s="260"/>
    </row>
    <row r="18" spans="1:7" s="192" customFormat="1" x14ac:dyDescent="0.25">
      <c r="A18" s="260" t="str">
        <f>IFERROR(IF(Table6[[#This Row],[Description:]]&lt;&gt;"", Table6[[#This Row],[Description:]], ""), "")</f>
        <v/>
      </c>
      <c r="B18" s="260"/>
      <c r="C18" s="261" t="str">
        <f>IFERROR(IF(Table6[[#This Row],[Description:]]&lt;&gt;"", Table6[[#This Row],[Duration (Years):]], ""), "")</f>
        <v/>
      </c>
      <c r="D18" s="262" t="str">
        <f>IFERROR(IF(Table6[[#This Row],[Description:]]&lt;&gt;"", Table6[[#This Row],[Frequency:]], ""), "")</f>
        <v/>
      </c>
      <c r="E18" s="263" t="e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>#VALUE!</v>
      </c>
      <c r="F18" s="263" t="str">
        <f>IFERROR(IF(Table6[[#This Row],[Description:]]&lt;&gt;"", Table6[[#This Row],[Annual Cost:]], ""), "")</f>
        <v/>
      </c>
      <c r="G18" s="260"/>
    </row>
    <row r="19" spans="1:7" s="192" customFormat="1" x14ac:dyDescent="0.25">
      <c r="A19" s="260" t="str">
        <f>IFERROR(IF(Table6[[#This Row],[Description:]]&lt;&gt;"", Table6[[#This Row],[Description:]], ""), "")</f>
        <v/>
      </c>
      <c r="B19" s="260"/>
      <c r="C19" s="261" t="str">
        <f>IFERROR(IF(Table6[[#This Row],[Description:]]&lt;&gt;"", Table6[[#This Row],[Duration (Years):]], ""), "")</f>
        <v/>
      </c>
      <c r="D19" s="262" t="str">
        <f>IFERROR(IF(Table6[[#This Row],[Description:]]&lt;&gt;"", Table6[[#This Row],[Frequency:]], ""), "")</f>
        <v/>
      </c>
      <c r="E19" s="263" t="e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>#VALUE!</v>
      </c>
      <c r="F19" s="263" t="str">
        <f>IFERROR(IF(Table6[[#This Row],[Description:]]&lt;&gt;"", Table6[[#This Row],[Annual Cost:]], ""), "")</f>
        <v/>
      </c>
      <c r="G19" s="260"/>
    </row>
    <row r="20" spans="1:7" s="192" customFormat="1" x14ac:dyDescent="0.25">
      <c r="A20" s="260" t="str">
        <f>IFERROR(IF(Table6[[#This Row],[Description:]]&lt;&gt;"", Table6[[#This Row],[Description:]], ""), "")</f>
        <v/>
      </c>
      <c r="B20" s="260"/>
      <c r="C20" s="261" t="str">
        <f>IFERROR(IF(Table6[[#This Row],[Description:]]&lt;&gt;"", Table6[[#This Row],[Duration (Years):]], ""), "")</f>
        <v/>
      </c>
      <c r="D20" s="262" t="str">
        <f>IFERROR(IF(Table6[[#This Row],[Description:]]&lt;&gt;"", Table6[[#This Row],[Frequency:]], ""), "")</f>
        <v/>
      </c>
      <c r="E20" s="263" t="e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>#VALUE!</v>
      </c>
      <c r="F20" s="263" t="str">
        <f>IFERROR(IF(Table6[[#This Row],[Description:]]&lt;&gt;"", Table6[[#This Row],[Annual Cost:]], ""), "")</f>
        <v/>
      </c>
      <c r="G20" s="260"/>
    </row>
    <row r="21" spans="1:7" s="192" customFormat="1" x14ac:dyDescent="0.25">
      <c r="A21" s="260" t="str">
        <f>IFERROR(IF(Table6[[#This Row],[Description:]]&lt;&gt;"", Table6[[#This Row],[Description:]], ""), "")</f>
        <v/>
      </c>
      <c r="B21" s="260"/>
      <c r="C21" s="261" t="str">
        <f>IFERROR(IF(Table6[[#This Row],[Description:]]&lt;&gt;"", Table6[[#This Row],[Duration (Years):]], ""), "")</f>
        <v/>
      </c>
      <c r="D21" s="262" t="str">
        <f>IFERROR(IF(Table6[[#This Row],[Description:]]&lt;&gt;"", Table6[[#This Row],[Frequency:]], ""), "")</f>
        <v/>
      </c>
      <c r="E21" s="263" t="e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>#VALUE!</v>
      </c>
      <c r="F21" s="263" t="str">
        <f>IFERROR(IF(Table6[[#This Row],[Description:]]&lt;&gt;"", Table6[[#This Row],[Annual Cost:]], ""), "")</f>
        <v/>
      </c>
      <c r="G21" s="260"/>
    </row>
    <row r="22" spans="1:7" s="192" customFormat="1" x14ac:dyDescent="0.25">
      <c r="A22" s="260" t="str">
        <f>IFERROR(IF(Table6[[#This Row],[Description:]]&lt;&gt;"", Table6[[#This Row],[Description:]], ""), "")</f>
        <v/>
      </c>
      <c r="B22" s="260"/>
      <c r="C22" s="261" t="str">
        <f>IFERROR(IF(Table6[[#This Row],[Description:]]&lt;&gt;"", Table6[[#This Row],[Duration (Years):]], ""), "")</f>
        <v/>
      </c>
      <c r="D22" s="262" t="str">
        <f>IFERROR(IF(Table6[[#This Row],[Description:]]&lt;&gt;"", Table6[[#This Row],[Frequency:]], ""), "")</f>
        <v/>
      </c>
      <c r="E22" s="263" t="e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>#VALUE!</v>
      </c>
      <c r="F22" s="263" t="str">
        <f>IFERROR(IF(Table6[[#This Row],[Description:]]&lt;&gt;"", Table6[[#This Row],[Annual Cost:]], ""), "")</f>
        <v/>
      </c>
      <c r="G22" s="260"/>
    </row>
    <row r="23" spans="1:7" s="192" customFormat="1" x14ac:dyDescent="0.25">
      <c r="A23" s="260" t="str">
        <f>IFERROR(IF(Table6[[#This Row],[Description:]]&lt;&gt;"", Table6[[#This Row],[Description:]], ""), "")</f>
        <v/>
      </c>
      <c r="B23" s="260"/>
      <c r="C23" s="261" t="str">
        <f>IFERROR(IF(Table6[[#This Row],[Description:]]&lt;&gt;"", Table6[[#This Row],[Duration (Years):]], ""), "")</f>
        <v/>
      </c>
      <c r="D23" s="262" t="str">
        <f>IFERROR(IF(Table6[[#This Row],[Description:]]&lt;&gt;"", Table6[[#This Row],[Frequency:]], ""), "")</f>
        <v/>
      </c>
      <c r="E23" s="263" t="e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>#VALUE!</v>
      </c>
      <c r="F23" s="263" t="str">
        <f>IFERROR(IF(Table6[[#This Row],[Description:]]&lt;&gt;"", Table6[[#This Row],[Annual Cost:]], ""), "")</f>
        <v/>
      </c>
      <c r="G23" s="260"/>
    </row>
    <row r="24" spans="1:7" s="192" customFormat="1" x14ac:dyDescent="0.25">
      <c r="A24" s="260" t="str">
        <f>IFERROR(IF(Table6[[#This Row],[Description:]]&lt;&gt;"", Table6[[#This Row],[Description:]], ""), "")</f>
        <v/>
      </c>
      <c r="B24" s="260"/>
      <c r="C24" s="261" t="str">
        <f>IFERROR(IF(Table6[[#This Row],[Description:]]&lt;&gt;"", Table6[[#This Row],[Duration (Years):]], ""), "")</f>
        <v/>
      </c>
      <c r="D24" s="262" t="str">
        <f>IFERROR(IF(Table6[[#This Row],[Description:]]&lt;&gt;"", Table6[[#This Row],[Frequency:]], ""), "")</f>
        <v/>
      </c>
      <c r="E24" s="263" t="e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>#VALUE!</v>
      </c>
      <c r="F24" s="263" t="str">
        <f>IFERROR(IF(Table6[[#This Row],[Description:]]&lt;&gt;"", Table6[[#This Row],[Annual Cost:]], ""), "")</f>
        <v/>
      </c>
      <c r="G24" s="260"/>
    </row>
    <row r="25" spans="1:7" s="192" customFormat="1" x14ac:dyDescent="0.25">
      <c r="A25" s="260" t="str">
        <f>IFERROR(IF(Table6[[#This Row],[Description:]]&lt;&gt;"", Table6[[#This Row],[Description:]], ""), "")</f>
        <v/>
      </c>
      <c r="B25" s="260"/>
      <c r="C25" s="261" t="str">
        <f>IFERROR(IF(Table6[[#This Row],[Description:]]&lt;&gt;"", Table6[[#This Row],[Duration (Years):]], ""), "")</f>
        <v/>
      </c>
      <c r="D25" s="262" t="str">
        <f>IFERROR(IF(Table6[[#This Row],[Description:]]&lt;&gt;"", Table6[[#This Row],[Frequency:]], ""), "")</f>
        <v/>
      </c>
      <c r="E25" s="263" t="e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>#VALUE!</v>
      </c>
      <c r="F25" s="263" t="str">
        <f>IFERROR(IF(Table6[[#This Row],[Description:]]&lt;&gt;"", Table6[[#This Row],[Annual Cost:]], ""), "")</f>
        <v/>
      </c>
      <c r="G25" s="260"/>
    </row>
    <row r="26" spans="1:7" s="192" customFormat="1" x14ac:dyDescent="0.25">
      <c r="A26" s="260" t="str">
        <f>IFERROR(IF(Table6[[#This Row],[Description:]]&lt;&gt;"", Table6[[#This Row],[Description:]], ""), "")</f>
        <v/>
      </c>
      <c r="B26" s="260"/>
      <c r="C26" s="261" t="str">
        <f>IFERROR(IF(Table6[[#This Row],[Description:]]&lt;&gt;"", Table6[[#This Row],[Duration (Years):]], ""), "")</f>
        <v/>
      </c>
      <c r="D26" s="262" t="str">
        <f>IFERROR(IF(Table6[[#This Row],[Description:]]&lt;&gt;"", Table6[[#This Row],[Frequency:]], ""), "")</f>
        <v/>
      </c>
      <c r="E26" s="263" t="e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>#VALUE!</v>
      </c>
      <c r="F26" s="263" t="str">
        <f>IFERROR(IF(Table6[[#This Row],[Description:]]&lt;&gt;"", Table6[[#This Row],[Annual Cost:]], ""), "")</f>
        <v/>
      </c>
      <c r="G26" s="260"/>
    </row>
    <row r="27" spans="1:7" s="192" customFormat="1" x14ac:dyDescent="0.25">
      <c r="A27" s="260" t="str">
        <f>IFERROR(IF(Table6[[#This Row],[Description:]]&lt;&gt;"", Table6[[#This Row],[Description:]], ""), "")</f>
        <v/>
      </c>
      <c r="B27" s="260"/>
      <c r="C27" s="261" t="str">
        <f>IFERROR(IF(Table6[[#This Row],[Description:]]&lt;&gt;"", Table6[[#This Row],[Duration (Years):]], ""), "")</f>
        <v/>
      </c>
      <c r="D27" s="262" t="str">
        <f>IFERROR(IF(Table6[[#This Row],[Description:]]&lt;&gt;"", Table6[[#This Row],[Frequency:]], ""), "")</f>
        <v/>
      </c>
      <c r="E27" s="263" t="e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>#VALUE!</v>
      </c>
      <c r="F27" s="263" t="str">
        <f>IFERROR(IF(Table6[[#This Row],[Description:]]&lt;&gt;"", Table6[[#This Row],[Annual Cost:]], ""), "")</f>
        <v/>
      </c>
      <c r="G27" s="260"/>
    </row>
    <row r="28" spans="1:7" s="192" customFormat="1" x14ac:dyDescent="0.25">
      <c r="A28" s="260" t="str">
        <f>IFERROR(IF(Table6[[#This Row],[Description:]]&lt;&gt;"", Table6[[#This Row],[Description:]], ""), "")</f>
        <v/>
      </c>
      <c r="B28" s="260"/>
      <c r="C28" s="261" t="str">
        <f>IFERROR(IF(Table6[[#This Row],[Description:]]&lt;&gt;"", Table6[[#This Row],[Duration (Years):]], ""), "")</f>
        <v/>
      </c>
      <c r="D28" s="262" t="str">
        <f>IFERROR(IF(Table6[[#This Row],[Description:]]&lt;&gt;"", Table6[[#This Row],[Frequency:]], ""), "")</f>
        <v/>
      </c>
      <c r="E28" s="263" t="e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>#VALUE!</v>
      </c>
      <c r="F28" s="263" t="str">
        <f>IFERROR(IF(Table6[[#This Row],[Description:]]&lt;&gt;"", Table6[[#This Row],[Annual Cost:]], ""), "")</f>
        <v/>
      </c>
      <c r="G28" s="260"/>
    </row>
    <row r="29" spans="1:7" s="192" customFormat="1" x14ac:dyDescent="0.25">
      <c r="A29" s="260" t="str">
        <f>IFERROR(IF(Table6[[#This Row],[Description:]]&lt;&gt;"", Table6[[#This Row],[Description:]], ""), "")</f>
        <v/>
      </c>
      <c r="B29" s="260"/>
      <c r="C29" s="261" t="str">
        <f>IFERROR(IF(Table6[[#This Row],[Description:]]&lt;&gt;"", Table6[[#This Row],[Duration (Years):]], ""), "")</f>
        <v/>
      </c>
      <c r="D29" s="262" t="str">
        <f>IFERROR(IF(Table6[[#This Row],[Description:]]&lt;&gt;"", Table6[[#This Row],[Frequency:]], ""), "")</f>
        <v/>
      </c>
      <c r="E29" s="263" t="e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>#VALUE!</v>
      </c>
      <c r="F29" s="263" t="str">
        <f>IFERROR(IF(Table6[[#This Row],[Description:]]&lt;&gt;"", Table6[[#This Row],[Annual Cost:]], ""), "")</f>
        <v/>
      </c>
      <c r="G29" s="260"/>
    </row>
    <row r="30" spans="1:7" s="192" customFormat="1" x14ac:dyDescent="0.25">
      <c r="A30" s="260" t="str">
        <f>IFERROR(IF(Table6[[#This Row],[Description:]]&lt;&gt;"", Table6[[#This Row],[Description:]], ""), "")</f>
        <v/>
      </c>
      <c r="B30" s="260"/>
      <c r="C30" s="261" t="str">
        <f>IFERROR(IF(Table6[[#This Row],[Description:]]&lt;&gt;"", Table6[[#This Row],[Duration (Years):]], ""), "")</f>
        <v/>
      </c>
      <c r="D30" s="262" t="str">
        <f>IFERROR(IF(Table6[[#This Row],[Description:]]&lt;&gt;"", Table6[[#This Row],[Frequency:]], ""), "")</f>
        <v/>
      </c>
      <c r="E30" s="263" t="e">
        <f>IF(OR(Table6[[#This Row],[Description:]]="", ISBLANK(Table6[[#This Row],[One-Time Cost:]]), ISBLANK(Table6[[#This Row],[Cost:]])), "", IF(Table6[[#This Row],[Time Value:]]="lifetime", CONCATENATE(Table6[[#This Row],[One-Time Cost:]] &amp; "*", CHAR(10), CHAR(10), "(based on ", Table6[[#This Row],[Cost:]], "/unit)"), Table6[[#This Row],[Cost:]]))</f>
        <v>#VALUE!</v>
      </c>
      <c r="F30" s="263" t="str">
        <f>IFERROR(IF(Table6[[#This Row],[Description:]]&lt;&gt;"", Table6[[#This Row],[Annual Cost:]], ""), "")</f>
        <v/>
      </c>
      <c r="G30" s="260"/>
    </row>
    <row r="31" spans="1:7" x14ac:dyDescent="0.25">
      <c r="A31" s="257"/>
      <c r="B31" s="257"/>
      <c r="C31" s="265"/>
      <c r="D31" s="265"/>
      <c r="E31" s="266"/>
      <c r="F31" s="266"/>
      <c r="G31" s="257"/>
    </row>
    <row r="32" spans="1:7" x14ac:dyDescent="0.25">
      <c r="A32" s="257"/>
      <c r="B32" s="257"/>
      <c r="C32" s="257"/>
      <c r="D32" s="267" t="s">
        <v>125</v>
      </c>
      <c r="E32" s="268" t="str">
        <f>'2nd'!S16</f>
        <v>$0.00</v>
      </c>
      <c r="F32" s="269"/>
      <c r="G32" s="257"/>
    </row>
    <row r="33" spans="1:7" x14ac:dyDescent="0.25">
      <c r="A33" s="257"/>
      <c r="B33" s="257"/>
      <c r="C33" s="257"/>
      <c r="D33" s="267" t="s">
        <v>124</v>
      </c>
      <c r="E33" s="268" t="str">
        <f ca="1">'2nd'!P16</f>
        <v>$0.00</v>
      </c>
      <c r="F33" s="269"/>
      <c r="G33" s="257"/>
    </row>
    <row r="34" spans="1:7" x14ac:dyDescent="0.25">
      <c r="A34" s="257"/>
      <c r="B34" s="257"/>
      <c r="C34" s="257"/>
      <c r="D34" s="257"/>
      <c r="E34" s="269"/>
      <c r="F34" s="269"/>
      <c r="G34" s="257"/>
    </row>
    <row r="35" spans="1:7" x14ac:dyDescent="0.25">
      <c r="A35" s="257"/>
      <c r="B35" s="257"/>
      <c r="C35" s="257"/>
      <c r="D35" s="257"/>
      <c r="E35" s="269"/>
      <c r="F35" s="269"/>
      <c r="G35" s="257"/>
    </row>
    <row r="36" spans="1:7" x14ac:dyDescent="0.25">
      <c r="A36" s="257"/>
      <c r="B36" s="257"/>
      <c r="C36" s="257"/>
      <c r="D36" s="257"/>
      <c r="E36" s="269"/>
      <c r="F36" s="269"/>
      <c r="G36" s="257"/>
    </row>
  </sheetData>
  <mergeCells count="1">
    <mergeCell ref="A1: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69D7-CDEF-4DA7-8E38-086D889153A6}">
  <sheetPr codeName="Sheet31"/>
  <dimension ref="A1:I34"/>
  <sheetViews>
    <sheetView workbookViewId="0">
      <selection sqref="A1:G1"/>
    </sheetView>
  </sheetViews>
  <sheetFormatPr defaultRowHeight="15" x14ac:dyDescent="0.25"/>
  <cols>
    <col min="1" max="2" width="18.7109375" style="190" customWidth="1"/>
    <col min="3" max="4" width="10.7109375" style="190" customWidth="1"/>
    <col min="5" max="6" width="13.7109375" style="193" customWidth="1"/>
    <col min="7" max="7" width="18.7109375" style="190" customWidth="1"/>
    <col min="8" max="16384" width="9.140625" style="190"/>
  </cols>
  <sheetData>
    <row r="1" spans="1:9" ht="23.1" customHeight="1" x14ac:dyDescent="0.25">
      <c r="A1" s="353" t="str">
        <f>'3rd'!A1</f>
        <v>PROCEDURE 3 (RENAME)</v>
      </c>
      <c r="B1" s="353"/>
      <c r="C1" s="353"/>
      <c r="D1" s="353"/>
      <c r="E1" s="353"/>
      <c r="F1" s="353"/>
      <c r="G1" s="353"/>
    </row>
    <row r="2" spans="1:9" s="191" customFormat="1" ht="18" customHeight="1" x14ac:dyDescent="0.25">
      <c r="A2" s="256" t="s">
        <v>117</v>
      </c>
      <c r="B2" s="256" t="s">
        <v>118</v>
      </c>
      <c r="C2" s="256" t="s">
        <v>119</v>
      </c>
      <c r="D2" s="256" t="s">
        <v>120</v>
      </c>
      <c r="E2" s="258" t="s">
        <v>121</v>
      </c>
      <c r="F2" s="258" t="s">
        <v>122</v>
      </c>
      <c r="G2" s="256" t="s">
        <v>123</v>
      </c>
    </row>
    <row r="3" spans="1:9" s="192" customFormat="1" x14ac:dyDescent="0.25">
      <c r="A3" s="260" t="str">
        <f>IFERROR(IF(Table9[[#This Row],[Description:]]&lt;&gt;"", Table9[[#This Row],[Description:]], ""), "")</f>
        <v/>
      </c>
      <c r="B3" s="260"/>
      <c r="C3" s="261" t="str">
        <f>IFERROR(IF(Table9[[#This Row],[Description:]]&lt;&gt;"", Table9[[#This Row],[Duration (Years):]], ""), "")</f>
        <v/>
      </c>
      <c r="D3" s="262" t="str">
        <f>IFERROR(IF(Table9[[#This Row],[Description:]]&lt;&gt;"", Table9[[#This Row],[Frequency:]], ""), "")</f>
        <v/>
      </c>
      <c r="E3" s="263" t="str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/>
      </c>
      <c r="F3" s="263" t="str">
        <f>IFERROR(IF(Table9[[#This Row],[Description:]]&lt;&gt;"", Table9[[#This Row],[Annual Cost:]], ""), "")</f>
        <v/>
      </c>
      <c r="G3" s="260"/>
    </row>
    <row r="4" spans="1:9" s="192" customFormat="1" x14ac:dyDescent="0.25">
      <c r="A4" s="260" t="str">
        <f>IFERROR(IF(Table9[[#This Row],[Description:]]&lt;&gt;"", Table9[[#This Row],[Description:]], ""), "")</f>
        <v/>
      </c>
      <c r="B4" s="260"/>
      <c r="C4" s="261" t="str">
        <f>IFERROR(IF(Table9[[#This Row],[Description:]]&lt;&gt;"", Table9[[#This Row],[Duration (Years):]], ""), "")</f>
        <v/>
      </c>
      <c r="D4" s="262" t="str">
        <f>IFERROR(IF(Table9[[#This Row],[Description:]]&lt;&gt;"", Table9[[#This Row],[Frequency:]], ""), "")</f>
        <v/>
      </c>
      <c r="E4" s="263" t="str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/>
      </c>
      <c r="F4" s="263" t="str">
        <f>IFERROR(IF(Table9[[#This Row],[Description:]]&lt;&gt;"", Table9[[#This Row],[Annual Cost:]], ""), "")</f>
        <v/>
      </c>
      <c r="G4" s="260"/>
    </row>
    <row r="5" spans="1:9" s="192" customFormat="1" x14ac:dyDescent="0.25">
      <c r="A5" s="260" t="str">
        <f>IFERROR(IF(Table9[[#This Row],[Description:]]&lt;&gt;"", Table9[[#This Row],[Description:]], ""), "")</f>
        <v/>
      </c>
      <c r="B5" s="260"/>
      <c r="C5" s="261" t="str">
        <f>IFERROR(IF(Table9[[#This Row],[Description:]]&lt;&gt;"", Table9[[#This Row],[Duration (Years):]], ""), "")</f>
        <v/>
      </c>
      <c r="D5" s="262" t="str">
        <f>IFERROR(IF(Table9[[#This Row],[Description:]]&lt;&gt;"", Table9[[#This Row],[Frequency:]], ""), "")</f>
        <v/>
      </c>
      <c r="E5" s="263" t="str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/>
      </c>
      <c r="F5" s="263" t="str">
        <f>IFERROR(IF(Table9[[#This Row],[Description:]]&lt;&gt;"", Table9[[#This Row],[Annual Cost:]], ""), "")</f>
        <v/>
      </c>
      <c r="G5" s="260"/>
    </row>
    <row r="6" spans="1:9" s="192" customFormat="1" x14ac:dyDescent="0.25">
      <c r="A6" s="260" t="str">
        <f>IFERROR(IF(Table9[[#This Row],[Description:]]&lt;&gt;"", Table9[[#This Row],[Description:]], ""), "")</f>
        <v/>
      </c>
      <c r="B6" s="260"/>
      <c r="C6" s="261" t="str">
        <f>IFERROR(IF(Table9[[#This Row],[Description:]]&lt;&gt;"", Table9[[#This Row],[Duration (Years):]], ""), "")</f>
        <v/>
      </c>
      <c r="D6" s="262" t="str">
        <f>IFERROR(IF(Table9[[#This Row],[Description:]]&lt;&gt;"", Table9[[#This Row],[Frequency:]], ""), "")</f>
        <v/>
      </c>
      <c r="E6" s="263" t="str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/>
      </c>
      <c r="F6" s="263" t="str">
        <f>IFERROR(IF(Table9[[#This Row],[Description:]]&lt;&gt;"", Table9[[#This Row],[Annual Cost:]], ""), "")</f>
        <v/>
      </c>
      <c r="G6" s="260"/>
    </row>
    <row r="7" spans="1:9" s="192" customFormat="1" x14ac:dyDescent="0.25">
      <c r="A7" s="260" t="str">
        <f>IFERROR(IF(Table9[[#This Row],[Description:]]&lt;&gt;"", Table9[[#This Row],[Description:]], ""), "")</f>
        <v/>
      </c>
      <c r="B7" s="260"/>
      <c r="C7" s="261" t="str">
        <f>IFERROR(IF(Table9[[#This Row],[Description:]]&lt;&gt;"", Table9[[#This Row],[Duration (Years):]], ""), "")</f>
        <v/>
      </c>
      <c r="D7" s="262" t="str">
        <f>IFERROR(IF(Table9[[#This Row],[Description:]]&lt;&gt;"", Table9[[#This Row],[Frequency:]], ""), "")</f>
        <v/>
      </c>
      <c r="E7" s="263" t="str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/>
      </c>
      <c r="F7" s="263" t="str">
        <f>IFERROR(IF(Table9[[#This Row],[Description:]]&lt;&gt;"", Table9[[#This Row],[Annual Cost:]], ""), "")</f>
        <v/>
      </c>
      <c r="G7" s="260"/>
    </row>
    <row r="8" spans="1:9" s="192" customFormat="1" x14ac:dyDescent="0.25">
      <c r="A8" s="260" t="str">
        <f>IFERROR(IF(Table9[[#This Row],[Description:]]&lt;&gt;"", Table9[[#This Row],[Description:]], ""), "")</f>
        <v/>
      </c>
      <c r="B8" s="260"/>
      <c r="C8" s="261" t="str">
        <f>IFERROR(IF(Table9[[#This Row],[Description:]]&lt;&gt;"", Table9[[#This Row],[Duration (Years):]], ""), "")</f>
        <v/>
      </c>
      <c r="D8" s="262" t="str">
        <f>IFERROR(IF(Table9[[#This Row],[Description:]]&lt;&gt;"", Table9[[#This Row],[Frequency:]], ""), "")</f>
        <v/>
      </c>
      <c r="E8" s="263" t="str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/>
      </c>
      <c r="F8" s="263" t="str">
        <f>IFERROR(IF(Table9[[#This Row],[Description:]]&lt;&gt;"", Table9[[#This Row],[Annual Cost:]], ""), "")</f>
        <v/>
      </c>
      <c r="G8" s="260"/>
    </row>
    <row r="9" spans="1:9" s="192" customFormat="1" x14ac:dyDescent="0.25">
      <c r="A9" s="260" t="str">
        <f>IFERROR(IF(Table9[[#This Row],[Description:]]&lt;&gt;"", Table9[[#This Row],[Description:]], ""), "")</f>
        <v/>
      </c>
      <c r="B9" s="260"/>
      <c r="C9" s="261" t="str">
        <f>IFERROR(IF(Table9[[#This Row],[Description:]]&lt;&gt;"", Table9[[#This Row],[Duration (Years):]], ""), "")</f>
        <v/>
      </c>
      <c r="D9" s="262" t="str">
        <f>IFERROR(IF(Table9[[#This Row],[Description:]]&lt;&gt;"", Table9[[#This Row],[Frequency:]], ""), "")</f>
        <v/>
      </c>
      <c r="E9" s="263" t="str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/>
      </c>
      <c r="F9" s="263" t="str">
        <f>IFERROR(IF(Table9[[#This Row],[Description:]]&lt;&gt;"", Table9[[#This Row],[Annual Cost:]], ""), "")</f>
        <v/>
      </c>
      <c r="G9" s="260"/>
    </row>
    <row r="10" spans="1:9" s="192" customFormat="1" ht="15.75" x14ac:dyDescent="0.25">
      <c r="A10" s="260" t="str">
        <f>IFERROR(IF(Table9[[#This Row],[Description:]]&lt;&gt;"", Table9[[#This Row],[Description:]], ""), "")</f>
        <v/>
      </c>
      <c r="B10" s="260"/>
      <c r="C10" s="261" t="str">
        <f>IFERROR(IF(Table9[[#This Row],[Description:]]&lt;&gt;"", Table9[[#This Row],[Duration (Years):]], ""), "")</f>
        <v/>
      </c>
      <c r="D10" s="262" t="str">
        <f>IFERROR(IF(Table9[[#This Row],[Description:]]&lt;&gt;"", Table9[[#This Row],[Frequency:]], ""), "")</f>
        <v/>
      </c>
      <c r="E10" s="263" t="str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/>
      </c>
      <c r="F10" s="263" t="str">
        <f>IFERROR(IF(Table9[[#This Row],[Description:]]&lt;&gt;"", Table9[[#This Row],[Annual Cost:]], ""), "")</f>
        <v/>
      </c>
      <c r="G10" s="260"/>
      <c r="I10" s="118" t="s">
        <v>140</v>
      </c>
    </row>
    <row r="11" spans="1:9" s="192" customFormat="1" ht="15.75" x14ac:dyDescent="0.25">
      <c r="A11" s="260" t="str">
        <f>IFERROR(IF(Table9[[#This Row],[Description:]]&lt;&gt;"", Table9[[#This Row],[Description:]], ""), "")</f>
        <v/>
      </c>
      <c r="B11" s="260"/>
      <c r="C11" s="261" t="str">
        <f>IFERROR(IF(Table9[[#This Row],[Description:]]&lt;&gt;"", Table9[[#This Row],[Duration (Years):]], ""), "")</f>
        <v/>
      </c>
      <c r="D11" s="262" t="str">
        <f>IFERROR(IF(Table9[[#This Row],[Description:]]&lt;&gt;"", Table9[[#This Row],[Frequency:]], ""), "")</f>
        <v/>
      </c>
      <c r="E11" s="263" t="str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/>
      </c>
      <c r="F11" s="263" t="str">
        <f>IFERROR(IF(Table9[[#This Row],[Description:]]&lt;&gt;"", Table9[[#This Row],[Annual Cost:]], ""), "")</f>
        <v/>
      </c>
      <c r="G11" s="260"/>
      <c r="I11" s="118" t="s">
        <v>141</v>
      </c>
    </row>
    <row r="12" spans="1:9" s="192" customFormat="1" ht="15.75" x14ac:dyDescent="0.25">
      <c r="A12" s="260" t="str">
        <f>IFERROR(IF(Table9[[#This Row],[Description:]]&lt;&gt;"", Table9[[#This Row],[Description:]], ""), "")</f>
        <v/>
      </c>
      <c r="B12" s="260"/>
      <c r="C12" s="261" t="str">
        <f>IFERROR(IF(Table9[[#This Row],[Description:]]&lt;&gt;"", Table9[[#This Row],[Duration (Years):]], ""), "")</f>
        <v/>
      </c>
      <c r="D12" s="262" t="str">
        <f>IFERROR(IF(Table9[[#This Row],[Description:]]&lt;&gt;"", Table9[[#This Row],[Frequency:]], ""), "")</f>
        <v/>
      </c>
      <c r="E12" s="263" t="str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/>
      </c>
      <c r="F12" s="263" t="str">
        <f>IFERROR(IF(Table9[[#This Row],[Description:]]&lt;&gt;"", Table9[[#This Row],[Annual Cost:]], ""), "")</f>
        <v/>
      </c>
      <c r="G12" s="260"/>
      <c r="I12" s="121"/>
    </row>
    <row r="13" spans="1:9" s="192" customFormat="1" ht="15.75" x14ac:dyDescent="0.25">
      <c r="A13" s="260" t="str">
        <f>IFERROR(IF(Table9[[#This Row],[Description:]]&lt;&gt;"", Table9[[#This Row],[Description:]], ""), "")</f>
        <v/>
      </c>
      <c r="B13" s="260"/>
      <c r="C13" s="261" t="str">
        <f>IFERROR(IF(Table9[[#This Row],[Description:]]&lt;&gt;"", Table9[[#This Row],[Duration (Years):]], ""), "")</f>
        <v/>
      </c>
      <c r="D13" s="262" t="str">
        <f>IFERROR(IF(Table9[[#This Row],[Description:]]&lt;&gt;"", Table9[[#This Row],[Frequency:]], ""), "")</f>
        <v/>
      </c>
      <c r="E13" s="263" t="str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/>
      </c>
      <c r="F13" s="263" t="str">
        <f>IFERROR(IF(Table9[[#This Row],[Description:]]&lt;&gt;"", Table9[[#This Row],[Annual Cost:]], ""), "")</f>
        <v/>
      </c>
      <c r="G13" s="260"/>
      <c r="I13" s="118" t="s">
        <v>142</v>
      </c>
    </row>
    <row r="14" spans="1:9" s="192" customFormat="1" ht="15.75" x14ac:dyDescent="0.25">
      <c r="A14" s="260" t="str">
        <f>IFERROR(IF(Table9[[#This Row],[Description:]]&lt;&gt;"", Table9[[#This Row],[Description:]], ""), "")</f>
        <v/>
      </c>
      <c r="B14" s="260"/>
      <c r="C14" s="261" t="str">
        <f>IFERROR(IF(Table9[[#This Row],[Description:]]&lt;&gt;"", Table9[[#This Row],[Duration (Years):]], ""), "")</f>
        <v/>
      </c>
      <c r="D14" s="262" t="str">
        <f>IFERROR(IF(Table9[[#This Row],[Description:]]&lt;&gt;"", Table9[[#This Row],[Frequency:]], ""), "")</f>
        <v/>
      </c>
      <c r="E14" s="263" t="str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/>
      </c>
      <c r="F14" s="263" t="str">
        <f>IFERROR(IF(Table9[[#This Row],[Description:]]&lt;&gt;"", Table9[[#This Row],[Annual Cost:]], ""), "")</f>
        <v/>
      </c>
      <c r="G14" s="260"/>
      <c r="I14" s="118" t="s">
        <v>143</v>
      </c>
    </row>
    <row r="15" spans="1:9" s="192" customFormat="1" x14ac:dyDescent="0.25">
      <c r="A15" s="260" t="str">
        <f>IFERROR(IF(Table9[[#This Row],[Description:]]&lt;&gt;"", Table9[[#This Row],[Description:]], ""), "")</f>
        <v/>
      </c>
      <c r="B15" s="260"/>
      <c r="C15" s="261" t="str">
        <f>IFERROR(IF(Table9[[#This Row],[Description:]]&lt;&gt;"", Table9[[#This Row],[Duration (Years):]], ""), "")</f>
        <v/>
      </c>
      <c r="D15" s="262" t="str">
        <f>IFERROR(IF(Table9[[#This Row],[Description:]]&lt;&gt;"", Table9[[#This Row],[Frequency:]], ""), "")</f>
        <v/>
      </c>
      <c r="E15" s="263" t="str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/>
      </c>
      <c r="F15" s="263" t="str">
        <f>IFERROR(IF(Table9[[#This Row],[Description:]]&lt;&gt;"", Table9[[#This Row],[Annual Cost:]], ""), "")</f>
        <v/>
      </c>
      <c r="G15" s="260"/>
    </row>
    <row r="16" spans="1:9" s="192" customFormat="1" x14ac:dyDescent="0.25">
      <c r="A16" s="260" t="str">
        <f>IFERROR(IF(Table9[[#This Row],[Description:]]&lt;&gt;"", Table9[[#This Row],[Description:]], ""), "")</f>
        <v/>
      </c>
      <c r="B16" s="260"/>
      <c r="C16" s="261" t="str">
        <f>IFERROR(IF(Table9[[#This Row],[Description:]]&lt;&gt;"", Table9[[#This Row],[Duration (Years):]], ""), "")</f>
        <v/>
      </c>
      <c r="D16" s="262" t="str">
        <f>IFERROR(IF(Table9[[#This Row],[Description:]]&lt;&gt;"", Table9[[#This Row],[Frequency:]], ""), "")</f>
        <v/>
      </c>
      <c r="E16" s="263" t="e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>#VALUE!</v>
      </c>
      <c r="F16" s="263" t="str">
        <f>IFERROR(IF(Table9[[#This Row],[Description:]]&lt;&gt;"", Table9[[#This Row],[Annual Cost:]], ""), "")</f>
        <v/>
      </c>
      <c r="G16" s="260"/>
    </row>
    <row r="17" spans="1:7" s="192" customFormat="1" x14ac:dyDescent="0.25">
      <c r="A17" s="260" t="str">
        <f>IFERROR(IF(Table9[[#This Row],[Description:]]&lt;&gt;"", Table9[[#This Row],[Description:]], ""), "")</f>
        <v/>
      </c>
      <c r="B17" s="260"/>
      <c r="C17" s="261" t="str">
        <f>IFERROR(IF(Table9[[#This Row],[Description:]]&lt;&gt;"", Table9[[#This Row],[Duration (Years):]], ""), "")</f>
        <v/>
      </c>
      <c r="D17" s="262" t="str">
        <f>IFERROR(IF(Table9[[#This Row],[Description:]]&lt;&gt;"", Table9[[#This Row],[Frequency:]], ""), "")</f>
        <v/>
      </c>
      <c r="E17" s="263" t="e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>#VALUE!</v>
      </c>
      <c r="F17" s="263" t="str">
        <f>IFERROR(IF(Table9[[#This Row],[Description:]]&lt;&gt;"", Table9[[#This Row],[Annual Cost:]], ""), "")</f>
        <v/>
      </c>
      <c r="G17" s="260"/>
    </row>
    <row r="18" spans="1:7" s="192" customFormat="1" x14ac:dyDescent="0.25">
      <c r="A18" s="260" t="str">
        <f>IFERROR(IF(Table9[[#This Row],[Description:]]&lt;&gt;"", Table9[[#This Row],[Description:]], ""), "")</f>
        <v/>
      </c>
      <c r="B18" s="260"/>
      <c r="C18" s="261" t="str">
        <f>IFERROR(IF(Table9[[#This Row],[Description:]]&lt;&gt;"", Table9[[#This Row],[Duration (Years):]], ""), "")</f>
        <v/>
      </c>
      <c r="D18" s="262" t="str">
        <f>IFERROR(IF(Table9[[#This Row],[Description:]]&lt;&gt;"", Table9[[#This Row],[Frequency:]], ""), "")</f>
        <v/>
      </c>
      <c r="E18" s="263" t="e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>#VALUE!</v>
      </c>
      <c r="F18" s="263" t="str">
        <f>IFERROR(IF(Table9[[#This Row],[Description:]]&lt;&gt;"", Table9[[#This Row],[Annual Cost:]], ""), "")</f>
        <v/>
      </c>
      <c r="G18" s="260"/>
    </row>
    <row r="19" spans="1:7" s="192" customFormat="1" x14ac:dyDescent="0.25">
      <c r="A19" s="260" t="str">
        <f>IFERROR(IF(Table9[[#This Row],[Description:]]&lt;&gt;"", Table9[[#This Row],[Description:]], ""), "")</f>
        <v/>
      </c>
      <c r="B19" s="260"/>
      <c r="C19" s="261" t="str">
        <f>IFERROR(IF(Table9[[#This Row],[Description:]]&lt;&gt;"", Table9[[#This Row],[Duration (Years):]], ""), "")</f>
        <v/>
      </c>
      <c r="D19" s="262" t="str">
        <f>IFERROR(IF(Table9[[#This Row],[Description:]]&lt;&gt;"", Table9[[#This Row],[Frequency:]], ""), "")</f>
        <v/>
      </c>
      <c r="E19" s="263" t="e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>#VALUE!</v>
      </c>
      <c r="F19" s="263" t="str">
        <f>IFERROR(IF(Table9[[#This Row],[Description:]]&lt;&gt;"", Table9[[#This Row],[Annual Cost:]], ""), "")</f>
        <v/>
      </c>
      <c r="G19" s="260"/>
    </row>
    <row r="20" spans="1:7" s="192" customFormat="1" x14ac:dyDescent="0.25">
      <c r="A20" s="260" t="str">
        <f>IFERROR(IF(Table9[[#This Row],[Description:]]&lt;&gt;"", Table9[[#This Row],[Description:]], ""), "")</f>
        <v/>
      </c>
      <c r="B20" s="260"/>
      <c r="C20" s="261" t="str">
        <f>IFERROR(IF(Table9[[#This Row],[Description:]]&lt;&gt;"", Table9[[#This Row],[Duration (Years):]], ""), "")</f>
        <v/>
      </c>
      <c r="D20" s="262" t="str">
        <f>IFERROR(IF(Table9[[#This Row],[Description:]]&lt;&gt;"", Table9[[#This Row],[Frequency:]], ""), "")</f>
        <v/>
      </c>
      <c r="E20" s="263" t="e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>#VALUE!</v>
      </c>
      <c r="F20" s="263" t="str">
        <f>IFERROR(IF(Table9[[#This Row],[Description:]]&lt;&gt;"", Table9[[#This Row],[Annual Cost:]], ""), "")</f>
        <v/>
      </c>
      <c r="G20" s="260"/>
    </row>
    <row r="21" spans="1:7" s="192" customFormat="1" x14ac:dyDescent="0.25">
      <c r="A21" s="260" t="str">
        <f>IFERROR(IF(Table9[[#This Row],[Description:]]&lt;&gt;"", Table9[[#This Row],[Description:]], ""), "")</f>
        <v/>
      </c>
      <c r="B21" s="260"/>
      <c r="C21" s="261" t="str">
        <f>IFERROR(IF(Table9[[#This Row],[Description:]]&lt;&gt;"", Table9[[#This Row],[Duration (Years):]], ""), "")</f>
        <v/>
      </c>
      <c r="D21" s="262" t="str">
        <f>IFERROR(IF(Table9[[#This Row],[Description:]]&lt;&gt;"", Table9[[#This Row],[Frequency:]], ""), "")</f>
        <v/>
      </c>
      <c r="E21" s="263" t="e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>#VALUE!</v>
      </c>
      <c r="F21" s="263" t="str">
        <f>IFERROR(IF(Table9[[#This Row],[Description:]]&lt;&gt;"", Table9[[#This Row],[Annual Cost:]], ""), "")</f>
        <v/>
      </c>
      <c r="G21" s="260"/>
    </row>
    <row r="22" spans="1:7" s="192" customFormat="1" x14ac:dyDescent="0.25">
      <c r="A22" s="260" t="str">
        <f>IFERROR(IF(Table9[[#This Row],[Description:]]&lt;&gt;"", Table9[[#This Row],[Description:]], ""), "")</f>
        <v/>
      </c>
      <c r="B22" s="260"/>
      <c r="C22" s="261" t="str">
        <f>IFERROR(IF(Table9[[#This Row],[Description:]]&lt;&gt;"", Table9[[#This Row],[Duration (Years):]], ""), "")</f>
        <v/>
      </c>
      <c r="D22" s="262" t="str">
        <f>IFERROR(IF(Table9[[#This Row],[Description:]]&lt;&gt;"", Table9[[#This Row],[Frequency:]], ""), "")</f>
        <v/>
      </c>
      <c r="E22" s="263" t="e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>#VALUE!</v>
      </c>
      <c r="F22" s="263" t="str">
        <f>IFERROR(IF(Table9[[#This Row],[Description:]]&lt;&gt;"", Table9[[#This Row],[Annual Cost:]], ""), "")</f>
        <v/>
      </c>
      <c r="G22" s="260"/>
    </row>
    <row r="23" spans="1:7" s="192" customFormat="1" x14ac:dyDescent="0.25">
      <c r="A23" s="260" t="str">
        <f>IFERROR(IF(Table9[[#This Row],[Description:]]&lt;&gt;"", Table9[[#This Row],[Description:]], ""), "")</f>
        <v/>
      </c>
      <c r="B23" s="260"/>
      <c r="C23" s="261" t="str">
        <f>IFERROR(IF(Table9[[#This Row],[Description:]]&lt;&gt;"", Table9[[#This Row],[Duration (Years):]], ""), "")</f>
        <v/>
      </c>
      <c r="D23" s="262" t="str">
        <f>IFERROR(IF(Table9[[#This Row],[Description:]]&lt;&gt;"", Table9[[#This Row],[Frequency:]], ""), "")</f>
        <v/>
      </c>
      <c r="E23" s="263" t="e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>#VALUE!</v>
      </c>
      <c r="F23" s="263" t="str">
        <f>IFERROR(IF(Table9[[#This Row],[Description:]]&lt;&gt;"", Table9[[#This Row],[Annual Cost:]], ""), "")</f>
        <v/>
      </c>
      <c r="G23" s="260"/>
    </row>
    <row r="24" spans="1:7" s="192" customFormat="1" x14ac:dyDescent="0.25">
      <c r="A24" s="260" t="str">
        <f>IFERROR(IF(Table9[[#This Row],[Description:]]&lt;&gt;"", Table9[[#This Row],[Description:]], ""), "")</f>
        <v/>
      </c>
      <c r="B24" s="260"/>
      <c r="C24" s="261" t="str">
        <f>IFERROR(IF(Table9[[#This Row],[Description:]]&lt;&gt;"", Table9[[#This Row],[Duration (Years):]], ""), "")</f>
        <v/>
      </c>
      <c r="D24" s="262" t="str">
        <f>IFERROR(IF(Table9[[#This Row],[Description:]]&lt;&gt;"", Table9[[#This Row],[Frequency:]], ""), "")</f>
        <v/>
      </c>
      <c r="E24" s="263" t="e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>#VALUE!</v>
      </c>
      <c r="F24" s="263" t="str">
        <f>IFERROR(IF(Table9[[#This Row],[Description:]]&lt;&gt;"", Table9[[#This Row],[Annual Cost:]], ""), "")</f>
        <v/>
      </c>
      <c r="G24" s="260"/>
    </row>
    <row r="25" spans="1:7" s="192" customFormat="1" x14ac:dyDescent="0.25">
      <c r="A25" s="260" t="str">
        <f>IFERROR(IF(Table9[[#This Row],[Description:]]&lt;&gt;"", Table9[[#This Row],[Description:]], ""), "")</f>
        <v/>
      </c>
      <c r="B25" s="260"/>
      <c r="C25" s="261" t="str">
        <f>IFERROR(IF(Table9[[#This Row],[Description:]]&lt;&gt;"", Table9[[#This Row],[Duration (Years):]], ""), "")</f>
        <v/>
      </c>
      <c r="D25" s="262" t="str">
        <f>IFERROR(IF(Table9[[#This Row],[Description:]]&lt;&gt;"", Table9[[#This Row],[Frequency:]], ""), "")</f>
        <v/>
      </c>
      <c r="E25" s="263" t="e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>#VALUE!</v>
      </c>
      <c r="F25" s="263" t="str">
        <f>IFERROR(IF(Table9[[#This Row],[Description:]]&lt;&gt;"", Table9[[#This Row],[Annual Cost:]], ""), "")</f>
        <v/>
      </c>
      <c r="G25" s="260"/>
    </row>
    <row r="26" spans="1:7" s="192" customFormat="1" x14ac:dyDescent="0.25">
      <c r="A26" s="260" t="str">
        <f>IFERROR(IF(Table9[[#This Row],[Description:]]&lt;&gt;"", Table9[[#This Row],[Description:]], ""), "")</f>
        <v/>
      </c>
      <c r="B26" s="260"/>
      <c r="C26" s="261" t="str">
        <f>IFERROR(IF(Table9[[#This Row],[Description:]]&lt;&gt;"", Table9[[#This Row],[Duration (Years):]], ""), "")</f>
        <v/>
      </c>
      <c r="D26" s="262" t="str">
        <f>IFERROR(IF(Table9[[#This Row],[Description:]]&lt;&gt;"", Table9[[#This Row],[Frequency:]], ""), "")</f>
        <v/>
      </c>
      <c r="E26" s="263" t="e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>#VALUE!</v>
      </c>
      <c r="F26" s="263" t="str">
        <f>IFERROR(IF(Table9[[#This Row],[Description:]]&lt;&gt;"", Table9[[#This Row],[Annual Cost:]], ""), "")</f>
        <v/>
      </c>
      <c r="G26" s="260"/>
    </row>
    <row r="27" spans="1:7" s="192" customFormat="1" x14ac:dyDescent="0.25">
      <c r="A27" s="260" t="str">
        <f>IFERROR(IF(Table9[[#This Row],[Description:]]&lt;&gt;"", Table9[[#This Row],[Description:]], ""), "")</f>
        <v/>
      </c>
      <c r="B27" s="260"/>
      <c r="C27" s="261" t="str">
        <f>IFERROR(IF(Table9[[#This Row],[Description:]]&lt;&gt;"", Table9[[#This Row],[Duration (Years):]], ""), "")</f>
        <v/>
      </c>
      <c r="D27" s="262" t="str">
        <f>IFERROR(IF(Table9[[#This Row],[Description:]]&lt;&gt;"", Table9[[#This Row],[Frequency:]], ""), "")</f>
        <v/>
      </c>
      <c r="E27" s="263" t="e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>#VALUE!</v>
      </c>
      <c r="F27" s="263" t="str">
        <f>IFERROR(IF(Table9[[#This Row],[Description:]]&lt;&gt;"", Table9[[#This Row],[Annual Cost:]], ""), "")</f>
        <v/>
      </c>
      <c r="G27" s="260"/>
    </row>
    <row r="28" spans="1:7" s="192" customFormat="1" x14ac:dyDescent="0.25">
      <c r="A28" s="260" t="str">
        <f>IFERROR(IF(Table9[[#This Row],[Description:]]&lt;&gt;"", Table9[[#This Row],[Description:]], ""), "")</f>
        <v/>
      </c>
      <c r="B28" s="260"/>
      <c r="C28" s="261" t="str">
        <f>IFERROR(IF(Table9[[#This Row],[Description:]]&lt;&gt;"", Table9[[#This Row],[Duration (Years):]], ""), "")</f>
        <v/>
      </c>
      <c r="D28" s="262" t="str">
        <f>IFERROR(IF(Table9[[#This Row],[Description:]]&lt;&gt;"", Table9[[#This Row],[Frequency:]], ""), "")</f>
        <v/>
      </c>
      <c r="E28" s="263" t="e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>#VALUE!</v>
      </c>
      <c r="F28" s="263" t="str">
        <f>IFERROR(IF(Table9[[#This Row],[Description:]]&lt;&gt;"", Table9[[#This Row],[Annual Cost:]], ""), "")</f>
        <v/>
      </c>
      <c r="G28" s="260"/>
    </row>
    <row r="29" spans="1:7" s="192" customFormat="1" x14ac:dyDescent="0.25">
      <c r="A29" s="260" t="str">
        <f>IFERROR(IF(Table9[[#This Row],[Description:]]&lt;&gt;"", Table9[[#This Row],[Description:]], ""), "")</f>
        <v/>
      </c>
      <c r="B29" s="260"/>
      <c r="C29" s="261" t="str">
        <f>IFERROR(IF(Table9[[#This Row],[Description:]]&lt;&gt;"", Table9[[#This Row],[Duration (Years):]], ""), "")</f>
        <v/>
      </c>
      <c r="D29" s="262" t="str">
        <f>IFERROR(IF(Table9[[#This Row],[Description:]]&lt;&gt;"", Table9[[#This Row],[Frequency:]], ""), "")</f>
        <v/>
      </c>
      <c r="E29" s="263" t="e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>#VALUE!</v>
      </c>
      <c r="F29" s="263" t="str">
        <f>IFERROR(IF(Table9[[#This Row],[Description:]]&lt;&gt;"", Table9[[#This Row],[Annual Cost:]], ""), "")</f>
        <v/>
      </c>
      <c r="G29" s="260"/>
    </row>
    <row r="30" spans="1:7" s="192" customFormat="1" x14ac:dyDescent="0.25">
      <c r="A30" s="260" t="str">
        <f>IFERROR(IF(Table9[[#This Row],[Description:]]&lt;&gt;"", Table9[[#This Row],[Description:]], ""), "")</f>
        <v/>
      </c>
      <c r="B30" s="260"/>
      <c r="C30" s="261" t="str">
        <f>IFERROR(IF(Table9[[#This Row],[Description:]]&lt;&gt;"", Table9[[#This Row],[Duration (Years):]], ""), "")</f>
        <v/>
      </c>
      <c r="D30" s="262" t="str">
        <f>IFERROR(IF(Table9[[#This Row],[Description:]]&lt;&gt;"", Table9[[#This Row],[Frequency:]], ""), "")</f>
        <v/>
      </c>
      <c r="E30" s="263" t="e">
        <f>IF(OR(Table9[[#This Row],[Description:]]="", ISBLANK(Table9[[#This Row],[One-Time Cost:]]), ISBLANK(Table9[[#This Row],[Cost:]])), "", IF(Table9[[#This Row],[Time Value:]]="lifetime", CONCATENATE(Table9[[#This Row],[One-Time Cost:]] &amp; "*", CHAR(10), CHAR(10), "(based on ", Table9[[#This Row],[Cost:]], "/unit)"), Table9[[#This Row],[Cost:]]))</f>
        <v>#VALUE!</v>
      </c>
      <c r="F30" s="263" t="str">
        <f>IFERROR(IF(Table9[[#This Row],[Description:]]&lt;&gt;"", Table9[[#This Row],[Annual Cost:]], ""), "")</f>
        <v/>
      </c>
      <c r="G30" s="260"/>
    </row>
    <row r="31" spans="1:7" x14ac:dyDescent="0.25">
      <c r="A31" s="257"/>
      <c r="B31" s="257"/>
      <c r="C31" s="265"/>
      <c r="D31" s="265"/>
      <c r="E31" s="266"/>
      <c r="F31" s="266"/>
      <c r="G31" s="257"/>
    </row>
    <row r="32" spans="1:7" x14ac:dyDescent="0.25">
      <c r="A32" s="257"/>
      <c r="B32" s="257"/>
      <c r="C32" s="257"/>
      <c r="D32" s="267" t="s">
        <v>125</v>
      </c>
      <c r="E32" s="268" t="str">
        <f>'3rd'!S16</f>
        <v>$0.00</v>
      </c>
      <c r="F32" s="269"/>
      <c r="G32" s="257"/>
    </row>
    <row r="33" spans="1:7" x14ac:dyDescent="0.25">
      <c r="A33" s="257"/>
      <c r="B33" s="257"/>
      <c r="C33" s="257"/>
      <c r="D33" s="267" t="s">
        <v>124</v>
      </c>
      <c r="E33" s="268" t="str">
        <f ca="1">'3rd'!P16</f>
        <v>$0.00</v>
      </c>
      <c r="F33" s="269"/>
      <c r="G33" s="257"/>
    </row>
    <row r="34" spans="1:7" x14ac:dyDescent="0.25">
      <c r="A34" s="257"/>
      <c r="B34" s="257"/>
      <c r="C34" s="257"/>
      <c r="D34" s="257"/>
      <c r="E34" s="269"/>
      <c r="F34" s="269"/>
      <c r="G34" s="257"/>
    </row>
  </sheetData>
  <mergeCells count="1">
    <mergeCell ref="A1:G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DFF5-19CD-481F-8F2E-C387D983A47C}">
  <sheetPr codeName="Sheet32"/>
  <dimension ref="A1:I33"/>
  <sheetViews>
    <sheetView workbookViewId="0">
      <selection sqref="A1:G1"/>
    </sheetView>
  </sheetViews>
  <sheetFormatPr defaultRowHeight="15" x14ac:dyDescent="0.25"/>
  <cols>
    <col min="1" max="2" width="18.7109375" style="190" customWidth="1"/>
    <col min="3" max="4" width="10.7109375" style="190" customWidth="1"/>
    <col min="5" max="6" width="13.7109375" style="193" customWidth="1"/>
    <col min="7" max="7" width="18.7109375" style="190" customWidth="1"/>
    <col min="8" max="16384" width="9.140625" style="190"/>
  </cols>
  <sheetData>
    <row r="1" spans="1:9" ht="23.1" customHeight="1" x14ac:dyDescent="0.25">
      <c r="A1" s="353" t="str">
        <f>'4th'!A1</f>
        <v>PROCEDURE 4 (RENAME)</v>
      </c>
      <c r="B1" s="353"/>
      <c r="C1" s="353"/>
      <c r="D1" s="353"/>
      <c r="E1" s="353"/>
      <c r="F1" s="353"/>
      <c r="G1" s="353"/>
    </row>
    <row r="2" spans="1:9" s="191" customFormat="1" ht="18" customHeight="1" x14ac:dyDescent="0.25">
      <c r="A2" s="256" t="s">
        <v>117</v>
      </c>
      <c r="B2" s="256" t="s">
        <v>118</v>
      </c>
      <c r="C2" s="256" t="s">
        <v>119</v>
      </c>
      <c r="D2" s="256" t="s">
        <v>120</v>
      </c>
      <c r="E2" s="258" t="s">
        <v>121</v>
      </c>
      <c r="F2" s="258" t="s">
        <v>122</v>
      </c>
      <c r="G2" s="256" t="s">
        <v>123</v>
      </c>
    </row>
    <row r="3" spans="1:9" s="192" customFormat="1" x14ac:dyDescent="0.25">
      <c r="A3" s="260" t="str">
        <f>IFERROR(IF(Table11[[#This Row],[Description:]]&lt;&gt;"", Table11[[#This Row],[Description:]], ""), "")</f>
        <v/>
      </c>
      <c r="B3" s="260"/>
      <c r="C3" s="261" t="str">
        <f>IFERROR(IF(Table11[[#This Row],[Description:]]&lt;&gt;"", Table11[[#This Row],[Duration (Years):]], ""), "")</f>
        <v/>
      </c>
      <c r="D3" s="262" t="str">
        <f>IFERROR(IF(Table11[[#This Row],[Description:]]&lt;&gt;"", Table11[[#This Row],[Frequency:]], ""), "")</f>
        <v/>
      </c>
      <c r="E3" s="263" t="str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/>
      </c>
      <c r="F3" s="263" t="str">
        <f>IFERROR(IF(Table11[[#This Row],[Description:]]&lt;&gt;"", Table11[[#This Row],[Annual Cost:]], ""), "")</f>
        <v/>
      </c>
      <c r="G3" s="260"/>
    </row>
    <row r="4" spans="1:9" s="192" customFormat="1" x14ac:dyDescent="0.25">
      <c r="A4" s="260" t="str">
        <f>IFERROR(IF(Table11[[#This Row],[Description:]]&lt;&gt;"", Table11[[#This Row],[Description:]], ""), "")</f>
        <v/>
      </c>
      <c r="B4" s="260"/>
      <c r="C4" s="261" t="str">
        <f>IFERROR(IF(Table11[[#This Row],[Description:]]&lt;&gt;"", Table11[[#This Row],[Duration (Years):]], ""), "")</f>
        <v/>
      </c>
      <c r="D4" s="262" t="str">
        <f>IFERROR(IF(Table11[[#This Row],[Description:]]&lt;&gt;"", Table11[[#This Row],[Frequency:]], ""), "")</f>
        <v/>
      </c>
      <c r="E4" s="263" t="str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/>
      </c>
      <c r="F4" s="263" t="str">
        <f>IFERROR(IF(Table11[[#This Row],[Description:]]&lt;&gt;"", Table11[[#This Row],[Annual Cost:]], ""), "")</f>
        <v/>
      </c>
      <c r="G4" s="260"/>
    </row>
    <row r="5" spans="1:9" s="192" customFormat="1" x14ac:dyDescent="0.25">
      <c r="A5" s="260" t="str">
        <f>IFERROR(IF(Table11[[#This Row],[Description:]]&lt;&gt;"", Table11[[#This Row],[Description:]], ""), "")</f>
        <v/>
      </c>
      <c r="B5" s="260"/>
      <c r="C5" s="261" t="str">
        <f>IFERROR(IF(Table11[[#This Row],[Description:]]&lt;&gt;"", Table11[[#This Row],[Duration (Years):]], ""), "")</f>
        <v/>
      </c>
      <c r="D5" s="262" t="str">
        <f>IFERROR(IF(Table11[[#This Row],[Description:]]&lt;&gt;"", Table11[[#This Row],[Frequency:]], ""), "")</f>
        <v/>
      </c>
      <c r="E5" s="263" t="str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/>
      </c>
      <c r="F5" s="263" t="str">
        <f>IFERROR(IF(Table11[[#This Row],[Description:]]&lt;&gt;"", Table11[[#This Row],[Annual Cost:]], ""), "")</f>
        <v/>
      </c>
      <c r="G5" s="260"/>
    </row>
    <row r="6" spans="1:9" s="192" customFormat="1" x14ac:dyDescent="0.25">
      <c r="A6" s="260" t="str">
        <f>IFERROR(IF(Table11[[#This Row],[Description:]]&lt;&gt;"", Table11[[#This Row],[Description:]], ""), "")</f>
        <v/>
      </c>
      <c r="B6" s="260"/>
      <c r="C6" s="261" t="str">
        <f>IFERROR(IF(Table11[[#This Row],[Description:]]&lt;&gt;"", Table11[[#This Row],[Duration (Years):]], ""), "")</f>
        <v/>
      </c>
      <c r="D6" s="262" t="str">
        <f>IFERROR(IF(Table11[[#This Row],[Description:]]&lt;&gt;"", Table11[[#This Row],[Frequency:]], ""), "")</f>
        <v/>
      </c>
      <c r="E6" s="263" t="str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/>
      </c>
      <c r="F6" s="263" t="str">
        <f>IFERROR(IF(Table11[[#This Row],[Description:]]&lt;&gt;"", Table11[[#This Row],[Annual Cost:]], ""), "")</f>
        <v/>
      </c>
      <c r="G6" s="260"/>
    </row>
    <row r="7" spans="1:9" s="192" customFormat="1" x14ac:dyDescent="0.25">
      <c r="A7" s="260" t="str">
        <f>IFERROR(IF(Table11[[#This Row],[Description:]]&lt;&gt;"", Table11[[#This Row],[Description:]], ""), "")</f>
        <v/>
      </c>
      <c r="B7" s="260"/>
      <c r="C7" s="261" t="str">
        <f>IFERROR(IF(Table11[[#This Row],[Description:]]&lt;&gt;"", Table11[[#This Row],[Duration (Years):]], ""), "")</f>
        <v/>
      </c>
      <c r="D7" s="262" t="str">
        <f>IFERROR(IF(Table11[[#This Row],[Description:]]&lt;&gt;"", Table11[[#This Row],[Frequency:]], ""), "")</f>
        <v/>
      </c>
      <c r="E7" s="263" t="str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/>
      </c>
      <c r="F7" s="263" t="str">
        <f>IFERROR(IF(Table11[[#This Row],[Description:]]&lt;&gt;"", Table11[[#This Row],[Annual Cost:]], ""), "")</f>
        <v/>
      </c>
      <c r="G7" s="260"/>
    </row>
    <row r="8" spans="1:9" s="192" customFormat="1" x14ac:dyDescent="0.25">
      <c r="A8" s="260" t="str">
        <f>IFERROR(IF(Table11[[#This Row],[Description:]]&lt;&gt;"", Table11[[#This Row],[Description:]], ""), "")</f>
        <v/>
      </c>
      <c r="B8" s="260"/>
      <c r="C8" s="261" t="str">
        <f>IFERROR(IF(Table11[[#This Row],[Description:]]&lt;&gt;"", Table11[[#This Row],[Duration (Years):]], ""), "")</f>
        <v/>
      </c>
      <c r="D8" s="262" t="str">
        <f>IFERROR(IF(Table11[[#This Row],[Description:]]&lt;&gt;"", Table11[[#This Row],[Frequency:]], ""), "")</f>
        <v/>
      </c>
      <c r="E8" s="263" t="str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/>
      </c>
      <c r="F8" s="263" t="str">
        <f>IFERROR(IF(Table11[[#This Row],[Description:]]&lt;&gt;"", Table11[[#This Row],[Annual Cost:]], ""), "")</f>
        <v/>
      </c>
      <c r="G8" s="260"/>
    </row>
    <row r="9" spans="1:9" s="192" customFormat="1" x14ac:dyDescent="0.25">
      <c r="A9" s="260" t="str">
        <f>IFERROR(IF(Table11[[#This Row],[Description:]]&lt;&gt;"", Table11[[#This Row],[Description:]], ""), "")</f>
        <v/>
      </c>
      <c r="B9" s="260"/>
      <c r="C9" s="261" t="str">
        <f>IFERROR(IF(Table11[[#This Row],[Description:]]&lt;&gt;"", Table11[[#This Row],[Duration (Years):]], ""), "")</f>
        <v/>
      </c>
      <c r="D9" s="262" t="str">
        <f>IFERROR(IF(Table11[[#This Row],[Description:]]&lt;&gt;"", Table11[[#This Row],[Frequency:]], ""), "")</f>
        <v/>
      </c>
      <c r="E9" s="263" t="str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/>
      </c>
      <c r="F9" s="263" t="str">
        <f>IFERROR(IF(Table11[[#This Row],[Description:]]&lt;&gt;"", Table11[[#This Row],[Annual Cost:]], ""), "")</f>
        <v/>
      </c>
      <c r="G9" s="260"/>
    </row>
    <row r="10" spans="1:9" s="192" customFormat="1" ht="15.75" x14ac:dyDescent="0.25">
      <c r="A10" s="260" t="str">
        <f>IFERROR(IF(Table11[[#This Row],[Description:]]&lt;&gt;"", Table11[[#This Row],[Description:]], ""), "")</f>
        <v/>
      </c>
      <c r="B10" s="260"/>
      <c r="C10" s="261" t="str">
        <f>IFERROR(IF(Table11[[#This Row],[Description:]]&lt;&gt;"", Table11[[#This Row],[Duration (Years):]], ""), "")</f>
        <v/>
      </c>
      <c r="D10" s="262" t="str">
        <f>IFERROR(IF(Table11[[#This Row],[Description:]]&lt;&gt;"", Table11[[#This Row],[Frequency:]], ""), "")</f>
        <v/>
      </c>
      <c r="E10" s="263" t="str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/>
      </c>
      <c r="F10" s="263" t="str">
        <f>IFERROR(IF(Table11[[#This Row],[Description:]]&lt;&gt;"", Table11[[#This Row],[Annual Cost:]], ""), "")</f>
        <v/>
      </c>
      <c r="G10" s="260"/>
      <c r="I10" s="118" t="s">
        <v>140</v>
      </c>
    </row>
    <row r="11" spans="1:9" s="192" customFormat="1" ht="15.75" x14ac:dyDescent="0.25">
      <c r="A11" s="260" t="str">
        <f>IFERROR(IF(Table11[[#This Row],[Description:]]&lt;&gt;"", Table11[[#This Row],[Description:]], ""), "")</f>
        <v/>
      </c>
      <c r="B11" s="260"/>
      <c r="C11" s="261" t="str">
        <f>IFERROR(IF(Table11[[#This Row],[Description:]]&lt;&gt;"", Table11[[#This Row],[Duration (Years):]], ""), "")</f>
        <v/>
      </c>
      <c r="D11" s="262" t="str">
        <f>IFERROR(IF(Table11[[#This Row],[Description:]]&lt;&gt;"", Table11[[#This Row],[Frequency:]], ""), "")</f>
        <v/>
      </c>
      <c r="E11" s="263" t="str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/>
      </c>
      <c r="F11" s="263" t="str">
        <f>IFERROR(IF(Table11[[#This Row],[Description:]]&lt;&gt;"", Table11[[#This Row],[Annual Cost:]], ""), "")</f>
        <v/>
      </c>
      <c r="G11" s="260"/>
      <c r="I11" s="118" t="s">
        <v>141</v>
      </c>
    </row>
    <row r="12" spans="1:9" s="192" customFormat="1" ht="15.75" x14ac:dyDescent="0.25">
      <c r="A12" s="260" t="str">
        <f>IFERROR(IF(Table11[[#This Row],[Description:]]&lt;&gt;"", Table11[[#This Row],[Description:]], ""), "")</f>
        <v/>
      </c>
      <c r="B12" s="260"/>
      <c r="C12" s="261" t="str">
        <f>IFERROR(IF(Table11[[#This Row],[Description:]]&lt;&gt;"", Table11[[#This Row],[Duration (Years):]], ""), "")</f>
        <v/>
      </c>
      <c r="D12" s="262" t="str">
        <f>IFERROR(IF(Table11[[#This Row],[Description:]]&lt;&gt;"", Table11[[#This Row],[Frequency:]], ""), "")</f>
        <v/>
      </c>
      <c r="E12" s="263" t="str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/>
      </c>
      <c r="F12" s="263" t="str">
        <f>IFERROR(IF(Table11[[#This Row],[Description:]]&lt;&gt;"", Table11[[#This Row],[Annual Cost:]], ""), "")</f>
        <v/>
      </c>
      <c r="G12" s="260"/>
      <c r="I12" s="121"/>
    </row>
    <row r="13" spans="1:9" s="192" customFormat="1" ht="15.75" x14ac:dyDescent="0.25">
      <c r="A13" s="260" t="str">
        <f>IFERROR(IF(Table11[[#This Row],[Description:]]&lt;&gt;"", Table11[[#This Row],[Description:]], ""), "")</f>
        <v/>
      </c>
      <c r="B13" s="260"/>
      <c r="C13" s="261" t="str">
        <f>IFERROR(IF(Table11[[#This Row],[Description:]]&lt;&gt;"", Table11[[#This Row],[Duration (Years):]], ""), "")</f>
        <v/>
      </c>
      <c r="D13" s="262" t="str">
        <f>IFERROR(IF(Table11[[#This Row],[Description:]]&lt;&gt;"", Table11[[#This Row],[Frequency:]], ""), "")</f>
        <v/>
      </c>
      <c r="E13" s="263" t="str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/>
      </c>
      <c r="F13" s="263" t="str">
        <f>IFERROR(IF(Table11[[#This Row],[Description:]]&lt;&gt;"", Table11[[#This Row],[Annual Cost:]], ""), "")</f>
        <v/>
      </c>
      <c r="G13" s="260"/>
      <c r="I13" s="118" t="s">
        <v>142</v>
      </c>
    </row>
    <row r="14" spans="1:9" s="192" customFormat="1" ht="15.75" x14ac:dyDescent="0.25">
      <c r="A14" s="260" t="str">
        <f>IFERROR(IF(Table11[[#This Row],[Description:]]&lt;&gt;"", Table11[[#This Row],[Description:]], ""), "")</f>
        <v/>
      </c>
      <c r="B14" s="260"/>
      <c r="C14" s="261" t="str">
        <f>IFERROR(IF(Table11[[#This Row],[Description:]]&lt;&gt;"", Table11[[#This Row],[Duration (Years):]], ""), "")</f>
        <v/>
      </c>
      <c r="D14" s="262" t="str">
        <f>IFERROR(IF(Table11[[#This Row],[Description:]]&lt;&gt;"", Table11[[#This Row],[Frequency:]], ""), "")</f>
        <v/>
      </c>
      <c r="E14" s="263" t="str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/>
      </c>
      <c r="F14" s="263" t="str">
        <f>IFERROR(IF(Table11[[#This Row],[Description:]]&lt;&gt;"", Table11[[#This Row],[Annual Cost:]], ""), "")</f>
        <v/>
      </c>
      <c r="G14" s="260"/>
      <c r="I14" s="118" t="s">
        <v>143</v>
      </c>
    </row>
    <row r="15" spans="1:9" s="192" customFormat="1" x14ac:dyDescent="0.25">
      <c r="A15" s="260" t="str">
        <f>IFERROR(IF(Table11[[#This Row],[Description:]]&lt;&gt;"", Table11[[#This Row],[Description:]], ""), "")</f>
        <v/>
      </c>
      <c r="B15" s="260"/>
      <c r="C15" s="261" t="str">
        <f>IFERROR(IF(Table11[[#This Row],[Description:]]&lt;&gt;"", Table11[[#This Row],[Duration (Years):]], ""), "")</f>
        <v/>
      </c>
      <c r="D15" s="262" t="str">
        <f>IFERROR(IF(Table11[[#This Row],[Description:]]&lt;&gt;"", Table11[[#This Row],[Frequency:]], ""), "")</f>
        <v/>
      </c>
      <c r="E15" s="263" t="str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/>
      </c>
      <c r="F15" s="263" t="str">
        <f>IFERROR(IF(Table11[[#This Row],[Description:]]&lt;&gt;"", Table11[[#This Row],[Annual Cost:]], ""), "")</f>
        <v/>
      </c>
      <c r="G15" s="260"/>
    </row>
    <row r="16" spans="1:9" s="192" customFormat="1" x14ac:dyDescent="0.25">
      <c r="A16" s="260" t="str">
        <f>IFERROR(IF(Table11[[#This Row],[Description:]]&lt;&gt;"", Table11[[#This Row],[Description:]], ""), "")</f>
        <v/>
      </c>
      <c r="B16" s="260"/>
      <c r="C16" s="261" t="str">
        <f>IFERROR(IF(Table11[[#This Row],[Description:]]&lt;&gt;"", Table11[[#This Row],[Duration (Years):]], ""), "")</f>
        <v/>
      </c>
      <c r="D16" s="262" t="str">
        <f>IFERROR(IF(Table11[[#This Row],[Description:]]&lt;&gt;"", Table11[[#This Row],[Frequency:]], ""), "")</f>
        <v/>
      </c>
      <c r="E16" s="263" t="e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>#VALUE!</v>
      </c>
      <c r="F16" s="263" t="str">
        <f>IFERROR(IF(Table11[[#This Row],[Description:]]&lt;&gt;"", Table11[[#This Row],[Annual Cost:]], ""), "")</f>
        <v/>
      </c>
      <c r="G16" s="260"/>
    </row>
    <row r="17" spans="1:7" s="192" customFormat="1" x14ac:dyDescent="0.25">
      <c r="A17" s="260" t="str">
        <f>IFERROR(IF(Table11[[#This Row],[Description:]]&lt;&gt;"", Table11[[#This Row],[Description:]], ""), "")</f>
        <v/>
      </c>
      <c r="B17" s="260"/>
      <c r="C17" s="261" t="str">
        <f>IFERROR(IF(Table11[[#This Row],[Description:]]&lt;&gt;"", Table11[[#This Row],[Duration (Years):]], ""), "")</f>
        <v/>
      </c>
      <c r="D17" s="262" t="str">
        <f>IFERROR(IF(Table11[[#This Row],[Description:]]&lt;&gt;"", Table11[[#This Row],[Frequency:]], ""), "")</f>
        <v/>
      </c>
      <c r="E17" s="263" t="e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>#VALUE!</v>
      </c>
      <c r="F17" s="263" t="str">
        <f>IFERROR(IF(Table11[[#This Row],[Description:]]&lt;&gt;"", Table11[[#This Row],[Annual Cost:]], ""), "")</f>
        <v/>
      </c>
      <c r="G17" s="260"/>
    </row>
    <row r="18" spans="1:7" s="192" customFormat="1" x14ac:dyDescent="0.25">
      <c r="A18" s="260" t="str">
        <f>IFERROR(IF(Table11[[#This Row],[Description:]]&lt;&gt;"", Table11[[#This Row],[Description:]], ""), "")</f>
        <v/>
      </c>
      <c r="B18" s="260"/>
      <c r="C18" s="261" t="str">
        <f>IFERROR(IF(Table11[[#This Row],[Description:]]&lt;&gt;"", Table11[[#This Row],[Duration (Years):]], ""), "")</f>
        <v/>
      </c>
      <c r="D18" s="262" t="str">
        <f>IFERROR(IF(Table11[[#This Row],[Description:]]&lt;&gt;"", Table11[[#This Row],[Frequency:]], ""), "")</f>
        <v/>
      </c>
      <c r="E18" s="263" t="e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>#VALUE!</v>
      </c>
      <c r="F18" s="263" t="str">
        <f>IFERROR(IF(Table11[[#This Row],[Description:]]&lt;&gt;"", Table11[[#This Row],[Annual Cost:]], ""), "")</f>
        <v/>
      </c>
      <c r="G18" s="260"/>
    </row>
    <row r="19" spans="1:7" s="192" customFormat="1" x14ac:dyDescent="0.25">
      <c r="A19" s="260" t="str">
        <f>IFERROR(IF(Table11[[#This Row],[Description:]]&lt;&gt;"", Table11[[#This Row],[Description:]], ""), "")</f>
        <v/>
      </c>
      <c r="B19" s="260"/>
      <c r="C19" s="261" t="str">
        <f>IFERROR(IF(Table11[[#This Row],[Description:]]&lt;&gt;"", Table11[[#This Row],[Duration (Years):]], ""), "")</f>
        <v/>
      </c>
      <c r="D19" s="262" t="str">
        <f>IFERROR(IF(Table11[[#This Row],[Description:]]&lt;&gt;"", Table11[[#This Row],[Frequency:]], ""), "")</f>
        <v/>
      </c>
      <c r="E19" s="263" t="e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>#VALUE!</v>
      </c>
      <c r="F19" s="263" t="str">
        <f>IFERROR(IF(Table11[[#This Row],[Description:]]&lt;&gt;"", Table11[[#This Row],[Annual Cost:]], ""), "")</f>
        <v/>
      </c>
      <c r="G19" s="260"/>
    </row>
    <row r="20" spans="1:7" s="192" customFormat="1" x14ac:dyDescent="0.25">
      <c r="A20" s="260" t="str">
        <f>IFERROR(IF(Table11[[#This Row],[Description:]]&lt;&gt;"", Table11[[#This Row],[Description:]], ""), "")</f>
        <v/>
      </c>
      <c r="B20" s="260"/>
      <c r="C20" s="261" t="str">
        <f>IFERROR(IF(Table11[[#This Row],[Description:]]&lt;&gt;"", Table11[[#This Row],[Duration (Years):]], ""), "")</f>
        <v/>
      </c>
      <c r="D20" s="262" t="str">
        <f>IFERROR(IF(Table11[[#This Row],[Description:]]&lt;&gt;"", Table11[[#This Row],[Frequency:]], ""), "")</f>
        <v/>
      </c>
      <c r="E20" s="263" t="e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>#VALUE!</v>
      </c>
      <c r="F20" s="263" t="str">
        <f>IFERROR(IF(Table11[[#This Row],[Description:]]&lt;&gt;"", Table11[[#This Row],[Annual Cost:]], ""), "")</f>
        <v/>
      </c>
      <c r="G20" s="260"/>
    </row>
    <row r="21" spans="1:7" s="192" customFormat="1" x14ac:dyDescent="0.25">
      <c r="A21" s="260" t="str">
        <f>IFERROR(IF(Table11[[#This Row],[Description:]]&lt;&gt;"", Table11[[#This Row],[Description:]], ""), "")</f>
        <v/>
      </c>
      <c r="B21" s="260"/>
      <c r="C21" s="261" t="str">
        <f>IFERROR(IF(Table11[[#This Row],[Description:]]&lt;&gt;"", Table11[[#This Row],[Duration (Years):]], ""), "")</f>
        <v/>
      </c>
      <c r="D21" s="262" t="str">
        <f>IFERROR(IF(Table11[[#This Row],[Description:]]&lt;&gt;"", Table11[[#This Row],[Frequency:]], ""), "")</f>
        <v/>
      </c>
      <c r="E21" s="263" t="e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>#VALUE!</v>
      </c>
      <c r="F21" s="263" t="str">
        <f>IFERROR(IF(Table11[[#This Row],[Description:]]&lt;&gt;"", Table11[[#This Row],[Annual Cost:]], ""), "")</f>
        <v/>
      </c>
      <c r="G21" s="260"/>
    </row>
    <row r="22" spans="1:7" s="192" customFormat="1" x14ac:dyDescent="0.25">
      <c r="A22" s="260" t="str">
        <f>IFERROR(IF(Table11[[#This Row],[Description:]]&lt;&gt;"", Table11[[#This Row],[Description:]], ""), "")</f>
        <v/>
      </c>
      <c r="B22" s="260"/>
      <c r="C22" s="261" t="str">
        <f>IFERROR(IF(Table11[[#This Row],[Description:]]&lt;&gt;"", Table11[[#This Row],[Duration (Years):]], ""), "")</f>
        <v/>
      </c>
      <c r="D22" s="262" t="str">
        <f>IFERROR(IF(Table11[[#This Row],[Description:]]&lt;&gt;"", Table11[[#This Row],[Frequency:]], ""), "")</f>
        <v/>
      </c>
      <c r="E22" s="263" t="e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>#VALUE!</v>
      </c>
      <c r="F22" s="263" t="str">
        <f>IFERROR(IF(Table11[[#This Row],[Description:]]&lt;&gt;"", Table11[[#This Row],[Annual Cost:]], ""), "")</f>
        <v/>
      </c>
      <c r="G22" s="260"/>
    </row>
    <row r="23" spans="1:7" s="192" customFormat="1" x14ac:dyDescent="0.25">
      <c r="A23" s="260" t="str">
        <f>IFERROR(IF(Table11[[#This Row],[Description:]]&lt;&gt;"", Table11[[#This Row],[Description:]], ""), "")</f>
        <v/>
      </c>
      <c r="B23" s="260"/>
      <c r="C23" s="261" t="str">
        <f>IFERROR(IF(Table11[[#This Row],[Description:]]&lt;&gt;"", Table11[[#This Row],[Duration (Years):]], ""), "")</f>
        <v/>
      </c>
      <c r="D23" s="262" t="str">
        <f>IFERROR(IF(Table11[[#This Row],[Description:]]&lt;&gt;"", Table11[[#This Row],[Frequency:]], ""), "")</f>
        <v/>
      </c>
      <c r="E23" s="263" t="e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>#VALUE!</v>
      </c>
      <c r="F23" s="263" t="str">
        <f>IFERROR(IF(Table11[[#This Row],[Description:]]&lt;&gt;"", Table11[[#This Row],[Annual Cost:]], ""), "")</f>
        <v/>
      </c>
      <c r="G23" s="260"/>
    </row>
    <row r="24" spans="1:7" s="192" customFormat="1" x14ac:dyDescent="0.25">
      <c r="A24" s="260" t="str">
        <f>IFERROR(IF(Table11[[#This Row],[Description:]]&lt;&gt;"", Table11[[#This Row],[Description:]], ""), "")</f>
        <v/>
      </c>
      <c r="B24" s="260"/>
      <c r="C24" s="261" t="str">
        <f>IFERROR(IF(Table11[[#This Row],[Description:]]&lt;&gt;"", Table11[[#This Row],[Duration (Years):]], ""), "")</f>
        <v/>
      </c>
      <c r="D24" s="262" t="str">
        <f>IFERROR(IF(Table11[[#This Row],[Description:]]&lt;&gt;"", Table11[[#This Row],[Frequency:]], ""), "")</f>
        <v/>
      </c>
      <c r="E24" s="263" t="e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>#VALUE!</v>
      </c>
      <c r="F24" s="263" t="str">
        <f>IFERROR(IF(Table11[[#This Row],[Description:]]&lt;&gt;"", Table11[[#This Row],[Annual Cost:]], ""), "")</f>
        <v/>
      </c>
      <c r="G24" s="260"/>
    </row>
    <row r="25" spans="1:7" s="192" customFormat="1" x14ac:dyDescent="0.25">
      <c r="A25" s="260" t="str">
        <f>IFERROR(IF(Table11[[#This Row],[Description:]]&lt;&gt;"", Table11[[#This Row],[Description:]], ""), "")</f>
        <v/>
      </c>
      <c r="B25" s="260"/>
      <c r="C25" s="261" t="str">
        <f>IFERROR(IF(Table11[[#This Row],[Description:]]&lt;&gt;"", Table11[[#This Row],[Duration (Years):]], ""), "")</f>
        <v/>
      </c>
      <c r="D25" s="262" t="str">
        <f>IFERROR(IF(Table11[[#This Row],[Description:]]&lt;&gt;"", Table11[[#This Row],[Frequency:]], ""), "")</f>
        <v/>
      </c>
      <c r="E25" s="263" t="e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>#VALUE!</v>
      </c>
      <c r="F25" s="263" t="str">
        <f>IFERROR(IF(Table11[[#This Row],[Description:]]&lt;&gt;"", Table11[[#This Row],[Annual Cost:]], ""), "")</f>
        <v/>
      </c>
      <c r="G25" s="260"/>
    </row>
    <row r="26" spans="1:7" s="192" customFormat="1" x14ac:dyDescent="0.25">
      <c r="A26" s="260" t="str">
        <f>IFERROR(IF(Table11[[#This Row],[Description:]]&lt;&gt;"", Table11[[#This Row],[Description:]], ""), "")</f>
        <v/>
      </c>
      <c r="B26" s="260"/>
      <c r="C26" s="261" t="str">
        <f>IFERROR(IF(Table11[[#This Row],[Description:]]&lt;&gt;"", Table11[[#This Row],[Duration (Years):]], ""), "")</f>
        <v/>
      </c>
      <c r="D26" s="262" t="str">
        <f>IFERROR(IF(Table11[[#This Row],[Description:]]&lt;&gt;"", Table11[[#This Row],[Frequency:]], ""), "")</f>
        <v/>
      </c>
      <c r="E26" s="263" t="e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>#VALUE!</v>
      </c>
      <c r="F26" s="263" t="str">
        <f>IFERROR(IF(Table11[[#This Row],[Description:]]&lt;&gt;"", Table11[[#This Row],[Annual Cost:]], ""), "")</f>
        <v/>
      </c>
      <c r="G26" s="260"/>
    </row>
    <row r="27" spans="1:7" s="192" customFormat="1" x14ac:dyDescent="0.25">
      <c r="A27" s="260" t="str">
        <f>IFERROR(IF(Table11[[#This Row],[Description:]]&lt;&gt;"", Table11[[#This Row],[Description:]], ""), "")</f>
        <v/>
      </c>
      <c r="B27" s="260"/>
      <c r="C27" s="261" t="str">
        <f>IFERROR(IF(Table11[[#This Row],[Description:]]&lt;&gt;"", Table11[[#This Row],[Duration (Years):]], ""), "")</f>
        <v/>
      </c>
      <c r="D27" s="262" t="str">
        <f>IFERROR(IF(Table11[[#This Row],[Description:]]&lt;&gt;"", Table11[[#This Row],[Frequency:]], ""), "")</f>
        <v/>
      </c>
      <c r="E27" s="263" t="e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>#VALUE!</v>
      </c>
      <c r="F27" s="263" t="str">
        <f>IFERROR(IF(Table11[[#This Row],[Description:]]&lt;&gt;"", Table11[[#This Row],[Annual Cost:]], ""), "")</f>
        <v/>
      </c>
      <c r="G27" s="260"/>
    </row>
    <row r="28" spans="1:7" s="192" customFormat="1" x14ac:dyDescent="0.25">
      <c r="A28" s="260" t="str">
        <f>IFERROR(IF(Table11[[#This Row],[Description:]]&lt;&gt;"", Table11[[#This Row],[Description:]], ""), "")</f>
        <v/>
      </c>
      <c r="B28" s="260"/>
      <c r="C28" s="261" t="str">
        <f>IFERROR(IF(Table11[[#This Row],[Description:]]&lt;&gt;"", Table11[[#This Row],[Duration (Years):]], ""), "")</f>
        <v/>
      </c>
      <c r="D28" s="262" t="str">
        <f>IFERROR(IF(Table11[[#This Row],[Description:]]&lt;&gt;"", Table11[[#This Row],[Frequency:]], ""), "")</f>
        <v/>
      </c>
      <c r="E28" s="263" t="e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>#VALUE!</v>
      </c>
      <c r="F28" s="263" t="str">
        <f>IFERROR(IF(Table11[[#This Row],[Description:]]&lt;&gt;"", Table11[[#This Row],[Annual Cost:]], ""), "")</f>
        <v/>
      </c>
      <c r="G28" s="260"/>
    </row>
    <row r="29" spans="1:7" s="192" customFormat="1" x14ac:dyDescent="0.25">
      <c r="A29" s="260" t="str">
        <f>IFERROR(IF(Table11[[#This Row],[Description:]]&lt;&gt;"", Table11[[#This Row],[Description:]], ""), "")</f>
        <v/>
      </c>
      <c r="B29" s="260"/>
      <c r="C29" s="261" t="str">
        <f>IFERROR(IF(Table11[[#This Row],[Description:]]&lt;&gt;"", Table11[[#This Row],[Duration (Years):]], ""), "")</f>
        <v/>
      </c>
      <c r="D29" s="262" t="str">
        <f>IFERROR(IF(Table11[[#This Row],[Description:]]&lt;&gt;"", Table11[[#This Row],[Frequency:]], ""), "")</f>
        <v/>
      </c>
      <c r="E29" s="263" t="e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>#VALUE!</v>
      </c>
      <c r="F29" s="263" t="str">
        <f>IFERROR(IF(Table11[[#This Row],[Description:]]&lt;&gt;"", Table11[[#This Row],[Annual Cost:]], ""), "")</f>
        <v/>
      </c>
      <c r="G29" s="260"/>
    </row>
    <row r="30" spans="1:7" s="192" customFormat="1" x14ac:dyDescent="0.25">
      <c r="A30" s="260" t="str">
        <f>IFERROR(IF(Table11[[#This Row],[Description:]]&lt;&gt;"", Table11[[#This Row],[Description:]], ""), "")</f>
        <v/>
      </c>
      <c r="B30" s="260"/>
      <c r="C30" s="261" t="str">
        <f>IFERROR(IF(Table11[[#This Row],[Description:]]&lt;&gt;"", Table11[[#This Row],[Duration (Years):]], ""), "")</f>
        <v/>
      </c>
      <c r="D30" s="262" t="str">
        <f>IFERROR(IF(Table11[[#This Row],[Description:]]&lt;&gt;"", Table11[[#This Row],[Frequency:]], ""), "")</f>
        <v/>
      </c>
      <c r="E30" s="263" t="e">
        <f>IF(OR(Table11[[#This Row],[Description:]]="", ISBLANK(Table11[[#This Row],[One-Time Cost:]]), ISBLANK(Table11[[#This Row],[Cost:]])), "", IF(Table11[[#This Row],[Time Value:]]="lifetime", CONCATENATE(Table11[[#This Row],[One-Time Cost:]] &amp; "*", CHAR(10), CHAR(10), "(based on ", Table11[[#This Row],[Cost:]], "/unit)"), Table11[[#This Row],[Cost:]]))</f>
        <v>#VALUE!</v>
      </c>
      <c r="F30" s="263" t="str">
        <f>IFERROR(IF(Table11[[#This Row],[Description:]]&lt;&gt;"", Table11[[#This Row],[Annual Cost:]], ""), "")</f>
        <v/>
      </c>
      <c r="G30" s="260"/>
    </row>
    <row r="31" spans="1:7" x14ac:dyDescent="0.25">
      <c r="A31" s="257"/>
      <c r="B31" s="257"/>
      <c r="C31" s="265"/>
      <c r="D31" s="265"/>
      <c r="E31" s="266"/>
      <c r="F31" s="266"/>
      <c r="G31" s="257"/>
    </row>
    <row r="32" spans="1:7" x14ac:dyDescent="0.25">
      <c r="A32" s="257"/>
      <c r="B32" s="257"/>
      <c r="C32" s="257"/>
      <c r="D32" s="267" t="s">
        <v>125</v>
      </c>
      <c r="E32" s="268" t="str">
        <f>'4th'!S16</f>
        <v>$0.00</v>
      </c>
      <c r="F32" s="269"/>
      <c r="G32" s="257"/>
    </row>
    <row r="33" spans="1:7" x14ac:dyDescent="0.25">
      <c r="A33" s="257"/>
      <c r="B33" s="257"/>
      <c r="C33" s="257"/>
      <c r="D33" s="267" t="s">
        <v>124</v>
      </c>
      <c r="E33" s="268" t="str">
        <f ca="1">'4th'!P16</f>
        <v>$0.00</v>
      </c>
      <c r="F33" s="269"/>
      <c r="G33" s="257"/>
    </row>
  </sheetData>
  <mergeCells count="1">
    <mergeCell ref="A1:G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B7BC-5899-42F1-AFC4-B4DCB166B778}">
  <sheetPr codeName="Sheet33"/>
  <dimension ref="A1:I34"/>
  <sheetViews>
    <sheetView workbookViewId="0">
      <selection sqref="A1:G1"/>
    </sheetView>
  </sheetViews>
  <sheetFormatPr defaultRowHeight="15" x14ac:dyDescent="0.25"/>
  <cols>
    <col min="1" max="2" width="18.7109375" style="190" customWidth="1"/>
    <col min="3" max="4" width="10.7109375" style="190" customWidth="1"/>
    <col min="5" max="6" width="13.7109375" style="193" customWidth="1"/>
    <col min="7" max="7" width="18.7109375" style="190" customWidth="1"/>
    <col min="8" max="16384" width="9.140625" style="190"/>
  </cols>
  <sheetData>
    <row r="1" spans="1:9" ht="23.1" customHeight="1" x14ac:dyDescent="0.25">
      <c r="A1" s="353" t="str">
        <f>'Routine Care'!A1</f>
        <v>FUTURE MEDICAL CARE - ROUTINE</v>
      </c>
      <c r="B1" s="353"/>
      <c r="C1" s="353"/>
      <c r="D1" s="353"/>
      <c r="E1" s="353"/>
      <c r="F1" s="353"/>
      <c r="G1" s="353"/>
    </row>
    <row r="2" spans="1:9" s="191" customFormat="1" ht="18" customHeight="1" x14ac:dyDescent="0.25">
      <c r="A2" s="256" t="s">
        <v>117</v>
      </c>
      <c r="B2" s="256" t="s">
        <v>118</v>
      </c>
      <c r="C2" s="256" t="s">
        <v>119</v>
      </c>
      <c r="D2" s="256" t="s">
        <v>120</v>
      </c>
      <c r="E2" s="258" t="s">
        <v>121</v>
      </c>
      <c r="F2" s="258" t="s">
        <v>122</v>
      </c>
      <c r="G2" s="256" t="s">
        <v>123</v>
      </c>
    </row>
    <row r="3" spans="1:9" s="192" customFormat="1" ht="21" customHeight="1" x14ac:dyDescent="0.25">
      <c r="A3" s="260" t="str">
        <f>IFERROR(IF(Table12[[#This Row],[Description:]]&lt;&gt;"", Table12[[#This Row],[Description:]], ""), "")</f>
        <v>Transplant Physician</v>
      </c>
      <c r="B3" s="260" t="s">
        <v>287</v>
      </c>
      <c r="C3" s="261">
        <f ca="1">IFERROR(IF(Table12[[#This Row],[Description:]]&lt;&gt;"", Table12[[#This Row],[Duration (Years):]], ""), "")</f>
        <v>10</v>
      </c>
      <c r="D3" s="262" t="str">
        <f>IFERROR(IF(Table12[[#This Row],[Description:]]&lt;&gt;"", Table12[[#This Row],[Frequency:]], ""), "")</f>
        <v>7x/lifetime</v>
      </c>
      <c r="E3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>$1,379.00
 - 
$6,979.00*
(based on $197.00
 - 
$997.00/unit)</v>
      </c>
      <c r="F3" s="263" t="str">
        <f>IFERROR(IF(Table12[[#This Row],[Description:]]&lt;&gt;"", Table12[[#This Row],[Annual Cost:]], ""), "")</f>
        <v>$0.00</v>
      </c>
      <c r="G3" s="260" t="s">
        <v>279</v>
      </c>
    </row>
    <row r="4" spans="1:9" s="192" customFormat="1" ht="102" x14ac:dyDescent="0.25">
      <c r="A4" s="260" t="str">
        <f>IFERROR(IF(Table12[[#This Row],[Description:]]&lt;&gt;"", Table12[[#This Row],[Description:]], ""), "")</f>
        <v>Transplant Physician</v>
      </c>
      <c r="B4" s="260" t="s">
        <v>287</v>
      </c>
      <c r="C4" s="261">
        <f ca="1">IFERROR(IF(Table12[[#This Row],[Description:]]&lt;&gt;"", Table12[[#This Row],[Duration (Years):]], ""), "")</f>
        <v>10</v>
      </c>
      <c r="D4" s="262" t="str">
        <f>IFERROR(IF(Table12[[#This Row],[Description:]]&lt;&gt;"", Table12[[#This Row],[Frequency:]], ""), "")</f>
        <v>16-36x/lifetime</v>
      </c>
      <c r="E4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>$3,152.00
 - 
$35,892.00*
(based on $197.00
 - 
$997.00/unit)</v>
      </c>
      <c r="F4" s="263" t="str">
        <f>IFERROR(IF(Table12[[#This Row],[Description:]]&lt;&gt;"", Table12[[#This Row],[Annual Cost:]], ""), "")</f>
        <v>$0.00</v>
      </c>
      <c r="G4" s="260" t="s">
        <v>280</v>
      </c>
    </row>
    <row r="5" spans="1:9" s="192" customFormat="1" ht="102" x14ac:dyDescent="0.25">
      <c r="A5" s="260" t="str">
        <f>IFERROR(IF(Table12[[#This Row],[Description:]]&lt;&gt;"", Table12[[#This Row],[Description:]], ""), "")</f>
        <v>Ophthalmologist</v>
      </c>
      <c r="B5" s="260" t="s">
        <v>287</v>
      </c>
      <c r="C5" s="261">
        <f ca="1">IFERROR(IF(Table12[[#This Row],[Description:]]&lt;&gt;"", Table12[[#This Row],[Duration (Years):]], ""), "")</f>
        <v>10</v>
      </c>
      <c r="D5" s="262" t="str">
        <f>IFERROR(IF(Table12[[#This Row],[Description:]]&lt;&gt;"", Table12[[#This Row],[Frequency:]], ""), "")</f>
        <v>5-10x/lifetime</v>
      </c>
      <c r="E5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>$985.00
 - 
$9,970.00*
(based on $197.00
 - 
$997.00/unit)</v>
      </c>
      <c r="F5" s="263" t="str">
        <f>IFERROR(IF(Table12[[#This Row],[Description:]]&lt;&gt;"", Table12[[#This Row],[Annual Cost:]], ""), "")</f>
        <v>$0.00</v>
      </c>
      <c r="G5" s="260" t="s">
        <v>281</v>
      </c>
    </row>
    <row r="6" spans="1:9" s="192" customFormat="1" ht="102" x14ac:dyDescent="0.25">
      <c r="A6" s="260" t="str">
        <f>IFERROR(IF(Table12[[#This Row],[Description:]]&lt;&gt;"", Table12[[#This Row],[Description:]], ""), "")</f>
        <v>Internist</v>
      </c>
      <c r="B6" s="260" t="s">
        <v>287</v>
      </c>
      <c r="C6" s="261">
        <f ca="1">IFERROR(IF(Table12[[#This Row],[Description:]]&lt;&gt;"", Table12[[#This Row],[Duration (Years):]], ""), "")</f>
        <v>10</v>
      </c>
      <c r="D6" s="262" t="str">
        <f>IFERROR(IF(Table12[[#This Row],[Description:]]&lt;&gt;"", Table12[[#This Row],[Frequency:]], ""), "")</f>
        <v>5-10x/lifetime</v>
      </c>
      <c r="E6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>$985.00
 - 
$9,970.00*
(based on $197.00
 - 
$997.00/unit)</v>
      </c>
      <c r="F6" s="263" t="str">
        <f>IFERROR(IF(Table12[[#This Row],[Description:]]&lt;&gt;"", Table12[[#This Row],[Annual Cost:]], ""), "")</f>
        <v>$0.00</v>
      </c>
      <c r="G6" s="260" t="s">
        <v>281</v>
      </c>
    </row>
    <row r="7" spans="1:9" s="192" customFormat="1" ht="102" x14ac:dyDescent="0.25">
      <c r="A7" s="260" t="str">
        <f>IFERROR(IF(Table12[[#This Row],[Description:]]&lt;&gt;"", Table12[[#This Row],[Description:]], ""), "")</f>
        <v>Nephrologist</v>
      </c>
      <c r="B7" s="260" t="s">
        <v>287</v>
      </c>
      <c r="C7" s="261">
        <f ca="1">IFERROR(IF(Table12[[#This Row],[Description:]]&lt;&gt;"", Table12[[#This Row],[Duration (Years):]], ""), "")</f>
        <v>10</v>
      </c>
      <c r="D7" s="262" t="str">
        <f>IFERROR(IF(Table12[[#This Row],[Description:]]&lt;&gt;"", Table12[[#This Row],[Frequency:]], ""), "")</f>
        <v>5-10x/lifetime</v>
      </c>
      <c r="E7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>$985.00
 - 
$9,970.00*
(based on $197.00
 - 
$997.00/unit)</v>
      </c>
      <c r="F7" s="263" t="str">
        <f>IFERROR(IF(Table12[[#This Row],[Description:]]&lt;&gt;"", Table12[[#This Row],[Annual Cost:]], ""), "")</f>
        <v>$0.00</v>
      </c>
      <c r="G7" s="260" t="s">
        <v>281</v>
      </c>
    </row>
    <row r="8" spans="1:9" s="192" customFormat="1" ht="102" x14ac:dyDescent="0.25">
      <c r="A8" s="260" t="str">
        <f>IFERROR(IF(Table12[[#This Row],[Description:]]&lt;&gt;"", Table12[[#This Row],[Description:]], ""), "")</f>
        <v>Endocrinologist</v>
      </c>
      <c r="B8" s="260" t="s">
        <v>287</v>
      </c>
      <c r="C8" s="261">
        <f ca="1">IFERROR(IF(Table12[[#This Row],[Description:]]&lt;&gt;"", Table12[[#This Row],[Duration (Years):]], ""), "")</f>
        <v>10</v>
      </c>
      <c r="D8" s="262" t="str">
        <f>IFERROR(IF(Table12[[#This Row],[Description:]]&lt;&gt;"", Table12[[#This Row],[Frequency:]], ""), "")</f>
        <v>5-10x/lifetime</v>
      </c>
      <c r="E8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>$985.00
 - 
$9,970.00*
(based on $197.00
 - 
$997.00/unit)</v>
      </c>
      <c r="F8" s="263" t="str">
        <f>IFERROR(IF(Table12[[#This Row],[Description:]]&lt;&gt;"", Table12[[#This Row],[Annual Cost:]], ""), "")</f>
        <v>$0.00</v>
      </c>
      <c r="G8" s="260" t="s">
        <v>281</v>
      </c>
      <c r="I8" s="118" t="s">
        <v>140</v>
      </c>
    </row>
    <row r="9" spans="1:9" s="192" customFormat="1" ht="102" x14ac:dyDescent="0.25">
      <c r="A9" s="260" t="str">
        <f>IFERROR(IF(Table12[[#This Row],[Description:]]&lt;&gt;"", Table12[[#This Row],[Description:]], ""), "")</f>
        <v>Pulmonologist</v>
      </c>
      <c r="B9" s="260" t="s">
        <v>287</v>
      </c>
      <c r="C9" s="261">
        <f ca="1">IFERROR(IF(Table12[[#This Row],[Description:]]&lt;&gt;"", Table12[[#This Row],[Duration (Years):]], ""), "")</f>
        <v>10</v>
      </c>
      <c r="D9" s="262" t="str">
        <f>IFERROR(IF(Table12[[#This Row],[Description:]]&lt;&gt;"", Table12[[#This Row],[Frequency:]], ""), "")</f>
        <v>5-10x/lifetime</v>
      </c>
      <c r="E9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>$985.00
 - 
$9,970.00*
(based on $197.00
 - 
$997.00/unit)</v>
      </c>
      <c r="F9" s="263" t="str">
        <f>IFERROR(IF(Table12[[#This Row],[Description:]]&lt;&gt;"", Table12[[#This Row],[Annual Cost:]], ""), "")</f>
        <v>$0.00</v>
      </c>
      <c r="G9" s="260" t="s">
        <v>281</v>
      </c>
      <c r="I9" s="118" t="s">
        <v>141</v>
      </c>
    </row>
    <row r="10" spans="1:9" s="192" customFormat="1" ht="102" x14ac:dyDescent="0.25">
      <c r="A10" s="260" t="str">
        <f>IFERROR(IF(Table12[[#This Row],[Description:]]&lt;&gt;"", Table12[[#This Row],[Description:]], ""), "")</f>
        <v>Cardiologist</v>
      </c>
      <c r="B10" s="260" t="s">
        <v>287</v>
      </c>
      <c r="C10" s="261">
        <f ca="1">IFERROR(IF(Table12[[#This Row],[Description:]]&lt;&gt;"", Table12[[#This Row],[Duration (Years):]], ""), "")</f>
        <v>10</v>
      </c>
      <c r="D10" s="262" t="str">
        <f>IFERROR(IF(Table12[[#This Row],[Description:]]&lt;&gt;"", Table12[[#This Row],[Frequency:]], ""), "")</f>
        <v>5-10x/lifetime</v>
      </c>
      <c r="E10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>$985.00
 - 
$9,970.00*
(based on $197.00
 - 
$997.00/unit)</v>
      </c>
      <c r="F10" s="263" t="str">
        <f>IFERROR(IF(Table12[[#This Row],[Description:]]&lt;&gt;"", Table12[[#This Row],[Annual Cost:]], ""), "")</f>
        <v>$0.00</v>
      </c>
      <c r="G10" s="260" t="s">
        <v>281</v>
      </c>
      <c r="I10" s="121"/>
    </row>
    <row r="11" spans="1:9" s="192" customFormat="1" ht="102" x14ac:dyDescent="0.25">
      <c r="A11" s="260" t="str">
        <f>IFERROR(IF(Table12[[#This Row],[Description:]]&lt;&gt;"", Table12[[#This Row],[Description:]], ""), "")</f>
        <v>Dermatologist</v>
      </c>
      <c r="B11" s="260" t="s">
        <v>287</v>
      </c>
      <c r="C11" s="261">
        <f ca="1">IFERROR(IF(Table12[[#This Row],[Description:]]&lt;&gt;"", Table12[[#This Row],[Duration (Years):]], ""), "")</f>
        <v>10</v>
      </c>
      <c r="D11" s="262" t="str">
        <f>IFERROR(IF(Table12[[#This Row],[Description:]]&lt;&gt;"", Table12[[#This Row],[Frequency:]], ""), "")</f>
        <v>10-20x/lifetime</v>
      </c>
      <c r="E11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>$1,970.00
 - 
$19,940.00*
(based on $197.00
 - 
$997.00/unit)</v>
      </c>
      <c r="F11" s="263" t="str">
        <f>IFERROR(IF(Table12[[#This Row],[Description:]]&lt;&gt;"", Table12[[#This Row],[Annual Cost:]], ""), "")</f>
        <v>$0.00</v>
      </c>
      <c r="G11" s="260" t="s">
        <v>282</v>
      </c>
      <c r="I11" s="118" t="s">
        <v>142</v>
      </c>
    </row>
    <row r="12" spans="1:9" s="192" customFormat="1" ht="102" x14ac:dyDescent="0.25">
      <c r="A12" s="260" t="str">
        <f>IFERROR(IF(Table12[[#This Row],[Description:]]&lt;&gt;"", Table12[[#This Row],[Description:]], ""), "")</f>
        <v>Dentist</v>
      </c>
      <c r="B12" s="260" t="s">
        <v>287</v>
      </c>
      <c r="C12" s="261">
        <f ca="1">IFERROR(IF(Table12[[#This Row],[Description:]]&lt;&gt;"", Table12[[#This Row],[Duration (Years):]], ""), "")</f>
        <v>10</v>
      </c>
      <c r="D12" s="262" t="str">
        <f>IFERROR(IF(Table12[[#This Row],[Description:]]&lt;&gt;"", Table12[[#This Row],[Frequency:]], ""), "")</f>
        <v>10-20x/lifetime</v>
      </c>
      <c r="E12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>$1,970.00
 - 
$19,940.00*
(based on $197.00
 - 
$997.00/unit)</v>
      </c>
      <c r="F12" s="263" t="str">
        <f>IFERROR(IF(Table12[[#This Row],[Description:]]&lt;&gt;"", Table12[[#This Row],[Annual Cost:]], ""), "")</f>
        <v>$0.00</v>
      </c>
      <c r="G12" s="260" t="s">
        <v>283</v>
      </c>
      <c r="I12" s="118" t="s">
        <v>143</v>
      </c>
    </row>
    <row r="13" spans="1:9" s="192" customFormat="1" x14ac:dyDescent="0.25">
      <c r="A13" s="260" t="str">
        <f>IFERROR(IF(Table12[[#This Row],[Description:]]&lt;&gt;"", Table12[[#This Row],[Description:]], ""), "")</f>
        <v/>
      </c>
      <c r="B13" s="260" t="s">
        <v>287</v>
      </c>
      <c r="C13" s="261" t="str">
        <f>IFERROR(IF(Table12[[#This Row],[Description:]]&lt;&gt;"", Table12[[#This Row],[Duration (Years):]], ""), "")</f>
        <v/>
      </c>
      <c r="D13" s="262" t="str">
        <f>IFERROR(IF(Table12[[#This Row],[Description:]]&lt;&gt;"", Table12[[#This Row],[Frequency:]], ""), "")</f>
        <v/>
      </c>
      <c r="E13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/>
      </c>
      <c r="F13" s="263" t="str">
        <f>IFERROR(IF(Table12[[#This Row],[Description:]]&lt;&gt;"", Table12[[#This Row],[Annual Cost:]], ""), "")</f>
        <v/>
      </c>
      <c r="G13" s="260"/>
    </row>
    <row r="14" spans="1:9" s="192" customFormat="1" x14ac:dyDescent="0.25">
      <c r="A14" s="260" t="str">
        <f>IFERROR(IF(Table12[[#This Row],[Description:]]&lt;&gt;"", Table12[[#This Row],[Description:]], ""), "")</f>
        <v/>
      </c>
      <c r="B14" s="260" t="s">
        <v>287</v>
      </c>
      <c r="C14" s="261" t="str">
        <f>IFERROR(IF(Table12[[#This Row],[Description:]]&lt;&gt;"", Table12[[#This Row],[Duration (Years):]], ""), "")</f>
        <v/>
      </c>
      <c r="D14" s="262" t="str">
        <f>IFERROR(IF(Table12[[#This Row],[Description:]]&lt;&gt;"", Table12[[#This Row],[Frequency:]], ""), "")</f>
        <v/>
      </c>
      <c r="E14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/>
      </c>
      <c r="F14" s="263" t="str">
        <f>IFERROR(IF(Table12[[#This Row],[Description:]]&lt;&gt;"", Table12[[#This Row],[Annual Cost:]], ""), "")</f>
        <v/>
      </c>
      <c r="G14" s="260"/>
    </row>
    <row r="15" spans="1:9" s="192" customFormat="1" x14ac:dyDescent="0.25">
      <c r="A15" s="260" t="str">
        <f>IFERROR(IF(Table12[[#This Row],[Description:]]&lt;&gt;"", Table12[[#This Row],[Description:]], ""), "")</f>
        <v/>
      </c>
      <c r="B15" s="260" t="s">
        <v>287</v>
      </c>
      <c r="C15" s="261" t="str">
        <f>IFERROR(IF(Table12[[#This Row],[Description:]]&lt;&gt;"", Table12[[#This Row],[Duration (Years):]], ""), "")</f>
        <v/>
      </c>
      <c r="D15" s="262" t="str">
        <f>IFERROR(IF(Table12[[#This Row],[Description:]]&lt;&gt;"", Table12[[#This Row],[Frequency:]], ""), "")</f>
        <v/>
      </c>
      <c r="E15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/>
      </c>
      <c r="F15" s="263" t="str">
        <f>IFERROR(IF(Table12[[#This Row],[Description:]]&lt;&gt;"", Table12[[#This Row],[Annual Cost:]], ""), "")</f>
        <v/>
      </c>
      <c r="G15" s="260"/>
    </row>
    <row r="16" spans="1:9" s="192" customFormat="1" x14ac:dyDescent="0.25">
      <c r="A16" s="260" t="str">
        <f>IFERROR(IF(Table12[[#This Row],[Description:]]&lt;&gt;"", Table12[[#This Row],[Description:]], ""), "")</f>
        <v/>
      </c>
      <c r="B16" s="260" t="s">
        <v>287</v>
      </c>
      <c r="C16" s="261" t="str">
        <f>IFERROR(IF(Table12[[#This Row],[Description:]]&lt;&gt;"", Table12[[#This Row],[Duration (Years):]], ""), "")</f>
        <v/>
      </c>
      <c r="D16" s="262" t="str">
        <f>IFERROR(IF(Table12[[#This Row],[Description:]]&lt;&gt;"", Table12[[#This Row],[Frequency:]], ""), "")</f>
        <v/>
      </c>
      <c r="E16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/>
      </c>
      <c r="F16" s="263" t="str">
        <f>IFERROR(IF(Table12[[#This Row],[Description:]]&lt;&gt;"", Table12[[#This Row],[Annual Cost:]], ""), "")</f>
        <v/>
      </c>
      <c r="G16" s="260"/>
    </row>
    <row r="17" spans="1:7" s="192" customFormat="1" x14ac:dyDescent="0.25">
      <c r="A17" s="260" t="str">
        <f>IFERROR(IF(Table12[[#This Row],[Description:]]&lt;&gt;"", Table12[[#This Row],[Description:]], ""), "")</f>
        <v/>
      </c>
      <c r="B17" s="260"/>
      <c r="C17" s="261" t="str">
        <f>IFERROR(IF(Table12[[#This Row],[Description:]]&lt;&gt;"", Table12[[#This Row],[Duration (Years):]], ""), "")</f>
        <v/>
      </c>
      <c r="D17" s="262" t="str">
        <f>IFERROR(IF(Table12[[#This Row],[Description:]]&lt;&gt;"", Table12[[#This Row],[Frequency:]], ""), "")</f>
        <v/>
      </c>
      <c r="E17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/>
      </c>
      <c r="F17" s="263" t="str">
        <f>IFERROR(IF(Table12[[#This Row],[Description:]]&lt;&gt;"", Table12[[#This Row],[Annual Cost:]], ""), "")</f>
        <v/>
      </c>
      <c r="G17" s="260"/>
    </row>
    <row r="18" spans="1:7" s="192" customFormat="1" x14ac:dyDescent="0.25">
      <c r="A18" s="260" t="str">
        <f>IFERROR(IF(Table12[[#This Row],[Description:]]&lt;&gt;"", Table12[[#This Row],[Description:]], ""), "")</f>
        <v/>
      </c>
      <c r="B18" s="260"/>
      <c r="C18" s="261" t="str">
        <f>IFERROR(IF(Table12[[#This Row],[Description:]]&lt;&gt;"", Table12[[#This Row],[Duration (Years):]], ""), "")</f>
        <v/>
      </c>
      <c r="D18" s="262" t="str">
        <f>IFERROR(IF(Table12[[#This Row],[Description:]]&lt;&gt;"", Table12[[#This Row],[Frequency:]], ""), "")</f>
        <v/>
      </c>
      <c r="E18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/>
      </c>
      <c r="F18" s="263" t="str">
        <f>IFERROR(IF(Table12[[#This Row],[Description:]]&lt;&gt;"", Table12[[#This Row],[Annual Cost:]], ""), "")</f>
        <v/>
      </c>
      <c r="G18" s="260"/>
    </row>
    <row r="19" spans="1:7" s="192" customFormat="1" x14ac:dyDescent="0.25">
      <c r="A19" s="260" t="str">
        <f>IFERROR(IF(Table12[[#This Row],[Description:]]&lt;&gt;"", Table12[[#This Row],[Description:]], ""), "")</f>
        <v/>
      </c>
      <c r="B19" s="260"/>
      <c r="C19" s="261" t="str">
        <f>IFERROR(IF(Table12[[#This Row],[Description:]]&lt;&gt;"", Table12[[#This Row],[Duration (Years):]], ""), "")</f>
        <v/>
      </c>
      <c r="D19" s="262" t="str">
        <f>IFERROR(IF(Table12[[#This Row],[Description:]]&lt;&gt;"", Table12[[#This Row],[Frequency:]], ""), "")</f>
        <v/>
      </c>
      <c r="E19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/>
      </c>
      <c r="F19" s="263" t="str">
        <f>IFERROR(IF(Table12[[#This Row],[Description:]]&lt;&gt;"", Table12[[#This Row],[Annual Cost:]], ""), "")</f>
        <v/>
      </c>
      <c r="G19" s="260"/>
    </row>
    <row r="20" spans="1:7" s="192" customFormat="1" x14ac:dyDescent="0.25">
      <c r="A20" s="260" t="str">
        <f>IFERROR(IF(Table12[[#This Row],[Description:]]&lt;&gt;"", Table12[[#This Row],[Description:]], ""), "")</f>
        <v/>
      </c>
      <c r="B20" s="260"/>
      <c r="C20" s="261" t="str">
        <f>IFERROR(IF(Table12[[#This Row],[Description:]]&lt;&gt;"", Table12[[#This Row],[Duration (Years):]], ""), "")</f>
        <v/>
      </c>
      <c r="D20" s="262" t="str">
        <f>IFERROR(IF(Table12[[#This Row],[Description:]]&lt;&gt;"", Table12[[#This Row],[Frequency:]], ""), "")</f>
        <v/>
      </c>
      <c r="E20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/>
      </c>
      <c r="F20" s="263" t="str">
        <f>IFERROR(IF(Table12[[#This Row],[Description:]]&lt;&gt;"", Table12[[#This Row],[Annual Cost:]], ""), "")</f>
        <v/>
      </c>
      <c r="G20" s="260"/>
    </row>
    <row r="21" spans="1:7" s="192" customFormat="1" x14ac:dyDescent="0.25">
      <c r="A21" s="260" t="str">
        <f>IFERROR(IF(Table12[[#This Row],[Description:]]&lt;&gt;"", Table12[[#This Row],[Description:]], ""), "")</f>
        <v/>
      </c>
      <c r="B21" s="260"/>
      <c r="C21" s="261" t="str">
        <f>IFERROR(IF(Table12[[#This Row],[Description:]]&lt;&gt;"", Table12[[#This Row],[Duration (Years):]], ""), "")</f>
        <v/>
      </c>
      <c r="D21" s="262" t="str">
        <f>IFERROR(IF(Table12[[#This Row],[Description:]]&lt;&gt;"", Table12[[#This Row],[Frequency:]], ""), "")</f>
        <v/>
      </c>
      <c r="E21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/>
      </c>
      <c r="F21" s="263" t="str">
        <f>IFERROR(IF(Table12[[#This Row],[Description:]]&lt;&gt;"", Table12[[#This Row],[Annual Cost:]], ""), "")</f>
        <v/>
      </c>
      <c r="G21" s="260"/>
    </row>
    <row r="22" spans="1:7" s="192" customFormat="1" x14ac:dyDescent="0.25">
      <c r="A22" s="260" t="str">
        <f>IFERROR(IF(Table12[[#This Row],[Description:]]&lt;&gt;"", Table12[[#This Row],[Description:]], ""), "")</f>
        <v/>
      </c>
      <c r="B22" s="260"/>
      <c r="C22" s="261" t="str">
        <f>IFERROR(IF(Table12[[#This Row],[Description:]]&lt;&gt;"", Table12[[#This Row],[Duration (Years):]], ""), "")</f>
        <v/>
      </c>
      <c r="D22" s="262" t="str">
        <f>IFERROR(IF(Table12[[#This Row],[Description:]]&lt;&gt;"", Table12[[#This Row],[Frequency:]], ""), "")</f>
        <v/>
      </c>
      <c r="E22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/>
      </c>
      <c r="F22" s="263" t="str">
        <f>IFERROR(IF(Table12[[#This Row],[Description:]]&lt;&gt;"", Table12[[#This Row],[Annual Cost:]], ""), "")</f>
        <v/>
      </c>
      <c r="G22" s="260"/>
    </row>
    <row r="23" spans="1:7" s="192" customFormat="1" x14ac:dyDescent="0.25">
      <c r="A23" s="260" t="str">
        <f>IFERROR(IF(Table12[[#This Row],[Description:]]&lt;&gt;"", Table12[[#This Row],[Description:]], ""), "")</f>
        <v/>
      </c>
      <c r="B23" s="260"/>
      <c r="C23" s="261" t="str">
        <f>IFERROR(IF(Table12[[#This Row],[Description:]]&lt;&gt;"", Table12[[#This Row],[Duration (Years):]], ""), "")</f>
        <v/>
      </c>
      <c r="D23" s="262" t="str">
        <f>IFERROR(IF(Table12[[#This Row],[Description:]]&lt;&gt;"", Table12[[#This Row],[Frequency:]], ""), "")</f>
        <v/>
      </c>
      <c r="E23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/>
      </c>
      <c r="F23" s="263" t="str">
        <f>IFERROR(IF(Table12[[#This Row],[Description:]]&lt;&gt;"", Table12[[#This Row],[Annual Cost:]], ""), "")</f>
        <v/>
      </c>
      <c r="G23" s="260"/>
    </row>
    <row r="24" spans="1:7" s="192" customFormat="1" x14ac:dyDescent="0.25">
      <c r="A24" s="260" t="str">
        <f>IFERROR(IF(Table12[[#This Row],[Description:]]&lt;&gt;"", Table12[[#This Row],[Description:]], ""), "")</f>
        <v/>
      </c>
      <c r="B24" s="260"/>
      <c r="C24" s="261" t="str">
        <f>IFERROR(IF(Table12[[#This Row],[Description:]]&lt;&gt;"", Table12[[#This Row],[Duration (Years):]], ""), "")</f>
        <v/>
      </c>
      <c r="D24" s="262" t="str">
        <f>IFERROR(IF(Table12[[#This Row],[Description:]]&lt;&gt;"", Table12[[#This Row],[Frequency:]], ""), "")</f>
        <v/>
      </c>
      <c r="E24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/>
      </c>
      <c r="F24" s="263" t="str">
        <f>IFERROR(IF(Table12[[#This Row],[Description:]]&lt;&gt;"", Table12[[#This Row],[Annual Cost:]], ""), "")</f>
        <v/>
      </c>
      <c r="G24" s="260"/>
    </row>
    <row r="25" spans="1:7" s="192" customFormat="1" x14ac:dyDescent="0.25">
      <c r="A25" s="260" t="str">
        <f>IFERROR(IF(Table12[[#This Row],[Description:]]&lt;&gt;"", Table12[[#This Row],[Description:]], ""), "")</f>
        <v/>
      </c>
      <c r="B25" s="260"/>
      <c r="C25" s="261" t="str">
        <f>IFERROR(IF(Table12[[#This Row],[Description:]]&lt;&gt;"", Table12[[#This Row],[Duration (Years):]], ""), "")</f>
        <v/>
      </c>
      <c r="D25" s="262" t="str">
        <f>IFERROR(IF(Table12[[#This Row],[Description:]]&lt;&gt;"", Table12[[#This Row],[Frequency:]], ""), "")</f>
        <v/>
      </c>
      <c r="E25" s="263" t="str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/>
      </c>
      <c r="F25" s="263" t="str">
        <f>IFERROR(IF(Table12[[#This Row],[Description:]]&lt;&gt;"", Table12[[#This Row],[Annual Cost:]], ""), "")</f>
        <v/>
      </c>
      <c r="G25" s="260"/>
    </row>
    <row r="26" spans="1:7" s="192" customFormat="1" x14ac:dyDescent="0.25">
      <c r="A26" s="260" t="str">
        <f>IFERROR(IF(Table12[[#This Row],[Description:]]&lt;&gt;"", Table12[[#This Row],[Description:]], ""), "")</f>
        <v/>
      </c>
      <c r="B26" s="260"/>
      <c r="C26" s="261" t="str">
        <f>IFERROR(IF(Table12[[#This Row],[Description:]]&lt;&gt;"", Table12[[#This Row],[Duration (Years):]], ""), "")</f>
        <v/>
      </c>
      <c r="D26" s="262" t="str">
        <f>IFERROR(IF(Table12[[#This Row],[Description:]]&lt;&gt;"", Table12[[#This Row],[Frequency:]], ""), "")</f>
        <v/>
      </c>
      <c r="E26" s="263" t="e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>#VALUE!</v>
      </c>
      <c r="F26" s="263" t="str">
        <f>IFERROR(IF(Table12[[#This Row],[Description:]]&lt;&gt;"", Table12[[#This Row],[Annual Cost:]], ""), "")</f>
        <v/>
      </c>
      <c r="G26" s="260"/>
    </row>
    <row r="27" spans="1:7" s="192" customFormat="1" x14ac:dyDescent="0.25">
      <c r="A27" s="260" t="str">
        <f>IFERROR(IF(Table12[[#This Row],[Description:]]&lt;&gt;"", Table12[[#This Row],[Description:]], ""), "")</f>
        <v/>
      </c>
      <c r="B27" s="260"/>
      <c r="C27" s="261" t="str">
        <f>IFERROR(IF(Table12[[#This Row],[Description:]]&lt;&gt;"", Table12[[#This Row],[Duration (Years):]], ""), "")</f>
        <v/>
      </c>
      <c r="D27" s="262" t="str">
        <f>IFERROR(IF(Table12[[#This Row],[Description:]]&lt;&gt;"", Table12[[#This Row],[Frequency:]], ""), "")</f>
        <v/>
      </c>
      <c r="E27" s="263" t="e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>#VALUE!</v>
      </c>
      <c r="F27" s="263" t="str">
        <f>IFERROR(IF(Table12[[#This Row],[Description:]]&lt;&gt;"", Table12[[#This Row],[Annual Cost:]], ""), "")</f>
        <v/>
      </c>
      <c r="G27" s="260"/>
    </row>
    <row r="28" spans="1:7" s="192" customFormat="1" x14ac:dyDescent="0.25">
      <c r="A28" s="260" t="str">
        <f>IFERROR(IF(Table12[[#This Row],[Description:]]&lt;&gt;"", Table12[[#This Row],[Description:]], ""), "")</f>
        <v/>
      </c>
      <c r="B28" s="260"/>
      <c r="C28" s="261" t="str">
        <f>IFERROR(IF(Table12[[#This Row],[Description:]]&lt;&gt;"", Table12[[#This Row],[Duration (Years):]], ""), "")</f>
        <v/>
      </c>
      <c r="D28" s="262" t="str">
        <f>IFERROR(IF(Table12[[#This Row],[Description:]]&lt;&gt;"", Table12[[#This Row],[Frequency:]], ""), "")</f>
        <v/>
      </c>
      <c r="E28" s="263" t="e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>#VALUE!</v>
      </c>
      <c r="F28" s="263" t="str">
        <f>IFERROR(IF(Table12[[#This Row],[Description:]]&lt;&gt;"", Table12[[#This Row],[Annual Cost:]], ""), "")</f>
        <v/>
      </c>
      <c r="G28" s="260"/>
    </row>
    <row r="29" spans="1:7" s="192" customFormat="1" x14ac:dyDescent="0.25">
      <c r="A29" s="260" t="str">
        <f>IFERROR(IF(Table12[[#This Row],[Description:]]&lt;&gt;"", Table12[[#This Row],[Description:]], ""), "")</f>
        <v/>
      </c>
      <c r="B29" s="260"/>
      <c r="C29" s="261" t="str">
        <f>IFERROR(IF(Table12[[#This Row],[Description:]]&lt;&gt;"", Table12[[#This Row],[Duration (Years):]], ""), "")</f>
        <v/>
      </c>
      <c r="D29" s="262" t="str">
        <f>IFERROR(IF(Table12[[#This Row],[Description:]]&lt;&gt;"", Table12[[#This Row],[Frequency:]], ""), "")</f>
        <v/>
      </c>
      <c r="E29" s="263" t="e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>#VALUE!</v>
      </c>
      <c r="F29" s="263" t="str">
        <f>IFERROR(IF(Table12[[#This Row],[Description:]]&lt;&gt;"", Table12[[#This Row],[Annual Cost:]], ""), "")</f>
        <v/>
      </c>
      <c r="G29" s="260"/>
    </row>
    <row r="30" spans="1:7" s="192" customFormat="1" x14ac:dyDescent="0.25">
      <c r="A30" s="260" t="str">
        <f>IFERROR(IF(Table12[[#This Row],[Description:]]&lt;&gt;"", Table12[[#This Row],[Description:]], ""), "")</f>
        <v/>
      </c>
      <c r="B30" s="260"/>
      <c r="C30" s="261" t="str">
        <f>IFERROR(IF(Table12[[#This Row],[Description:]]&lt;&gt;"", Table12[[#This Row],[Duration (Years):]], ""), "")</f>
        <v/>
      </c>
      <c r="D30" s="262" t="str">
        <f>IFERROR(IF(Table12[[#This Row],[Description:]]&lt;&gt;"", Table12[[#This Row],[Frequency:]], ""), "")</f>
        <v/>
      </c>
      <c r="E30" s="263" t="e">
        <f>IF(OR(Table12[[#This Row],[Description:]]="", ISBLANK(Table12[[#This Row],[One-Time Cost:]]), ISBLANK(Table12[[#This Row],[Cost:]])), "", IF(Table12[[#This Row],[Time Value:]]="lifetime", CONCATENATE(Table12[[#This Row],[One-Time Cost:]] &amp; "*", CHAR(10), CHAR(10), "(based on ", Table12[[#This Row],[Cost:]], "/unit)"), Table12[[#This Row],[Cost:]]))</f>
        <v>#VALUE!</v>
      </c>
      <c r="F30" s="263" t="str">
        <f>IFERROR(IF(Table12[[#This Row],[Description:]]&lt;&gt;"", Table12[[#This Row],[Annual Cost:]], ""), "")</f>
        <v/>
      </c>
      <c r="G30" s="260"/>
    </row>
    <row r="31" spans="1:7" x14ac:dyDescent="0.25">
      <c r="A31" s="257"/>
      <c r="B31" s="257"/>
      <c r="C31" s="265"/>
      <c r="D31" s="265"/>
      <c r="E31" s="266"/>
      <c r="F31" s="266"/>
      <c r="G31" s="257"/>
    </row>
    <row r="32" spans="1:7" x14ac:dyDescent="0.25">
      <c r="A32" s="257"/>
      <c r="B32" s="257"/>
      <c r="C32" s="257"/>
      <c r="D32" s="267" t="s">
        <v>125</v>
      </c>
      <c r="E32" s="268" t="str">
        <f>'Routine Care'!S26</f>
        <v>$14,381.00
 - 
$142,571.00</v>
      </c>
      <c r="F32" s="269"/>
      <c r="G32" s="257"/>
    </row>
    <row r="33" spans="1:7" x14ac:dyDescent="0.25">
      <c r="A33" s="257"/>
      <c r="B33" s="257"/>
      <c r="C33" s="257"/>
      <c r="D33" s="267" t="s">
        <v>124</v>
      </c>
      <c r="E33" s="268" t="str">
        <f ca="1">'Routine Care'!P26</f>
        <v>$0.00</v>
      </c>
      <c r="F33" s="269"/>
      <c r="G33" s="257"/>
    </row>
    <row r="34" spans="1:7" x14ac:dyDescent="0.25">
      <c r="A34" s="257"/>
      <c r="B34" s="257"/>
      <c r="C34" s="257"/>
      <c r="D34" s="257"/>
      <c r="E34" s="269"/>
      <c r="F34" s="269"/>
      <c r="G34" s="257"/>
    </row>
  </sheetData>
  <mergeCells count="1">
    <mergeCell ref="A1:G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AE78-A2D6-4D4E-8972-B707DC8050EB}">
  <sheetPr codeName="Sheet34"/>
  <dimension ref="A1:I35"/>
  <sheetViews>
    <sheetView workbookViewId="0">
      <selection sqref="A1:G1"/>
    </sheetView>
  </sheetViews>
  <sheetFormatPr defaultRowHeight="15" x14ac:dyDescent="0.25"/>
  <cols>
    <col min="1" max="2" width="18.7109375" style="190" customWidth="1"/>
    <col min="3" max="4" width="10.7109375" style="190" customWidth="1"/>
    <col min="5" max="6" width="13.7109375" style="193" customWidth="1"/>
    <col min="7" max="7" width="18.7109375" style="190" customWidth="1"/>
    <col min="8" max="16384" width="9.140625" style="190"/>
  </cols>
  <sheetData>
    <row r="1" spans="1:9" ht="23.1" customHeight="1" x14ac:dyDescent="0.25">
      <c r="A1" s="353" t="str">
        <f>Evaluations!A1</f>
        <v>PROJECTED EVALUATIONS</v>
      </c>
      <c r="B1" s="353"/>
      <c r="C1" s="353"/>
      <c r="D1" s="353"/>
      <c r="E1" s="353"/>
      <c r="F1" s="353"/>
      <c r="G1" s="353"/>
    </row>
    <row r="2" spans="1:9" s="191" customFormat="1" ht="18" customHeight="1" x14ac:dyDescent="0.25">
      <c r="A2" s="256" t="s">
        <v>117</v>
      </c>
      <c r="B2" s="256" t="s">
        <v>118</v>
      </c>
      <c r="C2" s="256" t="s">
        <v>119</v>
      </c>
      <c r="D2" s="256" t="s">
        <v>120</v>
      </c>
      <c r="E2" s="258" t="s">
        <v>121</v>
      </c>
      <c r="F2" s="258" t="s">
        <v>122</v>
      </c>
      <c r="G2" s="256" t="s">
        <v>123</v>
      </c>
    </row>
    <row r="3" spans="1:9" s="192" customFormat="1" x14ac:dyDescent="0.25">
      <c r="A3" s="260" t="str">
        <f>IFERROR(IF(Table3[[#This Row],[Description:]]&lt;&gt;"", Table3[[#This Row],[Description:]], ""), "")</f>
        <v/>
      </c>
      <c r="B3" s="260"/>
      <c r="C3" s="261" t="str">
        <f>IFERROR(IF(Table3[[#This Row],[Description:]]&lt;&gt;"", Table3[[#This Row],[Duration (Years):]], ""), "")</f>
        <v/>
      </c>
      <c r="D3" s="262" t="str">
        <f>IFERROR(IF(Table3[[#This Row],[Description:]]&lt;&gt;"", Table3[[#This Row],[Frequency:]], ""), "")</f>
        <v/>
      </c>
      <c r="E3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3" s="263" t="str">
        <f>IFERROR(IF(Table3[[#This Row],[Description:]]&lt;&gt;"", Table3[[#This Row],[Annual Cost:]], ""), "")</f>
        <v/>
      </c>
      <c r="G3" s="260"/>
    </row>
    <row r="4" spans="1:9" s="192" customFormat="1" x14ac:dyDescent="0.25">
      <c r="A4" s="260" t="str">
        <f>IFERROR(IF(Table3[[#This Row],[Description:]]&lt;&gt;"", Table3[[#This Row],[Description:]], ""), "")</f>
        <v/>
      </c>
      <c r="B4" s="260"/>
      <c r="C4" s="261" t="str">
        <f>IFERROR(IF(Table3[[#This Row],[Description:]]&lt;&gt;"", Table3[[#This Row],[Duration (Years):]], ""), "")</f>
        <v/>
      </c>
      <c r="D4" s="262" t="str">
        <f>IFERROR(IF(Table3[[#This Row],[Description:]]&lt;&gt;"", Table3[[#This Row],[Frequency:]], ""), "")</f>
        <v/>
      </c>
      <c r="E4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4" s="263" t="str">
        <f>IFERROR(IF(Table3[[#This Row],[Description:]]&lt;&gt;"", Table3[[#This Row],[Annual Cost:]], ""), "")</f>
        <v/>
      </c>
      <c r="G4" s="260"/>
    </row>
    <row r="5" spans="1:9" s="192" customFormat="1" x14ac:dyDescent="0.25">
      <c r="A5" s="260" t="str">
        <f>IFERROR(IF(Table3[[#This Row],[Description:]]&lt;&gt;"", Table3[[#This Row],[Description:]], ""), "")</f>
        <v/>
      </c>
      <c r="B5" s="260"/>
      <c r="C5" s="261" t="str">
        <f>IFERROR(IF(Table3[[#This Row],[Description:]]&lt;&gt;"", Table3[[#This Row],[Duration (Years):]], ""), "")</f>
        <v/>
      </c>
      <c r="D5" s="262" t="str">
        <f>IFERROR(IF(Table3[[#This Row],[Description:]]&lt;&gt;"", Table3[[#This Row],[Frequency:]], ""), "")</f>
        <v/>
      </c>
      <c r="E5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5" s="263" t="str">
        <f>IFERROR(IF(Table3[[#This Row],[Description:]]&lt;&gt;"", Table3[[#This Row],[Annual Cost:]], ""), "")</f>
        <v/>
      </c>
      <c r="G5" s="260"/>
    </row>
    <row r="6" spans="1:9" s="192" customFormat="1" x14ac:dyDescent="0.25">
      <c r="A6" s="260" t="str">
        <f>IFERROR(IF(Table3[[#This Row],[Description:]]&lt;&gt;"", Table3[[#This Row],[Description:]], ""), "")</f>
        <v/>
      </c>
      <c r="B6" s="260"/>
      <c r="C6" s="261" t="str">
        <f>IFERROR(IF(Table3[[#This Row],[Description:]]&lt;&gt;"", Table3[[#This Row],[Duration (Years):]], ""), "")</f>
        <v/>
      </c>
      <c r="D6" s="262" t="str">
        <f>IFERROR(IF(Table3[[#This Row],[Description:]]&lt;&gt;"", Table3[[#This Row],[Frequency:]], ""), "")</f>
        <v/>
      </c>
      <c r="E6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6" s="263" t="str">
        <f>IFERROR(IF(Table3[[#This Row],[Description:]]&lt;&gt;"", Table3[[#This Row],[Annual Cost:]], ""), "")</f>
        <v/>
      </c>
      <c r="G6" s="260"/>
    </row>
    <row r="7" spans="1:9" s="192" customFormat="1" x14ac:dyDescent="0.25">
      <c r="A7" s="260" t="str">
        <f>IFERROR(IF(Table3[[#This Row],[Description:]]&lt;&gt;"", Table3[[#This Row],[Description:]], ""), "")</f>
        <v/>
      </c>
      <c r="B7" s="260"/>
      <c r="C7" s="261" t="str">
        <f>IFERROR(IF(Table3[[#This Row],[Description:]]&lt;&gt;"", Table3[[#This Row],[Duration (Years):]], ""), "")</f>
        <v/>
      </c>
      <c r="D7" s="262" t="str">
        <f>IFERROR(IF(Table3[[#This Row],[Description:]]&lt;&gt;"", Table3[[#This Row],[Frequency:]], ""), "")</f>
        <v/>
      </c>
      <c r="E7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7" s="263" t="str">
        <f>IFERROR(IF(Table3[[#This Row],[Description:]]&lt;&gt;"", Table3[[#This Row],[Annual Cost:]], ""), "")</f>
        <v/>
      </c>
      <c r="G7" s="260"/>
    </row>
    <row r="8" spans="1:9" s="192" customFormat="1" ht="15.75" x14ac:dyDescent="0.25">
      <c r="A8" s="260" t="str">
        <f>IFERROR(IF(Table3[[#This Row],[Description:]]&lt;&gt;"", Table3[[#This Row],[Description:]], ""), "")</f>
        <v/>
      </c>
      <c r="B8" s="260"/>
      <c r="C8" s="261" t="str">
        <f>IFERROR(IF(Table3[[#This Row],[Description:]]&lt;&gt;"", Table3[[#This Row],[Duration (Years):]], ""), "")</f>
        <v/>
      </c>
      <c r="D8" s="262" t="str">
        <f>IFERROR(IF(Table3[[#This Row],[Description:]]&lt;&gt;"", Table3[[#This Row],[Frequency:]], ""), "")</f>
        <v/>
      </c>
      <c r="E8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8" s="263" t="str">
        <f>IFERROR(IF(Table3[[#This Row],[Description:]]&lt;&gt;"", Table3[[#This Row],[Annual Cost:]], ""), "")</f>
        <v/>
      </c>
      <c r="G8" s="260"/>
      <c r="I8" s="118" t="s">
        <v>140</v>
      </c>
    </row>
    <row r="9" spans="1:9" s="192" customFormat="1" ht="15.75" x14ac:dyDescent="0.25">
      <c r="A9" s="260" t="str">
        <f>IFERROR(IF(Table3[[#This Row],[Description:]]&lt;&gt;"", Table3[[#This Row],[Description:]], ""), "")</f>
        <v/>
      </c>
      <c r="B9" s="260"/>
      <c r="C9" s="261" t="str">
        <f>IFERROR(IF(Table3[[#This Row],[Description:]]&lt;&gt;"", Table3[[#This Row],[Duration (Years):]], ""), "")</f>
        <v/>
      </c>
      <c r="D9" s="262" t="str">
        <f>IFERROR(IF(Table3[[#This Row],[Description:]]&lt;&gt;"", Table3[[#This Row],[Frequency:]], ""), "")</f>
        <v/>
      </c>
      <c r="E9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9" s="263" t="str">
        <f>IFERROR(IF(Table3[[#This Row],[Description:]]&lt;&gt;"", Table3[[#This Row],[Annual Cost:]], ""), "")</f>
        <v/>
      </c>
      <c r="G9" s="260"/>
      <c r="I9" s="118" t="s">
        <v>141</v>
      </c>
    </row>
    <row r="10" spans="1:9" s="192" customFormat="1" ht="15.75" x14ac:dyDescent="0.25">
      <c r="A10" s="260" t="str">
        <f>IFERROR(IF(Table3[[#This Row],[Description:]]&lt;&gt;"", Table3[[#This Row],[Description:]], ""), "")</f>
        <v/>
      </c>
      <c r="B10" s="260"/>
      <c r="C10" s="261" t="str">
        <f>IFERROR(IF(Table3[[#This Row],[Description:]]&lt;&gt;"", Table3[[#This Row],[Duration (Years):]], ""), "")</f>
        <v/>
      </c>
      <c r="D10" s="262" t="str">
        <f>IFERROR(IF(Table3[[#This Row],[Description:]]&lt;&gt;"", Table3[[#This Row],[Frequency:]], ""), "")</f>
        <v/>
      </c>
      <c r="E10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10" s="263" t="str">
        <f>IFERROR(IF(Table3[[#This Row],[Description:]]&lt;&gt;"", Table3[[#This Row],[Annual Cost:]], ""), "")</f>
        <v/>
      </c>
      <c r="G10" s="260"/>
      <c r="I10" s="121"/>
    </row>
    <row r="11" spans="1:9" s="192" customFormat="1" ht="15.75" x14ac:dyDescent="0.25">
      <c r="A11" s="260" t="str">
        <f>IFERROR(IF(Table3[[#This Row],[Description:]]&lt;&gt;"", Table3[[#This Row],[Description:]], ""), "")</f>
        <v/>
      </c>
      <c r="B11" s="260"/>
      <c r="C11" s="261" t="str">
        <f>IFERROR(IF(Table3[[#This Row],[Description:]]&lt;&gt;"", Table3[[#This Row],[Duration (Years):]], ""), "")</f>
        <v/>
      </c>
      <c r="D11" s="262" t="str">
        <f>IFERROR(IF(Table3[[#This Row],[Description:]]&lt;&gt;"", Table3[[#This Row],[Frequency:]], ""), "")</f>
        <v/>
      </c>
      <c r="E11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11" s="263" t="str">
        <f>IFERROR(IF(Table3[[#This Row],[Description:]]&lt;&gt;"", Table3[[#This Row],[Annual Cost:]], ""), "")</f>
        <v/>
      </c>
      <c r="G11" s="260"/>
      <c r="I11" s="118" t="s">
        <v>142</v>
      </c>
    </row>
    <row r="12" spans="1:9" s="192" customFormat="1" ht="15.75" x14ac:dyDescent="0.25">
      <c r="A12" s="260" t="str">
        <f>IFERROR(IF(Table3[[#This Row],[Description:]]&lt;&gt;"", Table3[[#This Row],[Description:]], ""), "")</f>
        <v/>
      </c>
      <c r="B12" s="260"/>
      <c r="C12" s="261" t="str">
        <f>IFERROR(IF(Table3[[#This Row],[Description:]]&lt;&gt;"", Table3[[#This Row],[Duration (Years):]], ""), "")</f>
        <v/>
      </c>
      <c r="D12" s="262" t="str">
        <f>IFERROR(IF(Table3[[#This Row],[Description:]]&lt;&gt;"", Table3[[#This Row],[Frequency:]], ""), "")</f>
        <v/>
      </c>
      <c r="E12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12" s="263" t="str">
        <f>IFERROR(IF(Table3[[#This Row],[Description:]]&lt;&gt;"", Table3[[#This Row],[Annual Cost:]], ""), "")</f>
        <v/>
      </c>
      <c r="G12" s="260"/>
      <c r="I12" s="118" t="s">
        <v>143</v>
      </c>
    </row>
    <row r="13" spans="1:9" s="192" customFormat="1" x14ac:dyDescent="0.25">
      <c r="A13" s="260" t="str">
        <f>IFERROR(IF(Table3[[#This Row],[Description:]]&lt;&gt;"", Table3[[#This Row],[Description:]], ""), "")</f>
        <v/>
      </c>
      <c r="B13" s="260"/>
      <c r="C13" s="261" t="str">
        <f>IFERROR(IF(Table3[[#This Row],[Description:]]&lt;&gt;"", Table3[[#This Row],[Duration (Years):]], ""), "")</f>
        <v/>
      </c>
      <c r="D13" s="262" t="str">
        <f>IFERROR(IF(Table3[[#This Row],[Description:]]&lt;&gt;"", Table3[[#This Row],[Frequency:]], ""), "")</f>
        <v/>
      </c>
      <c r="E13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13" s="263" t="str">
        <f>IFERROR(IF(Table3[[#This Row],[Description:]]&lt;&gt;"", Table3[[#This Row],[Annual Cost:]], ""), "")</f>
        <v/>
      </c>
      <c r="G13" s="260"/>
    </row>
    <row r="14" spans="1:9" s="192" customFormat="1" x14ac:dyDescent="0.25">
      <c r="A14" s="260" t="str">
        <f>IFERROR(IF(Table3[[#This Row],[Description:]]&lt;&gt;"", Table3[[#This Row],[Description:]], ""), "")</f>
        <v/>
      </c>
      <c r="B14" s="260"/>
      <c r="C14" s="261" t="str">
        <f>IFERROR(IF(Table3[[#This Row],[Description:]]&lt;&gt;"", Table3[[#This Row],[Duration (Years):]], ""), "")</f>
        <v/>
      </c>
      <c r="D14" s="262" t="str">
        <f>IFERROR(IF(Table3[[#This Row],[Description:]]&lt;&gt;"", Table3[[#This Row],[Frequency:]], ""), "")</f>
        <v/>
      </c>
      <c r="E14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14" s="263" t="str">
        <f>IFERROR(IF(Table3[[#This Row],[Description:]]&lt;&gt;"", Table3[[#This Row],[Annual Cost:]], ""), "")</f>
        <v/>
      </c>
      <c r="G14" s="260"/>
    </row>
    <row r="15" spans="1:9" s="192" customFormat="1" x14ac:dyDescent="0.25">
      <c r="A15" s="260" t="str">
        <f>IFERROR(IF(Table3[[#This Row],[Description:]]&lt;&gt;"", Table3[[#This Row],[Description:]], ""), "")</f>
        <v/>
      </c>
      <c r="B15" s="260"/>
      <c r="C15" s="261" t="str">
        <f>IFERROR(IF(Table3[[#This Row],[Description:]]&lt;&gt;"", Table3[[#This Row],[Duration (Years):]], ""), "")</f>
        <v/>
      </c>
      <c r="D15" s="262" t="str">
        <f>IFERROR(IF(Table3[[#This Row],[Description:]]&lt;&gt;"", Table3[[#This Row],[Frequency:]], ""), "")</f>
        <v/>
      </c>
      <c r="E15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15" s="263" t="str">
        <f>IFERROR(IF(Table3[[#This Row],[Description:]]&lt;&gt;"", Table3[[#This Row],[Annual Cost:]], ""), "")</f>
        <v/>
      </c>
      <c r="G15" s="260"/>
    </row>
    <row r="16" spans="1:9" s="192" customFormat="1" x14ac:dyDescent="0.25">
      <c r="A16" s="260" t="str">
        <f>IFERROR(IF(Table3[[#This Row],[Description:]]&lt;&gt;"", Table3[[#This Row],[Description:]], ""), "")</f>
        <v/>
      </c>
      <c r="B16" s="260"/>
      <c r="C16" s="261" t="str">
        <f>IFERROR(IF(Table3[[#This Row],[Description:]]&lt;&gt;"", Table3[[#This Row],[Duration (Years):]], ""), "")</f>
        <v/>
      </c>
      <c r="D16" s="262" t="str">
        <f>IFERROR(IF(Table3[[#This Row],[Description:]]&lt;&gt;"", Table3[[#This Row],[Frequency:]], ""), "")</f>
        <v/>
      </c>
      <c r="E16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16" s="263" t="str">
        <f>IFERROR(IF(Table3[[#This Row],[Description:]]&lt;&gt;"", Table3[[#This Row],[Annual Cost:]], ""), "")</f>
        <v/>
      </c>
      <c r="G16" s="260"/>
    </row>
    <row r="17" spans="1:7" s="192" customFormat="1" x14ac:dyDescent="0.25">
      <c r="A17" s="260" t="str">
        <f>IFERROR(IF(Table3[[#This Row],[Description:]]&lt;&gt;"", Table3[[#This Row],[Description:]], ""), "")</f>
        <v/>
      </c>
      <c r="B17" s="260"/>
      <c r="C17" s="261" t="str">
        <f>IFERROR(IF(Table3[[#This Row],[Description:]]&lt;&gt;"", Table3[[#This Row],[Duration (Years):]], ""), "")</f>
        <v/>
      </c>
      <c r="D17" s="262" t="str">
        <f>IFERROR(IF(Table3[[#This Row],[Description:]]&lt;&gt;"", Table3[[#This Row],[Frequency:]], ""), "")</f>
        <v/>
      </c>
      <c r="E17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17" s="263" t="str">
        <f>IFERROR(IF(Table3[[#This Row],[Description:]]&lt;&gt;"", Table3[[#This Row],[Annual Cost:]], ""), "")</f>
        <v/>
      </c>
      <c r="G17" s="260"/>
    </row>
    <row r="18" spans="1:7" s="192" customFormat="1" x14ac:dyDescent="0.25">
      <c r="A18" s="260" t="str">
        <f>IFERROR(IF(Table3[[#This Row],[Description:]]&lt;&gt;"", Table3[[#This Row],[Description:]], ""), "")</f>
        <v/>
      </c>
      <c r="B18" s="260"/>
      <c r="C18" s="261" t="str">
        <f>IFERROR(IF(Table3[[#This Row],[Description:]]&lt;&gt;"", Table3[[#This Row],[Duration (Years):]], ""), "")</f>
        <v/>
      </c>
      <c r="D18" s="262" t="str">
        <f>IFERROR(IF(Table3[[#This Row],[Description:]]&lt;&gt;"", Table3[[#This Row],[Frequency:]], ""), "")</f>
        <v/>
      </c>
      <c r="E18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18" s="263" t="str">
        <f>IFERROR(IF(Table3[[#This Row],[Description:]]&lt;&gt;"", Table3[[#This Row],[Annual Cost:]], ""), "")</f>
        <v/>
      </c>
      <c r="G18" s="260"/>
    </row>
    <row r="19" spans="1:7" s="192" customFormat="1" x14ac:dyDescent="0.25">
      <c r="A19" s="260" t="str">
        <f>IFERROR(IF(Table3[[#This Row],[Description:]]&lt;&gt;"", Table3[[#This Row],[Description:]], ""), "")</f>
        <v/>
      </c>
      <c r="B19" s="260"/>
      <c r="C19" s="261" t="str">
        <f>IFERROR(IF(Table3[[#This Row],[Description:]]&lt;&gt;"", Table3[[#This Row],[Duration (Years):]], ""), "")</f>
        <v/>
      </c>
      <c r="D19" s="262" t="str">
        <f>IFERROR(IF(Table3[[#This Row],[Description:]]&lt;&gt;"", Table3[[#This Row],[Frequency:]], ""), "")</f>
        <v/>
      </c>
      <c r="E19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19" s="263" t="str">
        <f>IFERROR(IF(Table3[[#This Row],[Description:]]&lt;&gt;"", Table3[[#This Row],[Annual Cost:]], ""), "")</f>
        <v/>
      </c>
      <c r="G19" s="260"/>
    </row>
    <row r="20" spans="1:7" s="192" customFormat="1" x14ac:dyDescent="0.25">
      <c r="A20" s="260" t="str">
        <f>IFERROR(IF(Table3[[#This Row],[Description:]]&lt;&gt;"", Table3[[#This Row],[Description:]], ""), "")</f>
        <v/>
      </c>
      <c r="B20" s="260"/>
      <c r="C20" s="261" t="str">
        <f>IFERROR(IF(Table3[[#This Row],[Description:]]&lt;&gt;"", Table3[[#This Row],[Duration (Years):]], ""), "")</f>
        <v/>
      </c>
      <c r="D20" s="262" t="str">
        <f>IFERROR(IF(Table3[[#This Row],[Description:]]&lt;&gt;"", Table3[[#This Row],[Frequency:]], ""), "")</f>
        <v/>
      </c>
      <c r="E20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20" s="263" t="str">
        <f>IFERROR(IF(Table3[[#This Row],[Description:]]&lt;&gt;"", Table3[[#This Row],[Annual Cost:]], ""), "")</f>
        <v/>
      </c>
      <c r="G20" s="260"/>
    </row>
    <row r="21" spans="1:7" s="192" customFormat="1" x14ac:dyDescent="0.25">
      <c r="A21" s="260" t="str">
        <f>IFERROR(IF(Table3[[#This Row],[Description:]]&lt;&gt;"", Table3[[#This Row],[Description:]], ""), "")</f>
        <v/>
      </c>
      <c r="B21" s="260"/>
      <c r="C21" s="261" t="str">
        <f>IFERROR(IF(Table3[[#This Row],[Description:]]&lt;&gt;"", Table3[[#This Row],[Duration (Years):]], ""), "")</f>
        <v/>
      </c>
      <c r="D21" s="262" t="str">
        <f>IFERROR(IF(Table3[[#This Row],[Description:]]&lt;&gt;"", Table3[[#This Row],[Frequency:]], ""), "")</f>
        <v/>
      </c>
      <c r="E21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21" s="263" t="str">
        <f>IFERROR(IF(Table3[[#This Row],[Description:]]&lt;&gt;"", Table3[[#This Row],[Annual Cost:]], ""), "")</f>
        <v/>
      </c>
      <c r="G21" s="260"/>
    </row>
    <row r="22" spans="1:7" s="192" customFormat="1" x14ac:dyDescent="0.25">
      <c r="A22" s="260" t="str">
        <f>IFERROR(IF(Table3[[#This Row],[Description:]]&lt;&gt;"", Table3[[#This Row],[Description:]], ""), "")</f>
        <v/>
      </c>
      <c r="B22" s="260"/>
      <c r="C22" s="261" t="str">
        <f>IFERROR(IF(Table3[[#This Row],[Description:]]&lt;&gt;"", Table3[[#This Row],[Duration (Years):]], ""), "")</f>
        <v/>
      </c>
      <c r="D22" s="262" t="str">
        <f>IFERROR(IF(Table3[[#This Row],[Description:]]&lt;&gt;"", Table3[[#This Row],[Frequency:]], ""), "")</f>
        <v/>
      </c>
      <c r="E22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22" s="263" t="str">
        <f>IFERROR(IF(Table3[[#This Row],[Description:]]&lt;&gt;"", Table3[[#This Row],[Annual Cost:]], ""), "")</f>
        <v/>
      </c>
      <c r="G22" s="260"/>
    </row>
    <row r="23" spans="1:7" s="192" customFormat="1" x14ac:dyDescent="0.25">
      <c r="A23" s="260" t="str">
        <f>IFERROR(IF(Table3[[#This Row],[Description:]]&lt;&gt;"", Table3[[#This Row],[Description:]], ""), "")</f>
        <v/>
      </c>
      <c r="B23" s="260"/>
      <c r="C23" s="261" t="str">
        <f>IFERROR(IF(Table3[[#This Row],[Description:]]&lt;&gt;"", Table3[[#This Row],[Duration (Years):]], ""), "")</f>
        <v/>
      </c>
      <c r="D23" s="262" t="str">
        <f>IFERROR(IF(Table3[[#This Row],[Description:]]&lt;&gt;"", Table3[[#This Row],[Frequency:]], ""), "")</f>
        <v/>
      </c>
      <c r="E23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23" s="263" t="str">
        <f>IFERROR(IF(Table3[[#This Row],[Description:]]&lt;&gt;"", Table3[[#This Row],[Annual Cost:]], ""), "")</f>
        <v/>
      </c>
      <c r="G23" s="260"/>
    </row>
    <row r="24" spans="1:7" s="192" customFormat="1" x14ac:dyDescent="0.25">
      <c r="A24" s="260" t="str">
        <f>IFERROR(IF(Table3[[#This Row],[Description:]]&lt;&gt;"", Table3[[#This Row],[Description:]], ""), "")</f>
        <v/>
      </c>
      <c r="B24" s="260"/>
      <c r="C24" s="261" t="str">
        <f>IFERROR(IF(Table3[[#This Row],[Description:]]&lt;&gt;"", Table3[[#This Row],[Duration (Years):]], ""), "")</f>
        <v/>
      </c>
      <c r="D24" s="262" t="str">
        <f>IFERROR(IF(Table3[[#This Row],[Description:]]&lt;&gt;"", Table3[[#This Row],[Frequency:]], ""), "")</f>
        <v/>
      </c>
      <c r="E24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24" s="263" t="str">
        <f>IFERROR(IF(Table3[[#This Row],[Description:]]&lt;&gt;"", Table3[[#This Row],[Annual Cost:]], ""), "")</f>
        <v/>
      </c>
      <c r="G24" s="260"/>
    </row>
    <row r="25" spans="1:7" s="192" customFormat="1" x14ac:dyDescent="0.25">
      <c r="A25" s="260" t="str">
        <f>IFERROR(IF(Table3[[#This Row],[Description:]]&lt;&gt;"", Table3[[#This Row],[Description:]], ""), "")</f>
        <v/>
      </c>
      <c r="B25" s="260"/>
      <c r="C25" s="261" t="str">
        <f>IFERROR(IF(Table3[[#This Row],[Description:]]&lt;&gt;"", Table3[[#This Row],[Duration (Years):]], ""), "")</f>
        <v/>
      </c>
      <c r="D25" s="262" t="str">
        <f>IFERROR(IF(Table3[[#This Row],[Description:]]&lt;&gt;"", Table3[[#This Row],[Frequency:]], ""), "")</f>
        <v/>
      </c>
      <c r="E25" s="263" t="str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/>
      </c>
      <c r="F25" s="263" t="str">
        <f>IFERROR(IF(Table3[[#This Row],[Description:]]&lt;&gt;"", Table3[[#This Row],[Annual Cost:]], ""), "")</f>
        <v/>
      </c>
      <c r="G25" s="260"/>
    </row>
    <row r="26" spans="1:7" s="192" customFormat="1" x14ac:dyDescent="0.25">
      <c r="A26" s="260" t="str">
        <f>IFERROR(IF(Table3[[#This Row],[Description:]]&lt;&gt;"", Table3[[#This Row],[Description:]], ""), "")</f>
        <v/>
      </c>
      <c r="B26" s="260"/>
      <c r="C26" s="261" t="str">
        <f>IFERROR(IF(Table3[[#This Row],[Description:]]&lt;&gt;"", Table3[[#This Row],[Duration (Years):]], ""), "")</f>
        <v/>
      </c>
      <c r="D26" s="262" t="str">
        <f>IFERROR(IF(Table3[[#This Row],[Description:]]&lt;&gt;"", Table3[[#This Row],[Frequency:]], ""), "")</f>
        <v/>
      </c>
      <c r="E26" s="263" t="e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>#VALUE!</v>
      </c>
      <c r="F26" s="263" t="str">
        <f>IFERROR(IF(Table3[[#This Row],[Description:]]&lt;&gt;"", Table3[[#This Row],[Annual Cost:]], ""), "")</f>
        <v/>
      </c>
      <c r="G26" s="260"/>
    </row>
    <row r="27" spans="1:7" s="192" customFormat="1" x14ac:dyDescent="0.25">
      <c r="A27" s="260" t="str">
        <f>IFERROR(IF(Table3[[#This Row],[Description:]]&lt;&gt;"", Table3[[#This Row],[Description:]], ""), "")</f>
        <v/>
      </c>
      <c r="B27" s="260"/>
      <c r="C27" s="261" t="str">
        <f>IFERROR(IF(Table3[[#This Row],[Description:]]&lt;&gt;"", Table3[[#This Row],[Duration (Years):]], ""), "")</f>
        <v/>
      </c>
      <c r="D27" s="262" t="str">
        <f>IFERROR(IF(Table3[[#This Row],[Description:]]&lt;&gt;"", Table3[[#This Row],[Frequency:]], ""), "")</f>
        <v/>
      </c>
      <c r="E27" s="263" t="e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>#VALUE!</v>
      </c>
      <c r="F27" s="263" t="str">
        <f>IFERROR(IF(Table3[[#This Row],[Description:]]&lt;&gt;"", Table3[[#This Row],[Annual Cost:]], ""), "")</f>
        <v/>
      </c>
      <c r="G27" s="260"/>
    </row>
    <row r="28" spans="1:7" s="192" customFormat="1" x14ac:dyDescent="0.25">
      <c r="A28" s="260" t="str">
        <f>IFERROR(IF(Table3[[#This Row],[Description:]]&lt;&gt;"", Table3[[#This Row],[Description:]], ""), "")</f>
        <v/>
      </c>
      <c r="B28" s="260"/>
      <c r="C28" s="261" t="str">
        <f>IFERROR(IF(Table3[[#This Row],[Description:]]&lt;&gt;"", Table3[[#This Row],[Duration (Years):]], ""), "")</f>
        <v/>
      </c>
      <c r="D28" s="262" t="str">
        <f>IFERROR(IF(Table3[[#This Row],[Description:]]&lt;&gt;"", Table3[[#This Row],[Frequency:]], ""), "")</f>
        <v/>
      </c>
      <c r="E28" s="263" t="e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>#VALUE!</v>
      </c>
      <c r="F28" s="263" t="str">
        <f>IFERROR(IF(Table3[[#This Row],[Description:]]&lt;&gt;"", Table3[[#This Row],[Annual Cost:]], ""), "")</f>
        <v/>
      </c>
      <c r="G28" s="260"/>
    </row>
    <row r="29" spans="1:7" s="192" customFormat="1" x14ac:dyDescent="0.25">
      <c r="A29" s="260" t="str">
        <f>IFERROR(IF(Table3[[#This Row],[Description:]]&lt;&gt;"", Table3[[#This Row],[Description:]], ""), "")</f>
        <v/>
      </c>
      <c r="B29" s="260"/>
      <c r="C29" s="261" t="str">
        <f>IFERROR(IF(Table3[[#This Row],[Description:]]&lt;&gt;"", Table3[[#This Row],[Duration (Years):]], ""), "")</f>
        <v/>
      </c>
      <c r="D29" s="262" t="str">
        <f>IFERROR(IF(Table3[[#This Row],[Description:]]&lt;&gt;"", Table3[[#This Row],[Frequency:]], ""), "")</f>
        <v/>
      </c>
      <c r="E29" s="263" t="e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>#VALUE!</v>
      </c>
      <c r="F29" s="263" t="str">
        <f>IFERROR(IF(Table3[[#This Row],[Description:]]&lt;&gt;"", Table3[[#This Row],[Annual Cost:]], ""), "")</f>
        <v/>
      </c>
      <c r="G29" s="260"/>
    </row>
    <row r="30" spans="1:7" s="192" customFormat="1" x14ac:dyDescent="0.25">
      <c r="A30" s="260" t="str">
        <f>IFERROR(IF(Table3[[#This Row],[Description:]]&lt;&gt;"", Table3[[#This Row],[Description:]], ""), "")</f>
        <v/>
      </c>
      <c r="B30" s="260"/>
      <c r="C30" s="261" t="str">
        <f>IFERROR(IF(Table3[[#This Row],[Description:]]&lt;&gt;"", Table3[[#This Row],[Duration (Years):]], ""), "")</f>
        <v/>
      </c>
      <c r="D30" s="262" t="str">
        <f>IFERROR(IF(Table3[[#This Row],[Description:]]&lt;&gt;"", Table3[[#This Row],[Frequency:]], ""), "")</f>
        <v/>
      </c>
      <c r="E30" s="263" t="e">
        <f>IF(OR(Table3[[#This Row],[Description:]]="", ISBLANK(Table3[[#This Row],[One-Time Cost:]]), ISBLANK(Table3[[#This Row],[Cost:]])), "", IF(Table3[[#This Row],[Time Value:]]="lifetime", CONCATENATE(Table3[[#This Row],[One-Time Cost:]] &amp; "*", CHAR(10), CHAR(10), "(based on ", Table3[[#This Row],[Cost:]], "/unit)"), Table3[[#This Row],[Cost:]]))</f>
        <v>#VALUE!</v>
      </c>
      <c r="F30" s="263" t="str">
        <f>IFERROR(IF(Table3[[#This Row],[Description:]]&lt;&gt;"", Table3[[#This Row],[Annual Cost:]], ""), "")</f>
        <v/>
      </c>
      <c r="G30" s="260"/>
    </row>
    <row r="31" spans="1:7" x14ac:dyDescent="0.25">
      <c r="A31" s="257"/>
      <c r="B31" s="257"/>
      <c r="C31" s="265"/>
      <c r="D31" s="265"/>
      <c r="E31" s="266"/>
      <c r="F31" s="266"/>
      <c r="G31" s="257"/>
    </row>
    <row r="32" spans="1:7" x14ac:dyDescent="0.25">
      <c r="A32" s="257"/>
      <c r="B32" s="257"/>
      <c r="C32" s="257"/>
      <c r="D32" s="267" t="s">
        <v>125</v>
      </c>
      <c r="E32" s="268" t="str">
        <f>Evaluations!S26</f>
        <v>$0.00</v>
      </c>
      <c r="F32" s="269"/>
      <c r="G32" s="257"/>
    </row>
    <row r="33" spans="1:7" x14ac:dyDescent="0.25">
      <c r="A33" s="257"/>
      <c r="B33" s="257"/>
      <c r="C33" s="257"/>
      <c r="D33" s="267" t="s">
        <v>124</v>
      </c>
      <c r="E33" s="268" t="str">
        <f ca="1">Evaluations!P26</f>
        <v>$0.00</v>
      </c>
      <c r="F33" s="269"/>
      <c r="G33" s="257"/>
    </row>
    <row r="34" spans="1:7" x14ac:dyDescent="0.25">
      <c r="A34" s="257"/>
      <c r="B34" s="257"/>
      <c r="C34" s="257"/>
      <c r="D34" s="257"/>
      <c r="E34" s="269"/>
      <c r="F34" s="269"/>
      <c r="G34" s="257"/>
    </row>
    <row r="35" spans="1:7" x14ac:dyDescent="0.25">
      <c r="A35" s="257"/>
      <c r="B35" s="257"/>
      <c r="C35" s="257"/>
      <c r="D35" s="257"/>
      <c r="E35" s="269"/>
      <c r="F35" s="269"/>
      <c r="G35" s="257"/>
    </row>
  </sheetData>
  <mergeCells count="1">
    <mergeCell ref="A1:G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89A7-15DF-4E61-A3A5-7E9012BF2FD3}">
  <sheetPr codeName="Sheet35"/>
  <dimension ref="A1:I33"/>
  <sheetViews>
    <sheetView workbookViewId="0">
      <selection activeCell="G3" sqref="G3"/>
    </sheetView>
  </sheetViews>
  <sheetFormatPr defaultRowHeight="15" x14ac:dyDescent="0.25"/>
  <cols>
    <col min="1" max="2" width="18.7109375" style="190" customWidth="1"/>
    <col min="3" max="4" width="10.7109375" style="190" customWidth="1"/>
    <col min="5" max="6" width="13.7109375" style="193" customWidth="1"/>
    <col min="7" max="7" width="18.7109375" style="190" customWidth="1"/>
    <col min="8" max="16384" width="9.140625" style="190"/>
  </cols>
  <sheetData>
    <row r="1" spans="1:9" ht="23.1" customHeight="1" x14ac:dyDescent="0.25">
      <c r="A1" s="353" t="str">
        <f>Therapeutic!A1</f>
        <v>THERAPEUTIC MODALITIES</v>
      </c>
      <c r="B1" s="353"/>
      <c r="C1" s="353"/>
      <c r="D1" s="353"/>
      <c r="E1" s="353"/>
      <c r="F1" s="353"/>
      <c r="G1" s="353"/>
    </row>
    <row r="2" spans="1:9" s="191" customFormat="1" ht="18" customHeight="1" x14ac:dyDescent="0.25">
      <c r="A2" s="256" t="s">
        <v>117</v>
      </c>
      <c r="B2" s="256" t="s">
        <v>118</v>
      </c>
      <c r="C2" s="256" t="s">
        <v>119</v>
      </c>
      <c r="D2" s="256" t="s">
        <v>120</v>
      </c>
      <c r="E2" s="258" t="s">
        <v>121</v>
      </c>
      <c r="F2" s="258" t="s">
        <v>122</v>
      </c>
      <c r="G2" s="256" t="s">
        <v>123</v>
      </c>
    </row>
    <row r="3" spans="1:9" s="192" customFormat="1" ht="127.5" x14ac:dyDescent="0.25">
      <c r="A3" s="260" t="str">
        <f>IFERROR(IF(Table15[[#This Row],[Description:]]&lt;&gt;"", Table15[[#This Row],[Description:]], ""), "")</f>
        <v>Outpatient Pulmonary Rehabilitation</v>
      </c>
      <c r="B3" s="260" t="s">
        <v>288</v>
      </c>
      <c r="C3" s="261">
        <f ca="1">IFERROR(IF(Table15[[#This Row],[Description:]]&lt;&gt;"", Table15[[#This Row],[Duration (Years):]], ""), "")</f>
        <v>10</v>
      </c>
      <c r="D3" s="262" t="str">
        <f>IFERROR(IF(Table15[[#This Row],[Description:]]&lt;&gt;"", Table15[[#This Row],[Frequency:]], ""), "")</f>
        <v>36-72x/lifetime</v>
      </c>
      <c r="E3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>$12,096.00
 - 
$139,536.00*
(based on $336.00
 - 
$1,938.00/unit)</v>
      </c>
      <c r="F3" s="263" t="str">
        <f>IFERROR(IF(Table15[[#This Row],[Description:]]&lt;&gt;"", Table15[[#This Row],[Annual Cost:]], ""), "")</f>
        <v>$0.00</v>
      </c>
      <c r="G3" s="260" t="s">
        <v>289</v>
      </c>
    </row>
    <row r="4" spans="1:9" s="192" customFormat="1" ht="51" x14ac:dyDescent="0.25">
      <c r="A4" s="260" t="str">
        <f>IFERROR(IF(Table15[[#This Row],[Description:]]&lt;&gt;"", Table15[[#This Row],[Description:]], ""), "")</f>
        <v>Physical Therapy Evaluation</v>
      </c>
      <c r="B4" s="260" t="s">
        <v>288</v>
      </c>
      <c r="C4" s="261">
        <f ca="1">IFERROR(IF(Table15[[#This Row],[Description:]]&lt;&gt;"", Table15[[#This Row],[Duration (Years):]], ""), "")</f>
        <v>10</v>
      </c>
      <c r="D4" s="262" t="str">
        <f>IFERROR(IF(Table15[[#This Row],[Description:]]&lt;&gt;"", Table15[[#This Row],[Frequency:]], ""), "")</f>
        <v>1x/lifetime</v>
      </c>
      <c r="E4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>$291.00*
(based on $291.00/unit)</v>
      </c>
      <c r="F4" s="263" t="str">
        <f>IFERROR(IF(Table15[[#This Row],[Description:]]&lt;&gt;"", Table15[[#This Row],[Annual Cost:]], ""), "")</f>
        <v>$0.00</v>
      </c>
      <c r="G4" s="260"/>
    </row>
    <row r="5" spans="1:9" s="192" customFormat="1" ht="102" x14ac:dyDescent="0.25">
      <c r="A5" s="260" t="str">
        <f>IFERROR(IF(Table15[[#This Row],[Description:]]&lt;&gt;"", Table15[[#This Row],[Description:]], ""), "")</f>
        <v>Physical Therapy Session</v>
      </c>
      <c r="B5" s="260" t="s">
        <v>288</v>
      </c>
      <c r="C5" s="261">
        <f ca="1">IFERROR(IF(Table15[[#This Row],[Description:]]&lt;&gt;"", Table15[[#This Row],[Duration (Years):]], ""), "")</f>
        <v>10</v>
      </c>
      <c r="D5" s="262" t="str">
        <f>IFERROR(IF(Table15[[#This Row],[Description:]]&lt;&gt;"", Table15[[#This Row],[Frequency:]], ""), "")</f>
        <v>12x/lifetime</v>
      </c>
      <c r="E5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>$3,876.00
 - 
$4,884.00*
(based on $323.00
 - 
$407.00/unit)</v>
      </c>
      <c r="F5" s="263" t="str">
        <f>IFERROR(IF(Table15[[#This Row],[Description:]]&lt;&gt;"", Table15[[#This Row],[Annual Cost:]], ""), "")</f>
        <v>$0.00</v>
      </c>
      <c r="G5" s="260"/>
    </row>
    <row r="6" spans="1:9" s="192" customFormat="1" x14ac:dyDescent="0.25">
      <c r="A6" s="260" t="str">
        <f>IFERROR(IF(Table15[[#This Row],[Description:]]&lt;&gt;"", Table15[[#This Row],[Description:]], ""), "")</f>
        <v/>
      </c>
      <c r="B6" s="260"/>
      <c r="C6" s="261" t="str">
        <f>IFERROR(IF(Table15[[#This Row],[Description:]]&lt;&gt;"", Table15[[#This Row],[Duration (Years):]], ""), "")</f>
        <v/>
      </c>
      <c r="D6" s="262" t="str">
        <f>IFERROR(IF(Table15[[#This Row],[Description:]]&lt;&gt;"", Table15[[#This Row],[Frequency:]], ""), "")</f>
        <v/>
      </c>
      <c r="E6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6" s="263" t="str">
        <f>IFERROR(IF(Table15[[#This Row],[Description:]]&lt;&gt;"", Table15[[#This Row],[Annual Cost:]], ""), "")</f>
        <v/>
      </c>
      <c r="G6" s="260"/>
    </row>
    <row r="7" spans="1:9" s="192" customFormat="1" x14ac:dyDescent="0.25">
      <c r="A7" s="260" t="str">
        <f>IFERROR(IF(Table15[[#This Row],[Description:]]&lt;&gt;"", Table15[[#This Row],[Description:]], ""), "")</f>
        <v/>
      </c>
      <c r="B7" s="260"/>
      <c r="C7" s="261" t="str">
        <f>IFERROR(IF(Table15[[#This Row],[Description:]]&lt;&gt;"", Table15[[#This Row],[Duration (Years):]], ""), "")</f>
        <v/>
      </c>
      <c r="D7" s="262" t="str">
        <f>IFERROR(IF(Table15[[#This Row],[Description:]]&lt;&gt;"", Table15[[#This Row],[Frequency:]], ""), "")</f>
        <v/>
      </c>
      <c r="E7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7" s="263" t="str">
        <f>IFERROR(IF(Table15[[#This Row],[Description:]]&lt;&gt;"", Table15[[#This Row],[Annual Cost:]], ""), "")</f>
        <v/>
      </c>
      <c r="G7" s="260"/>
    </row>
    <row r="8" spans="1:9" s="192" customFormat="1" x14ac:dyDescent="0.25">
      <c r="A8" s="260" t="str">
        <f>IFERROR(IF(Table15[[#This Row],[Description:]]&lt;&gt;"", Table15[[#This Row],[Description:]], ""), "")</f>
        <v/>
      </c>
      <c r="B8" s="260"/>
      <c r="C8" s="261" t="str">
        <f>IFERROR(IF(Table15[[#This Row],[Description:]]&lt;&gt;"", Table15[[#This Row],[Duration (Years):]], ""), "")</f>
        <v/>
      </c>
      <c r="D8" s="262" t="str">
        <f>IFERROR(IF(Table15[[#This Row],[Description:]]&lt;&gt;"", Table15[[#This Row],[Frequency:]], ""), "")</f>
        <v/>
      </c>
      <c r="E8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8" s="263" t="str">
        <f>IFERROR(IF(Table15[[#This Row],[Description:]]&lt;&gt;"", Table15[[#This Row],[Annual Cost:]], ""), "")</f>
        <v/>
      </c>
      <c r="G8" s="260"/>
    </row>
    <row r="9" spans="1:9" s="192" customFormat="1" ht="15.75" x14ac:dyDescent="0.25">
      <c r="A9" s="260" t="str">
        <f>IFERROR(IF(Table15[[#This Row],[Description:]]&lt;&gt;"", Table15[[#This Row],[Description:]], ""), "")</f>
        <v/>
      </c>
      <c r="B9" s="260"/>
      <c r="C9" s="261" t="str">
        <f>IFERROR(IF(Table15[[#This Row],[Description:]]&lt;&gt;"", Table15[[#This Row],[Duration (Years):]], ""), "")</f>
        <v/>
      </c>
      <c r="D9" s="262" t="str">
        <f>IFERROR(IF(Table15[[#This Row],[Description:]]&lt;&gt;"", Table15[[#This Row],[Frequency:]], ""), "")</f>
        <v/>
      </c>
      <c r="E9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9" s="263" t="str">
        <f>IFERROR(IF(Table15[[#This Row],[Description:]]&lt;&gt;"", Table15[[#This Row],[Annual Cost:]], ""), "")</f>
        <v/>
      </c>
      <c r="G9" s="260"/>
      <c r="I9" s="118" t="s">
        <v>140</v>
      </c>
    </row>
    <row r="10" spans="1:9" s="192" customFormat="1" ht="15.75" x14ac:dyDescent="0.25">
      <c r="A10" s="260" t="str">
        <f>IFERROR(IF(Table15[[#This Row],[Description:]]&lt;&gt;"", Table15[[#This Row],[Description:]], ""), "")</f>
        <v/>
      </c>
      <c r="B10" s="260"/>
      <c r="C10" s="261" t="str">
        <f>IFERROR(IF(Table15[[#This Row],[Description:]]&lt;&gt;"", Table15[[#This Row],[Duration (Years):]], ""), "")</f>
        <v/>
      </c>
      <c r="D10" s="262" t="str">
        <f>IFERROR(IF(Table15[[#This Row],[Description:]]&lt;&gt;"", Table15[[#This Row],[Frequency:]], ""), "")</f>
        <v/>
      </c>
      <c r="E10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10" s="263" t="str">
        <f>IFERROR(IF(Table15[[#This Row],[Description:]]&lt;&gt;"", Table15[[#This Row],[Annual Cost:]], ""), "")</f>
        <v/>
      </c>
      <c r="G10" s="260"/>
      <c r="I10" s="118" t="s">
        <v>141</v>
      </c>
    </row>
    <row r="11" spans="1:9" s="192" customFormat="1" ht="15.75" x14ac:dyDescent="0.25">
      <c r="A11" s="260" t="str">
        <f>IFERROR(IF(Table15[[#This Row],[Description:]]&lt;&gt;"", Table15[[#This Row],[Description:]], ""), "")</f>
        <v/>
      </c>
      <c r="B11" s="260"/>
      <c r="C11" s="261" t="str">
        <f>IFERROR(IF(Table15[[#This Row],[Description:]]&lt;&gt;"", Table15[[#This Row],[Duration (Years):]], ""), "")</f>
        <v/>
      </c>
      <c r="D11" s="262" t="str">
        <f>IFERROR(IF(Table15[[#This Row],[Description:]]&lt;&gt;"", Table15[[#This Row],[Frequency:]], ""), "")</f>
        <v/>
      </c>
      <c r="E11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11" s="263" t="str">
        <f>IFERROR(IF(Table15[[#This Row],[Description:]]&lt;&gt;"", Table15[[#This Row],[Annual Cost:]], ""), "")</f>
        <v/>
      </c>
      <c r="G11" s="260"/>
      <c r="I11" s="121"/>
    </row>
    <row r="12" spans="1:9" s="192" customFormat="1" ht="15.75" x14ac:dyDescent="0.25">
      <c r="A12" s="260" t="str">
        <f>IFERROR(IF(Table15[[#This Row],[Description:]]&lt;&gt;"", Table15[[#This Row],[Description:]], ""), "")</f>
        <v/>
      </c>
      <c r="B12" s="260"/>
      <c r="C12" s="261" t="str">
        <f>IFERROR(IF(Table15[[#This Row],[Description:]]&lt;&gt;"", Table15[[#This Row],[Duration (Years):]], ""), "")</f>
        <v/>
      </c>
      <c r="D12" s="262" t="str">
        <f>IFERROR(IF(Table15[[#This Row],[Description:]]&lt;&gt;"", Table15[[#This Row],[Frequency:]], ""), "")</f>
        <v/>
      </c>
      <c r="E12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12" s="263" t="str">
        <f>IFERROR(IF(Table15[[#This Row],[Description:]]&lt;&gt;"", Table15[[#This Row],[Annual Cost:]], ""), "")</f>
        <v/>
      </c>
      <c r="G12" s="260"/>
      <c r="I12" s="118" t="s">
        <v>142</v>
      </c>
    </row>
    <row r="13" spans="1:9" s="192" customFormat="1" ht="15.75" x14ac:dyDescent="0.25">
      <c r="A13" s="260" t="str">
        <f>IFERROR(IF(Table15[[#This Row],[Description:]]&lt;&gt;"", Table15[[#This Row],[Description:]], ""), "")</f>
        <v/>
      </c>
      <c r="B13" s="260"/>
      <c r="C13" s="261" t="str">
        <f>IFERROR(IF(Table15[[#This Row],[Description:]]&lt;&gt;"", Table15[[#This Row],[Duration (Years):]], ""), "")</f>
        <v/>
      </c>
      <c r="D13" s="262" t="str">
        <f>IFERROR(IF(Table15[[#This Row],[Description:]]&lt;&gt;"", Table15[[#This Row],[Frequency:]], ""), "")</f>
        <v/>
      </c>
      <c r="E13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13" s="263" t="str">
        <f>IFERROR(IF(Table15[[#This Row],[Description:]]&lt;&gt;"", Table15[[#This Row],[Annual Cost:]], ""), "")</f>
        <v/>
      </c>
      <c r="G13" s="260"/>
      <c r="I13" s="118" t="s">
        <v>143</v>
      </c>
    </row>
    <row r="14" spans="1:9" s="192" customFormat="1" x14ac:dyDescent="0.25">
      <c r="A14" s="260" t="str">
        <f>IFERROR(IF(Table15[[#This Row],[Description:]]&lt;&gt;"", Table15[[#This Row],[Description:]], ""), "")</f>
        <v/>
      </c>
      <c r="B14" s="260"/>
      <c r="C14" s="261" t="str">
        <f>IFERROR(IF(Table15[[#This Row],[Description:]]&lt;&gt;"", Table15[[#This Row],[Duration (Years):]], ""), "")</f>
        <v/>
      </c>
      <c r="D14" s="262" t="str">
        <f>IFERROR(IF(Table15[[#This Row],[Description:]]&lt;&gt;"", Table15[[#This Row],[Frequency:]], ""), "")</f>
        <v/>
      </c>
      <c r="E14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14" s="263" t="str">
        <f>IFERROR(IF(Table15[[#This Row],[Description:]]&lt;&gt;"", Table15[[#This Row],[Annual Cost:]], ""), "")</f>
        <v/>
      </c>
      <c r="G14" s="260"/>
    </row>
    <row r="15" spans="1:9" s="192" customFormat="1" x14ac:dyDescent="0.25">
      <c r="A15" s="260" t="str">
        <f>IFERROR(IF(Table15[[#This Row],[Description:]]&lt;&gt;"", Table15[[#This Row],[Description:]], ""), "")</f>
        <v/>
      </c>
      <c r="B15" s="260"/>
      <c r="C15" s="261" t="str">
        <f>IFERROR(IF(Table15[[#This Row],[Description:]]&lt;&gt;"", Table15[[#This Row],[Duration (Years):]], ""), "")</f>
        <v/>
      </c>
      <c r="D15" s="262" t="str">
        <f>IFERROR(IF(Table15[[#This Row],[Description:]]&lt;&gt;"", Table15[[#This Row],[Frequency:]], ""), "")</f>
        <v/>
      </c>
      <c r="E15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15" s="263" t="str">
        <f>IFERROR(IF(Table15[[#This Row],[Description:]]&lt;&gt;"", Table15[[#This Row],[Annual Cost:]], ""), "")</f>
        <v/>
      </c>
      <c r="G15" s="260"/>
    </row>
    <row r="16" spans="1:9" s="192" customFormat="1" x14ac:dyDescent="0.25">
      <c r="A16" s="260" t="str">
        <f>IFERROR(IF(Table15[[#This Row],[Description:]]&lt;&gt;"", Table15[[#This Row],[Description:]], ""), "")</f>
        <v/>
      </c>
      <c r="B16" s="260"/>
      <c r="C16" s="261" t="str">
        <f>IFERROR(IF(Table15[[#This Row],[Description:]]&lt;&gt;"", Table15[[#This Row],[Duration (Years):]], ""), "")</f>
        <v/>
      </c>
      <c r="D16" s="262" t="str">
        <f>IFERROR(IF(Table15[[#This Row],[Description:]]&lt;&gt;"", Table15[[#This Row],[Frequency:]], ""), "")</f>
        <v/>
      </c>
      <c r="E16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16" s="263" t="str">
        <f>IFERROR(IF(Table15[[#This Row],[Description:]]&lt;&gt;"", Table15[[#This Row],[Annual Cost:]], ""), "")</f>
        <v/>
      </c>
      <c r="G16" s="260"/>
    </row>
    <row r="17" spans="1:7" s="192" customFormat="1" x14ac:dyDescent="0.25">
      <c r="A17" s="260" t="str">
        <f>IFERROR(IF(Table15[[#This Row],[Description:]]&lt;&gt;"", Table15[[#This Row],[Description:]], ""), "")</f>
        <v/>
      </c>
      <c r="B17" s="260"/>
      <c r="C17" s="261" t="str">
        <f>IFERROR(IF(Table15[[#This Row],[Description:]]&lt;&gt;"", Table15[[#This Row],[Duration (Years):]], ""), "")</f>
        <v/>
      </c>
      <c r="D17" s="262" t="str">
        <f>IFERROR(IF(Table15[[#This Row],[Description:]]&lt;&gt;"", Table15[[#This Row],[Frequency:]], ""), "")</f>
        <v/>
      </c>
      <c r="E17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17" s="263" t="str">
        <f>IFERROR(IF(Table15[[#This Row],[Description:]]&lt;&gt;"", Table15[[#This Row],[Annual Cost:]], ""), "")</f>
        <v/>
      </c>
      <c r="G17" s="260"/>
    </row>
    <row r="18" spans="1:7" s="192" customFormat="1" x14ac:dyDescent="0.25">
      <c r="A18" s="260" t="str">
        <f>IFERROR(IF(Table15[[#This Row],[Description:]]&lt;&gt;"", Table15[[#This Row],[Description:]], ""), "")</f>
        <v/>
      </c>
      <c r="B18" s="260"/>
      <c r="C18" s="261" t="str">
        <f>IFERROR(IF(Table15[[#This Row],[Description:]]&lt;&gt;"", Table15[[#This Row],[Duration (Years):]], ""), "")</f>
        <v/>
      </c>
      <c r="D18" s="262" t="str">
        <f>IFERROR(IF(Table15[[#This Row],[Description:]]&lt;&gt;"", Table15[[#This Row],[Frequency:]], ""), "")</f>
        <v/>
      </c>
      <c r="E18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18" s="263" t="str">
        <f>IFERROR(IF(Table15[[#This Row],[Description:]]&lt;&gt;"", Table15[[#This Row],[Annual Cost:]], ""), "")</f>
        <v/>
      </c>
      <c r="G18" s="260"/>
    </row>
    <row r="19" spans="1:7" s="192" customFormat="1" x14ac:dyDescent="0.25">
      <c r="A19" s="260" t="str">
        <f>IFERROR(IF(Table15[[#This Row],[Description:]]&lt;&gt;"", Table15[[#This Row],[Description:]], ""), "")</f>
        <v/>
      </c>
      <c r="B19" s="260"/>
      <c r="C19" s="261" t="str">
        <f>IFERROR(IF(Table15[[#This Row],[Description:]]&lt;&gt;"", Table15[[#This Row],[Duration (Years):]], ""), "")</f>
        <v/>
      </c>
      <c r="D19" s="262" t="str">
        <f>IFERROR(IF(Table15[[#This Row],[Description:]]&lt;&gt;"", Table15[[#This Row],[Frequency:]], ""), "")</f>
        <v/>
      </c>
      <c r="E19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19" s="263" t="str">
        <f>IFERROR(IF(Table15[[#This Row],[Description:]]&lt;&gt;"", Table15[[#This Row],[Annual Cost:]], ""), "")</f>
        <v/>
      </c>
      <c r="G19" s="260"/>
    </row>
    <row r="20" spans="1:7" s="192" customFormat="1" x14ac:dyDescent="0.25">
      <c r="A20" s="260" t="str">
        <f>IFERROR(IF(Table15[[#This Row],[Description:]]&lt;&gt;"", Table15[[#This Row],[Description:]], ""), "")</f>
        <v/>
      </c>
      <c r="B20" s="260"/>
      <c r="C20" s="261" t="str">
        <f>IFERROR(IF(Table15[[#This Row],[Description:]]&lt;&gt;"", Table15[[#This Row],[Duration (Years):]], ""), "")</f>
        <v/>
      </c>
      <c r="D20" s="262" t="str">
        <f>IFERROR(IF(Table15[[#This Row],[Description:]]&lt;&gt;"", Table15[[#This Row],[Frequency:]], ""), "")</f>
        <v/>
      </c>
      <c r="E20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20" s="263" t="str">
        <f>IFERROR(IF(Table15[[#This Row],[Description:]]&lt;&gt;"", Table15[[#This Row],[Annual Cost:]], ""), "")</f>
        <v/>
      </c>
      <c r="G20" s="260"/>
    </row>
    <row r="21" spans="1:7" s="192" customFormat="1" x14ac:dyDescent="0.25">
      <c r="A21" s="260" t="str">
        <f>IFERROR(IF(Table15[[#This Row],[Description:]]&lt;&gt;"", Table15[[#This Row],[Description:]], ""), "")</f>
        <v/>
      </c>
      <c r="B21" s="260"/>
      <c r="C21" s="261" t="str">
        <f>IFERROR(IF(Table15[[#This Row],[Description:]]&lt;&gt;"", Table15[[#This Row],[Duration (Years):]], ""), "")</f>
        <v/>
      </c>
      <c r="D21" s="262" t="str">
        <f>IFERROR(IF(Table15[[#This Row],[Description:]]&lt;&gt;"", Table15[[#This Row],[Frequency:]], ""), "")</f>
        <v/>
      </c>
      <c r="E21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21" s="263" t="str">
        <f>IFERROR(IF(Table15[[#This Row],[Description:]]&lt;&gt;"", Table15[[#This Row],[Annual Cost:]], ""), "")</f>
        <v/>
      </c>
      <c r="G21" s="260"/>
    </row>
    <row r="22" spans="1:7" s="192" customFormat="1" x14ac:dyDescent="0.25">
      <c r="A22" s="260" t="str">
        <f>IFERROR(IF(Table15[[#This Row],[Description:]]&lt;&gt;"", Table15[[#This Row],[Description:]], ""), "")</f>
        <v/>
      </c>
      <c r="B22" s="260"/>
      <c r="C22" s="261" t="str">
        <f>IFERROR(IF(Table15[[#This Row],[Description:]]&lt;&gt;"", Table15[[#This Row],[Duration (Years):]], ""), "")</f>
        <v/>
      </c>
      <c r="D22" s="262" t="str">
        <f>IFERROR(IF(Table15[[#This Row],[Description:]]&lt;&gt;"", Table15[[#This Row],[Frequency:]], ""), "")</f>
        <v/>
      </c>
      <c r="E22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22" s="263" t="str">
        <f>IFERROR(IF(Table15[[#This Row],[Description:]]&lt;&gt;"", Table15[[#This Row],[Annual Cost:]], ""), "")</f>
        <v/>
      </c>
      <c r="G22" s="260"/>
    </row>
    <row r="23" spans="1:7" s="192" customFormat="1" x14ac:dyDescent="0.25">
      <c r="A23" s="260" t="str">
        <f>IFERROR(IF(Table15[[#This Row],[Description:]]&lt;&gt;"", Table15[[#This Row],[Description:]], ""), "")</f>
        <v/>
      </c>
      <c r="B23" s="260"/>
      <c r="C23" s="261" t="str">
        <f>IFERROR(IF(Table15[[#This Row],[Description:]]&lt;&gt;"", Table15[[#This Row],[Duration (Years):]], ""), "")</f>
        <v/>
      </c>
      <c r="D23" s="262" t="str">
        <f>IFERROR(IF(Table15[[#This Row],[Description:]]&lt;&gt;"", Table15[[#This Row],[Frequency:]], ""), "")</f>
        <v/>
      </c>
      <c r="E23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23" s="263" t="str">
        <f>IFERROR(IF(Table15[[#This Row],[Description:]]&lt;&gt;"", Table15[[#This Row],[Annual Cost:]], ""), "")</f>
        <v/>
      </c>
      <c r="G23" s="260"/>
    </row>
    <row r="24" spans="1:7" s="192" customFormat="1" x14ac:dyDescent="0.25">
      <c r="A24" s="260" t="str">
        <f>IFERROR(IF(Table15[[#This Row],[Description:]]&lt;&gt;"", Table15[[#This Row],[Description:]], ""), "")</f>
        <v/>
      </c>
      <c r="B24" s="260"/>
      <c r="C24" s="261" t="str">
        <f>IFERROR(IF(Table15[[#This Row],[Description:]]&lt;&gt;"", Table15[[#This Row],[Duration (Years):]], ""), "")</f>
        <v/>
      </c>
      <c r="D24" s="262" t="str">
        <f>IFERROR(IF(Table15[[#This Row],[Description:]]&lt;&gt;"", Table15[[#This Row],[Frequency:]], ""), "")</f>
        <v/>
      </c>
      <c r="E24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24" s="263" t="str">
        <f>IFERROR(IF(Table15[[#This Row],[Description:]]&lt;&gt;"", Table15[[#This Row],[Annual Cost:]], ""), "")</f>
        <v/>
      </c>
      <c r="G24" s="260"/>
    </row>
    <row r="25" spans="1:7" s="192" customFormat="1" x14ac:dyDescent="0.25">
      <c r="A25" s="260" t="str">
        <f>IFERROR(IF(Table15[[#This Row],[Description:]]&lt;&gt;"", Table15[[#This Row],[Description:]], ""), "")</f>
        <v/>
      </c>
      <c r="B25" s="260"/>
      <c r="C25" s="261" t="str">
        <f>IFERROR(IF(Table15[[#This Row],[Description:]]&lt;&gt;"", Table15[[#This Row],[Duration (Years):]], ""), "")</f>
        <v/>
      </c>
      <c r="D25" s="262" t="str">
        <f>IFERROR(IF(Table15[[#This Row],[Description:]]&lt;&gt;"", Table15[[#This Row],[Frequency:]], ""), "")</f>
        <v/>
      </c>
      <c r="E25" s="263" t="str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/>
      </c>
      <c r="F25" s="263" t="str">
        <f>IFERROR(IF(Table15[[#This Row],[Description:]]&lt;&gt;"", Table15[[#This Row],[Annual Cost:]], ""), "")</f>
        <v/>
      </c>
      <c r="G25" s="260"/>
    </row>
    <row r="26" spans="1:7" s="192" customFormat="1" x14ac:dyDescent="0.25">
      <c r="A26" s="260" t="str">
        <f>IFERROR(IF(Table15[[#This Row],[Description:]]&lt;&gt;"", Table15[[#This Row],[Description:]], ""), "")</f>
        <v/>
      </c>
      <c r="B26" s="260"/>
      <c r="C26" s="261" t="str">
        <f>IFERROR(IF(Table15[[#This Row],[Description:]]&lt;&gt;"", Table15[[#This Row],[Duration (Years):]], ""), "")</f>
        <v/>
      </c>
      <c r="D26" s="262" t="str">
        <f>IFERROR(IF(Table15[[#This Row],[Description:]]&lt;&gt;"", Table15[[#This Row],[Frequency:]], ""), "")</f>
        <v/>
      </c>
      <c r="E26" s="263" t="e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>#VALUE!</v>
      </c>
      <c r="F26" s="263" t="str">
        <f>IFERROR(IF(Table15[[#This Row],[Description:]]&lt;&gt;"", Table15[[#This Row],[Annual Cost:]], ""), "")</f>
        <v/>
      </c>
      <c r="G26" s="260"/>
    </row>
    <row r="27" spans="1:7" s="192" customFormat="1" x14ac:dyDescent="0.25">
      <c r="A27" s="260" t="str">
        <f>IFERROR(IF(Table15[[#This Row],[Description:]]&lt;&gt;"", Table15[[#This Row],[Description:]], ""), "")</f>
        <v/>
      </c>
      <c r="B27" s="260"/>
      <c r="C27" s="261" t="str">
        <f>IFERROR(IF(Table15[[#This Row],[Description:]]&lt;&gt;"", Table15[[#This Row],[Duration (Years):]], ""), "")</f>
        <v/>
      </c>
      <c r="D27" s="262" t="str">
        <f>IFERROR(IF(Table15[[#This Row],[Description:]]&lt;&gt;"", Table15[[#This Row],[Frequency:]], ""), "")</f>
        <v/>
      </c>
      <c r="E27" s="263" t="e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>#VALUE!</v>
      </c>
      <c r="F27" s="263" t="str">
        <f>IFERROR(IF(Table15[[#This Row],[Description:]]&lt;&gt;"", Table15[[#This Row],[Annual Cost:]], ""), "")</f>
        <v/>
      </c>
      <c r="G27" s="260"/>
    </row>
    <row r="28" spans="1:7" s="192" customFormat="1" x14ac:dyDescent="0.25">
      <c r="A28" s="260" t="str">
        <f>IFERROR(IF(Table15[[#This Row],[Description:]]&lt;&gt;"", Table15[[#This Row],[Description:]], ""), "")</f>
        <v/>
      </c>
      <c r="B28" s="260"/>
      <c r="C28" s="261" t="str">
        <f>IFERROR(IF(Table15[[#This Row],[Description:]]&lt;&gt;"", Table15[[#This Row],[Duration (Years):]], ""), "")</f>
        <v/>
      </c>
      <c r="D28" s="262" t="str">
        <f>IFERROR(IF(Table15[[#This Row],[Description:]]&lt;&gt;"", Table15[[#This Row],[Frequency:]], ""), "")</f>
        <v/>
      </c>
      <c r="E28" s="263" t="e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>#VALUE!</v>
      </c>
      <c r="F28" s="263" t="str">
        <f>IFERROR(IF(Table15[[#This Row],[Description:]]&lt;&gt;"", Table15[[#This Row],[Annual Cost:]], ""), "")</f>
        <v/>
      </c>
      <c r="G28" s="260"/>
    </row>
    <row r="29" spans="1:7" s="192" customFormat="1" x14ac:dyDescent="0.25">
      <c r="A29" s="260" t="str">
        <f>IFERROR(IF(Table15[[#This Row],[Description:]]&lt;&gt;"", Table15[[#This Row],[Description:]], ""), "")</f>
        <v/>
      </c>
      <c r="B29" s="260"/>
      <c r="C29" s="261" t="str">
        <f>IFERROR(IF(Table15[[#This Row],[Description:]]&lt;&gt;"", Table15[[#This Row],[Duration (Years):]], ""), "")</f>
        <v/>
      </c>
      <c r="D29" s="262" t="str">
        <f>IFERROR(IF(Table15[[#This Row],[Description:]]&lt;&gt;"", Table15[[#This Row],[Frequency:]], ""), "")</f>
        <v/>
      </c>
      <c r="E29" s="263" t="e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>#VALUE!</v>
      </c>
      <c r="F29" s="263" t="str">
        <f>IFERROR(IF(Table15[[#This Row],[Description:]]&lt;&gt;"", Table15[[#This Row],[Annual Cost:]], ""), "")</f>
        <v/>
      </c>
      <c r="G29" s="260"/>
    </row>
    <row r="30" spans="1:7" s="192" customFormat="1" x14ac:dyDescent="0.25">
      <c r="A30" s="260" t="str">
        <f>IFERROR(IF(Table15[[#This Row],[Description:]]&lt;&gt;"", Table15[[#This Row],[Description:]], ""), "")</f>
        <v/>
      </c>
      <c r="B30" s="260"/>
      <c r="C30" s="261" t="str">
        <f>IFERROR(IF(Table15[[#This Row],[Description:]]&lt;&gt;"", Table15[[#This Row],[Duration (Years):]], ""), "")</f>
        <v/>
      </c>
      <c r="D30" s="262" t="str">
        <f>IFERROR(IF(Table15[[#This Row],[Description:]]&lt;&gt;"", Table15[[#This Row],[Frequency:]], ""), "")</f>
        <v/>
      </c>
      <c r="E30" s="263" t="e">
        <f>IF(OR(Table15[[#This Row],[Description:]]="", ISBLANK(Table15[[#This Row],[One-Time Cost:]]), ISBLANK(Table15[[#This Row],[Cost:]])), "", IF(Table15[[#This Row],[Time Value:]]="lifetime", CONCATENATE(Table15[[#This Row],[One-Time Cost:]] &amp; "*", CHAR(10), CHAR(10), "(based on ", Table15[[#This Row],[Cost:]], "/unit)"), Table15[[#This Row],[Cost:]]))</f>
        <v>#VALUE!</v>
      </c>
      <c r="F30" s="263" t="str">
        <f>IFERROR(IF(Table15[[#This Row],[Description:]]&lt;&gt;"", Table15[[#This Row],[Annual Cost:]], ""), "")</f>
        <v/>
      </c>
      <c r="G30" s="260"/>
    </row>
    <row r="31" spans="1:7" x14ac:dyDescent="0.25">
      <c r="A31" s="257"/>
      <c r="B31" s="257"/>
      <c r="C31" s="265"/>
      <c r="D31" s="265"/>
      <c r="E31" s="266"/>
      <c r="F31" s="266"/>
      <c r="G31" s="257"/>
    </row>
    <row r="32" spans="1:7" x14ac:dyDescent="0.25">
      <c r="A32" s="257"/>
      <c r="B32" s="257"/>
      <c r="C32" s="257"/>
      <c r="D32" s="267" t="s">
        <v>125</v>
      </c>
      <c r="E32" s="268" t="str">
        <f>Therapeutic!S26</f>
        <v>$16,263.00
 - 
$144,711.00</v>
      </c>
      <c r="F32" s="269"/>
      <c r="G32" s="257"/>
    </row>
    <row r="33" spans="1:7" x14ac:dyDescent="0.25">
      <c r="A33" s="257"/>
      <c r="B33" s="257"/>
      <c r="C33" s="257"/>
      <c r="D33" s="267" t="s">
        <v>124</v>
      </c>
      <c r="E33" s="268" t="str">
        <f ca="1">Therapeutic!P26</f>
        <v>$0.00</v>
      </c>
      <c r="F33" s="269"/>
      <c r="G33" s="257"/>
    </row>
  </sheetData>
  <mergeCells count="1">
    <mergeCell ref="A1:G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2248-9535-4280-A2B5-9E999D99A9A3}">
  <sheetPr codeName="Sheet36"/>
  <dimension ref="A1:I35"/>
  <sheetViews>
    <sheetView workbookViewId="0">
      <selection sqref="A1:G1"/>
    </sheetView>
  </sheetViews>
  <sheetFormatPr defaultRowHeight="15" x14ac:dyDescent="0.25"/>
  <cols>
    <col min="1" max="2" width="18.7109375" style="190" customWidth="1"/>
    <col min="3" max="4" width="10.7109375" style="190" customWidth="1"/>
    <col min="5" max="6" width="13.7109375" style="193" customWidth="1"/>
    <col min="7" max="7" width="18.7109375" style="190" customWidth="1"/>
    <col min="8" max="16384" width="9.140625" style="190"/>
  </cols>
  <sheetData>
    <row r="1" spans="1:9" ht="23.1" customHeight="1" x14ac:dyDescent="0.25">
      <c r="A1" s="353" t="str">
        <f>Diagnostic!A1</f>
        <v>DIAGNOSTICS</v>
      </c>
      <c r="B1" s="353"/>
      <c r="C1" s="353"/>
      <c r="D1" s="353"/>
      <c r="E1" s="353"/>
      <c r="F1" s="353"/>
      <c r="G1" s="353"/>
    </row>
    <row r="2" spans="1:9" s="191" customFormat="1" ht="18" customHeight="1" x14ac:dyDescent="0.25">
      <c r="A2" s="256" t="s">
        <v>117</v>
      </c>
      <c r="B2" s="256" t="s">
        <v>118</v>
      </c>
      <c r="C2" s="256" t="s">
        <v>119</v>
      </c>
      <c r="D2" s="256" t="s">
        <v>120</v>
      </c>
      <c r="E2" s="258" t="s">
        <v>121</v>
      </c>
      <c r="F2" s="258" t="s">
        <v>122</v>
      </c>
      <c r="G2" s="256" t="s">
        <v>123</v>
      </c>
    </row>
    <row r="3" spans="1:9" s="192" customFormat="1" ht="216.75" x14ac:dyDescent="0.25">
      <c r="A3" s="260" t="str">
        <f>IFERROR(IF(Table13[[#This Row],[Description:]]&lt;&gt;"", Table13[[#This Row],[Description:]], ""), "")</f>
        <v>Chest X-ray</v>
      </c>
      <c r="B3" s="260" t="s">
        <v>287</v>
      </c>
      <c r="C3" s="261">
        <f ca="1">IFERROR(IF(Table13[[#This Row],[Description:]]&lt;&gt;"", Table13[[#This Row],[Duration (Years):]], ""), "")</f>
        <v>10</v>
      </c>
      <c r="D3" s="262" t="str">
        <f>IFERROR(IF(Table13[[#This Row],[Description:]]&lt;&gt;"", Table13[[#This Row],[Frequency:]], ""), "")</f>
        <v>7x/lifetime</v>
      </c>
      <c r="E3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$616.00
 - 
$13,209.00*
(based on $88.00
 - 
$1,887.00/unit)</v>
      </c>
      <c r="F3" s="263" t="str">
        <f>IFERROR(IF(Table13[[#This Row],[Description:]]&lt;&gt;"", Table13[[#This Row],[Annual Cost:]], ""), "")</f>
        <v>$0.00</v>
      </c>
      <c r="G3" s="260" t="s">
        <v>290</v>
      </c>
    </row>
    <row r="4" spans="1:9" s="192" customFormat="1" ht="102" x14ac:dyDescent="0.25">
      <c r="A4" s="260" t="str">
        <f>IFERROR(IF(Table13[[#This Row],[Description:]]&lt;&gt;"", Table13[[#This Row],[Description:]], ""), "")</f>
        <v>Chest X-ray</v>
      </c>
      <c r="B4" s="260" t="s">
        <v>287</v>
      </c>
      <c r="C4" s="261">
        <f ca="1">IFERROR(IF(Table13[[#This Row],[Description:]]&lt;&gt;"", Table13[[#This Row],[Duration (Years):]], ""), "")</f>
        <v>10</v>
      </c>
      <c r="D4" s="262" t="str">
        <f>IFERROR(IF(Table13[[#This Row],[Description:]]&lt;&gt;"", Table13[[#This Row],[Frequency:]], ""), "")</f>
        <v>16-36x/lifetime</v>
      </c>
      <c r="E4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$1,408.00
 - 
$67,932.00*
(based on $88.00
 - 
$1,887.00/unit)</v>
      </c>
      <c r="F4" s="263" t="str">
        <f>IFERROR(IF(Table13[[#This Row],[Description:]]&lt;&gt;"", Table13[[#This Row],[Annual Cost:]], ""), "")</f>
        <v>$0.00</v>
      </c>
      <c r="G4" s="260" t="s">
        <v>291</v>
      </c>
    </row>
    <row r="5" spans="1:9" s="192" customFormat="1" ht="216.75" x14ac:dyDescent="0.25">
      <c r="A5" s="260" t="str">
        <f>IFERROR(IF(Table13[[#This Row],[Description:]]&lt;&gt;"", Table13[[#This Row],[Description:]], ""), "")</f>
        <v>Spirometry Test</v>
      </c>
      <c r="B5" s="260" t="s">
        <v>287</v>
      </c>
      <c r="C5" s="261">
        <f ca="1">IFERROR(IF(Table13[[#This Row],[Description:]]&lt;&gt;"", Table13[[#This Row],[Duration (Years):]], ""), "")</f>
        <v>10</v>
      </c>
      <c r="D5" s="262" t="str">
        <f>IFERROR(IF(Table13[[#This Row],[Description:]]&lt;&gt;"", Table13[[#This Row],[Frequency:]], ""), "")</f>
        <v>7x/lifetime</v>
      </c>
      <c r="E5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$882.00
 - 
$3,675.00*
(based on $126.00
 - 
$525.00/unit)</v>
      </c>
      <c r="F5" s="263" t="str">
        <f>IFERROR(IF(Table13[[#This Row],[Description:]]&lt;&gt;"", Table13[[#This Row],[Annual Cost:]], ""), "")</f>
        <v>$0.00</v>
      </c>
      <c r="G5" s="260" t="s">
        <v>292</v>
      </c>
    </row>
    <row r="6" spans="1:9" s="192" customFormat="1" ht="102" x14ac:dyDescent="0.25">
      <c r="A6" s="260" t="str">
        <f>IFERROR(IF(Table13[[#This Row],[Description:]]&lt;&gt;"", Table13[[#This Row],[Description:]], ""), "")</f>
        <v>Spirometry Test</v>
      </c>
      <c r="B6" s="260" t="s">
        <v>287</v>
      </c>
      <c r="C6" s="261">
        <f ca="1">IFERROR(IF(Table13[[#This Row],[Description:]]&lt;&gt;"", Table13[[#This Row],[Duration (Years):]], ""), "")</f>
        <v>10</v>
      </c>
      <c r="D6" s="262" t="str">
        <f>IFERROR(IF(Table13[[#This Row],[Description:]]&lt;&gt;"", Table13[[#This Row],[Frequency:]], ""), "")</f>
        <v>16-36x/lifetime</v>
      </c>
      <c r="E6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$2,016.00
 - 
$18,900.00*
(based on $126.00
 - 
$525.00/unit)</v>
      </c>
      <c r="F6" s="263" t="str">
        <f>IFERROR(IF(Table13[[#This Row],[Description:]]&lt;&gt;"", Table13[[#This Row],[Annual Cost:]], ""), "")</f>
        <v>$0.00</v>
      </c>
      <c r="G6" s="260" t="s">
        <v>293</v>
      </c>
    </row>
    <row r="7" spans="1:9" s="192" customFormat="1" ht="267.75" x14ac:dyDescent="0.25">
      <c r="A7" s="260" t="str">
        <f>IFERROR(IF(Table13[[#This Row],[Description:]]&lt;&gt;"", Table13[[#This Row],[Description:]], ""), "")</f>
        <v>Pulmonary Function Test</v>
      </c>
      <c r="B7" s="260" t="s">
        <v>287</v>
      </c>
      <c r="C7" s="261">
        <f ca="1">IFERROR(IF(Table13[[#This Row],[Description:]]&lt;&gt;"", Table13[[#This Row],[Duration (Years):]], ""), "")</f>
        <v>10</v>
      </c>
      <c r="D7" s="262" t="str">
        <f>IFERROR(IF(Table13[[#This Row],[Description:]]&lt;&gt;"", Table13[[#This Row],[Frequency:]], ""), "")</f>
        <v>7x/lifetime</v>
      </c>
      <c r="E7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$5,901.00
 - 
$50,204.00*
(based on $843.00
 - 
$7,172.00/unit)</v>
      </c>
      <c r="F7" s="263" t="str">
        <f>IFERROR(IF(Table13[[#This Row],[Description:]]&lt;&gt;"", Table13[[#This Row],[Annual Cost:]], ""), "")</f>
        <v>$0.00</v>
      </c>
      <c r="G7" s="260" t="s">
        <v>294</v>
      </c>
    </row>
    <row r="8" spans="1:9" s="192" customFormat="1" ht="102" x14ac:dyDescent="0.25">
      <c r="A8" s="260" t="str">
        <f>IFERROR(IF(Table13[[#This Row],[Description:]]&lt;&gt;"", Table13[[#This Row],[Description:]], ""), "")</f>
        <v>Pulmonary Function Test</v>
      </c>
      <c r="B8" s="260" t="s">
        <v>287</v>
      </c>
      <c r="C8" s="261">
        <f ca="1">IFERROR(IF(Table13[[#This Row],[Description:]]&lt;&gt;"", Table13[[#This Row],[Duration (Years):]], ""), "")</f>
        <v>10</v>
      </c>
      <c r="D8" s="262" t="str">
        <f>IFERROR(IF(Table13[[#This Row],[Description:]]&lt;&gt;"", Table13[[#This Row],[Frequency:]], ""), "")</f>
        <v>16-36x/lifetime</v>
      </c>
      <c r="E8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$13,488.00
 - 
$258,192.00*
(based on $843.00
 - 
$7,172.00/unit)</v>
      </c>
      <c r="F8" s="263" t="str">
        <f>IFERROR(IF(Table13[[#This Row],[Description:]]&lt;&gt;"", Table13[[#This Row],[Annual Cost:]], ""), "")</f>
        <v>$0.00</v>
      </c>
      <c r="G8" s="260" t="s">
        <v>295</v>
      </c>
      <c r="I8" s="118" t="s">
        <v>140</v>
      </c>
    </row>
    <row r="9" spans="1:9" s="192" customFormat="1" ht="255" x14ac:dyDescent="0.25">
      <c r="A9" s="260" t="str">
        <f>IFERROR(IF(Table13[[#This Row],[Description:]]&lt;&gt;"", Table13[[#This Row],[Description:]], ""), "")</f>
        <v>Prograf Level</v>
      </c>
      <c r="B9" s="260" t="s">
        <v>287</v>
      </c>
      <c r="C9" s="261">
        <f ca="1">IFERROR(IF(Table13[[#This Row],[Description:]]&lt;&gt;"", Table13[[#This Row],[Duration (Years):]], ""), "")</f>
        <v>10</v>
      </c>
      <c r="D9" s="262" t="str">
        <f>IFERROR(IF(Table13[[#This Row],[Description:]]&lt;&gt;"", Table13[[#This Row],[Frequency:]], ""), "")</f>
        <v>7x/lifetime</v>
      </c>
      <c r="E9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$1,099.00*
(based on $157.00/unit)</v>
      </c>
      <c r="F9" s="263" t="str">
        <f>IFERROR(IF(Table13[[#This Row],[Description:]]&lt;&gt;"", Table13[[#This Row],[Annual Cost:]], ""), "")</f>
        <v>$0.00</v>
      </c>
      <c r="G9" s="260" t="s">
        <v>296</v>
      </c>
      <c r="I9" s="118" t="s">
        <v>141</v>
      </c>
    </row>
    <row r="10" spans="1:9" s="192" customFormat="1" ht="76.5" x14ac:dyDescent="0.25">
      <c r="A10" s="260" t="str">
        <f>IFERROR(IF(Table13[[#This Row],[Description:]]&lt;&gt;"", Table13[[#This Row],[Description:]], ""), "")</f>
        <v>Prograf Level</v>
      </c>
      <c r="B10" s="260" t="s">
        <v>287</v>
      </c>
      <c r="C10" s="261">
        <f ca="1">IFERROR(IF(Table13[[#This Row],[Description:]]&lt;&gt;"", Table13[[#This Row],[Duration (Years):]], ""), "")</f>
        <v>10</v>
      </c>
      <c r="D10" s="262" t="str">
        <f>IFERROR(IF(Table13[[#This Row],[Description:]]&lt;&gt;"", Table13[[#This Row],[Frequency:]], ""), "")</f>
        <v>16-36x/lifetime</v>
      </c>
      <c r="E10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$2,512.00
 - 
$5,652.00*
(based on $157.00/unit)</v>
      </c>
      <c r="F10" s="263" t="str">
        <f>IFERROR(IF(Table13[[#This Row],[Description:]]&lt;&gt;"", Table13[[#This Row],[Annual Cost:]], ""), "")</f>
        <v>$0.00</v>
      </c>
      <c r="G10" s="260" t="s">
        <v>297</v>
      </c>
      <c r="I10" s="121"/>
    </row>
    <row r="11" spans="1:9" s="192" customFormat="1" ht="216.75" x14ac:dyDescent="0.25">
      <c r="A11" s="260" t="str">
        <f>IFERROR(IF(Table13[[#This Row],[Description:]]&lt;&gt;"", Table13[[#This Row],[Description:]], ""), "")</f>
        <v>CMP</v>
      </c>
      <c r="B11" s="260" t="s">
        <v>287</v>
      </c>
      <c r="C11" s="261">
        <f ca="1">IFERROR(IF(Table13[[#This Row],[Description:]]&lt;&gt;"", Table13[[#This Row],[Duration (Years):]], ""), "")</f>
        <v>10</v>
      </c>
      <c r="D11" s="262" t="str">
        <f>IFERROR(IF(Table13[[#This Row],[Description:]]&lt;&gt;"", Table13[[#This Row],[Frequency:]], ""), "")</f>
        <v>7x/lifetime</v>
      </c>
      <c r="E11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$763.00*
(based on $109.00/unit)</v>
      </c>
      <c r="F11" s="263" t="str">
        <f>IFERROR(IF(Table13[[#This Row],[Description:]]&lt;&gt;"", Table13[[#This Row],[Annual Cost:]], ""), "")</f>
        <v>$0.00</v>
      </c>
      <c r="G11" s="260" t="s">
        <v>298</v>
      </c>
      <c r="I11" s="118" t="s">
        <v>142</v>
      </c>
    </row>
    <row r="12" spans="1:9" s="192" customFormat="1" ht="76.5" x14ac:dyDescent="0.25">
      <c r="A12" s="260" t="str">
        <f>IFERROR(IF(Table13[[#This Row],[Description:]]&lt;&gt;"", Table13[[#This Row],[Description:]], ""), "")</f>
        <v>CMP</v>
      </c>
      <c r="B12" s="260" t="s">
        <v>287</v>
      </c>
      <c r="C12" s="261">
        <f ca="1">IFERROR(IF(Table13[[#This Row],[Description:]]&lt;&gt;"", Table13[[#This Row],[Duration (Years):]], ""), "")</f>
        <v>10</v>
      </c>
      <c r="D12" s="262" t="str">
        <f>IFERROR(IF(Table13[[#This Row],[Description:]]&lt;&gt;"", Table13[[#This Row],[Frequency:]], ""), "")</f>
        <v>16-36x/lifetime</v>
      </c>
      <c r="E12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$1,744.00
 - 
$3,924.00*
(based on $109.00/unit)</v>
      </c>
      <c r="F12" s="263" t="str">
        <f>IFERROR(IF(Table13[[#This Row],[Description:]]&lt;&gt;"", Table13[[#This Row],[Annual Cost:]], ""), "")</f>
        <v>$0.00</v>
      </c>
      <c r="G12" s="260" t="s">
        <v>299</v>
      </c>
      <c r="I12" s="118" t="s">
        <v>143</v>
      </c>
    </row>
    <row r="13" spans="1:9" s="192" customFormat="1" ht="229.5" x14ac:dyDescent="0.25">
      <c r="A13" s="260" t="str">
        <f>IFERROR(IF(Table13[[#This Row],[Description:]]&lt;&gt;"", Table13[[#This Row],[Description:]], ""), "")</f>
        <v>CBC</v>
      </c>
      <c r="B13" s="260" t="s">
        <v>287</v>
      </c>
      <c r="C13" s="261">
        <f ca="1">IFERROR(IF(Table13[[#This Row],[Description:]]&lt;&gt;"", Table13[[#This Row],[Duration (Years):]], ""), "")</f>
        <v>10</v>
      </c>
      <c r="D13" s="262" t="str">
        <f>IFERROR(IF(Table13[[#This Row],[Description:]]&lt;&gt;"", Table13[[#This Row],[Frequency:]], ""), "")</f>
        <v>7x/lifetime</v>
      </c>
      <c r="E13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$336.00*
(based on $48.00/unit)</v>
      </c>
      <c r="F13" s="263" t="str">
        <f>IFERROR(IF(Table13[[#This Row],[Description:]]&lt;&gt;"", Table13[[#This Row],[Annual Cost:]], ""), "")</f>
        <v>$0.00</v>
      </c>
      <c r="G13" s="260" t="s">
        <v>300</v>
      </c>
    </row>
    <row r="14" spans="1:9" s="192" customFormat="1" ht="76.5" x14ac:dyDescent="0.25">
      <c r="A14" s="260" t="str">
        <f>IFERROR(IF(Table13[[#This Row],[Description:]]&lt;&gt;"", Table13[[#This Row],[Description:]], ""), "")</f>
        <v>CBC</v>
      </c>
      <c r="B14" s="260" t="s">
        <v>287</v>
      </c>
      <c r="C14" s="261">
        <f ca="1">IFERROR(IF(Table13[[#This Row],[Description:]]&lt;&gt;"", Table13[[#This Row],[Duration (Years):]], ""), "")</f>
        <v>10</v>
      </c>
      <c r="D14" s="262" t="str">
        <f>IFERROR(IF(Table13[[#This Row],[Description:]]&lt;&gt;"", Table13[[#This Row],[Frequency:]], ""), "")</f>
        <v>16-36x/lifetime</v>
      </c>
      <c r="E14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$768.00
 - 
$1,728.00*
(based on $48.00/unit)</v>
      </c>
      <c r="F14" s="263" t="str">
        <f>IFERROR(IF(Table13[[#This Row],[Description:]]&lt;&gt;"", Table13[[#This Row],[Annual Cost:]], ""), "")</f>
        <v>$0.00</v>
      </c>
      <c r="G14" s="260" t="s">
        <v>301</v>
      </c>
    </row>
    <row r="15" spans="1:9" s="192" customFormat="1" ht="102" x14ac:dyDescent="0.25">
      <c r="A15" s="260" t="str">
        <f>IFERROR(IF(Table13[[#This Row],[Description:]]&lt;&gt;"", Table13[[#This Row],[Description:]], ""), "")</f>
        <v>Chest CT Scan</v>
      </c>
      <c r="B15" s="260" t="s">
        <v>287</v>
      </c>
      <c r="C15" s="261">
        <f ca="1">IFERROR(IF(Table13[[#This Row],[Description:]]&lt;&gt;"", Table13[[#This Row],[Duration (Years):]], ""), "")</f>
        <v>10</v>
      </c>
      <c r="D15" s="262" t="str">
        <f>IFERROR(IF(Table13[[#This Row],[Description:]]&lt;&gt;"", Table13[[#This Row],[Frequency:]], ""), "")</f>
        <v>5-10x/lifetime</v>
      </c>
      <c r="E15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$7,590.00
 - 
$74,850.00*
(based on $1,518.00
 - 
$7,485.00/unit)</v>
      </c>
      <c r="F15" s="263" t="str">
        <f>IFERROR(IF(Table13[[#This Row],[Description:]]&lt;&gt;"", Table13[[#This Row],[Annual Cost:]], ""), "")</f>
        <v>$0.00</v>
      </c>
      <c r="G15" s="260" t="s">
        <v>302</v>
      </c>
    </row>
    <row r="16" spans="1:9" s="192" customFormat="1" ht="76.5" x14ac:dyDescent="0.25">
      <c r="A16" s="260" t="str">
        <f>IFERROR(IF(Table13[[#This Row],[Description:]]&lt;&gt;"", Table13[[#This Row],[Description:]], ""), "")</f>
        <v>Tacrolimus Test</v>
      </c>
      <c r="B16" s="260" t="s">
        <v>287</v>
      </c>
      <c r="C16" s="261">
        <f ca="1">IFERROR(IF(Table13[[#This Row],[Description:]]&lt;&gt;"", Table13[[#This Row],[Duration (Years):]], ""), "")</f>
        <v>10</v>
      </c>
      <c r="D16" s="262" t="str">
        <f>IFERROR(IF(Table13[[#This Row],[Description:]]&lt;&gt;"", Table13[[#This Row],[Frequency:]], ""), "")</f>
        <v>20-40x/lifetime</v>
      </c>
      <c r="E16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$3,140.00
 - 
$6,280.00*
(based on $157.00/unit)</v>
      </c>
      <c r="F16" s="263" t="str">
        <f>IFERROR(IF(Table13[[#This Row],[Description:]]&lt;&gt;"", Table13[[#This Row],[Annual Cost:]], ""), "")</f>
        <v>$0.00</v>
      </c>
      <c r="G16" s="260" t="s">
        <v>303</v>
      </c>
    </row>
    <row r="17" spans="1:7" s="192" customFormat="1" ht="76.5" x14ac:dyDescent="0.25">
      <c r="A17" s="260" t="str">
        <f>IFERROR(IF(Table13[[#This Row],[Description:]]&lt;&gt;"", Table13[[#This Row],[Description:]], ""), "")</f>
        <v>Quantitative CMV DNA PCR</v>
      </c>
      <c r="B17" s="260" t="s">
        <v>287</v>
      </c>
      <c r="C17" s="261">
        <f ca="1">IFERROR(IF(Table13[[#This Row],[Description:]]&lt;&gt;"", Table13[[#This Row],[Duration (Years):]], ""), "")</f>
        <v>10</v>
      </c>
      <c r="D17" s="262" t="str">
        <f>IFERROR(IF(Table13[[#This Row],[Description:]]&lt;&gt;"", Table13[[#This Row],[Frequency:]], ""), "")</f>
        <v>20-40x/lifetime</v>
      </c>
      <c r="E17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$9,080.00
 - 
$18,160.00*
(based on $454.00/unit)</v>
      </c>
      <c r="F17" s="263" t="str">
        <f>IFERROR(IF(Table13[[#This Row],[Description:]]&lt;&gt;"", Table13[[#This Row],[Annual Cost:]], ""), "")</f>
        <v>$0.00</v>
      </c>
      <c r="G17" s="260" t="s">
        <v>303</v>
      </c>
    </row>
    <row r="18" spans="1:7" s="192" customFormat="1" ht="76.5" x14ac:dyDescent="0.25">
      <c r="A18" s="260" t="str">
        <f>IFERROR(IF(Table13[[#This Row],[Description:]]&lt;&gt;"", Table13[[#This Row],[Description:]], ""), "")</f>
        <v>Prospera Lung Test</v>
      </c>
      <c r="B18" s="260" t="s">
        <v>287</v>
      </c>
      <c r="C18" s="261">
        <f ca="1">IFERROR(IF(Table13[[#This Row],[Description:]]&lt;&gt;"", Table13[[#This Row],[Duration (Years):]], ""), "")</f>
        <v>10</v>
      </c>
      <c r="D18" s="262" t="str">
        <f>IFERROR(IF(Table13[[#This Row],[Description:]]&lt;&gt;"", Table13[[#This Row],[Frequency:]], ""), "")</f>
        <v>20-40x/lifetime</v>
      </c>
      <c r="E18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$64,980.00
 - 
$129,960.00*
(based on $3,249.00/unit)</v>
      </c>
      <c r="F18" s="263" t="str">
        <f>IFERROR(IF(Table13[[#This Row],[Description:]]&lt;&gt;"", Table13[[#This Row],[Annual Cost:]], ""), "")</f>
        <v>$0.00</v>
      </c>
      <c r="G18" s="260" t="s">
        <v>303</v>
      </c>
    </row>
    <row r="19" spans="1:7" s="192" customFormat="1" ht="76.5" x14ac:dyDescent="0.25">
      <c r="A19" s="260" t="str">
        <f>IFERROR(IF(Table13[[#This Row],[Description:]]&lt;&gt;"", Table13[[#This Row],[Description:]], ""), "")</f>
        <v>HLA Immunogenetic Lab Studies</v>
      </c>
      <c r="B19" s="260" t="s">
        <v>287</v>
      </c>
      <c r="C19" s="261">
        <f ca="1">IFERROR(IF(Table13[[#This Row],[Description:]]&lt;&gt;"", Table13[[#This Row],[Duration (Years):]], ""), "")</f>
        <v>10</v>
      </c>
      <c r="D19" s="262" t="str">
        <f>IFERROR(IF(Table13[[#This Row],[Description:]]&lt;&gt;"", Table13[[#This Row],[Frequency:]], ""), "")</f>
        <v>20-40x/lifetime</v>
      </c>
      <c r="E19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$7,080.00
 - 
$14,160.00*
(based on $354.00/unit)</v>
      </c>
      <c r="F19" s="263" t="str">
        <f>IFERROR(IF(Table13[[#This Row],[Description:]]&lt;&gt;"", Table13[[#This Row],[Annual Cost:]], ""), "")</f>
        <v>$0.00</v>
      </c>
      <c r="G19" s="260" t="s">
        <v>303</v>
      </c>
    </row>
    <row r="20" spans="1:7" s="192" customFormat="1" x14ac:dyDescent="0.25">
      <c r="A20" s="260" t="str">
        <f>IFERROR(IF(Table13[[#This Row],[Description:]]&lt;&gt;"", Table13[[#This Row],[Description:]], ""), "")</f>
        <v/>
      </c>
      <c r="B20" s="260"/>
      <c r="C20" s="261" t="str">
        <f>IFERROR(IF(Table13[[#This Row],[Description:]]&lt;&gt;"", Table13[[#This Row],[Duration (Years):]], ""), "")</f>
        <v/>
      </c>
      <c r="D20" s="262" t="str">
        <f>IFERROR(IF(Table13[[#This Row],[Description:]]&lt;&gt;"", Table13[[#This Row],[Frequency:]], ""), "")</f>
        <v/>
      </c>
      <c r="E20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/>
      </c>
      <c r="F20" s="263" t="str">
        <f>IFERROR(IF(Table13[[#This Row],[Description:]]&lt;&gt;"", Table13[[#This Row],[Annual Cost:]], ""), "")</f>
        <v/>
      </c>
      <c r="G20" s="260"/>
    </row>
    <row r="21" spans="1:7" s="192" customFormat="1" x14ac:dyDescent="0.25">
      <c r="A21" s="260" t="str">
        <f>IFERROR(IF(Table13[[#This Row],[Description:]]&lt;&gt;"", Table13[[#This Row],[Description:]], ""), "")</f>
        <v/>
      </c>
      <c r="B21" s="260"/>
      <c r="C21" s="261" t="str">
        <f>IFERROR(IF(Table13[[#This Row],[Description:]]&lt;&gt;"", Table13[[#This Row],[Duration (Years):]], ""), "")</f>
        <v/>
      </c>
      <c r="D21" s="262" t="str">
        <f>IFERROR(IF(Table13[[#This Row],[Description:]]&lt;&gt;"", Table13[[#This Row],[Frequency:]], ""), "")</f>
        <v/>
      </c>
      <c r="E21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/>
      </c>
      <c r="F21" s="263" t="str">
        <f>IFERROR(IF(Table13[[#This Row],[Description:]]&lt;&gt;"", Table13[[#This Row],[Annual Cost:]], ""), "")</f>
        <v/>
      </c>
      <c r="G21" s="260"/>
    </row>
    <row r="22" spans="1:7" s="192" customFormat="1" x14ac:dyDescent="0.25">
      <c r="A22" s="260" t="str">
        <f>IFERROR(IF(Table13[[#This Row],[Description:]]&lt;&gt;"", Table13[[#This Row],[Description:]], ""), "")</f>
        <v/>
      </c>
      <c r="B22" s="260"/>
      <c r="C22" s="261" t="str">
        <f>IFERROR(IF(Table13[[#This Row],[Description:]]&lt;&gt;"", Table13[[#This Row],[Duration (Years):]], ""), "")</f>
        <v/>
      </c>
      <c r="D22" s="262" t="str">
        <f>IFERROR(IF(Table13[[#This Row],[Description:]]&lt;&gt;"", Table13[[#This Row],[Frequency:]], ""), "")</f>
        <v/>
      </c>
      <c r="E22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/>
      </c>
      <c r="F22" s="263" t="str">
        <f>IFERROR(IF(Table13[[#This Row],[Description:]]&lt;&gt;"", Table13[[#This Row],[Annual Cost:]], ""), "")</f>
        <v/>
      </c>
      <c r="G22" s="260"/>
    </row>
    <row r="23" spans="1:7" s="192" customFormat="1" x14ac:dyDescent="0.25">
      <c r="A23" s="260" t="str">
        <f>IFERROR(IF(Table13[[#This Row],[Description:]]&lt;&gt;"", Table13[[#This Row],[Description:]], ""), "")</f>
        <v/>
      </c>
      <c r="B23" s="260"/>
      <c r="C23" s="261" t="str">
        <f>IFERROR(IF(Table13[[#This Row],[Description:]]&lt;&gt;"", Table13[[#This Row],[Duration (Years):]], ""), "")</f>
        <v/>
      </c>
      <c r="D23" s="262" t="str">
        <f>IFERROR(IF(Table13[[#This Row],[Description:]]&lt;&gt;"", Table13[[#This Row],[Frequency:]], ""), "")</f>
        <v/>
      </c>
      <c r="E23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/>
      </c>
      <c r="F23" s="263" t="str">
        <f>IFERROR(IF(Table13[[#This Row],[Description:]]&lt;&gt;"", Table13[[#This Row],[Annual Cost:]], ""), "")</f>
        <v/>
      </c>
      <c r="G23" s="260"/>
    </row>
    <row r="24" spans="1:7" s="192" customFormat="1" x14ac:dyDescent="0.25">
      <c r="A24" s="260" t="str">
        <f>IFERROR(IF(Table13[[#This Row],[Description:]]&lt;&gt;"", Table13[[#This Row],[Description:]], ""), "")</f>
        <v/>
      </c>
      <c r="B24" s="260"/>
      <c r="C24" s="261" t="str">
        <f>IFERROR(IF(Table13[[#This Row],[Description:]]&lt;&gt;"", Table13[[#This Row],[Duration (Years):]], ""), "")</f>
        <v/>
      </c>
      <c r="D24" s="262" t="str">
        <f>IFERROR(IF(Table13[[#This Row],[Description:]]&lt;&gt;"", Table13[[#This Row],[Frequency:]], ""), "")</f>
        <v/>
      </c>
      <c r="E24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/>
      </c>
      <c r="F24" s="263" t="str">
        <f>IFERROR(IF(Table13[[#This Row],[Description:]]&lt;&gt;"", Table13[[#This Row],[Annual Cost:]], ""), "")</f>
        <v/>
      </c>
      <c r="G24" s="260"/>
    </row>
    <row r="25" spans="1:7" s="192" customFormat="1" x14ac:dyDescent="0.25">
      <c r="A25" s="260" t="str">
        <f>IFERROR(IF(Table13[[#This Row],[Description:]]&lt;&gt;"", Table13[[#This Row],[Description:]], ""), "")</f>
        <v/>
      </c>
      <c r="B25" s="260"/>
      <c r="C25" s="261" t="str">
        <f>IFERROR(IF(Table13[[#This Row],[Description:]]&lt;&gt;"", Table13[[#This Row],[Duration (Years):]], ""), "")</f>
        <v/>
      </c>
      <c r="D25" s="262" t="str">
        <f>IFERROR(IF(Table13[[#This Row],[Description:]]&lt;&gt;"", Table13[[#This Row],[Frequency:]], ""), "")</f>
        <v/>
      </c>
      <c r="E25" s="263" t="str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/>
      </c>
      <c r="F25" s="263" t="str">
        <f>IFERROR(IF(Table13[[#This Row],[Description:]]&lt;&gt;"", Table13[[#This Row],[Annual Cost:]], ""), "")</f>
        <v/>
      </c>
      <c r="G25" s="260"/>
    </row>
    <row r="26" spans="1:7" s="192" customFormat="1" x14ac:dyDescent="0.25">
      <c r="A26" s="260" t="str">
        <f>IFERROR(IF(Table13[[#This Row],[Description:]]&lt;&gt;"", Table13[[#This Row],[Description:]], ""), "")</f>
        <v/>
      </c>
      <c r="B26" s="260"/>
      <c r="C26" s="261" t="str">
        <f>IFERROR(IF(Table13[[#This Row],[Description:]]&lt;&gt;"", Table13[[#This Row],[Duration (Years):]], ""), "")</f>
        <v/>
      </c>
      <c r="D26" s="262" t="str">
        <f>IFERROR(IF(Table13[[#This Row],[Description:]]&lt;&gt;"", Table13[[#This Row],[Frequency:]], ""), "")</f>
        <v/>
      </c>
      <c r="E26" s="263" t="e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#VALUE!</v>
      </c>
      <c r="F26" s="263" t="str">
        <f>IFERROR(IF(Table13[[#This Row],[Description:]]&lt;&gt;"", Table13[[#This Row],[Annual Cost:]], ""), "")</f>
        <v/>
      </c>
      <c r="G26" s="260"/>
    </row>
    <row r="27" spans="1:7" s="192" customFormat="1" x14ac:dyDescent="0.25">
      <c r="A27" s="260" t="str">
        <f>IFERROR(IF(Table13[[#This Row],[Description:]]&lt;&gt;"", Table13[[#This Row],[Description:]], ""), "")</f>
        <v/>
      </c>
      <c r="B27" s="260"/>
      <c r="C27" s="261" t="str">
        <f>IFERROR(IF(Table13[[#This Row],[Description:]]&lt;&gt;"", Table13[[#This Row],[Duration (Years):]], ""), "")</f>
        <v/>
      </c>
      <c r="D27" s="262" t="str">
        <f>IFERROR(IF(Table13[[#This Row],[Description:]]&lt;&gt;"", Table13[[#This Row],[Frequency:]], ""), "")</f>
        <v/>
      </c>
      <c r="E27" s="263" t="e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#VALUE!</v>
      </c>
      <c r="F27" s="263" t="str">
        <f>IFERROR(IF(Table13[[#This Row],[Description:]]&lt;&gt;"", Table13[[#This Row],[Annual Cost:]], ""), "")</f>
        <v/>
      </c>
      <c r="G27" s="260"/>
    </row>
    <row r="28" spans="1:7" s="192" customFormat="1" x14ac:dyDescent="0.25">
      <c r="A28" s="260" t="str">
        <f>IFERROR(IF(Table13[[#This Row],[Description:]]&lt;&gt;"", Table13[[#This Row],[Description:]], ""), "")</f>
        <v/>
      </c>
      <c r="B28" s="260"/>
      <c r="C28" s="261" t="str">
        <f>IFERROR(IF(Table13[[#This Row],[Description:]]&lt;&gt;"", Table13[[#This Row],[Duration (Years):]], ""), "")</f>
        <v/>
      </c>
      <c r="D28" s="262" t="str">
        <f>IFERROR(IF(Table13[[#This Row],[Description:]]&lt;&gt;"", Table13[[#This Row],[Frequency:]], ""), "")</f>
        <v/>
      </c>
      <c r="E28" s="263" t="e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#VALUE!</v>
      </c>
      <c r="F28" s="263" t="str">
        <f>IFERROR(IF(Table13[[#This Row],[Description:]]&lt;&gt;"", Table13[[#This Row],[Annual Cost:]], ""), "")</f>
        <v/>
      </c>
      <c r="G28" s="260"/>
    </row>
    <row r="29" spans="1:7" s="192" customFormat="1" x14ac:dyDescent="0.25">
      <c r="A29" s="260" t="str">
        <f>IFERROR(IF(Table13[[#This Row],[Description:]]&lt;&gt;"", Table13[[#This Row],[Description:]], ""), "")</f>
        <v/>
      </c>
      <c r="B29" s="260"/>
      <c r="C29" s="261" t="str">
        <f>IFERROR(IF(Table13[[#This Row],[Description:]]&lt;&gt;"", Table13[[#This Row],[Duration (Years):]], ""), "")</f>
        <v/>
      </c>
      <c r="D29" s="262" t="str">
        <f>IFERROR(IF(Table13[[#This Row],[Description:]]&lt;&gt;"", Table13[[#This Row],[Frequency:]], ""), "")</f>
        <v/>
      </c>
      <c r="E29" s="263" t="e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#VALUE!</v>
      </c>
      <c r="F29" s="263" t="str">
        <f>IFERROR(IF(Table13[[#This Row],[Description:]]&lt;&gt;"", Table13[[#This Row],[Annual Cost:]], ""), "")</f>
        <v/>
      </c>
      <c r="G29" s="260"/>
    </row>
    <row r="30" spans="1:7" s="192" customFormat="1" x14ac:dyDescent="0.25">
      <c r="A30" s="260" t="str">
        <f>IFERROR(IF(Table13[[#This Row],[Description:]]&lt;&gt;"", Table13[[#This Row],[Description:]], ""), "")</f>
        <v/>
      </c>
      <c r="B30" s="260"/>
      <c r="C30" s="261" t="str">
        <f>IFERROR(IF(Table13[[#This Row],[Description:]]&lt;&gt;"", Table13[[#This Row],[Duration (Years):]], ""), "")</f>
        <v/>
      </c>
      <c r="D30" s="262" t="str">
        <f>IFERROR(IF(Table13[[#This Row],[Description:]]&lt;&gt;"", Table13[[#This Row],[Frequency:]], ""), "")</f>
        <v/>
      </c>
      <c r="E30" s="263" t="e">
        <f>IF(OR(Table13[[#This Row],[Description:]]="", ISBLANK(Table13[[#This Row],[One-Time Cost:]]), ISBLANK(Table13[[#This Row],[Cost:]])), "", IF(Table13[[#This Row],[Time Value:]]="lifetime", CONCATENATE(Table13[[#This Row],[One-Time Cost:]] &amp; "*", CHAR(10), CHAR(10), "(based on ", Table13[[#This Row],[Cost:]], "/unit)"), Table13[[#This Row],[Cost:]]))</f>
        <v>#VALUE!</v>
      </c>
      <c r="F30" s="263" t="str">
        <f>IFERROR(IF(Table13[[#This Row],[Description:]]&lt;&gt;"", Table13[[#This Row],[Annual Cost:]], ""), "")</f>
        <v/>
      </c>
      <c r="G30" s="260"/>
    </row>
    <row r="31" spans="1:7" x14ac:dyDescent="0.25">
      <c r="A31" s="257"/>
      <c r="B31" s="257"/>
      <c r="C31" s="265"/>
      <c r="D31" s="265"/>
      <c r="E31" s="266"/>
      <c r="F31" s="266"/>
      <c r="G31" s="257"/>
    </row>
    <row r="32" spans="1:7" x14ac:dyDescent="0.25">
      <c r="A32" s="257"/>
      <c r="B32" s="257"/>
      <c r="C32" s="257"/>
      <c r="D32" s="267" t="s">
        <v>125</v>
      </c>
      <c r="E32" s="268" t="str">
        <f>Diagnostic!S26</f>
        <v>$123,403.00
 - 
$669,024.00</v>
      </c>
      <c r="F32" s="269"/>
      <c r="G32" s="257"/>
    </row>
    <row r="33" spans="1:7" x14ac:dyDescent="0.25">
      <c r="A33" s="257"/>
      <c r="B33" s="257"/>
      <c r="C33" s="257"/>
      <c r="D33" s="267" t="s">
        <v>124</v>
      </c>
      <c r="E33" s="268" t="str">
        <f ca="1">Diagnostic!P26</f>
        <v>$0.00</v>
      </c>
      <c r="F33" s="269"/>
      <c r="G33" s="257"/>
    </row>
    <row r="34" spans="1:7" x14ac:dyDescent="0.25">
      <c r="A34" s="257"/>
      <c r="B34" s="257"/>
      <c r="C34" s="257"/>
      <c r="D34" s="257"/>
      <c r="E34" s="269"/>
      <c r="F34" s="269"/>
      <c r="G34" s="257"/>
    </row>
    <row r="35" spans="1:7" x14ac:dyDescent="0.25">
      <c r="A35" s="257"/>
      <c r="B35" s="257"/>
      <c r="C35" s="257"/>
      <c r="D35" s="257"/>
      <c r="E35" s="269"/>
      <c r="F35" s="269"/>
      <c r="G35" s="257"/>
    </row>
  </sheetData>
  <mergeCells count="1">
    <mergeCell ref="A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9371-C40F-4A10-A846-5765A88FBB72}">
  <sheetPr codeName="Sheet37"/>
  <dimension ref="A1:I34"/>
  <sheetViews>
    <sheetView workbookViewId="0">
      <selection sqref="A1:G1"/>
    </sheetView>
  </sheetViews>
  <sheetFormatPr defaultRowHeight="15" x14ac:dyDescent="0.25"/>
  <cols>
    <col min="1" max="2" width="18.7109375" style="190" customWidth="1"/>
    <col min="3" max="4" width="10.7109375" style="190" customWidth="1"/>
    <col min="5" max="6" width="13.7109375" style="193" customWidth="1"/>
    <col min="7" max="7" width="18.7109375" style="190" customWidth="1"/>
    <col min="8" max="16384" width="9.140625" style="190"/>
  </cols>
  <sheetData>
    <row r="1" spans="1:9" ht="23.1" customHeight="1" x14ac:dyDescent="0.25">
      <c r="A1" s="353" t="str">
        <f>Medications!A1</f>
        <v>MEDICATIONS</v>
      </c>
      <c r="B1" s="353"/>
      <c r="C1" s="353"/>
      <c r="D1" s="353"/>
      <c r="E1" s="353"/>
      <c r="F1" s="353"/>
      <c r="G1" s="353"/>
    </row>
    <row r="2" spans="1:9" s="191" customFormat="1" ht="18" customHeight="1" x14ac:dyDescent="0.25">
      <c r="A2" s="256" t="s">
        <v>117</v>
      </c>
      <c r="B2" s="256" t="s">
        <v>118</v>
      </c>
      <c r="C2" s="256" t="s">
        <v>119</v>
      </c>
      <c r="D2" s="256" t="s">
        <v>120</v>
      </c>
      <c r="E2" s="258" t="s">
        <v>121</v>
      </c>
      <c r="F2" s="258" t="s">
        <v>122</v>
      </c>
      <c r="G2" s="256" t="s">
        <v>123</v>
      </c>
    </row>
    <row r="3" spans="1:9" s="192" customFormat="1" ht="89.25" x14ac:dyDescent="0.25">
      <c r="A3" s="260" t="str">
        <f>IFERROR(IF(Table1[[#This Row],[Description:]]&lt;&gt;"", Table1[[#This Row],[Description:]], ""), "")</f>
        <v>Tacrolimus (Prograf) 0.5 to 5mg</v>
      </c>
      <c r="B3" s="260" t="s">
        <v>304</v>
      </c>
      <c r="C3" s="261">
        <f ca="1">IFERROR(IF(Table1[[#This Row],[Description:]]&lt;&gt;"", Table1[[#This Row],[Duration (Years):]], ""), "")</f>
        <v>10</v>
      </c>
      <c r="D3" s="262" t="str">
        <f>IFERROR(IF(Table1[[#This Row],[Description:]]&lt;&gt;"", Table1[[#This Row],[Frequency:]], ""), "")</f>
        <v>3650-7300x/lifetime</v>
      </c>
      <c r="E3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$4,854.50
 - 
$153,154.00*
(based on $1.33
 - 
$20.98/unit)</v>
      </c>
      <c r="F3" s="263" t="str">
        <f>IFERROR(IF(Table1[[#This Row],[Description:]]&lt;&gt;"", Table1[[#This Row],[Annual Cost:]], ""), "")</f>
        <v>$0.00</v>
      </c>
      <c r="G3" s="260" t="s">
        <v>307</v>
      </c>
    </row>
    <row r="4" spans="1:9" s="192" customFormat="1" ht="89.25" x14ac:dyDescent="0.25">
      <c r="A4" s="260" t="str">
        <f>IFERROR(IF(Table1[[#This Row],[Description:]]&lt;&gt;"", Table1[[#This Row],[Description:]], ""), "")</f>
        <v>Mycophenolate (Cellcept) 500mg</v>
      </c>
      <c r="B4" s="260" t="s">
        <v>304</v>
      </c>
      <c r="C4" s="261">
        <f ca="1">IFERROR(IF(Table1[[#This Row],[Description:]]&lt;&gt;"", Table1[[#This Row],[Duration (Years):]], ""), "")</f>
        <v>10</v>
      </c>
      <c r="D4" s="262" t="str">
        <f>IFERROR(IF(Table1[[#This Row],[Description:]]&lt;&gt;"", Table1[[#This Row],[Frequency:]], ""), "")</f>
        <v>3650-7300x/lifetime</v>
      </c>
      <c r="E4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$9,088.50
 - 
$49,348.00*
(based on $2.49
 - 
$6.76/unit)</v>
      </c>
      <c r="F4" s="263" t="str">
        <f>IFERROR(IF(Table1[[#This Row],[Description:]]&lt;&gt;"", Table1[[#This Row],[Annual Cost:]], ""), "")</f>
        <v>$0.00</v>
      </c>
      <c r="G4" s="260" t="s">
        <v>307</v>
      </c>
    </row>
    <row r="5" spans="1:9" s="192" customFormat="1" ht="89.25" x14ac:dyDescent="0.25">
      <c r="A5" s="260" t="str">
        <f>IFERROR(IF(Table1[[#This Row],[Description:]]&lt;&gt;"", Table1[[#This Row],[Description:]], ""), "")</f>
        <v>Prednisone (Deltasone) 10mg</v>
      </c>
      <c r="B5" s="260" t="s">
        <v>304</v>
      </c>
      <c r="C5" s="261">
        <f ca="1">IFERROR(IF(Table1[[#This Row],[Description:]]&lt;&gt;"", Table1[[#This Row],[Duration (Years):]], ""), "")</f>
        <v>10</v>
      </c>
      <c r="D5" s="262" t="str">
        <f>IFERROR(IF(Table1[[#This Row],[Description:]]&lt;&gt;"", Table1[[#This Row],[Frequency:]], ""), "")</f>
        <v>1825-3650x/lifetime</v>
      </c>
      <c r="E5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$1,222.75
 - 
$3,613.50*
(based on $0.67
 - 
$0.99/unit)</v>
      </c>
      <c r="F5" s="263" t="str">
        <f>IFERROR(IF(Table1[[#This Row],[Description:]]&lt;&gt;"", Table1[[#This Row],[Annual Cost:]], ""), "")</f>
        <v>$0.00</v>
      </c>
      <c r="G5" s="260" t="s">
        <v>308</v>
      </c>
    </row>
    <row r="6" spans="1:9" s="192" customFormat="1" ht="89.25" x14ac:dyDescent="0.25">
      <c r="A6" s="260" t="str">
        <f>IFERROR(IF(Table1[[#This Row],[Description:]]&lt;&gt;"", Table1[[#This Row],[Description:]], ""), "")</f>
        <v>Sirolimus (Rapamune) 1mg</v>
      </c>
      <c r="B6" s="260" t="s">
        <v>304</v>
      </c>
      <c r="C6" s="261">
        <f ca="1">IFERROR(IF(Table1[[#This Row],[Description:]]&lt;&gt;"", Table1[[#This Row],[Duration (Years):]], ""), "")</f>
        <v>10</v>
      </c>
      <c r="D6" s="262" t="str">
        <f>IFERROR(IF(Table1[[#This Row],[Description:]]&lt;&gt;"", Table1[[#This Row],[Frequency:]], ""), "")</f>
        <v>3650-7300x/lifetime</v>
      </c>
      <c r="E6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$29,747.50
 - 
$117,968.00*
(based on $8.15
 - 
$16.16/unit)</v>
      </c>
      <c r="F6" s="263" t="str">
        <f>IFERROR(IF(Table1[[#This Row],[Description:]]&lt;&gt;"", Table1[[#This Row],[Annual Cost:]], ""), "")</f>
        <v>$0.00</v>
      </c>
      <c r="G6" s="260" t="s">
        <v>307</v>
      </c>
    </row>
    <row r="7" spans="1:9" s="192" customFormat="1" ht="89.25" x14ac:dyDescent="0.25">
      <c r="A7" s="260" t="str">
        <f>IFERROR(IF(Table1[[#This Row],[Description:]]&lt;&gt;"", Table1[[#This Row],[Description:]], ""), "")</f>
        <v>Sulfamethoxazole / Trimethoprim (Bactrim) 800/160mg</v>
      </c>
      <c r="B7" s="260" t="s">
        <v>304</v>
      </c>
      <c r="C7" s="261">
        <f ca="1">IFERROR(IF(Table1[[#This Row],[Description:]]&lt;&gt;"", Table1[[#This Row],[Duration (Years):]], ""), "")</f>
        <v>10</v>
      </c>
      <c r="D7" s="262" t="str">
        <f>IFERROR(IF(Table1[[#This Row],[Description:]]&lt;&gt;"", Table1[[#This Row],[Frequency:]], ""), "")</f>
        <v>780-1560x/lifetime</v>
      </c>
      <c r="E7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$725.40
 - 
$3,806.40*
(based on $0.93
 - 
$2.44/unit)</v>
      </c>
      <c r="F7" s="263" t="str">
        <f>IFERROR(IF(Table1[[#This Row],[Description:]]&lt;&gt;"", Table1[[#This Row],[Annual Cost:]], ""), "")</f>
        <v>$0.00</v>
      </c>
      <c r="G7" s="260" t="s">
        <v>309</v>
      </c>
      <c r="I7" s="118" t="s">
        <v>140</v>
      </c>
    </row>
    <row r="8" spans="1:9" s="192" customFormat="1" ht="102" x14ac:dyDescent="0.25">
      <c r="A8" s="260" t="str">
        <f>IFERROR(IF(Table1[[#This Row],[Description:]]&lt;&gt;"", Table1[[#This Row],[Description:]], ""), "")</f>
        <v>Valganciclovir (Valcyte) 450mg</v>
      </c>
      <c r="B8" s="260" t="s">
        <v>304</v>
      </c>
      <c r="C8" s="261">
        <f ca="1">IFERROR(IF(Table1[[#This Row],[Description:]]&lt;&gt;"", Table1[[#This Row],[Duration (Years):]], ""), "")</f>
        <v>10</v>
      </c>
      <c r="D8" s="262" t="str">
        <f>IFERROR(IF(Table1[[#This Row],[Description:]]&lt;&gt;"", Table1[[#This Row],[Frequency:]], ""), "")</f>
        <v>3650-7300x/lifetime</v>
      </c>
      <c r="E8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$134,247.00
 - 
$427,415.00*
(based on $36.78
 - 
$58.55/unit)</v>
      </c>
      <c r="F8" s="263" t="str">
        <f>IFERROR(IF(Table1[[#This Row],[Description:]]&lt;&gt;"", Table1[[#This Row],[Annual Cost:]], ""), "")</f>
        <v>$0.00</v>
      </c>
      <c r="G8" s="260" t="s">
        <v>307</v>
      </c>
      <c r="I8" s="118" t="s">
        <v>141</v>
      </c>
    </row>
    <row r="9" spans="1:9" s="192" customFormat="1" ht="102" x14ac:dyDescent="0.25">
      <c r="A9" s="260" t="str">
        <f>IFERROR(IF(Table1[[#This Row],[Description:]]&lt;&gt;"", Table1[[#This Row],[Description:]], ""), "")</f>
        <v>Posaconazole (Noxafil) 100mg</v>
      </c>
      <c r="B9" s="260" t="s">
        <v>304</v>
      </c>
      <c r="C9" s="261">
        <f ca="1">IFERROR(IF(Table1[[#This Row],[Description:]]&lt;&gt;"", Table1[[#This Row],[Duration (Years):]], ""), "")</f>
        <v>10</v>
      </c>
      <c r="D9" s="262" t="str">
        <f>IFERROR(IF(Table1[[#This Row],[Description:]]&lt;&gt;"", Table1[[#This Row],[Frequency:]], ""), "")</f>
        <v>5475-10950x/lifetime</v>
      </c>
      <c r="E9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$135,615.75
 - 
$690,069.00*
(based on $24.77
 - 
$63.02/unit)</v>
      </c>
      <c r="F9" s="263" t="str">
        <f>IFERROR(IF(Table1[[#This Row],[Description:]]&lt;&gt;"", Table1[[#This Row],[Annual Cost:]], ""), "")</f>
        <v>$0.00</v>
      </c>
      <c r="G9" s="260" t="s">
        <v>310</v>
      </c>
      <c r="I9" s="121"/>
    </row>
    <row r="10" spans="1:9" s="192" customFormat="1" ht="89.25" x14ac:dyDescent="0.25">
      <c r="A10" s="260" t="str">
        <f>IFERROR(IF(Table1[[#This Row],[Description:]]&lt;&gt;"", Table1[[#This Row],[Description:]], ""), "")</f>
        <v>Azithromycin (Zithromax) 250mg</v>
      </c>
      <c r="B10" s="260" t="s">
        <v>304</v>
      </c>
      <c r="C10" s="261">
        <f ca="1">IFERROR(IF(Table1[[#This Row],[Description:]]&lt;&gt;"", Table1[[#This Row],[Duration (Years):]], ""), "")</f>
        <v>10</v>
      </c>
      <c r="D10" s="262" t="str">
        <f>IFERROR(IF(Table1[[#This Row],[Description:]]&lt;&gt;"", Table1[[#This Row],[Frequency:]], ""), "")</f>
        <v>1825-3650x/lifetime</v>
      </c>
      <c r="E10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$10,877.00
 - 
$23,141.00*
(based on $5.96
 - 
$6.34/unit)</v>
      </c>
      <c r="F10" s="263" t="str">
        <f>IFERROR(IF(Table1[[#This Row],[Description:]]&lt;&gt;"", Table1[[#This Row],[Annual Cost:]], ""), "")</f>
        <v>$0.00</v>
      </c>
      <c r="G10" s="260" t="s">
        <v>308</v>
      </c>
      <c r="I10" s="118" t="s">
        <v>142</v>
      </c>
    </row>
    <row r="11" spans="1:9" s="192" customFormat="1" ht="89.25" x14ac:dyDescent="0.25">
      <c r="A11" s="260" t="str">
        <f>IFERROR(IF(Table1[[#This Row],[Description:]]&lt;&gt;"", Table1[[#This Row],[Description:]], ""), "")</f>
        <v>Atorvastatin (Lipitor) 20mg</v>
      </c>
      <c r="B11" s="260" t="s">
        <v>304</v>
      </c>
      <c r="C11" s="261">
        <f ca="1">IFERROR(IF(Table1[[#This Row],[Description:]]&lt;&gt;"", Table1[[#This Row],[Duration (Years):]], ""), "")</f>
        <v>10</v>
      </c>
      <c r="D11" s="262" t="str">
        <f>IFERROR(IF(Table1[[#This Row],[Description:]]&lt;&gt;"", Table1[[#This Row],[Frequency:]], ""), "")</f>
        <v>1825-3650x/lifetime</v>
      </c>
      <c r="E11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$5,383.75
 - 
$15,111.00*
(based on $2.95
 - 
$4.14/unit)</v>
      </c>
      <c r="F11" s="263" t="str">
        <f>IFERROR(IF(Table1[[#This Row],[Description:]]&lt;&gt;"", Table1[[#This Row],[Annual Cost:]], ""), "")</f>
        <v>$0.00</v>
      </c>
      <c r="G11" s="260" t="s">
        <v>308</v>
      </c>
      <c r="I11" s="118" t="s">
        <v>143</v>
      </c>
    </row>
    <row r="12" spans="1:9" s="192" customFormat="1" ht="89.25" x14ac:dyDescent="0.25">
      <c r="A12" s="260" t="str">
        <f>IFERROR(IF(Table1[[#This Row],[Description:]]&lt;&gt;"", Table1[[#This Row],[Description:]], ""), "")</f>
        <v>Tenormin (Atenolol) 50mg</v>
      </c>
      <c r="B12" s="260" t="s">
        <v>304</v>
      </c>
      <c r="C12" s="261">
        <f ca="1">IFERROR(IF(Table1[[#This Row],[Description:]]&lt;&gt;"", Table1[[#This Row],[Duration (Years):]], ""), "")</f>
        <v>10</v>
      </c>
      <c r="D12" s="262" t="str">
        <f>IFERROR(IF(Table1[[#This Row],[Description:]]&lt;&gt;"", Table1[[#This Row],[Frequency:]], ""), "")</f>
        <v>3650-7300x/lifetime</v>
      </c>
      <c r="E12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$1,639.46
 - 
$5,256.00*
(based on $0.45
 - 
$0.72/unit)</v>
      </c>
      <c r="F12" s="263" t="str">
        <f>IFERROR(IF(Table1[[#This Row],[Description:]]&lt;&gt;"", Table1[[#This Row],[Annual Cost:]], ""), "")</f>
        <v>$0.00</v>
      </c>
      <c r="G12" s="260" t="s">
        <v>307</v>
      </c>
    </row>
    <row r="13" spans="1:9" s="192" customFormat="1" ht="89.25" x14ac:dyDescent="0.25">
      <c r="A13" s="260" t="str">
        <f>IFERROR(IF(Table1[[#This Row],[Description:]]&lt;&gt;"", Table1[[#This Row],[Description:]], ""), "")</f>
        <v>Anti-Ulcer Medication (e.g., Tums) 1000mg</v>
      </c>
      <c r="B13" s="260" t="s">
        <v>304</v>
      </c>
      <c r="C13" s="261">
        <f ca="1">IFERROR(IF(Table1[[#This Row],[Description:]]&lt;&gt;"", Table1[[#This Row],[Duration (Years):]], ""), "")</f>
        <v>10</v>
      </c>
      <c r="D13" s="262" t="str">
        <f>IFERROR(IF(Table1[[#This Row],[Description:]]&lt;&gt;"", Table1[[#This Row],[Frequency:]], ""), "")</f>
        <v>1825-3650x/lifetime</v>
      </c>
      <c r="E13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$237.25
 - 
$730.00*
(based on $0.13
 - 
$0.20/unit)</v>
      </c>
      <c r="F13" s="263" t="str">
        <f>IFERROR(IF(Table1[[#This Row],[Description:]]&lt;&gt;"", Table1[[#This Row],[Annual Cost:]], ""), "")</f>
        <v>$0.00</v>
      </c>
      <c r="G13" s="260" t="s">
        <v>308</v>
      </c>
    </row>
    <row r="14" spans="1:9" s="192" customFormat="1" ht="76.5" x14ac:dyDescent="0.25">
      <c r="A14" s="260" t="str">
        <f>IFERROR(IF(Table1[[#This Row],[Description:]]&lt;&gt;"", Table1[[#This Row],[Description:]], ""), "")</f>
        <v>Flu Vaccine</v>
      </c>
      <c r="B14" s="260" t="s">
        <v>305</v>
      </c>
      <c r="C14" s="261">
        <f ca="1">IFERROR(IF(Table1[[#This Row],[Description:]]&lt;&gt;"", Table1[[#This Row],[Duration (Years):]], ""), "")</f>
        <v>10</v>
      </c>
      <c r="D14" s="262" t="str">
        <f>IFERROR(IF(Table1[[#This Row],[Description:]]&lt;&gt;"", Table1[[#This Row],[Frequency:]], ""), "")</f>
        <v>5-10x/lifetime</v>
      </c>
      <c r="E14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$326.40
 - 
$652.80*
(based on $65.28/unit)</v>
      </c>
      <c r="F14" s="263" t="str">
        <f>IFERROR(IF(Table1[[#This Row],[Description:]]&lt;&gt;"", Table1[[#This Row],[Annual Cost:]], ""), "")</f>
        <v>$0.00</v>
      </c>
      <c r="G14" s="260" t="s">
        <v>311</v>
      </c>
    </row>
    <row r="15" spans="1:9" s="192" customFormat="1" ht="76.5" x14ac:dyDescent="0.25">
      <c r="A15" s="260" t="str">
        <f>IFERROR(IF(Table1[[#This Row],[Description:]]&lt;&gt;"", Table1[[#This Row],[Description:]], ""), "")</f>
        <v>COVID Vaccine</v>
      </c>
      <c r="B15" s="260" t="s">
        <v>305</v>
      </c>
      <c r="C15" s="261">
        <f ca="1">IFERROR(IF(Table1[[#This Row],[Description:]]&lt;&gt;"", Table1[[#This Row],[Duration (Years):]], ""), "")</f>
        <v>10</v>
      </c>
      <c r="D15" s="262" t="str">
        <f>IFERROR(IF(Table1[[#This Row],[Description:]]&lt;&gt;"", Table1[[#This Row],[Frequency:]], ""), "")</f>
        <v>5-10x/lifetime</v>
      </c>
      <c r="E15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$1,175.00
 - 
$2,350.00*
(based on $235.00/unit)</v>
      </c>
      <c r="F15" s="263" t="str">
        <f>IFERROR(IF(Table1[[#This Row],[Description:]]&lt;&gt;"", Table1[[#This Row],[Annual Cost:]], ""), "")</f>
        <v>$0.00</v>
      </c>
      <c r="G15" s="260" t="s">
        <v>311</v>
      </c>
    </row>
    <row r="16" spans="1:9" s="192" customFormat="1" ht="89.25" x14ac:dyDescent="0.25">
      <c r="A16" s="260" t="str">
        <f>IFERROR(IF(Table1[[#This Row],[Description:]]&lt;&gt;"", Table1[[#This Row],[Description:]], ""), "")</f>
        <v>Iron 10mg (Chewable)</v>
      </c>
      <c r="B16" s="260" t="s">
        <v>306</v>
      </c>
      <c r="C16" s="261">
        <f ca="1">IFERROR(IF(Table1[[#This Row],[Description:]]&lt;&gt;"", Table1[[#This Row],[Duration (Years):]], ""), "")</f>
        <v>10</v>
      </c>
      <c r="D16" s="262" t="str">
        <f>IFERROR(IF(Table1[[#This Row],[Description:]]&lt;&gt;"", Table1[[#This Row],[Frequency:]], ""), "")</f>
        <v>1825-3650x/lifetime</v>
      </c>
      <c r="E16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$419.75
 - 
$1,204.50*
(based on $0.23
 - 
$0.33/unit)</v>
      </c>
      <c r="F16" s="263" t="str">
        <f>IFERROR(IF(Table1[[#This Row],[Description:]]&lt;&gt;"", Table1[[#This Row],[Annual Cost:]], ""), "")</f>
        <v>$0.00</v>
      </c>
      <c r="G16" s="260" t="s">
        <v>308</v>
      </c>
    </row>
    <row r="17" spans="1:7" s="192" customFormat="1" ht="89.25" x14ac:dyDescent="0.25">
      <c r="A17" s="260" t="str">
        <f>IFERROR(IF(Table1[[#This Row],[Description:]]&lt;&gt;"", Table1[[#This Row],[Description:]], ""), "")</f>
        <v>Vitamin C 90mg</v>
      </c>
      <c r="B17" s="260" t="s">
        <v>306</v>
      </c>
      <c r="C17" s="261">
        <f ca="1">IFERROR(IF(Table1[[#This Row],[Description:]]&lt;&gt;"", Table1[[#This Row],[Duration (Years):]], ""), "")</f>
        <v>10</v>
      </c>
      <c r="D17" s="262" t="str">
        <f>IFERROR(IF(Table1[[#This Row],[Description:]]&lt;&gt;"", Table1[[#This Row],[Frequency:]], ""), "")</f>
        <v>1825-3650x/lifetime</v>
      </c>
      <c r="E17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$365.00
 - 
$1,131.50*
(based on $0.20
 - 
$0.31/unit)</v>
      </c>
      <c r="F17" s="263" t="str">
        <f>IFERROR(IF(Table1[[#This Row],[Description:]]&lt;&gt;"", Table1[[#This Row],[Annual Cost:]], ""), "")</f>
        <v>$0.00</v>
      </c>
      <c r="G17" s="260" t="s">
        <v>308</v>
      </c>
    </row>
    <row r="18" spans="1:7" s="192" customFormat="1" ht="89.25" x14ac:dyDescent="0.25">
      <c r="A18" s="260" t="str">
        <f>IFERROR(IF(Table1[[#This Row],[Description:]]&lt;&gt;"", Table1[[#This Row],[Description:]], ""), "")</f>
        <v>Magnesium Oxide 400mg</v>
      </c>
      <c r="B18" s="260" t="s">
        <v>306</v>
      </c>
      <c r="C18" s="261">
        <f ca="1">IFERROR(IF(Table1[[#This Row],[Description:]]&lt;&gt;"", Table1[[#This Row],[Duration (Years):]], ""), "")</f>
        <v>10</v>
      </c>
      <c r="D18" s="262" t="str">
        <f>IFERROR(IF(Table1[[#This Row],[Description:]]&lt;&gt;"", Table1[[#This Row],[Frequency:]], ""), "")</f>
        <v>1825-3650x/lifetime</v>
      </c>
      <c r="E18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$200.75
 - 
$1,131.50*
(based on $0.11
 - 
$0.31/unit)</v>
      </c>
      <c r="F18" s="263" t="str">
        <f>IFERROR(IF(Table1[[#This Row],[Description:]]&lt;&gt;"", Table1[[#This Row],[Annual Cost:]], ""), "")</f>
        <v>$0.00</v>
      </c>
      <c r="G18" s="260" t="s">
        <v>308</v>
      </c>
    </row>
    <row r="19" spans="1:7" s="192" customFormat="1" x14ac:dyDescent="0.25">
      <c r="A19" s="260" t="str">
        <f>IFERROR(IF(Table1[[#This Row],[Description:]]&lt;&gt;"", Table1[[#This Row],[Description:]], ""), "")</f>
        <v/>
      </c>
      <c r="B19" s="260"/>
      <c r="C19" s="261" t="str">
        <f>IFERROR(IF(Table1[[#This Row],[Description:]]&lt;&gt;"", Table1[[#This Row],[Duration (Years):]], ""), "")</f>
        <v/>
      </c>
      <c r="D19" s="262" t="str">
        <f>IFERROR(IF(Table1[[#This Row],[Description:]]&lt;&gt;"", Table1[[#This Row],[Frequency:]], ""), "")</f>
        <v/>
      </c>
      <c r="E19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/>
      </c>
      <c r="F19" s="263" t="str">
        <f>IFERROR(IF(Table1[[#This Row],[Description:]]&lt;&gt;"", Table1[[#This Row],[Annual Cost:]], ""), "")</f>
        <v/>
      </c>
      <c r="G19" s="260"/>
    </row>
    <row r="20" spans="1:7" s="192" customFormat="1" x14ac:dyDescent="0.25">
      <c r="A20" s="260" t="str">
        <f>IFERROR(IF(Table1[[#This Row],[Description:]]&lt;&gt;"", Table1[[#This Row],[Description:]], ""), "")</f>
        <v/>
      </c>
      <c r="B20" s="260"/>
      <c r="C20" s="261" t="str">
        <f>IFERROR(IF(Table1[[#This Row],[Description:]]&lt;&gt;"", Table1[[#This Row],[Duration (Years):]], ""), "")</f>
        <v/>
      </c>
      <c r="D20" s="262" t="str">
        <f>IFERROR(IF(Table1[[#This Row],[Description:]]&lt;&gt;"", Table1[[#This Row],[Frequency:]], ""), "")</f>
        <v/>
      </c>
      <c r="E20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/>
      </c>
      <c r="F20" s="263" t="str">
        <f>IFERROR(IF(Table1[[#This Row],[Description:]]&lt;&gt;"", Table1[[#This Row],[Annual Cost:]], ""), "")</f>
        <v/>
      </c>
      <c r="G20" s="260"/>
    </row>
    <row r="21" spans="1:7" s="192" customFormat="1" x14ac:dyDescent="0.25">
      <c r="A21" s="260" t="str">
        <f>IFERROR(IF(Table1[[#This Row],[Description:]]&lt;&gt;"", Table1[[#This Row],[Description:]], ""), "")</f>
        <v/>
      </c>
      <c r="B21" s="260"/>
      <c r="C21" s="261" t="str">
        <f>IFERROR(IF(Table1[[#This Row],[Description:]]&lt;&gt;"", Table1[[#This Row],[Duration (Years):]], ""), "")</f>
        <v/>
      </c>
      <c r="D21" s="262" t="str">
        <f>IFERROR(IF(Table1[[#This Row],[Description:]]&lt;&gt;"", Table1[[#This Row],[Frequency:]], ""), "")</f>
        <v/>
      </c>
      <c r="E21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/>
      </c>
      <c r="F21" s="263" t="str">
        <f>IFERROR(IF(Table1[[#This Row],[Description:]]&lt;&gt;"", Table1[[#This Row],[Annual Cost:]], ""), "")</f>
        <v/>
      </c>
      <c r="G21" s="260"/>
    </row>
    <row r="22" spans="1:7" s="192" customFormat="1" x14ac:dyDescent="0.25">
      <c r="A22" s="260" t="str">
        <f>IFERROR(IF(Table1[[#This Row],[Description:]]&lt;&gt;"", Table1[[#This Row],[Description:]], ""), "")</f>
        <v/>
      </c>
      <c r="B22" s="260"/>
      <c r="C22" s="261" t="str">
        <f>IFERROR(IF(Table1[[#This Row],[Description:]]&lt;&gt;"", Table1[[#This Row],[Duration (Years):]], ""), "")</f>
        <v/>
      </c>
      <c r="D22" s="262" t="str">
        <f>IFERROR(IF(Table1[[#This Row],[Description:]]&lt;&gt;"", Table1[[#This Row],[Frequency:]], ""), "")</f>
        <v/>
      </c>
      <c r="E22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/>
      </c>
      <c r="F22" s="263" t="str">
        <f>IFERROR(IF(Table1[[#This Row],[Description:]]&lt;&gt;"", Table1[[#This Row],[Annual Cost:]], ""), "")</f>
        <v/>
      </c>
      <c r="G22" s="260"/>
    </row>
    <row r="23" spans="1:7" s="192" customFormat="1" x14ac:dyDescent="0.25">
      <c r="A23" s="260" t="str">
        <f>IFERROR(IF(Table1[[#This Row],[Description:]]&lt;&gt;"", Table1[[#This Row],[Description:]], ""), "")</f>
        <v/>
      </c>
      <c r="B23" s="260"/>
      <c r="C23" s="261" t="str">
        <f>IFERROR(IF(Table1[[#This Row],[Description:]]&lt;&gt;"", Table1[[#This Row],[Duration (Years):]], ""), "")</f>
        <v/>
      </c>
      <c r="D23" s="262" t="str">
        <f>IFERROR(IF(Table1[[#This Row],[Description:]]&lt;&gt;"", Table1[[#This Row],[Frequency:]], ""), "")</f>
        <v/>
      </c>
      <c r="E23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/>
      </c>
      <c r="F23" s="263" t="str">
        <f>IFERROR(IF(Table1[[#This Row],[Description:]]&lt;&gt;"", Table1[[#This Row],[Annual Cost:]], ""), "")</f>
        <v/>
      </c>
      <c r="G23" s="260"/>
    </row>
    <row r="24" spans="1:7" s="192" customFormat="1" x14ac:dyDescent="0.25">
      <c r="A24" s="260" t="str">
        <f>IFERROR(IF(Table1[[#This Row],[Description:]]&lt;&gt;"", Table1[[#This Row],[Description:]], ""), "")</f>
        <v/>
      </c>
      <c r="B24" s="260"/>
      <c r="C24" s="261" t="str">
        <f>IFERROR(IF(Table1[[#This Row],[Description:]]&lt;&gt;"", Table1[[#This Row],[Duration (Years):]], ""), "")</f>
        <v/>
      </c>
      <c r="D24" s="262" t="str">
        <f>IFERROR(IF(Table1[[#This Row],[Description:]]&lt;&gt;"", Table1[[#This Row],[Frequency:]], ""), "")</f>
        <v/>
      </c>
      <c r="E24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/>
      </c>
      <c r="F24" s="263" t="str">
        <f>IFERROR(IF(Table1[[#This Row],[Description:]]&lt;&gt;"", Table1[[#This Row],[Annual Cost:]], ""), "")</f>
        <v/>
      </c>
      <c r="G24" s="260"/>
    </row>
    <row r="25" spans="1:7" s="192" customFormat="1" x14ac:dyDescent="0.25">
      <c r="A25" s="260" t="str">
        <f>IFERROR(IF(Table1[[#This Row],[Description:]]&lt;&gt;"", Table1[[#This Row],[Description:]], ""), "")</f>
        <v/>
      </c>
      <c r="B25" s="260"/>
      <c r="C25" s="261" t="str">
        <f>IFERROR(IF(Table1[[#This Row],[Description:]]&lt;&gt;"", Table1[[#This Row],[Duration (Years):]], ""), "")</f>
        <v/>
      </c>
      <c r="D25" s="262" t="str">
        <f>IFERROR(IF(Table1[[#This Row],[Description:]]&lt;&gt;"", Table1[[#This Row],[Frequency:]], ""), "")</f>
        <v/>
      </c>
      <c r="E25" s="263" t="str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/>
      </c>
      <c r="F25" s="263" t="str">
        <f>IFERROR(IF(Table1[[#This Row],[Description:]]&lt;&gt;"", Table1[[#This Row],[Annual Cost:]], ""), "")</f>
        <v/>
      </c>
      <c r="G25" s="260"/>
    </row>
    <row r="26" spans="1:7" s="192" customFormat="1" x14ac:dyDescent="0.25">
      <c r="A26" s="260" t="str">
        <f>IFERROR(IF(Table1[[#This Row],[Description:]]&lt;&gt;"", Table1[[#This Row],[Description:]], ""), "")</f>
        <v/>
      </c>
      <c r="B26" s="260"/>
      <c r="C26" s="261" t="str">
        <f>IFERROR(IF(Table1[[#This Row],[Description:]]&lt;&gt;"", Table1[[#This Row],[Duration (Years):]], ""), "")</f>
        <v/>
      </c>
      <c r="D26" s="262" t="str">
        <f>IFERROR(IF(Table1[[#This Row],[Description:]]&lt;&gt;"", Table1[[#This Row],[Frequency:]], ""), "")</f>
        <v/>
      </c>
      <c r="E26" s="263" t="e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#VALUE!</v>
      </c>
      <c r="F26" s="263" t="str">
        <f>IFERROR(IF(Table1[[#This Row],[Description:]]&lt;&gt;"", Table1[[#This Row],[Annual Cost:]], ""), "")</f>
        <v/>
      </c>
      <c r="G26" s="260"/>
    </row>
    <row r="27" spans="1:7" s="192" customFormat="1" x14ac:dyDescent="0.25">
      <c r="A27" s="260" t="str">
        <f>IFERROR(IF(Table1[[#This Row],[Description:]]&lt;&gt;"", Table1[[#This Row],[Description:]], ""), "")</f>
        <v/>
      </c>
      <c r="B27" s="260"/>
      <c r="C27" s="261" t="str">
        <f>IFERROR(IF(Table1[[#This Row],[Description:]]&lt;&gt;"", Table1[[#This Row],[Duration (Years):]], ""), "")</f>
        <v/>
      </c>
      <c r="D27" s="262" t="str">
        <f>IFERROR(IF(Table1[[#This Row],[Description:]]&lt;&gt;"", Table1[[#This Row],[Frequency:]], ""), "")</f>
        <v/>
      </c>
      <c r="E27" s="263" t="e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#VALUE!</v>
      </c>
      <c r="F27" s="263" t="str">
        <f>IFERROR(IF(Table1[[#This Row],[Description:]]&lt;&gt;"", Table1[[#This Row],[Annual Cost:]], ""), "")</f>
        <v/>
      </c>
      <c r="G27" s="260"/>
    </row>
    <row r="28" spans="1:7" s="192" customFormat="1" x14ac:dyDescent="0.25">
      <c r="A28" s="260" t="str">
        <f>IFERROR(IF(Table1[[#This Row],[Description:]]&lt;&gt;"", Table1[[#This Row],[Description:]], ""), "")</f>
        <v/>
      </c>
      <c r="B28" s="260"/>
      <c r="C28" s="261" t="str">
        <f>IFERROR(IF(Table1[[#This Row],[Description:]]&lt;&gt;"", Table1[[#This Row],[Duration (Years):]], ""), "")</f>
        <v/>
      </c>
      <c r="D28" s="262" t="str">
        <f>IFERROR(IF(Table1[[#This Row],[Description:]]&lt;&gt;"", Table1[[#This Row],[Frequency:]], ""), "")</f>
        <v/>
      </c>
      <c r="E28" s="263" t="e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#VALUE!</v>
      </c>
      <c r="F28" s="263" t="str">
        <f>IFERROR(IF(Table1[[#This Row],[Description:]]&lt;&gt;"", Table1[[#This Row],[Annual Cost:]], ""), "")</f>
        <v/>
      </c>
      <c r="G28" s="260"/>
    </row>
    <row r="29" spans="1:7" s="192" customFormat="1" x14ac:dyDescent="0.25">
      <c r="A29" s="260" t="str">
        <f>IFERROR(IF(Table1[[#This Row],[Description:]]&lt;&gt;"", Table1[[#This Row],[Description:]], ""), "")</f>
        <v/>
      </c>
      <c r="B29" s="260"/>
      <c r="C29" s="261" t="str">
        <f>IFERROR(IF(Table1[[#This Row],[Description:]]&lt;&gt;"", Table1[[#This Row],[Duration (Years):]], ""), "")</f>
        <v/>
      </c>
      <c r="D29" s="262" t="str">
        <f>IFERROR(IF(Table1[[#This Row],[Description:]]&lt;&gt;"", Table1[[#This Row],[Frequency:]], ""), "")</f>
        <v/>
      </c>
      <c r="E29" s="263" t="e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#VALUE!</v>
      </c>
      <c r="F29" s="263" t="str">
        <f>IFERROR(IF(Table1[[#This Row],[Description:]]&lt;&gt;"", Table1[[#This Row],[Annual Cost:]], ""), "")</f>
        <v/>
      </c>
      <c r="G29" s="260"/>
    </row>
    <row r="30" spans="1:7" s="192" customFormat="1" x14ac:dyDescent="0.25">
      <c r="A30" s="260" t="str">
        <f>IFERROR(IF(Table1[[#This Row],[Description:]]&lt;&gt;"", Table1[[#This Row],[Description:]], ""), "")</f>
        <v/>
      </c>
      <c r="B30" s="260"/>
      <c r="C30" s="261" t="str">
        <f>IFERROR(IF(Table1[[#This Row],[Description:]]&lt;&gt;"", Table1[[#This Row],[Duration (Years):]], ""), "")</f>
        <v/>
      </c>
      <c r="D30" s="262" t="str">
        <f>IFERROR(IF(Table1[[#This Row],[Description:]]&lt;&gt;"", Table1[[#This Row],[Frequency:]], ""), "")</f>
        <v/>
      </c>
      <c r="E30" s="263" t="e">
        <f>IF(OR(Table1[[#This Row],[Description:]]="", ISBLANK(Table1[[#This Row],[One-Time Cost:]]), ISBLANK(Table1[[#This Row],[Cost:]])), "", IF(Table1[[#This Row],[Time Value:]]="lifetime", CONCATENATE(Table1[[#This Row],[One-Time Cost:]] &amp; "*", CHAR(10), CHAR(10), "(based on ", Table1[[#This Row],[Cost:]], "/unit)"), Table1[[#This Row],[Cost:]]))</f>
        <v>#VALUE!</v>
      </c>
      <c r="F30" s="263" t="str">
        <f>IFERROR(IF(Table1[[#This Row],[Description:]]&lt;&gt;"", Table1[[#This Row],[Annual Cost:]], ""), "")</f>
        <v/>
      </c>
      <c r="G30" s="260"/>
    </row>
    <row r="31" spans="1:7" x14ac:dyDescent="0.25">
      <c r="A31" s="257"/>
      <c r="B31" s="257"/>
      <c r="C31" s="265"/>
      <c r="D31" s="265"/>
      <c r="E31" s="266"/>
      <c r="F31" s="266"/>
      <c r="G31" s="257"/>
    </row>
    <row r="32" spans="1:7" x14ac:dyDescent="0.25">
      <c r="A32" s="257"/>
      <c r="B32" s="257"/>
      <c r="C32" s="257"/>
      <c r="D32" s="267" t="s">
        <v>125</v>
      </c>
      <c r="E32" s="268" t="str">
        <f>Medications!S26</f>
        <v>$336,125.76
 - 
$1,496,082.20</v>
      </c>
      <c r="F32" s="269"/>
      <c r="G32" s="257"/>
    </row>
    <row r="33" spans="1:7" x14ac:dyDescent="0.25">
      <c r="A33" s="257"/>
      <c r="B33" s="257"/>
      <c r="C33" s="257"/>
      <c r="D33" s="267" t="s">
        <v>124</v>
      </c>
      <c r="E33" s="268" t="str">
        <f ca="1">Medications!P26</f>
        <v>$0.00</v>
      </c>
      <c r="F33" s="269"/>
      <c r="G33" s="257"/>
    </row>
    <row r="34" spans="1:7" x14ac:dyDescent="0.25">
      <c r="A34" s="257"/>
      <c r="B34" s="257"/>
      <c r="C34" s="257"/>
      <c r="D34" s="257"/>
      <c r="E34" s="269"/>
      <c r="F34" s="269"/>
      <c r="G34" s="257"/>
    </row>
  </sheetData>
  <mergeCells count="1">
    <mergeCell ref="A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B38B-55AC-4763-ADA0-A93BC162AA3D}">
  <sheetPr codeName="Sheet38"/>
  <dimension ref="A1:I33"/>
  <sheetViews>
    <sheetView workbookViewId="0">
      <selection sqref="A1:G1"/>
    </sheetView>
  </sheetViews>
  <sheetFormatPr defaultRowHeight="15" x14ac:dyDescent="0.25"/>
  <cols>
    <col min="1" max="2" width="18.7109375" style="190" customWidth="1"/>
    <col min="3" max="4" width="10.7109375" style="190" customWidth="1"/>
    <col min="5" max="6" width="13.7109375" style="193" customWidth="1"/>
    <col min="7" max="7" width="18.7109375" style="190" customWidth="1"/>
    <col min="8" max="16384" width="9.140625" style="190"/>
  </cols>
  <sheetData>
    <row r="1" spans="1:9" ht="23.1" customHeight="1" x14ac:dyDescent="0.25">
      <c r="A1" s="353" t="str">
        <f>Injections!A1</f>
        <v>INTERVENTIONAL PAIN MANAGEMENT PROCEDURES</v>
      </c>
      <c r="B1" s="353"/>
      <c r="C1" s="353"/>
      <c r="D1" s="353"/>
      <c r="E1" s="353"/>
      <c r="F1" s="353"/>
      <c r="G1" s="353"/>
    </row>
    <row r="2" spans="1:9" s="191" customFormat="1" ht="18" customHeight="1" x14ac:dyDescent="0.25">
      <c r="A2" s="256" t="s">
        <v>117</v>
      </c>
      <c r="B2" s="256" t="s">
        <v>118</v>
      </c>
      <c r="C2" s="256" t="s">
        <v>119</v>
      </c>
      <c r="D2" s="256" t="s">
        <v>120</v>
      </c>
      <c r="E2" s="258" t="s">
        <v>121</v>
      </c>
      <c r="F2" s="258" t="s">
        <v>122</v>
      </c>
      <c r="G2" s="256" t="s">
        <v>123</v>
      </c>
    </row>
    <row r="3" spans="1:9" s="192" customFormat="1" x14ac:dyDescent="0.25">
      <c r="A3" s="260" t="str">
        <f>IFERROR(IF(Table2[[#This Row],[Description:]]&lt;&gt;"", Table2[[#This Row],[Description:]], ""), "")</f>
        <v/>
      </c>
      <c r="B3" s="260"/>
      <c r="C3" s="261" t="str">
        <f>IFERROR(IF(Table2[[#This Row],[Description:]]&lt;&gt;"", Table2[[#This Row],[Duration (Years):]], ""), "")</f>
        <v/>
      </c>
      <c r="D3" s="262" t="str">
        <f>IFERROR(IF(Table2[[#This Row],[Description:]]&lt;&gt;"", Table2[[#This Row],[Frequency:]], ""), "")</f>
        <v/>
      </c>
      <c r="E3" s="263" t="str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/>
      </c>
      <c r="F3" s="263" t="str">
        <f>IFERROR(IF(Table2[[#This Row],[Description:]]&lt;&gt;"", Table2[[#This Row],[Annual Cost:]], ""), "")</f>
        <v/>
      </c>
      <c r="G3" s="260"/>
    </row>
    <row r="4" spans="1:9" s="192" customFormat="1" x14ac:dyDescent="0.25">
      <c r="A4" s="260" t="str">
        <f>IFERROR(IF(Table2[[#This Row],[Description:]]&lt;&gt;"", Table2[[#This Row],[Description:]], ""), "")</f>
        <v/>
      </c>
      <c r="B4" s="260"/>
      <c r="C4" s="261" t="str">
        <f>IFERROR(IF(Table2[[#This Row],[Description:]]&lt;&gt;"", Table2[[#This Row],[Duration (Years):]], ""), "")</f>
        <v/>
      </c>
      <c r="D4" s="262" t="str">
        <f>IFERROR(IF(Table2[[#This Row],[Description:]]&lt;&gt;"", Table2[[#This Row],[Frequency:]], ""), "")</f>
        <v/>
      </c>
      <c r="E4" s="263" t="str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/>
      </c>
      <c r="F4" s="263" t="str">
        <f>IFERROR(IF(Table2[[#This Row],[Description:]]&lt;&gt;"", Table2[[#This Row],[Annual Cost:]], ""), "")</f>
        <v/>
      </c>
      <c r="G4" s="260"/>
    </row>
    <row r="5" spans="1:9" s="192" customFormat="1" x14ac:dyDescent="0.25">
      <c r="A5" s="260" t="str">
        <f>IFERROR(IF(Table2[[#This Row],[Description:]]&lt;&gt;"", Table2[[#This Row],[Description:]], ""), "")</f>
        <v/>
      </c>
      <c r="B5" s="260"/>
      <c r="C5" s="261" t="str">
        <f>IFERROR(IF(Table2[[#This Row],[Description:]]&lt;&gt;"", Table2[[#This Row],[Duration (Years):]], ""), "")</f>
        <v/>
      </c>
      <c r="D5" s="262" t="str">
        <f>IFERROR(IF(Table2[[#This Row],[Description:]]&lt;&gt;"", Table2[[#This Row],[Frequency:]], ""), "")</f>
        <v/>
      </c>
      <c r="E5" s="263" t="str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/>
      </c>
      <c r="F5" s="263" t="str">
        <f>IFERROR(IF(Table2[[#This Row],[Description:]]&lt;&gt;"", Table2[[#This Row],[Annual Cost:]], ""), "")</f>
        <v/>
      </c>
      <c r="G5" s="260"/>
    </row>
    <row r="6" spans="1:9" s="192" customFormat="1" x14ac:dyDescent="0.25">
      <c r="A6" s="260" t="str">
        <f>IFERROR(IF(Table2[[#This Row],[Description:]]&lt;&gt;"", Table2[[#This Row],[Description:]], ""), "")</f>
        <v/>
      </c>
      <c r="B6" s="260"/>
      <c r="C6" s="261" t="str">
        <f>IFERROR(IF(Table2[[#This Row],[Description:]]&lt;&gt;"", Table2[[#This Row],[Duration (Years):]], ""), "")</f>
        <v/>
      </c>
      <c r="D6" s="262" t="str">
        <f>IFERROR(IF(Table2[[#This Row],[Description:]]&lt;&gt;"", Table2[[#This Row],[Frequency:]], ""), "")</f>
        <v/>
      </c>
      <c r="E6" s="263" t="str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/>
      </c>
      <c r="F6" s="263" t="str">
        <f>IFERROR(IF(Table2[[#This Row],[Description:]]&lt;&gt;"", Table2[[#This Row],[Annual Cost:]], ""), "")</f>
        <v/>
      </c>
      <c r="G6" s="260"/>
    </row>
    <row r="7" spans="1:9" s="192" customFormat="1" x14ac:dyDescent="0.25">
      <c r="A7" s="260" t="str">
        <f>IFERROR(IF(Table2[[#This Row],[Description:]]&lt;&gt;"", Table2[[#This Row],[Description:]], ""), "")</f>
        <v/>
      </c>
      <c r="B7" s="260"/>
      <c r="C7" s="261" t="str">
        <f>IFERROR(IF(Table2[[#This Row],[Description:]]&lt;&gt;"", Table2[[#This Row],[Duration (Years):]], ""), "")</f>
        <v/>
      </c>
      <c r="D7" s="262" t="str">
        <f>IFERROR(IF(Table2[[#This Row],[Description:]]&lt;&gt;"", Table2[[#This Row],[Frequency:]], ""), "")</f>
        <v/>
      </c>
      <c r="E7" s="263" t="str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/>
      </c>
      <c r="F7" s="263" t="str">
        <f>IFERROR(IF(Table2[[#This Row],[Description:]]&lt;&gt;"", Table2[[#This Row],[Annual Cost:]], ""), "")</f>
        <v/>
      </c>
      <c r="G7" s="260"/>
    </row>
    <row r="8" spans="1:9" s="192" customFormat="1" ht="15.75" x14ac:dyDescent="0.25">
      <c r="A8" s="260" t="str">
        <f>IFERROR(IF(Table2[[#This Row],[Description:]]&lt;&gt;"", Table2[[#This Row],[Description:]], ""), "")</f>
        <v/>
      </c>
      <c r="B8" s="260"/>
      <c r="C8" s="261" t="str">
        <f>IFERROR(IF(Table2[[#This Row],[Description:]]&lt;&gt;"", Table2[[#This Row],[Duration (Years):]], ""), "")</f>
        <v/>
      </c>
      <c r="D8" s="262" t="str">
        <f>IFERROR(IF(Table2[[#This Row],[Description:]]&lt;&gt;"", Table2[[#This Row],[Frequency:]], ""), "")</f>
        <v/>
      </c>
      <c r="E8" s="263" t="str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/>
      </c>
      <c r="F8" s="263" t="str">
        <f>IFERROR(IF(Table2[[#This Row],[Description:]]&lt;&gt;"", Table2[[#This Row],[Annual Cost:]], ""), "")</f>
        <v/>
      </c>
      <c r="G8" s="260"/>
      <c r="I8" s="118" t="s">
        <v>140</v>
      </c>
    </row>
    <row r="9" spans="1:9" s="192" customFormat="1" ht="15.75" x14ac:dyDescent="0.25">
      <c r="A9" s="260" t="str">
        <f>IFERROR(IF(Table2[[#This Row],[Description:]]&lt;&gt;"", Table2[[#This Row],[Description:]], ""), "")</f>
        <v/>
      </c>
      <c r="B9" s="260"/>
      <c r="C9" s="261" t="str">
        <f>IFERROR(IF(Table2[[#This Row],[Description:]]&lt;&gt;"", Table2[[#This Row],[Duration (Years):]], ""), "")</f>
        <v/>
      </c>
      <c r="D9" s="262" t="str">
        <f>IFERROR(IF(Table2[[#This Row],[Description:]]&lt;&gt;"", Table2[[#This Row],[Frequency:]], ""), "")</f>
        <v/>
      </c>
      <c r="E9" s="263" t="str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/>
      </c>
      <c r="F9" s="263" t="str">
        <f>IFERROR(IF(Table2[[#This Row],[Description:]]&lt;&gt;"", Table2[[#This Row],[Annual Cost:]], ""), "")</f>
        <v/>
      </c>
      <c r="G9" s="260"/>
      <c r="I9" s="118" t="s">
        <v>141</v>
      </c>
    </row>
    <row r="10" spans="1:9" s="192" customFormat="1" ht="15.75" x14ac:dyDescent="0.25">
      <c r="A10" s="260" t="str">
        <f>IFERROR(IF(Table2[[#This Row],[Description:]]&lt;&gt;"", Table2[[#This Row],[Description:]], ""), "")</f>
        <v/>
      </c>
      <c r="B10" s="260"/>
      <c r="C10" s="261" t="str">
        <f>IFERROR(IF(Table2[[#This Row],[Description:]]&lt;&gt;"", Table2[[#This Row],[Duration (Years):]], ""), "")</f>
        <v/>
      </c>
      <c r="D10" s="262" t="str">
        <f>IFERROR(IF(Table2[[#This Row],[Description:]]&lt;&gt;"", Table2[[#This Row],[Frequency:]], ""), "")</f>
        <v/>
      </c>
      <c r="E10" s="263" t="str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/>
      </c>
      <c r="F10" s="263" t="str">
        <f>IFERROR(IF(Table2[[#This Row],[Description:]]&lt;&gt;"", Table2[[#This Row],[Annual Cost:]], ""), "")</f>
        <v/>
      </c>
      <c r="G10" s="260"/>
      <c r="I10" s="121"/>
    </row>
    <row r="11" spans="1:9" s="192" customFormat="1" ht="15.75" x14ac:dyDescent="0.25">
      <c r="A11" s="260" t="str">
        <f>IFERROR(IF(Table2[[#This Row],[Description:]]&lt;&gt;"", Table2[[#This Row],[Description:]], ""), "")</f>
        <v/>
      </c>
      <c r="B11" s="260"/>
      <c r="C11" s="261" t="str">
        <f>IFERROR(IF(Table2[[#This Row],[Description:]]&lt;&gt;"", Table2[[#This Row],[Duration (Years):]], ""), "")</f>
        <v/>
      </c>
      <c r="D11" s="262" t="str">
        <f>IFERROR(IF(Table2[[#This Row],[Description:]]&lt;&gt;"", Table2[[#This Row],[Frequency:]], ""), "")</f>
        <v/>
      </c>
      <c r="E11" s="263" t="str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/>
      </c>
      <c r="F11" s="263" t="str">
        <f>IFERROR(IF(Table2[[#This Row],[Description:]]&lt;&gt;"", Table2[[#This Row],[Annual Cost:]], ""), "")</f>
        <v/>
      </c>
      <c r="G11" s="260"/>
      <c r="I11" s="118" t="s">
        <v>142</v>
      </c>
    </row>
    <row r="12" spans="1:9" s="192" customFormat="1" ht="15.75" x14ac:dyDescent="0.25">
      <c r="A12" s="260" t="str">
        <f>IFERROR(IF(Table2[[#This Row],[Description:]]&lt;&gt;"", Table2[[#This Row],[Description:]], ""), "")</f>
        <v/>
      </c>
      <c r="B12" s="260"/>
      <c r="C12" s="261" t="str">
        <f>IFERROR(IF(Table2[[#This Row],[Description:]]&lt;&gt;"", Table2[[#This Row],[Duration (Years):]], ""), "")</f>
        <v/>
      </c>
      <c r="D12" s="262" t="str">
        <f>IFERROR(IF(Table2[[#This Row],[Description:]]&lt;&gt;"", Table2[[#This Row],[Frequency:]], ""), "")</f>
        <v/>
      </c>
      <c r="E12" s="263" t="str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/>
      </c>
      <c r="F12" s="263" t="str">
        <f>IFERROR(IF(Table2[[#This Row],[Description:]]&lt;&gt;"", Table2[[#This Row],[Annual Cost:]], ""), "")</f>
        <v/>
      </c>
      <c r="G12" s="260"/>
      <c r="I12" s="118" t="s">
        <v>143</v>
      </c>
    </row>
    <row r="13" spans="1:9" s="192" customFormat="1" x14ac:dyDescent="0.25">
      <c r="A13" s="260" t="str">
        <f>IFERROR(IF(Table2[[#This Row],[Description:]]&lt;&gt;"", Table2[[#This Row],[Description:]], ""), "")</f>
        <v/>
      </c>
      <c r="B13" s="260"/>
      <c r="C13" s="261" t="str">
        <f>IFERROR(IF(Table2[[#This Row],[Description:]]&lt;&gt;"", Table2[[#This Row],[Duration (Years):]], ""), "")</f>
        <v/>
      </c>
      <c r="D13" s="262" t="str">
        <f>IFERROR(IF(Table2[[#This Row],[Description:]]&lt;&gt;"", Table2[[#This Row],[Frequency:]], ""), "")</f>
        <v/>
      </c>
      <c r="E13" s="263" t="str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/>
      </c>
      <c r="F13" s="263" t="str">
        <f>IFERROR(IF(Table2[[#This Row],[Description:]]&lt;&gt;"", Table2[[#This Row],[Annual Cost:]], ""), "")</f>
        <v/>
      </c>
      <c r="G13" s="260"/>
    </row>
    <row r="14" spans="1:9" s="192" customFormat="1" x14ac:dyDescent="0.25">
      <c r="A14" s="260" t="str">
        <f>IFERROR(IF(Table2[[#This Row],[Description:]]&lt;&gt;"", Table2[[#This Row],[Description:]], ""), "")</f>
        <v/>
      </c>
      <c r="B14" s="260"/>
      <c r="C14" s="261" t="str">
        <f>IFERROR(IF(Table2[[#This Row],[Description:]]&lt;&gt;"", Table2[[#This Row],[Duration (Years):]], ""), "")</f>
        <v/>
      </c>
      <c r="D14" s="262" t="str">
        <f>IFERROR(IF(Table2[[#This Row],[Description:]]&lt;&gt;"", Table2[[#This Row],[Frequency:]], ""), "")</f>
        <v/>
      </c>
      <c r="E14" s="263" t="str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/>
      </c>
      <c r="F14" s="263" t="str">
        <f>IFERROR(IF(Table2[[#This Row],[Description:]]&lt;&gt;"", Table2[[#This Row],[Annual Cost:]], ""), "")</f>
        <v/>
      </c>
      <c r="G14" s="260"/>
    </row>
    <row r="15" spans="1:9" s="192" customFormat="1" x14ac:dyDescent="0.25">
      <c r="A15" s="260" t="str">
        <f>IFERROR(IF(Table2[[#This Row],[Description:]]&lt;&gt;"", Table2[[#This Row],[Description:]], ""), "")</f>
        <v/>
      </c>
      <c r="B15" s="260"/>
      <c r="C15" s="261" t="str">
        <f>IFERROR(IF(Table2[[#This Row],[Description:]]&lt;&gt;"", Table2[[#This Row],[Duration (Years):]], ""), "")</f>
        <v/>
      </c>
      <c r="D15" s="262" t="str">
        <f>IFERROR(IF(Table2[[#This Row],[Description:]]&lt;&gt;"", Table2[[#This Row],[Frequency:]], ""), "")</f>
        <v/>
      </c>
      <c r="E15" s="263" t="str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/>
      </c>
      <c r="F15" s="263" t="str">
        <f>IFERROR(IF(Table2[[#This Row],[Description:]]&lt;&gt;"", Table2[[#This Row],[Annual Cost:]], ""), "")</f>
        <v/>
      </c>
      <c r="G15" s="260"/>
    </row>
    <row r="16" spans="1:9" s="192" customFormat="1" x14ac:dyDescent="0.25">
      <c r="A16" s="260" t="str">
        <f>IFERROR(IF(Table2[[#This Row],[Description:]]&lt;&gt;"", Table2[[#This Row],[Description:]], ""), "")</f>
        <v/>
      </c>
      <c r="B16" s="260"/>
      <c r="C16" s="261" t="str">
        <f>IFERROR(IF(Table2[[#This Row],[Description:]]&lt;&gt;"", Table2[[#This Row],[Duration (Years):]], ""), "")</f>
        <v/>
      </c>
      <c r="D16" s="262" t="str">
        <f>IFERROR(IF(Table2[[#This Row],[Description:]]&lt;&gt;"", Table2[[#This Row],[Frequency:]], ""), "")</f>
        <v/>
      </c>
      <c r="E16" s="263" t="e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>#VALUE!</v>
      </c>
      <c r="F16" s="263" t="str">
        <f>IFERROR(IF(Table2[[#This Row],[Description:]]&lt;&gt;"", Table2[[#This Row],[Annual Cost:]], ""), "")</f>
        <v/>
      </c>
      <c r="G16" s="260"/>
    </row>
    <row r="17" spans="1:7" s="192" customFormat="1" x14ac:dyDescent="0.25">
      <c r="A17" s="260" t="str">
        <f>IFERROR(IF(Table2[[#This Row],[Description:]]&lt;&gt;"", Table2[[#This Row],[Description:]], ""), "")</f>
        <v/>
      </c>
      <c r="B17" s="260"/>
      <c r="C17" s="261" t="str">
        <f>IFERROR(IF(Table2[[#This Row],[Description:]]&lt;&gt;"", Table2[[#This Row],[Duration (Years):]], ""), "")</f>
        <v/>
      </c>
      <c r="D17" s="262" t="str">
        <f>IFERROR(IF(Table2[[#This Row],[Description:]]&lt;&gt;"", Table2[[#This Row],[Frequency:]], ""), "")</f>
        <v/>
      </c>
      <c r="E17" s="263" t="e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>#VALUE!</v>
      </c>
      <c r="F17" s="263" t="str">
        <f>IFERROR(IF(Table2[[#This Row],[Description:]]&lt;&gt;"", Table2[[#This Row],[Annual Cost:]], ""), "")</f>
        <v/>
      </c>
      <c r="G17" s="260"/>
    </row>
    <row r="18" spans="1:7" s="192" customFormat="1" x14ac:dyDescent="0.25">
      <c r="A18" s="260" t="str">
        <f>IFERROR(IF(Table2[[#This Row],[Description:]]&lt;&gt;"", Table2[[#This Row],[Description:]], ""), "")</f>
        <v/>
      </c>
      <c r="B18" s="260"/>
      <c r="C18" s="261" t="str">
        <f>IFERROR(IF(Table2[[#This Row],[Description:]]&lt;&gt;"", Table2[[#This Row],[Duration (Years):]], ""), "")</f>
        <v/>
      </c>
      <c r="D18" s="262" t="str">
        <f>IFERROR(IF(Table2[[#This Row],[Description:]]&lt;&gt;"", Table2[[#This Row],[Frequency:]], ""), "")</f>
        <v/>
      </c>
      <c r="E18" s="263" t="e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>#VALUE!</v>
      </c>
      <c r="F18" s="263" t="str">
        <f>IFERROR(IF(Table2[[#This Row],[Description:]]&lt;&gt;"", Table2[[#This Row],[Annual Cost:]], ""), "")</f>
        <v/>
      </c>
      <c r="G18" s="260"/>
    </row>
    <row r="19" spans="1:7" s="192" customFormat="1" x14ac:dyDescent="0.25">
      <c r="A19" s="260" t="str">
        <f>IFERROR(IF(Table2[[#This Row],[Description:]]&lt;&gt;"", Table2[[#This Row],[Description:]], ""), "")</f>
        <v/>
      </c>
      <c r="B19" s="260"/>
      <c r="C19" s="261" t="str">
        <f>IFERROR(IF(Table2[[#This Row],[Description:]]&lt;&gt;"", Table2[[#This Row],[Duration (Years):]], ""), "")</f>
        <v/>
      </c>
      <c r="D19" s="262" t="str">
        <f>IFERROR(IF(Table2[[#This Row],[Description:]]&lt;&gt;"", Table2[[#This Row],[Frequency:]], ""), "")</f>
        <v/>
      </c>
      <c r="E19" s="263" t="e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>#VALUE!</v>
      </c>
      <c r="F19" s="263" t="str">
        <f>IFERROR(IF(Table2[[#This Row],[Description:]]&lt;&gt;"", Table2[[#This Row],[Annual Cost:]], ""), "")</f>
        <v/>
      </c>
      <c r="G19" s="260"/>
    </row>
    <row r="20" spans="1:7" s="192" customFormat="1" x14ac:dyDescent="0.25">
      <c r="A20" s="260" t="str">
        <f>IFERROR(IF(Table2[[#This Row],[Description:]]&lt;&gt;"", Table2[[#This Row],[Description:]], ""), "")</f>
        <v/>
      </c>
      <c r="B20" s="260"/>
      <c r="C20" s="261" t="str">
        <f>IFERROR(IF(Table2[[#This Row],[Description:]]&lt;&gt;"", Table2[[#This Row],[Duration (Years):]], ""), "")</f>
        <v/>
      </c>
      <c r="D20" s="262" t="str">
        <f>IFERROR(IF(Table2[[#This Row],[Description:]]&lt;&gt;"", Table2[[#This Row],[Frequency:]], ""), "")</f>
        <v/>
      </c>
      <c r="E20" s="263" t="e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>#VALUE!</v>
      </c>
      <c r="F20" s="263" t="str">
        <f>IFERROR(IF(Table2[[#This Row],[Description:]]&lt;&gt;"", Table2[[#This Row],[Annual Cost:]], ""), "")</f>
        <v/>
      </c>
      <c r="G20" s="260"/>
    </row>
    <row r="21" spans="1:7" s="192" customFormat="1" x14ac:dyDescent="0.25">
      <c r="A21" s="260" t="str">
        <f>IFERROR(IF(Table2[[#This Row],[Description:]]&lt;&gt;"", Table2[[#This Row],[Description:]], ""), "")</f>
        <v/>
      </c>
      <c r="B21" s="260"/>
      <c r="C21" s="261" t="str">
        <f>IFERROR(IF(Table2[[#This Row],[Description:]]&lt;&gt;"", Table2[[#This Row],[Duration (Years):]], ""), "")</f>
        <v/>
      </c>
      <c r="D21" s="262" t="str">
        <f>IFERROR(IF(Table2[[#This Row],[Description:]]&lt;&gt;"", Table2[[#This Row],[Frequency:]], ""), "")</f>
        <v/>
      </c>
      <c r="E21" s="263" t="e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>#VALUE!</v>
      </c>
      <c r="F21" s="263" t="str">
        <f>IFERROR(IF(Table2[[#This Row],[Description:]]&lt;&gt;"", Table2[[#This Row],[Annual Cost:]], ""), "")</f>
        <v/>
      </c>
      <c r="G21" s="260"/>
    </row>
    <row r="22" spans="1:7" s="192" customFormat="1" x14ac:dyDescent="0.25">
      <c r="A22" s="260" t="str">
        <f>IFERROR(IF(Table2[[#This Row],[Description:]]&lt;&gt;"", Table2[[#This Row],[Description:]], ""), "")</f>
        <v/>
      </c>
      <c r="B22" s="260"/>
      <c r="C22" s="261" t="str">
        <f>IFERROR(IF(Table2[[#This Row],[Description:]]&lt;&gt;"", Table2[[#This Row],[Duration (Years):]], ""), "")</f>
        <v/>
      </c>
      <c r="D22" s="262" t="str">
        <f>IFERROR(IF(Table2[[#This Row],[Description:]]&lt;&gt;"", Table2[[#This Row],[Frequency:]], ""), "")</f>
        <v/>
      </c>
      <c r="E22" s="263" t="e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>#VALUE!</v>
      </c>
      <c r="F22" s="263" t="str">
        <f>IFERROR(IF(Table2[[#This Row],[Description:]]&lt;&gt;"", Table2[[#This Row],[Annual Cost:]], ""), "")</f>
        <v/>
      </c>
      <c r="G22" s="260"/>
    </row>
    <row r="23" spans="1:7" s="192" customFormat="1" x14ac:dyDescent="0.25">
      <c r="A23" s="260" t="str">
        <f>IFERROR(IF(Table2[[#This Row],[Description:]]&lt;&gt;"", Table2[[#This Row],[Description:]], ""), "")</f>
        <v/>
      </c>
      <c r="B23" s="260"/>
      <c r="C23" s="261" t="str">
        <f>IFERROR(IF(Table2[[#This Row],[Description:]]&lt;&gt;"", Table2[[#This Row],[Duration (Years):]], ""), "")</f>
        <v/>
      </c>
      <c r="D23" s="262" t="str">
        <f>IFERROR(IF(Table2[[#This Row],[Description:]]&lt;&gt;"", Table2[[#This Row],[Frequency:]], ""), "")</f>
        <v/>
      </c>
      <c r="E23" s="263" t="e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>#VALUE!</v>
      </c>
      <c r="F23" s="263" t="str">
        <f>IFERROR(IF(Table2[[#This Row],[Description:]]&lt;&gt;"", Table2[[#This Row],[Annual Cost:]], ""), "")</f>
        <v/>
      </c>
      <c r="G23" s="260"/>
    </row>
    <row r="24" spans="1:7" s="192" customFormat="1" x14ac:dyDescent="0.25">
      <c r="A24" s="260" t="str">
        <f>IFERROR(IF(Table2[[#This Row],[Description:]]&lt;&gt;"", Table2[[#This Row],[Description:]], ""), "")</f>
        <v/>
      </c>
      <c r="B24" s="260"/>
      <c r="C24" s="261" t="str">
        <f>IFERROR(IF(Table2[[#This Row],[Description:]]&lt;&gt;"", Table2[[#This Row],[Duration (Years):]], ""), "")</f>
        <v/>
      </c>
      <c r="D24" s="262" t="str">
        <f>IFERROR(IF(Table2[[#This Row],[Description:]]&lt;&gt;"", Table2[[#This Row],[Frequency:]], ""), "")</f>
        <v/>
      </c>
      <c r="E24" s="263" t="e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>#VALUE!</v>
      </c>
      <c r="F24" s="263" t="str">
        <f>IFERROR(IF(Table2[[#This Row],[Description:]]&lt;&gt;"", Table2[[#This Row],[Annual Cost:]], ""), "")</f>
        <v/>
      </c>
      <c r="G24" s="260"/>
    </row>
    <row r="25" spans="1:7" s="192" customFormat="1" x14ac:dyDescent="0.25">
      <c r="A25" s="260" t="str">
        <f>IFERROR(IF(Table2[[#This Row],[Description:]]&lt;&gt;"", Table2[[#This Row],[Description:]], ""), "")</f>
        <v/>
      </c>
      <c r="B25" s="260"/>
      <c r="C25" s="261" t="str">
        <f>IFERROR(IF(Table2[[#This Row],[Description:]]&lt;&gt;"", Table2[[#This Row],[Duration (Years):]], ""), "")</f>
        <v/>
      </c>
      <c r="D25" s="262" t="str">
        <f>IFERROR(IF(Table2[[#This Row],[Description:]]&lt;&gt;"", Table2[[#This Row],[Frequency:]], ""), "")</f>
        <v/>
      </c>
      <c r="E25" s="263" t="e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>#VALUE!</v>
      </c>
      <c r="F25" s="263" t="str">
        <f>IFERROR(IF(Table2[[#This Row],[Description:]]&lt;&gt;"", Table2[[#This Row],[Annual Cost:]], ""), "")</f>
        <v/>
      </c>
      <c r="G25" s="260"/>
    </row>
    <row r="26" spans="1:7" s="192" customFormat="1" x14ac:dyDescent="0.25">
      <c r="A26" s="260" t="str">
        <f>IFERROR(IF(Table2[[#This Row],[Description:]]&lt;&gt;"", Table2[[#This Row],[Description:]], ""), "")</f>
        <v/>
      </c>
      <c r="B26" s="260"/>
      <c r="C26" s="261" t="str">
        <f>IFERROR(IF(Table2[[#This Row],[Description:]]&lt;&gt;"", Table2[[#This Row],[Duration (Years):]], ""), "")</f>
        <v/>
      </c>
      <c r="D26" s="262" t="str">
        <f>IFERROR(IF(Table2[[#This Row],[Description:]]&lt;&gt;"", Table2[[#This Row],[Frequency:]], ""), "")</f>
        <v/>
      </c>
      <c r="E26" s="263" t="e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>#VALUE!</v>
      </c>
      <c r="F26" s="263" t="str">
        <f>IFERROR(IF(Table2[[#This Row],[Description:]]&lt;&gt;"", Table2[[#This Row],[Annual Cost:]], ""), "")</f>
        <v/>
      </c>
      <c r="G26" s="260"/>
    </row>
    <row r="27" spans="1:7" s="192" customFormat="1" x14ac:dyDescent="0.25">
      <c r="A27" s="260" t="str">
        <f>IFERROR(IF(Table2[[#This Row],[Description:]]&lt;&gt;"", Table2[[#This Row],[Description:]], ""), "")</f>
        <v/>
      </c>
      <c r="B27" s="260"/>
      <c r="C27" s="261" t="str">
        <f>IFERROR(IF(Table2[[#This Row],[Description:]]&lt;&gt;"", Table2[[#This Row],[Duration (Years):]], ""), "")</f>
        <v/>
      </c>
      <c r="D27" s="262" t="str">
        <f>IFERROR(IF(Table2[[#This Row],[Description:]]&lt;&gt;"", Table2[[#This Row],[Frequency:]], ""), "")</f>
        <v/>
      </c>
      <c r="E27" s="263" t="e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>#VALUE!</v>
      </c>
      <c r="F27" s="263" t="str">
        <f>IFERROR(IF(Table2[[#This Row],[Description:]]&lt;&gt;"", Table2[[#This Row],[Annual Cost:]], ""), "")</f>
        <v/>
      </c>
      <c r="G27" s="260"/>
    </row>
    <row r="28" spans="1:7" s="192" customFormat="1" x14ac:dyDescent="0.25">
      <c r="A28" s="260" t="str">
        <f>IFERROR(IF(Table2[[#This Row],[Description:]]&lt;&gt;"", Table2[[#This Row],[Description:]], ""), "")</f>
        <v/>
      </c>
      <c r="B28" s="260"/>
      <c r="C28" s="261" t="str">
        <f>IFERROR(IF(Table2[[#This Row],[Description:]]&lt;&gt;"", Table2[[#This Row],[Duration (Years):]], ""), "")</f>
        <v/>
      </c>
      <c r="D28" s="262" t="str">
        <f>IFERROR(IF(Table2[[#This Row],[Description:]]&lt;&gt;"", Table2[[#This Row],[Frequency:]], ""), "")</f>
        <v/>
      </c>
      <c r="E28" s="263" t="e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>#VALUE!</v>
      </c>
      <c r="F28" s="263" t="str">
        <f>IFERROR(IF(Table2[[#This Row],[Description:]]&lt;&gt;"", Table2[[#This Row],[Annual Cost:]], ""), "")</f>
        <v/>
      </c>
      <c r="G28" s="260"/>
    </row>
    <row r="29" spans="1:7" s="192" customFormat="1" x14ac:dyDescent="0.25">
      <c r="A29" s="260" t="str">
        <f>IFERROR(IF(Table2[[#This Row],[Description:]]&lt;&gt;"", Table2[[#This Row],[Description:]], ""), "")</f>
        <v/>
      </c>
      <c r="B29" s="260"/>
      <c r="C29" s="261" t="str">
        <f>IFERROR(IF(Table2[[#This Row],[Description:]]&lt;&gt;"", Table2[[#This Row],[Duration (Years):]], ""), "")</f>
        <v/>
      </c>
      <c r="D29" s="262" t="str">
        <f>IFERROR(IF(Table2[[#This Row],[Description:]]&lt;&gt;"", Table2[[#This Row],[Frequency:]], ""), "")</f>
        <v/>
      </c>
      <c r="E29" s="263" t="e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>#VALUE!</v>
      </c>
      <c r="F29" s="263" t="str">
        <f>IFERROR(IF(Table2[[#This Row],[Description:]]&lt;&gt;"", Table2[[#This Row],[Annual Cost:]], ""), "")</f>
        <v/>
      </c>
      <c r="G29" s="260"/>
    </row>
    <row r="30" spans="1:7" s="192" customFormat="1" x14ac:dyDescent="0.25">
      <c r="A30" s="260" t="str">
        <f>IFERROR(IF(Table2[[#This Row],[Description:]]&lt;&gt;"", Table2[[#This Row],[Description:]], ""), "")</f>
        <v/>
      </c>
      <c r="B30" s="260"/>
      <c r="C30" s="261" t="str">
        <f>IFERROR(IF(Table2[[#This Row],[Description:]]&lt;&gt;"", Table2[[#This Row],[Duration (Years):]], ""), "")</f>
        <v/>
      </c>
      <c r="D30" s="262" t="str">
        <f>IFERROR(IF(Table2[[#This Row],[Description:]]&lt;&gt;"", Table2[[#This Row],[Frequency:]], ""), "")</f>
        <v/>
      </c>
      <c r="E30" s="263" t="e">
        <f>IF(OR(Table2[[#This Row],[Description:]]="", ISBLANK(Table2[[#This Row],[One-Time Cost:]]), ISBLANK(Table2[[#This Row],[Cost:]])), "", IF(Table2[[#This Row],[Time Value:]]="lifetime", CONCATENATE(Table2[[#This Row],[One-Time Cost:]] &amp; "*", CHAR(10), CHAR(10), "(based on ", Table2[[#This Row],[Cost:]], "/unit)"), Table2[[#This Row],[Cost:]]))</f>
        <v>#VALUE!</v>
      </c>
      <c r="F30" s="263" t="str">
        <f>IFERROR(IF(Table2[[#This Row],[Description:]]&lt;&gt;"", Table2[[#This Row],[Annual Cost:]], ""), "")</f>
        <v/>
      </c>
      <c r="G30" s="260"/>
    </row>
    <row r="31" spans="1:7" x14ac:dyDescent="0.25">
      <c r="A31" s="257"/>
      <c r="B31" s="257"/>
      <c r="C31" s="265"/>
      <c r="D31" s="265"/>
      <c r="E31" s="266"/>
      <c r="F31" s="266"/>
      <c r="G31" s="257"/>
    </row>
    <row r="32" spans="1:7" x14ac:dyDescent="0.25">
      <c r="A32" s="257"/>
      <c r="B32" s="257"/>
      <c r="C32" s="257"/>
      <c r="D32" s="267" t="s">
        <v>125</v>
      </c>
      <c r="E32" s="268" t="str">
        <f>Injections!S16</f>
        <v>$0.00</v>
      </c>
      <c r="F32" s="269"/>
      <c r="G32" s="257"/>
    </row>
    <row r="33" spans="1:7" x14ac:dyDescent="0.25">
      <c r="A33" s="257"/>
      <c r="B33" s="257"/>
      <c r="C33" s="257"/>
      <c r="D33" s="267" t="s">
        <v>124</v>
      </c>
      <c r="E33" s="268" t="str">
        <f ca="1">Injections!P16</f>
        <v>$0.00</v>
      </c>
      <c r="F33" s="269"/>
      <c r="G33" s="257"/>
    </row>
  </sheetData>
  <mergeCells count="1">
    <mergeCell ref="A1:G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9077-1B6F-4FA9-94A2-836712FD7FAC}">
  <sheetPr codeName="Sheet39"/>
  <dimension ref="A1:I33"/>
  <sheetViews>
    <sheetView workbookViewId="0">
      <selection sqref="A1:G1"/>
    </sheetView>
  </sheetViews>
  <sheetFormatPr defaultRowHeight="15" x14ac:dyDescent="0.25"/>
  <cols>
    <col min="1" max="2" width="18.7109375" style="190" customWidth="1"/>
    <col min="3" max="4" width="10.7109375" style="190" customWidth="1"/>
    <col min="5" max="6" width="13.7109375" style="193" customWidth="1"/>
    <col min="7" max="7" width="18.7109375" style="190" customWidth="1"/>
    <col min="8" max="16384" width="9.140625" style="190"/>
  </cols>
  <sheetData>
    <row r="1" spans="1:9" ht="23.1" customHeight="1" x14ac:dyDescent="0.25">
      <c r="A1" s="353" t="str">
        <f>Prostheses!A1</f>
        <v>PROSTHETICS / ORTHOTICS</v>
      </c>
      <c r="B1" s="353"/>
      <c r="C1" s="353"/>
      <c r="D1" s="353"/>
      <c r="E1" s="353"/>
      <c r="F1" s="353"/>
      <c r="G1" s="353"/>
    </row>
    <row r="2" spans="1:9" s="191" customFormat="1" ht="18" customHeight="1" x14ac:dyDescent="0.25">
      <c r="A2" s="256" t="s">
        <v>117</v>
      </c>
      <c r="B2" s="256" t="s">
        <v>118</v>
      </c>
      <c r="C2" s="256" t="s">
        <v>119</v>
      </c>
      <c r="D2" s="256" t="s">
        <v>120</v>
      </c>
      <c r="E2" s="258" t="s">
        <v>121</v>
      </c>
      <c r="F2" s="258" t="s">
        <v>122</v>
      </c>
      <c r="G2" s="256" t="s">
        <v>123</v>
      </c>
    </row>
    <row r="3" spans="1:9" s="192" customFormat="1" x14ac:dyDescent="0.25">
      <c r="A3" s="260" t="str">
        <f>IFERROR(IF(Table4[[#This Row],[Description:]]&lt;&gt;"", Table4[[#This Row],[Description:]], ""), "")</f>
        <v/>
      </c>
      <c r="B3" s="260"/>
      <c r="C3" s="261" t="str">
        <f>IFERROR(IF(Table4[[#This Row],[Description:]]&lt;&gt;"", Table4[[#This Row],[Duration (Years):]], ""), "")</f>
        <v/>
      </c>
      <c r="D3" s="262" t="str">
        <f>IFERROR(IF(Table4[[#This Row],[Description:]]&lt;&gt;"", Table4[[#This Row],[Frequency:]], ""), "")</f>
        <v/>
      </c>
      <c r="E3" s="263" t="str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/>
      </c>
      <c r="F3" s="263" t="str">
        <f>IFERROR(IF(Table4[[#This Row],[Description:]]&lt;&gt;"", Table4[[#This Row],[Annual Cost:]], ""), "")</f>
        <v/>
      </c>
      <c r="G3" s="260"/>
    </row>
    <row r="4" spans="1:9" s="192" customFormat="1" ht="21.75" customHeight="1" x14ac:dyDescent="0.25">
      <c r="A4" s="260" t="str">
        <f>IFERROR(IF(Table4[[#This Row],[Description:]]&lt;&gt;"", Table4[[#This Row],[Description:]], ""), "")</f>
        <v/>
      </c>
      <c r="B4" s="260"/>
      <c r="C4" s="261" t="str">
        <f>IFERROR(IF(Table4[[#This Row],[Description:]]&lt;&gt;"", Table4[[#This Row],[Duration (Years):]], ""), "")</f>
        <v/>
      </c>
      <c r="D4" s="262" t="str">
        <f>IFERROR(IF(Table4[[#This Row],[Description:]]&lt;&gt;"", Table4[[#This Row],[Frequency:]], ""), "")</f>
        <v/>
      </c>
      <c r="E4" s="263" t="str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/>
      </c>
      <c r="F4" s="263" t="str">
        <f>IFERROR(IF(Table4[[#This Row],[Description:]]&lt;&gt;"", Table4[[#This Row],[Annual Cost:]], ""), "")</f>
        <v/>
      </c>
      <c r="G4" s="260"/>
    </row>
    <row r="5" spans="1:9" s="192" customFormat="1" x14ac:dyDescent="0.25">
      <c r="A5" s="260" t="str">
        <f>IFERROR(IF(Table4[[#This Row],[Description:]]&lt;&gt;"", Table4[[#This Row],[Description:]], ""), "")</f>
        <v/>
      </c>
      <c r="B5" s="260"/>
      <c r="C5" s="261" t="str">
        <f>IFERROR(IF(Table4[[#This Row],[Description:]]&lt;&gt;"", Table4[[#This Row],[Duration (Years):]], ""), "")</f>
        <v/>
      </c>
      <c r="D5" s="262" t="str">
        <f>IFERROR(IF(Table4[[#This Row],[Description:]]&lt;&gt;"", Table4[[#This Row],[Frequency:]], ""), "")</f>
        <v/>
      </c>
      <c r="E5" s="263" t="str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/>
      </c>
      <c r="F5" s="263" t="str">
        <f>IFERROR(IF(Table4[[#This Row],[Description:]]&lt;&gt;"", Table4[[#This Row],[Annual Cost:]], ""), "")</f>
        <v/>
      </c>
      <c r="G5" s="260"/>
    </row>
    <row r="6" spans="1:9" s="192" customFormat="1" ht="15.75" x14ac:dyDescent="0.25">
      <c r="A6" s="260" t="str">
        <f>IFERROR(IF(Table4[[#This Row],[Description:]]&lt;&gt;"", Table4[[#This Row],[Description:]], ""), "")</f>
        <v/>
      </c>
      <c r="B6" s="260"/>
      <c r="C6" s="261" t="str">
        <f>IFERROR(IF(Table4[[#This Row],[Description:]]&lt;&gt;"", Table4[[#This Row],[Duration (Years):]], ""), "")</f>
        <v/>
      </c>
      <c r="D6" s="262" t="str">
        <f>IFERROR(IF(Table4[[#This Row],[Description:]]&lt;&gt;"", Table4[[#This Row],[Frequency:]], ""), "")</f>
        <v/>
      </c>
      <c r="E6" s="263" t="str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/>
      </c>
      <c r="F6" s="263" t="str">
        <f>IFERROR(IF(Table4[[#This Row],[Description:]]&lt;&gt;"", Table4[[#This Row],[Annual Cost:]], ""), "")</f>
        <v/>
      </c>
      <c r="G6" s="260"/>
      <c r="I6" s="118" t="s">
        <v>140</v>
      </c>
    </row>
    <row r="7" spans="1:9" s="192" customFormat="1" ht="15.75" x14ac:dyDescent="0.25">
      <c r="A7" s="260" t="str">
        <f>IFERROR(IF(Table4[[#This Row],[Description:]]&lt;&gt;"", Table4[[#This Row],[Description:]], ""), "")</f>
        <v/>
      </c>
      <c r="B7" s="260"/>
      <c r="C7" s="261" t="str">
        <f>IFERROR(IF(Table4[[#This Row],[Description:]]&lt;&gt;"", Table4[[#This Row],[Duration (Years):]], ""), "")</f>
        <v/>
      </c>
      <c r="D7" s="262" t="str">
        <f>IFERROR(IF(Table4[[#This Row],[Description:]]&lt;&gt;"", Table4[[#This Row],[Frequency:]], ""), "")</f>
        <v/>
      </c>
      <c r="E7" s="263" t="str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/>
      </c>
      <c r="F7" s="263" t="str">
        <f>IFERROR(IF(Table4[[#This Row],[Description:]]&lt;&gt;"", Table4[[#This Row],[Annual Cost:]], ""), "")</f>
        <v/>
      </c>
      <c r="G7" s="260"/>
      <c r="I7" s="118" t="s">
        <v>141</v>
      </c>
    </row>
    <row r="8" spans="1:9" s="192" customFormat="1" ht="15.75" x14ac:dyDescent="0.25">
      <c r="A8" s="260" t="str">
        <f>IFERROR(IF(Table4[[#This Row],[Description:]]&lt;&gt;"", Table4[[#This Row],[Description:]], ""), "")</f>
        <v/>
      </c>
      <c r="B8" s="260"/>
      <c r="C8" s="261" t="str">
        <f>IFERROR(IF(Table4[[#This Row],[Description:]]&lt;&gt;"", Table4[[#This Row],[Duration (Years):]], ""), "")</f>
        <v/>
      </c>
      <c r="D8" s="262" t="str">
        <f>IFERROR(IF(Table4[[#This Row],[Description:]]&lt;&gt;"", Table4[[#This Row],[Frequency:]], ""), "")</f>
        <v/>
      </c>
      <c r="E8" s="263" t="str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/>
      </c>
      <c r="F8" s="263" t="str">
        <f>IFERROR(IF(Table4[[#This Row],[Description:]]&lt;&gt;"", Table4[[#This Row],[Annual Cost:]], ""), "")</f>
        <v/>
      </c>
      <c r="G8" s="260"/>
      <c r="I8" s="121"/>
    </row>
    <row r="9" spans="1:9" s="192" customFormat="1" ht="15.75" x14ac:dyDescent="0.25">
      <c r="A9" s="260" t="str">
        <f>IFERROR(IF(Table4[[#This Row],[Description:]]&lt;&gt;"", Table4[[#This Row],[Description:]], ""), "")</f>
        <v/>
      </c>
      <c r="B9" s="260"/>
      <c r="C9" s="261" t="str">
        <f>IFERROR(IF(Table4[[#This Row],[Description:]]&lt;&gt;"", Table4[[#This Row],[Duration (Years):]], ""), "")</f>
        <v/>
      </c>
      <c r="D9" s="262" t="str">
        <f>IFERROR(IF(Table4[[#This Row],[Description:]]&lt;&gt;"", Table4[[#This Row],[Frequency:]], ""), "")</f>
        <v/>
      </c>
      <c r="E9" s="263" t="str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/>
      </c>
      <c r="F9" s="263" t="str">
        <f>IFERROR(IF(Table4[[#This Row],[Description:]]&lt;&gt;"", Table4[[#This Row],[Annual Cost:]], ""), "")</f>
        <v/>
      </c>
      <c r="G9" s="260"/>
      <c r="I9" s="118" t="s">
        <v>142</v>
      </c>
    </row>
    <row r="10" spans="1:9" s="192" customFormat="1" ht="15.75" x14ac:dyDescent="0.25">
      <c r="A10" s="260" t="str">
        <f>IFERROR(IF(Table4[[#This Row],[Description:]]&lt;&gt;"", Table4[[#This Row],[Description:]], ""), "")</f>
        <v/>
      </c>
      <c r="B10" s="260"/>
      <c r="C10" s="261" t="str">
        <f>IFERROR(IF(Table4[[#This Row],[Description:]]&lt;&gt;"", Table4[[#This Row],[Duration (Years):]], ""), "")</f>
        <v/>
      </c>
      <c r="D10" s="262" t="str">
        <f>IFERROR(IF(Table4[[#This Row],[Description:]]&lt;&gt;"", Table4[[#This Row],[Frequency:]], ""), "")</f>
        <v/>
      </c>
      <c r="E10" s="263" t="str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/>
      </c>
      <c r="F10" s="263" t="str">
        <f>IFERROR(IF(Table4[[#This Row],[Description:]]&lt;&gt;"", Table4[[#This Row],[Annual Cost:]], ""), "")</f>
        <v/>
      </c>
      <c r="G10" s="260"/>
      <c r="I10" s="118" t="s">
        <v>143</v>
      </c>
    </row>
    <row r="11" spans="1:9" s="192" customFormat="1" x14ac:dyDescent="0.25">
      <c r="A11" s="260" t="str">
        <f>IFERROR(IF(Table4[[#This Row],[Description:]]&lt;&gt;"", Table4[[#This Row],[Description:]], ""), "")</f>
        <v/>
      </c>
      <c r="B11" s="260"/>
      <c r="C11" s="261" t="str">
        <f>IFERROR(IF(Table4[[#This Row],[Description:]]&lt;&gt;"", Table4[[#This Row],[Duration (Years):]], ""), "")</f>
        <v/>
      </c>
      <c r="D11" s="262" t="str">
        <f>IFERROR(IF(Table4[[#This Row],[Description:]]&lt;&gt;"", Table4[[#This Row],[Frequency:]], ""), "")</f>
        <v/>
      </c>
      <c r="E11" s="263" t="str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/>
      </c>
      <c r="F11" s="263" t="str">
        <f>IFERROR(IF(Table4[[#This Row],[Description:]]&lt;&gt;"", Table4[[#This Row],[Annual Cost:]], ""), "")</f>
        <v/>
      </c>
      <c r="G11" s="260"/>
    </row>
    <row r="12" spans="1:9" s="192" customFormat="1" x14ac:dyDescent="0.25">
      <c r="A12" s="260" t="str">
        <f>IFERROR(IF(Table4[[#This Row],[Description:]]&lt;&gt;"", Table4[[#This Row],[Description:]], ""), "")</f>
        <v/>
      </c>
      <c r="B12" s="260"/>
      <c r="C12" s="261" t="str">
        <f>IFERROR(IF(Table4[[#This Row],[Description:]]&lt;&gt;"", Table4[[#This Row],[Duration (Years):]], ""), "")</f>
        <v/>
      </c>
      <c r="D12" s="262" t="str">
        <f>IFERROR(IF(Table4[[#This Row],[Description:]]&lt;&gt;"", Table4[[#This Row],[Frequency:]], ""), "")</f>
        <v/>
      </c>
      <c r="E12" s="263" t="str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/>
      </c>
      <c r="F12" s="263" t="str">
        <f>IFERROR(IF(Table4[[#This Row],[Description:]]&lt;&gt;"", Table4[[#This Row],[Annual Cost:]], ""), "")</f>
        <v/>
      </c>
      <c r="G12" s="260"/>
    </row>
    <row r="13" spans="1:9" s="192" customFormat="1" x14ac:dyDescent="0.25">
      <c r="A13" s="260" t="str">
        <f>IFERROR(IF(Table4[[#This Row],[Description:]]&lt;&gt;"", Table4[[#This Row],[Description:]], ""), "")</f>
        <v/>
      </c>
      <c r="B13" s="260"/>
      <c r="C13" s="261" t="str">
        <f>IFERROR(IF(Table4[[#This Row],[Description:]]&lt;&gt;"", Table4[[#This Row],[Duration (Years):]], ""), "")</f>
        <v/>
      </c>
      <c r="D13" s="262" t="str">
        <f>IFERROR(IF(Table4[[#This Row],[Description:]]&lt;&gt;"", Table4[[#This Row],[Frequency:]], ""), "")</f>
        <v/>
      </c>
      <c r="E13" s="263" t="str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/>
      </c>
      <c r="F13" s="263" t="str">
        <f>IFERROR(IF(Table4[[#This Row],[Description:]]&lt;&gt;"", Table4[[#This Row],[Annual Cost:]], ""), "")</f>
        <v/>
      </c>
      <c r="G13" s="260"/>
    </row>
    <row r="14" spans="1:9" s="192" customFormat="1" x14ac:dyDescent="0.25">
      <c r="A14" s="260" t="str">
        <f>IFERROR(IF(Table4[[#This Row],[Description:]]&lt;&gt;"", Table4[[#This Row],[Description:]], ""), "")</f>
        <v/>
      </c>
      <c r="B14" s="260"/>
      <c r="C14" s="261" t="str">
        <f>IFERROR(IF(Table4[[#This Row],[Description:]]&lt;&gt;"", Table4[[#This Row],[Duration (Years):]], ""), "")</f>
        <v/>
      </c>
      <c r="D14" s="262" t="str">
        <f>IFERROR(IF(Table4[[#This Row],[Description:]]&lt;&gt;"", Table4[[#This Row],[Frequency:]], ""), "")</f>
        <v/>
      </c>
      <c r="E14" s="263" t="str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/>
      </c>
      <c r="F14" s="263" t="str">
        <f>IFERROR(IF(Table4[[#This Row],[Description:]]&lt;&gt;"", Table4[[#This Row],[Annual Cost:]], ""), "")</f>
        <v/>
      </c>
      <c r="G14" s="260"/>
    </row>
    <row r="15" spans="1:9" s="192" customFormat="1" x14ac:dyDescent="0.25">
      <c r="A15" s="260" t="str">
        <f>IFERROR(IF(Table4[[#This Row],[Description:]]&lt;&gt;"", Table4[[#This Row],[Description:]], ""), "")</f>
        <v/>
      </c>
      <c r="B15" s="260"/>
      <c r="C15" s="261" t="str">
        <f>IFERROR(IF(Table4[[#This Row],[Description:]]&lt;&gt;"", Table4[[#This Row],[Duration (Years):]], ""), "")</f>
        <v/>
      </c>
      <c r="D15" s="262" t="str">
        <f>IFERROR(IF(Table4[[#This Row],[Description:]]&lt;&gt;"", Table4[[#This Row],[Frequency:]], ""), "")</f>
        <v/>
      </c>
      <c r="E15" s="263" t="str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/>
      </c>
      <c r="F15" s="263" t="str">
        <f>IFERROR(IF(Table4[[#This Row],[Description:]]&lt;&gt;"", Table4[[#This Row],[Annual Cost:]], ""), "")</f>
        <v/>
      </c>
      <c r="G15" s="260"/>
    </row>
    <row r="16" spans="1:9" s="192" customFormat="1" x14ac:dyDescent="0.25">
      <c r="A16" s="260" t="str">
        <f>IFERROR(IF(Table4[[#This Row],[Description:]]&lt;&gt;"", Table4[[#This Row],[Description:]], ""), "")</f>
        <v/>
      </c>
      <c r="B16" s="260"/>
      <c r="C16" s="261" t="str">
        <f>IFERROR(IF(Table4[[#This Row],[Description:]]&lt;&gt;"", Table4[[#This Row],[Duration (Years):]], ""), "")</f>
        <v/>
      </c>
      <c r="D16" s="262" t="str">
        <f>IFERROR(IF(Table4[[#This Row],[Description:]]&lt;&gt;"", Table4[[#This Row],[Frequency:]], ""), "")</f>
        <v/>
      </c>
      <c r="E16" s="263" t="str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/>
      </c>
      <c r="F16" s="263" t="str">
        <f>IFERROR(IF(Table4[[#This Row],[Description:]]&lt;&gt;"", Table4[[#This Row],[Annual Cost:]], ""), "")</f>
        <v/>
      </c>
      <c r="G16" s="260"/>
    </row>
    <row r="17" spans="1:7" s="192" customFormat="1" x14ac:dyDescent="0.25">
      <c r="A17" s="260" t="str">
        <f>IFERROR(IF(Table4[[#This Row],[Description:]]&lt;&gt;"", Table4[[#This Row],[Description:]], ""), "")</f>
        <v/>
      </c>
      <c r="B17" s="260"/>
      <c r="C17" s="261" t="str">
        <f>IFERROR(IF(Table4[[#This Row],[Description:]]&lt;&gt;"", Table4[[#This Row],[Duration (Years):]], ""), "")</f>
        <v/>
      </c>
      <c r="D17" s="262" t="str">
        <f>IFERROR(IF(Table4[[#This Row],[Description:]]&lt;&gt;"", Table4[[#This Row],[Frequency:]], ""), "")</f>
        <v/>
      </c>
      <c r="E17" s="263" t="str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/>
      </c>
      <c r="F17" s="263" t="str">
        <f>IFERROR(IF(Table4[[#This Row],[Description:]]&lt;&gt;"", Table4[[#This Row],[Annual Cost:]], ""), "")</f>
        <v/>
      </c>
      <c r="G17" s="260"/>
    </row>
    <row r="18" spans="1:7" s="192" customFormat="1" x14ac:dyDescent="0.25">
      <c r="A18" s="260" t="str">
        <f>IFERROR(IF(Table4[[#This Row],[Description:]]&lt;&gt;"", Table4[[#This Row],[Description:]], ""), "")</f>
        <v/>
      </c>
      <c r="B18" s="260"/>
      <c r="C18" s="261" t="str">
        <f>IFERROR(IF(Table4[[#This Row],[Description:]]&lt;&gt;"", Table4[[#This Row],[Duration (Years):]], ""), "")</f>
        <v/>
      </c>
      <c r="D18" s="262" t="str">
        <f>IFERROR(IF(Table4[[#This Row],[Description:]]&lt;&gt;"", Table4[[#This Row],[Frequency:]], ""), "")</f>
        <v/>
      </c>
      <c r="E18" s="263" t="str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/>
      </c>
      <c r="F18" s="263" t="str">
        <f>IFERROR(IF(Table4[[#This Row],[Description:]]&lt;&gt;"", Table4[[#This Row],[Annual Cost:]], ""), "")</f>
        <v/>
      </c>
      <c r="G18" s="260"/>
    </row>
    <row r="19" spans="1:7" s="192" customFormat="1" x14ac:dyDescent="0.25">
      <c r="A19" s="260" t="str">
        <f>IFERROR(IF(Table4[[#This Row],[Description:]]&lt;&gt;"", Table4[[#This Row],[Description:]], ""), "")</f>
        <v/>
      </c>
      <c r="B19" s="260"/>
      <c r="C19" s="261" t="str">
        <f>IFERROR(IF(Table4[[#This Row],[Description:]]&lt;&gt;"", Table4[[#This Row],[Duration (Years):]], ""), "")</f>
        <v/>
      </c>
      <c r="D19" s="262" t="str">
        <f>IFERROR(IF(Table4[[#This Row],[Description:]]&lt;&gt;"", Table4[[#This Row],[Frequency:]], ""), "")</f>
        <v/>
      </c>
      <c r="E19" s="263" t="str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/>
      </c>
      <c r="F19" s="263" t="str">
        <f>IFERROR(IF(Table4[[#This Row],[Description:]]&lt;&gt;"", Table4[[#This Row],[Annual Cost:]], ""), "")</f>
        <v/>
      </c>
      <c r="G19" s="260"/>
    </row>
    <row r="20" spans="1:7" s="192" customFormat="1" x14ac:dyDescent="0.25">
      <c r="A20" s="260" t="str">
        <f>IFERROR(IF(Table4[[#This Row],[Description:]]&lt;&gt;"", Table4[[#This Row],[Description:]], ""), "")</f>
        <v/>
      </c>
      <c r="B20" s="260"/>
      <c r="C20" s="261" t="str">
        <f>IFERROR(IF(Table4[[#This Row],[Description:]]&lt;&gt;"", Table4[[#This Row],[Duration (Years):]], ""), "")</f>
        <v/>
      </c>
      <c r="D20" s="262" t="str">
        <f>IFERROR(IF(Table4[[#This Row],[Description:]]&lt;&gt;"", Table4[[#This Row],[Frequency:]], ""), "")</f>
        <v/>
      </c>
      <c r="E20" s="263" t="e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>#VALUE!</v>
      </c>
      <c r="F20" s="263" t="str">
        <f>IFERROR(IF(Table4[[#This Row],[Description:]]&lt;&gt;"", Table4[[#This Row],[Annual Cost:]], ""), "")</f>
        <v/>
      </c>
      <c r="G20" s="260"/>
    </row>
    <row r="21" spans="1:7" s="192" customFormat="1" x14ac:dyDescent="0.25">
      <c r="A21" s="260" t="str">
        <f>IFERROR(IF(Table4[[#This Row],[Description:]]&lt;&gt;"", Table4[[#This Row],[Description:]], ""), "")</f>
        <v/>
      </c>
      <c r="B21" s="260"/>
      <c r="C21" s="261" t="str">
        <f>IFERROR(IF(Table4[[#This Row],[Description:]]&lt;&gt;"", Table4[[#This Row],[Duration (Years):]], ""), "")</f>
        <v/>
      </c>
      <c r="D21" s="262" t="str">
        <f>IFERROR(IF(Table4[[#This Row],[Description:]]&lt;&gt;"", Table4[[#This Row],[Frequency:]], ""), "")</f>
        <v/>
      </c>
      <c r="E21" s="263" t="e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>#VALUE!</v>
      </c>
      <c r="F21" s="263" t="str">
        <f>IFERROR(IF(Table4[[#This Row],[Description:]]&lt;&gt;"", Table4[[#This Row],[Annual Cost:]], ""), "")</f>
        <v/>
      </c>
      <c r="G21" s="260"/>
    </row>
    <row r="22" spans="1:7" s="192" customFormat="1" x14ac:dyDescent="0.25">
      <c r="A22" s="260" t="str">
        <f>IFERROR(IF(Table4[[#This Row],[Description:]]&lt;&gt;"", Table4[[#This Row],[Description:]], ""), "")</f>
        <v/>
      </c>
      <c r="B22" s="260"/>
      <c r="C22" s="261" t="str">
        <f>IFERROR(IF(Table4[[#This Row],[Description:]]&lt;&gt;"", Table4[[#This Row],[Duration (Years):]], ""), "")</f>
        <v/>
      </c>
      <c r="D22" s="262" t="str">
        <f>IFERROR(IF(Table4[[#This Row],[Description:]]&lt;&gt;"", Table4[[#This Row],[Frequency:]], ""), "")</f>
        <v/>
      </c>
      <c r="E22" s="263" t="e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>#VALUE!</v>
      </c>
      <c r="F22" s="263" t="str">
        <f>IFERROR(IF(Table4[[#This Row],[Description:]]&lt;&gt;"", Table4[[#This Row],[Annual Cost:]], ""), "")</f>
        <v/>
      </c>
      <c r="G22" s="260"/>
    </row>
    <row r="23" spans="1:7" s="192" customFormat="1" x14ac:dyDescent="0.25">
      <c r="A23" s="260" t="str">
        <f>IFERROR(IF(Table4[[#This Row],[Description:]]&lt;&gt;"", Table4[[#This Row],[Description:]], ""), "")</f>
        <v/>
      </c>
      <c r="B23" s="260"/>
      <c r="C23" s="261" t="str">
        <f>IFERROR(IF(Table4[[#This Row],[Description:]]&lt;&gt;"", Table4[[#This Row],[Duration (Years):]], ""), "")</f>
        <v/>
      </c>
      <c r="D23" s="262" t="str">
        <f>IFERROR(IF(Table4[[#This Row],[Description:]]&lt;&gt;"", Table4[[#This Row],[Frequency:]], ""), "")</f>
        <v/>
      </c>
      <c r="E23" s="263" t="e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>#VALUE!</v>
      </c>
      <c r="F23" s="263" t="str">
        <f>IFERROR(IF(Table4[[#This Row],[Description:]]&lt;&gt;"", Table4[[#This Row],[Annual Cost:]], ""), "")</f>
        <v/>
      </c>
      <c r="G23" s="260"/>
    </row>
    <row r="24" spans="1:7" s="192" customFormat="1" x14ac:dyDescent="0.25">
      <c r="A24" s="260" t="str">
        <f>IFERROR(IF(Table4[[#This Row],[Description:]]&lt;&gt;"", Table4[[#This Row],[Description:]], ""), "")</f>
        <v/>
      </c>
      <c r="B24" s="260"/>
      <c r="C24" s="261" t="str">
        <f>IFERROR(IF(Table4[[#This Row],[Description:]]&lt;&gt;"", Table4[[#This Row],[Duration (Years):]], ""), "")</f>
        <v/>
      </c>
      <c r="D24" s="262" t="str">
        <f>IFERROR(IF(Table4[[#This Row],[Description:]]&lt;&gt;"", Table4[[#This Row],[Frequency:]], ""), "")</f>
        <v/>
      </c>
      <c r="E24" s="263" t="e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>#VALUE!</v>
      </c>
      <c r="F24" s="263" t="str">
        <f>IFERROR(IF(Table4[[#This Row],[Description:]]&lt;&gt;"", Table4[[#This Row],[Annual Cost:]], ""), "")</f>
        <v/>
      </c>
      <c r="G24" s="260"/>
    </row>
    <row r="25" spans="1:7" s="192" customFormat="1" x14ac:dyDescent="0.25">
      <c r="A25" s="260" t="str">
        <f>IFERROR(IF(Table4[[#This Row],[Description:]]&lt;&gt;"", Table4[[#This Row],[Description:]], ""), "")</f>
        <v/>
      </c>
      <c r="B25" s="260"/>
      <c r="C25" s="261" t="str">
        <f>IFERROR(IF(Table4[[#This Row],[Description:]]&lt;&gt;"", Table4[[#This Row],[Duration (Years):]], ""), "")</f>
        <v/>
      </c>
      <c r="D25" s="262" t="str">
        <f>IFERROR(IF(Table4[[#This Row],[Description:]]&lt;&gt;"", Table4[[#This Row],[Frequency:]], ""), "")</f>
        <v/>
      </c>
      <c r="E25" s="263" t="e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>#VALUE!</v>
      </c>
      <c r="F25" s="263" t="str">
        <f>IFERROR(IF(Table4[[#This Row],[Description:]]&lt;&gt;"", Table4[[#This Row],[Annual Cost:]], ""), "")</f>
        <v/>
      </c>
      <c r="G25" s="260"/>
    </row>
    <row r="26" spans="1:7" s="192" customFormat="1" x14ac:dyDescent="0.25">
      <c r="A26" s="260" t="str">
        <f>IFERROR(IF(Table4[[#This Row],[Description:]]&lt;&gt;"", Table4[[#This Row],[Description:]], ""), "")</f>
        <v/>
      </c>
      <c r="B26" s="260"/>
      <c r="C26" s="261" t="str">
        <f>IFERROR(IF(Table4[[#This Row],[Description:]]&lt;&gt;"", Table4[[#This Row],[Duration (Years):]], ""), "")</f>
        <v/>
      </c>
      <c r="D26" s="262" t="str">
        <f>IFERROR(IF(Table4[[#This Row],[Description:]]&lt;&gt;"", Table4[[#This Row],[Frequency:]], ""), "")</f>
        <v/>
      </c>
      <c r="E26" s="263" t="e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>#VALUE!</v>
      </c>
      <c r="F26" s="263" t="str">
        <f>IFERROR(IF(Table4[[#This Row],[Description:]]&lt;&gt;"", Table4[[#This Row],[Annual Cost:]], ""), "")</f>
        <v/>
      </c>
      <c r="G26" s="260"/>
    </row>
    <row r="27" spans="1:7" s="192" customFormat="1" x14ac:dyDescent="0.25">
      <c r="A27" s="260" t="str">
        <f>IFERROR(IF(Table4[[#This Row],[Description:]]&lt;&gt;"", Table4[[#This Row],[Description:]], ""), "")</f>
        <v/>
      </c>
      <c r="B27" s="260"/>
      <c r="C27" s="261" t="str">
        <f>IFERROR(IF(Table4[[#This Row],[Description:]]&lt;&gt;"", Table4[[#This Row],[Duration (Years):]], ""), "")</f>
        <v/>
      </c>
      <c r="D27" s="262" t="str">
        <f>IFERROR(IF(Table4[[#This Row],[Description:]]&lt;&gt;"", Table4[[#This Row],[Frequency:]], ""), "")</f>
        <v/>
      </c>
      <c r="E27" s="263" t="e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>#VALUE!</v>
      </c>
      <c r="F27" s="263" t="str">
        <f>IFERROR(IF(Table4[[#This Row],[Description:]]&lt;&gt;"", Table4[[#This Row],[Annual Cost:]], ""), "")</f>
        <v/>
      </c>
      <c r="G27" s="260"/>
    </row>
    <row r="28" spans="1:7" s="192" customFormat="1" x14ac:dyDescent="0.25">
      <c r="A28" s="260" t="str">
        <f>IFERROR(IF(Table4[[#This Row],[Description:]]&lt;&gt;"", Table4[[#This Row],[Description:]], ""), "")</f>
        <v/>
      </c>
      <c r="B28" s="260"/>
      <c r="C28" s="261" t="str">
        <f>IFERROR(IF(Table4[[#This Row],[Description:]]&lt;&gt;"", Table4[[#This Row],[Duration (Years):]], ""), "")</f>
        <v/>
      </c>
      <c r="D28" s="262" t="str">
        <f>IFERROR(IF(Table4[[#This Row],[Description:]]&lt;&gt;"", Table4[[#This Row],[Frequency:]], ""), "")</f>
        <v/>
      </c>
      <c r="E28" s="263" t="e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>#VALUE!</v>
      </c>
      <c r="F28" s="263" t="str">
        <f>IFERROR(IF(Table4[[#This Row],[Description:]]&lt;&gt;"", Table4[[#This Row],[Annual Cost:]], ""), "")</f>
        <v/>
      </c>
      <c r="G28" s="260"/>
    </row>
    <row r="29" spans="1:7" s="192" customFormat="1" x14ac:dyDescent="0.25">
      <c r="A29" s="260" t="str">
        <f>IFERROR(IF(Table4[[#This Row],[Description:]]&lt;&gt;"", Table4[[#This Row],[Description:]], ""), "")</f>
        <v/>
      </c>
      <c r="B29" s="260"/>
      <c r="C29" s="261" t="str">
        <f>IFERROR(IF(Table4[[#This Row],[Description:]]&lt;&gt;"", Table4[[#This Row],[Duration (Years):]], ""), "")</f>
        <v/>
      </c>
      <c r="D29" s="262" t="str">
        <f>IFERROR(IF(Table4[[#This Row],[Description:]]&lt;&gt;"", Table4[[#This Row],[Frequency:]], ""), "")</f>
        <v/>
      </c>
      <c r="E29" s="263" t="e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>#VALUE!</v>
      </c>
      <c r="F29" s="263" t="str">
        <f>IFERROR(IF(Table4[[#This Row],[Description:]]&lt;&gt;"", Table4[[#This Row],[Annual Cost:]], ""), "")</f>
        <v/>
      </c>
      <c r="G29" s="260"/>
    </row>
    <row r="30" spans="1:7" s="192" customFormat="1" x14ac:dyDescent="0.25">
      <c r="A30" s="260" t="str">
        <f>IFERROR(IF(Table4[[#This Row],[Description:]]&lt;&gt;"", Table4[[#This Row],[Description:]], ""), "")</f>
        <v/>
      </c>
      <c r="B30" s="260"/>
      <c r="C30" s="261" t="str">
        <f>IFERROR(IF(Table4[[#This Row],[Description:]]&lt;&gt;"", Table4[[#This Row],[Duration (Years):]], ""), "")</f>
        <v/>
      </c>
      <c r="D30" s="262" t="str">
        <f>IFERROR(IF(Table4[[#This Row],[Description:]]&lt;&gt;"", Table4[[#This Row],[Frequency:]], ""), "")</f>
        <v/>
      </c>
      <c r="E30" s="263" t="e">
        <f>IF(OR(Table4[[#This Row],[Description:]]="", ISBLANK(Table4[[#This Row],[One-Time Cost:]]), ISBLANK(Table4[[#This Row],[Cost:]])), "", IF(Table4[[#This Row],[Time Value:]]="lifetime", CONCATENATE(Table4[[#This Row],[One-Time Cost:]] &amp; "*", CHAR(10), CHAR(10), "(based on ", Table4[[#This Row],[Cost:]], "/unit)"), Table4[[#This Row],[Cost:]]))</f>
        <v>#VALUE!</v>
      </c>
      <c r="F30" s="263" t="str">
        <f>IFERROR(IF(Table4[[#This Row],[Description:]]&lt;&gt;"", Table4[[#This Row],[Annual Cost:]], ""), "")</f>
        <v/>
      </c>
      <c r="G30" s="260"/>
    </row>
    <row r="31" spans="1:7" x14ac:dyDescent="0.25">
      <c r="A31" s="257"/>
      <c r="B31" s="257"/>
      <c r="C31" s="265"/>
      <c r="D31" s="265"/>
      <c r="E31" s="266"/>
      <c r="F31" s="266"/>
      <c r="G31" s="257"/>
    </row>
    <row r="32" spans="1:7" x14ac:dyDescent="0.25">
      <c r="A32" s="257"/>
      <c r="B32" s="257"/>
      <c r="C32" s="257"/>
      <c r="D32" s="267" t="s">
        <v>125</v>
      </c>
      <c r="E32" s="268" t="str">
        <f>Prostheses!S20</f>
        <v>$0.00</v>
      </c>
      <c r="F32" s="269"/>
      <c r="G32" s="257"/>
    </row>
    <row r="33" spans="1:7" x14ac:dyDescent="0.25">
      <c r="A33" s="257"/>
      <c r="B33" s="257"/>
      <c r="C33" s="257"/>
      <c r="D33" s="267" t="s">
        <v>124</v>
      </c>
      <c r="E33" s="268" t="str">
        <f ca="1">Prostheses!P20</f>
        <v>$0.00</v>
      </c>
      <c r="F33" s="269"/>
      <c r="G33" s="257"/>
    </row>
  </sheetData>
  <mergeCells count="1">
    <mergeCell ref="A1:G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6A9B-C90F-4280-BF1A-1BC48EDB6CC5}">
  <sheetPr codeName="Sheet40"/>
  <dimension ref="A1:I33"/>
  <sheetViews>
    <sheetView workbookViewId="0">
      <selection sqref="A1:G1"/>
    </sheetView>
  </sheetViews>
  <sheetFormatPr defaultRowHeight="15" x14ac:dyDescent="0.25"/>
  <cols>
    <col min="1" max="2" width="18.7109375" style="257" customWidth="1"/>
    <col min="3" max="4" width="10.7109375" style="257" customWidth="1"/>
    <col min="5" max="6" width="13.7109375" style="269" customWidth="1"/>
    <col min="7" max="7" width="18.7109375" style="257" customWidth="1"/>
    <col min="8" max="16384" width="9.140625" style="190"/>
  </cols>
  <sheetData>
    <row r="1" spans="1:9" ht="23.1" customHeight="1" x14ac:dyDescent="0.25">
      <c r="A1" s="353" t="str">
        <f>Equipment!A1</f>
        <v>EQUIPMENT &amp; SUPPLIES</v>
      </c>
      <c r="B1" s="353"/>
      <c r="C1" s="353"/>
      <c r="D1" s="353"/>
      <c r="E1" s="353"/>
      <c r="F1" s="353"/>
      <c r="G1" s="353"/>
    </row>
    <row r="2" spans="1:9" s="191" customFormat="1" ht="18" customHeight="1" x14ac:dyDescent="0.25">
      <c r="A2" s="256" t="s">
        <v>117</v>
      </c>
      <c r="B2" s="256" t="s">
        <v>118</v>
      </c>
      <c r="C2" s="256" t="s">
        <v>119</v>
      </c>
      <c r="D2" s="256" t="s">
        <v>120</v>
      </c>
      <c r="E2" s="258" t="s">
        <v>121</v>
      </c>
      <c r="F2" s="258" t="s">
        <v>122</v>
      </c>
      <c r="G2" s="256" t="s">
        <v>123</v>
      </c>
    </row>
    <row r="3" spans="1:9" s="192" customFormat="1" ht="102" x14ac:dyDescent="0.25">
      <c r="A3" s="260" t="str">
        <f>IFERROR(IF(Table5[[#This Row],[Description:]]&lt;&gt;"", Table5[[#This Row],[Description:]], ""), "")</f>
        <v>Blood Pressure Cuff</v>
      </c>
      <c r="B3" s="260" t="s">
        <v>312</v>
      </c>
      <c r="C3" s="261">
        <f ca="1">IFERROR(IF(Table5[[#This Row],[Description:]]&lt;&gt;"", Table5[[#This Row],[Duration (Years):]], ""), "")</f>
        <v>10</v>
      </c>
      <c r="D3" s="262" t="str">
        <f>IFERROR(IF(Table5[[#This Row],[Description:]]&lt;&gt;"", Table5[[#This Row],[Frequency:]], ""), "")</f>
        <v>2-5x/lifetime</v>
      </c>
      <c r="E3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>$49.98
 - 
$169.95*
(based on $24.99
 - 
$33.99/unit)</v>
      </c>
      <c r="F3" s="263" t="str">
        <f>IFERROR(IF(Table5[[#This Row],[Description:]]&lt;&gt;"", Table5[[#This Row],[Annual Cost:]], ""), "")</f>
        <v>$0.00</v>
      </c>
      <c r="G3" s="260" t="s">
        <v>313</v>
      </c>
    </row>
    <row r="4" spans="1:9" s="192" customFormat="1" ht="102" x14ac:dyDescent="0.25">
      <c r="A4" s="260" t="str">
        <f>IFERROR(IF(Table5[[#This Row],[Description:]]&lt;&gt;"", Table5[[#This Row],[Description:]], ""), "")</f>
        <v>Micro Spirometer</v>
      </c>
      <c r="B4" s="260" t="s">
        <v>312</v>
      </c>
      <c r="C4" s="261">
        <f ca="1">IFERROR(IF(Table5[[#This Row],[Description:]]&lt;&gt;"", Table5[[#This Row],[Duration (Years):]], ""), "")</f>
        <v>10</v>
      </c>
      <c r="D4" s="262" t="str">
        <f>IFERROR(IF(Table5[[#This Row],[Description:]]&lt;&gt;"", Table5[[#This Row],[Frequency:]], ""), "")</f>
        <v>2-5x/lifetime</v>
      </c>
      <c r="E4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>$430.00
 - 
$2,050.00*
(based on $215.00
 - 
$410.00/unit)</v>
      </c>
      <c r="F4" s="263" t="str">
        <f>IFERROR(IF(Table5[[#This Row],[Description:]]&lt;&gt;"", Table5[[#This Row],[Annual Cost:]], ""), "")</f>
        <v>$0.00</v>
      </c>
      <c r="G4" s="260" t="s">
        <v>313</v>
      </c>
    </row>
    <row r="5" spans="1:9" s="192" customFormat="1" ht="89.25" x14ac:dyDescent="0.25">
      <c r="A5" s="260" t="str">
        <f>IFERROR(IF(Table5[[#This Row],[Description:]]&lt;&gt;"", Table5[[#This Row],[Description:]], ""), "")</f>
        <v>Thermometer</v>
      </c>
      <c r="B5" s="260" t="s">
        <v>312</v>
      </c>
      <c r="C5" s="261">
        <f ca="1">IFERROR(IF(Table5[[#This Row],[Description:]]&lt;&gt;"", Table5[[#This Row],[Duration (Years):]], ""), "")</f>
        <v>10</v>
      </c>
      <c r="D5" s="262" t="str">
        <f>IFERROR(IF(Table5[[#This Row],[Description:]]&lt;&gt;"", Table5[[#This Row],[Frequency:]], ""), "")</f>
        <v>2-5x/lifetime</v>
      </c>
      <c r="E5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>$11.48
 - 
$74.95*
(based on $5.74
 - 
$14.99/unit)</v>
      </c>
      <c r="F5" s="263" t="str">
        <f>IFERROR(IF(Table5[[#This Row],[Description:]]&lt;&gt;"", Table5[[#This Row],[Annual Cost:]], ""), "")</f>
        <v>$0.00</v>
      </c>
      <c r="G5" s="260" t="s">
        <v>313</v>
      </c>
    </row>
    <row r="6" spans="1:9" s="192" customFormat="1" ht="102" x14ac:dyDescent="0.25">
      <c r="A6" s="260" t="str">
        <f>IFERROR(IF(Table5[[#This Row],[Description:]]&lt;&gt;"", Table5[[#This Row],[Description:]], ""), "")</f>
        <v>Body Weight Scale</v>
      </c>
      <c r="B6" s="260" t="s">
        <v>312</v>
      </c>
      <c r="C6" s="261">
        <f ca="1">IFERROR(IF(Table5[[#This Row],[Description:]]&lt;&gt;"", Table5[[#This Row],[Duration (Years):]], ""), "")</f>
        <v>10</v>
      </c>
      <c r="D6" s="262" t="str">
        <f>IFERROR(IF(Table5[[#This Row],[Description:]]&lt;&gt;"", Table5[[#This Row],[Frequency:]], ""), "")</f>
        <v>2-5x/lifetime</v>
      </c>
      <c r="E6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>$55.98
 - 
$249.95*
(based on $27.99
 - 
$49.99/unit)</v>
      </c>
      <c r="F6" s="263" t="str">
        <f>IFERROR(IF(Table5[[#This Row],[Description:]]&lt;&gt;"", Table5[[#This Row],[Annual Cost:]], ""), "")</f>
        <v>$0.00</v>
      </c>
      <c r="G6" s="260" t="s">
        <v>313</v>
      </c>
    </row>
    <row r="7" spans="1:9" s="192" customFormat="1" ht="102" x14ac:dyDescent="0.25">
      <c r="A7" s="260" t="str">
        <f>IFERROR(IF(Table5[[#This Row],[Description:]]&lt;&gt;"", Table5[[#This Row],[Description:]], ""), "")</f>
        <v>Pulse Oximeter</v>
      </c>
      <c r="B7" s="260" t="s">
        <v>312</v>
      </c>
      <c r="C7" s="261">
        <f ca="1">IFERROR(IF(Table5[[#This Row],[Description:]]&lt;&gt;"", Table5[[#This Row],[Duration (Years):]], ""), "")</f>
        <v>10</v>
      </c>
      <c r="D7" s="262" t="str">
        <f>IFERROR(IF(Table5[[#This Row],[Description:]]&lt;&gt;"", Table5[[#This Row],[Frequency:]], ""), "")</f>
        <v>2-5x/lifetime</v>
      </c>
      <c r="E7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>$90.00
 - 
$254.95*
(based on $45.00
 - 
$50.99/unit)</v>
      </c>
      <c r="F7" s="263" t="str">
        <f>IFERROR(IF(Table5[[#This Row],[Description:]]&lt;&gt;"", Table5[[#This Row],[Annual Cost:]], ""), "")</f>
        <v>$0.00</v>
      </c>
      <c r="G7" s="260" t="s">
        <v>313</v>
      </c>
    </row>
    <row r="8" spans="1:9" s="192" customFormat="1" ht="102" x14ac:dyDescent="0.25">
      <c r="A8" s="260" t="str">
        <f>IFERROR(IF(Table5[[#This Row],[Description:]]&lt;&gt;"", Table5[[#This Row],[Description:]], ""), "")</f>
        <v>Accu-Chek Blood Sugar Monitor</v>
      </c>
      <c r="B8" s="260" t="s">
        <v>312</v>
      </c>
      <c r="C8" s="261">
        <f ca="1">IFERROR(IF(Table5[[#This Row],[Description:]]&lt;&gt;"", Table5[[#This Row],[Duration (Years):]], ""), "")</f>
        <v>10</v>
      </c>
      <c r="D8" s="262" t="str">
        <f>IFERROR(IF(Table5[[#This Row],[Description:]]&lt;&gt;"", Table5[[#This Row],[Frequency:]], ""), "")</f>
        <v>2-5x/lifetime</v>
      </c>
      <c r="E8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>$59.98
 - 
$154.95*
(based on $29.99
 - 
$30.99/unit)</v>
      </c>
      <c r="F8" s="263" t="str">
        <f>IFERROR(IF(Table5[[#This Row],[Description:]]&lt;&gt;"", Table5[[#This Row],[Annual Cost:]], ""), "")</f>
        <v>$0.00</v>
      </c>
      <c r="G8" s="260" t="s">
        <v>313</v>
      </c>
      <c r="I8" s="118" t="s">
        <v>140</v>
      </c>
    </row>
    <row r="9" spans="1:9" s="192" customFormat="1" ht="102" x14ac:dyDescent="0.25">
      <c r="A9" s="260" t="str">
        <f>IFERROR(IF(Table5[[#This Row],[Description:]]&lt;&gt;"", Table5[[#This Row],[Description:]], ""), "")</f>
        <v>HEPA Air Purifier</v>
      </c>
      <c r="B9" s="260" t="s">
        <v>287</v>
      </c>
      <c r="C9" s="261">
        <f ca="1">IFERROR(IF(Table5[[#This Row],[Description:]]&lt;&gt;"", Table5[[#This Row],[Duration (Years):]], ""), "")</f>
        <v>10</v>
      </c>
      <c r="D9" s="262" t="str">
        <f>IFERROR(IF(Table5[[#This Row],[Description:]]&lt;&gt;"", Table5[[#This Row],[Frequency:]], ""), "")</f>
        <v>1-3x/lifetime</v>
      </c>
      <c r="E9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>$99.49
 - 
$374.97*
(based on $99.49
 - 
$124.99/unit)</v>
      </c>
      <c r="F9" s="263" t="str">
        <f>IFERROR(IF(Table5[[#This Row],[Description:]]&lt;&gt;"", Table5[[#This Row],[Annual Cost:]], ""), "")</f>
        <v>$0.00</v>
      </c>
      <c r="G9" s="260" t="s">
        <v>314</v>
      </c>
      <c r="I9" s="118" t="s">
        <v>141</v>
      </c>
    </row>
    <row r="10" spans="1:9" s="192" customFormat="1" ht="102" x14ac:dyDescent="0.25">
      <c r="A10" s="260" t="str">
        <f>IFERROR(IF(Table5[[#This Row],[Description:]]&lt;&gt;"", Table5[[#This Row],[Description:]], ""), "")</f>
        <v>HEPA Replacement Filter</v>
      </c>
      <c r="B10" s="260" t="s">
        <v>287</v>
      </c>
      <c r="C10" s="261">
        <f ca="1">IFERROR(IF(Table5[[#This Row],[Description:]]&lt;&gt;"", Table5[[#This Row],[Duration (Years):]], ""), "")</f>
        <v>10</v>
      </c>
      <c r="D10" s="262" t="str">
        <f>IFERROR(IF(Table5[[#This Row],[Description:]]&lt;&gt;"", Table5[[#This Row],[Frequency:]], ""), "")</f>
        <v>5-20x/lifetime</v>
      </c>
      <c r="E10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>$179.95
 - 
$999.80*
(based on $35.99
 - 
$49.99/unit)</v>
      </c>
      <c r="F10" s="263" t="str">
        <f>IFERROR(IF(Table5[[#This Row],[Description:]]&lt;&gt;"", Table5[[#This Row],[Annual Cost:]], ""), "")</f>
        <v>$0.00</v>
      </c>
      <c r="G10" s="260" t="s">
        <v>315</v>
      </c>
      <c r="I10" s="121"/>
    </row>
    <row r="11" spans="1:9" s="192" customFormat="1" ht="15.75" x14ac:dyDescent="0.25">
      <c r="A11" s="260" t="str">
        <f>IFERROR(IF(Table5[[#This Row],[Description:]]&lt;&gt;"", Table5[[#This Row],[Description:]], ""), "")</f>
        <v/>
      </c>
      <c r="B11" s="260"/>
      <c r="C11" s="261" t="str">
        <f>IFERROR(IF(Table5[[#This Row],[Description:]]&lt;&gt;"", Table5[[#This Row],[Duration (Years):]], ""), "")</f>
        <v/>
      </c>
      <c r="D11" s="262" t="str">
        <f>IFERROR(IF(Table5[[#This Row],[Description:]]&lt;&gt;"", Table5[[#This Row],[Frequency:]], ""), "")</f>
        <v/>
      </c>
      <c r="E11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/>
      </c>
      <c r="F11" s="263" t="str">
        <f>IFERROR(IF(Table5[[#This Row],[Description:]]&lt;&gt;"", Table5[[#This Row],[Annual Cost:]], ""), "")</f>
        <v/>
      </c>
      <c r="G11" s="260"/>
      <c r="I11" s="118" t="s">
        <v>142</v>
      </c>
    </row>
    <row r="12" spans="1:9" s="192" customFormat="1" ht="15.75" x14ac:dyDescent="0.25">
      <c r="A12" s="260" t="str">
        <f>IFERROR(IF(Table5[[#This Row],[Description:]]&lt;&gt;"", Table5[[#This Row],[Description:]], ""), "")</f>
        <v/>
      </c>
      <c r="B12" s="260"/>
      <c r="C12" s="261" t="str">
        <f>IFERROR(IF(Table5[[#This Row],[Description:]]&lt;&gt;"", Table5[[#This Row],[Duration (Years):]], ""), "")</f>
        <v/>
      </c>
      <c r="D12" s="262" t="str">
        <f>IFERROR(IF(Table5[[#This Row],[Description:]]&lt;&gt;"", Table5[[#This Row],[Frequency:]], ""), "")</f>
        <v/>
      </c>
      <c r="E12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/>
      </c>
      <c r="F12" s="263" t="str">
        <f>IFERROR(IF(Table5[[#This Row],[Description:]]&lt;&gt;"", Table5[[#This Row],[Annual Cost:]], ""), "")</f>
        <v/>
      </c>
      <c r="G12" s="260"/>
      <c r="I12" s="118" t="s">
        <v>143</v>
      </c>
    </row>
    <row r="13" spans="1:9" s="192" customFormat="1" x14ac:dyDescent="0.25">
      <c r="A13" s="260" t="str">
        <f>IFERROR(IF(Table5[[#This Row],[Description:]]&lt;&gt;"", Table5[[#This Row],[Description:]], ""), "")</f>
        <v/>
      </c>
      <c r="B13" s="260"/>
      <c r="C13" s="261" t="str">
        <f>IFERROR(IF(Table5[[#This Row],[Description:]]&lt;&gt;"", Table5[[#This Row],[Duration (Years):]], ""), "")</f>
        <v/>
      </c>
      <c r="D13" s="262" t="str">
        <f>IFERROR(IF(Table5[[#This Row],[Description:]]&lt;&gt;"", Table5[[#This Row],[Frequency:]], ""), "")</f>
        <v/>
      </c>
      <c r="E13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/>
      </c>
      <c r="F13" s="263" t="str">
        <f>IFERROR(IF(Table5[[#This Row],[Description:]]&lt;&gt;"", Table5[[#This Row],[Annual Cost:]], ""), "")</f>
        <v/>
      </c>
      <c r="G13" s="260"/>
    </row>
    <row r="14" spans="1:9" s="192" customFormat="1" x14ac:dyDescent="0.25">
      <c r="A14" s="260" t="str">
        <f>IFERROR(IF(Table5[[#This Row],[Description:]]&lt;&gt;"", Table5[[#This Row],[Description:]], ""), "")</f>
        <v/>
      </c>
      <c r="B14" s="260"/>
      <c r="C14" s="261" t="str">
        <f>IFERROR(IF(Table5[[#This Row],[Description:]]&lt;&gt;"", Table5[[#This Row],[Duration (Years):]], ""), "")</f>
        <v/>
      </c>
      <c r="D14" s="262" t="str">
        <f>IFERROR(IF(Table5[[#This Row],[Description:]]&lt;&gt;"", Table5[[#This Row],[Frequency:]], ""), "")</f>
        <v/>
      </c>
      <c r="E14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/>
      </c>
      <c r="F14" s="263" t="str">
        <f>IFERROR(IF(Table5[[#This Row],[Description:]]&lt;&gt;"", Table5[[#This Row],[Annual Cost:]], ""), "")</f>
        <v/>
      </c>
      <c r="G14" s="260"/>
    </row>
    <row r="15" spans="1:9" s="192" customFormat="1" x14ac:dyDescent="0.25">
      <c r="A15" s="260" t="str">
        <f>IFERROR(IF(Table5[[#This Row],[Description:]]&lt;&gt;"", Table5[[#This Row],[Description:]], ""), "")</f>
        <v/>
      </c>
      <c r="B15" s="260"/>
      <c r="C15" s="261" t="str">
        <f>IFERROR(IF(Table5[[#This Row],[Description:]]&lt;&gt;"", Table5[[#This Row],[Duration (Years):]], ""), "")</f>
        <v/>
      </c>
      <c r="D15" s="262" t="str">
        <f>IFERROR(IF(Table5[[#This Row],[Description:]]&lt;&gt;"", Table5[[#This Row],[Frequency:]], ""), "")</f>
        <v/>
      </c>
      <c r="E15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/>
      </c>
      <c r="F15" s="263" t="str">
        <f>IFERROR(IF(Table5[[#This Row],[Description:]]&lt;&gt;"", Table5[[#This Row],[Annual Cost:]], ""), "")</f>
        <v/>
      </c>
      <c r="G15" s="260"/>
    </row>
    <row r="16" spans="1:9" s="192" customFormat="1" x14ac:dyDescent="0.25">
      <c r="A16" s="260" t="str">
        <f>IFERROR(IF(Table5[[#This Row],[Description:]]&lt;&gt;"", Table5[[#This Row],[Description:]], ""), "")</f>
        <v/>
      </c>
      <c r="B16" s="260"/>
      <c r="C16" s="261" t="str">
        <f>IFERROR(IF(Table5[[#This Row],[Description:]]&lt;&gt;"", Table5[[#This Row],[Duration (Years):]], ""), "")</f>
        <v/>
      </c>
      <c r="D16" s="262" t="str">
        <f>IFERROR(IF(Table5[[#This Row],[Description:]]&lt;&gt;"", Table5[[#This Row],[Frequency:]], ""), "")</f>
        <v/>
      </c>
      <c r="E16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/>
      </c>
      <c r="F16" s="263" t="str">
        <f>IFERROR(IF(Table5[[#This Row],[Description:]]&lt;&gt;"", Table5[[#This Row],[Annual Cost:]], ""), "")</f>
        <v/>
      </c>
      <c r="G16" s="260"/>
    </row>
    <row r="17" spans="1:7" s="192" customFormat="1" x14ac:dyDescent="0.25">
      <c r="A17" s="260" t="str">
        <f>IFERROR(IF(Table5[[#This Row],[Description:]]&lt;&gt;"", Table5[[#This Row],[Description:]], ""), "")</f>
        <v/>
      </c>
      <c r="B17" s="260"/>
      <c r="C17" s="261" t="str">
        <f>IFERROR(IF(Table5[[#This Row],[Description:]]&lt;&gt;"", Table5[[#This Row],[Duration (Years):]], ""), "")</f>
        <v/>
      </c>
      <c r="D17" s="262" t="str">
        <f>IFERROR(IF(Table5[[#This Row],[Description:]]&lt;&gt;"", Table5[[#This Row],[Frequency:]], ""), "")</f>
        <v/>
      </c>
      <c r="E17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/>
      </c>
      <c r="F17" s="263" t="str">
        <f>IFERROR(IF(Table5[[#This Row],[Description:]]&lt;&gt;"", Table5[[#This Row],[Annual Cost:]], ""), "")</f>
        <v/>
      </c>
      <c r="G17" s="260"/>
    </row>
    <row r="18" spans="1:7" s="192" customFormat="1" x14ac:dyDescent="0.25">
      <c r="A18" s="260" t="str">
        <f>IFERROR(IF(Table5[[#This Row],[Description:]]&lt;&gt;"", Table5[[#This Row],[Description:]], ""), "")</f>
        <v/>
      </c>
      <c r="B18" s="260"/>
      <c r="C18" s="261" t="str">
        <f>IFERROR(IF(Table5[[#This Row],[Description:]]&lt;&gt;"", Table5[[#This Row],[Duration (Years):]], ""), "")</f>
        <v/>
      </c>
      <c r="D18" s="262" t="str">
        <f>IFERROR(IF(Table5[[#This Row],[Description:]]&lt;&gt;"", Table5[[#This Row],[Frequency:]], ""), "")</f>
        <v/>
      </c>
      <c r="E18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/>
      </c>
      <c r="F18" s="263" t="str">
        <f>IFERROR(IF(Table5[[#This Row],[Description:]]&lt;&gt;"", Table5[[#This Row],[Annual Cost:]], ""), "")</f>
        <v/>
      </c>
      <c r="G18" s="260"/>
    </row>
    <row r="19" spans="1:7" s="192" customFormat="1" x14ac:dyDescent="0.25">
      <c r="A19" s="260" t="str">
        <f>IFERROR(IF(Table5[[#This Row],[Description:]]&lt;&gt;"", Table5[[#This Row],[Description:]], ""), "")</f>
        <v/>
      </c>
      <c r="B19" s="260"/>
      <c r="C19" s="261" t="str">
        <f>IFERROR(IF(Table5[[#This Row],[Description:]]&lt;&gt;"", Table5[[#This Row],[Duration (Years):]], ""), "")</f>
        <v/>
      </c>
      <c r="D19" s="262" t="str">
        <f>IFERROR(IF(Table5[[#This Row],[Description:]]&lt;&gt;"", Table5[[#This Row],[Frequency:]], ""), "")</f>
        <v/>
      </c>
      <c r="E19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/>
      </c>
      <c r="F19" s="263" t="str">
        <f>IFERROR(IF(Table5[[#This Row],[Description:]]&lt;&gt;"", Table5[[#This Row],[Annual Cost:]], ""), "")</f>
        <v/>
      </c>
      <c r="G19" s="260"/>
    </row>
    <row r="20" spans="1:7" s="192" customFormat="1" x14ac:dyDescent="0.25">
      <c r="A20" s="260" t="str">
        <f>IFERROR(IF(Table5[[#This Row],[Description:]]&lt;&gt;"", Table5[[#This Row],[Description:]], ""), "")</f>
        <v/>
      </c>
      <c r="B20" s="260"/>
      <c r="C20" s="261" t="str">
        <f>IFERROR(IF(Table5[[#This Row],[Description:]]&lt;&gt;"", Table5[[#This Row],[Duration (Years):]], ""), "")</f>
        <v/>
      </c>
      <c r="D20" s="262" t="str">
        <f>IFERROR(IF(Table5[[#This Row],[Description:]]&lt;&gt;"", Table5[[#This Row],[Frequency:]], ""), "")</f>
        <v/>
      </c>
      <c r="E20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/>
      </c>
      <c r="F20" s="263" t="str">
        <f>IFERROR(IF(Table5[[#This Row],[Description:]]&lt;&gt;"", Table5[[#This Row],[Annual Cost:]], ""), "")</f>
        <v/>
      </c>
      <c r="G20" s="260"/>
    </row>
    <row r="21" spans="1:7" s="192" customFormat="1" x14ac:dyDescent="0.25">
      <c r="A21" s="260" t="str">
        <f>IFERROR(IF(Table5[[#This Row],[Description:]]&lt;&gt;"", Table5[[#This Row],[Description:]], ""), "")</f>
        <v/>
      </c>
      <c r="B21" s="260"/>
      <c r="C21" s="261" t="str">
        <f>IFERROR(IF(Table5[[#This Row],[Description:]]&lt;&gt;"", Table5[[#This Row],[Duration (Years):]], ""), "")</f>
        <v/>
      </c>
      <c r="D21" s="262" t="str">
        <f>IFERROR(IF(Table5[[#This Row],[Description:]]&lt;&gt;"", Table5[[#This Row],[Frequency:]], ""), "")</f>
        <v/>
      </c>
      <c r="E21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/>
      </c>
      <c r="F21" s="263" t="str">
        <f>IFERROR(IF(Table5[[#This Row],[Description:]]&lt;&gt;"", Table5[[#This Row],[Annual Cost:]], ""), "")</f>
        <v/>
      </c>
      <c r="G21" s="260"/>
    </row>
    <row r="22" spans="1:7" s="192" customFormat="1" x14ac:dyDescent="0.25">
      <c r="A22" s="260" t="str">
        <f>IFERROR(IF(Table5[[#This Row],[Description:]]&lt;&gt;"", Table5[[#This Row],[Description:]], ""), "")</f>
        <v/>
      </c>
      <c r="B22" s="260"/>
      <c r="C22" s="261" t="str">
        <f>IFERROR(IF(Table5[[#This Row],[Description:]]&lt;&gt;"", Table5[[#This Row],[Duration (Years):]], ""), "")</f>
        <v/>
      </c>
      <c r="D22" s="262" t="str">
        <f>IFERROR(IF(Table5[[#This Row],[Description:]]&lt;&gt;"", Table5[[#This Row],[Frequency:]], ""), "")</f>
        <v/>
      </c>
      <c r="E22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/>
      </c>
      <c r="F22" s="263" t="str">
        <f>IFERROR(IF(Table5[[#This Row],[Description:]]&lt;&gt;"", Table5[[#This Row],[Annual Cost:]], ""), "")</f>
        <v/>
      </c>
      <c r="G22" s="260"/>
    </row>
    <row r="23" spans="1:7" s="192" customFormat="1" x14ac:dyDescent="0.25">
      <c r="A23" s="260" t="str">
        <f>IFERROR(IF(Table5[[#This Row],[Description:]]&lt;&gt;"", Table5[[#This Row],[Description:]], ""), "")</f>
        <v/>
      </c>
      <c r="B23" s="260"/>
      <c r="C23" s="261" t="str">
        <f>IFERROR(IF(Table5[[#This Row],[Description:]]&lt;&gt;"", Table5[[#This Row],[Duration (Years):]], ""), "")</f>
        <v/>
      </c>
      <c r="D23" s="262" t="str">
        <f>IFERROR(IF(Table5[[#This Row],[Description:]]&lt;&gt;"", Table5[[#This Row],[Frequency:]], ""), "")</f>
        <v/>
      </c>
      <c r="E23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/>
      </c>
      <c r="F23" s="263" t="str">
        <f>IFERROR(IF(Table5[[#This Row],[Description:]]&lt;&gt;"", Table5[[#This Row],[Annual Cost:]], ""), "")</f>
        <v/>
      </c>
      <c r="G23" s="260"/>
    </row>
    <row r="24" spans="1:7" s="192" customFormat="1" x14ac:dyDescent="0.25">
      <c r="A24" s="260" t="str">
        <f>IFERROR(IF(Table5[[#This Row],[Description:]]&lt;&gt;"", Table5[[#This Row],[Description:]], ""), "")</f>
        <v/>
      </c>
      <c r="B24" s="260"/>
      <c r="C24" s="261" t="str">
        <f>IFERROR(IF(Table5[[#This Row],[Description:]]&lt;&gt;"", Table5[[#This Row],[Duration (Years):]], ""), "")</f>
        <v/>
      </c>
      <c r="D24" s="262" t="str">
        <f>IFERROR(IF(Table5[[#This Row],[Description:]]&lt;&gt;"", Table5[[#This Row],[Frequency:]], ""), "")</f>
        <v/>
      </c>
      <c r="E24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/>
      </c>
      <c r="F24" s="263" t="str">
        <f>IFERROR(IF(Table5[[#This Row],[Description:]]&lt;&gt;"", Table5[[#This Row],[Annual Cost:]], ""), "")</f>
        <v/>
      </c>
      <c r="G24" s="260"/>
    </row>
    <row r="25" spans="1:7" s="192" customFormat="1" x14ac:dyDescent="0.25">
      <c r="A25" s="260" t="str">
        <f>IFERROR(IF(Table5[[#This Row],[Description:]]&lt;&gt;"", Table5[[#This Row],[Description:]], ""), "")</f>
        <v/>
      </c>
      <c r="B25" s="260"/>
      <c r="C25" s="261" t="str">
        <f>IFERROR(IF(Table5[[#This Row],[Description:]]&lt;&gt;"", Table5[[#This Row],[Duration (Years):]], ""), "")</f>
        <v/>
      </c>
      <c r="D25" s="262" t="str">
        <f>IFERROR(IF(Table5[[#This Row],[Description:]]&lt;&gt;"", Table5[[#This Row],[Frequency:]], ""), "")</f>
        <v/>
      </c>
      <c r="E25" s="263" t="str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/>
      </c>
      <c r="F25" s="263" t="str">
        <f>IFERROR(IF(Table5[[#This Row],[Description:]]&lt;&gt;"", Table5[[#This Row],[Annual Cost:]], ""), "")</f>
        <v/>
      </c>
      <c r="G25" s="260"/>
    </row>
    <row r="26" spans="1:7" s="192" customFormat="1" x14ac:dyDescent="0.25">
      <c r="A26" s="260" t="str">
        <f>IFERROR(IF(Table5[[#This Row],[Description:]]&lt;&gt;"", Table5[[#This Row],[Description:]], ""), "")</f>
        <v/>
      </c>
      <c r="B26" s="260"/>
      <c r="C26" s="261" t="str">
        <f>IFERROR(IF(Table5[[#This Row],[Description:]]&lt;&gt;"", Table5[[#This Row],[Duration (Years):]], ""), "")</f>
        <v/>
      </c>
      <c r="D26" s="262" t="str">
        <f>IFERROR(IF(Table5[[#This Row],[Description:]]&lt;&gt;"", Table5[[#This Row],[Frequency:]], ""), "")</f>
        <v/>
      </c>
      <c r="E26" s="263" t="e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>#VALUE!</v>
      </c>
      <c r="F26" s="263" t="str">
        <f>IFERROR(IF(Table5[[#This Row],[Description:]]&lt;&gt;"", Table5[[#This Row],[Annual Cost:]], ""), "")</f>
        <v/>
      </c>
      <c r="G26" s="260"/>
    </row>
    <row r="27" spans="1:7" s="192" customFormat="1" x14ac:dyDescent="0.25">
      <c r="A27" s="260" t="str">
        <f>IFERROR(IF(Table5[[#This Row],[Description:]]&lt;&gt;"", Table5[[#This Row],[Description:]], ""), "")</f>
        <v/>
      </c>
      <c r="B27" s="260"/>
      <c r="C27" s="261" t="str">
        <f>IFERROR(IF(Table5[[#This Row],[Description:]]&lt;&gt;"", Table5[[#This Row],[Duration (Years):]], ""), "")</f>
        <v/>
      </c>
      <c r="D27" s="262" t="str">
        <f>IFERROR(IF(Table5[[#This Row],[Description:]]&lt;&gt;"", Table5[[#This Row],[Frequency:]], ""), "")</f>
        <v/>
      </c>
      <c r="E27" s="263" t="e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>#VALUE!</v>
      </c>
      <c r="F27" s="263" t="str">
        <f>IFERROR(IF(Table5[[#This Row],[Description:]]&lt;&gt;"", Table5[[#This Row],[Annual Cost:]], ""), "")</f>
        <v/>
      </c>
      <c r="G27" s="260"/>
    </row>
    <row r="28" spans="1:7" s="192" customFormat="1" x14ac:dyDescent="0.25">
      <c r="A28" s="260" t="str">
        <f>IFERROR(IF(Table5[[#This Row],[Description:]]&lt;&gt;"", Table5[[#This Row],[Description:]], ""), "")</f>
        <v/>
      </c>
      <c r="B28" s="260"/>
      <c r="C28" s="261" t="str">
        <f>IFERROR(IF(Table5[[#This Row],[Description:]]&lt;&gt;"", Table5[[#This Row],[Duration (Years):]], ""), "")</f>
        <v/>
      </c>
      <c r="D28" s="262" t="str">
        <f>IFERROR(IF(Table5[[#This Row],[Description:]]&lt;&gt;"", Table5[[#This Row],[Frequency:]], ""), "")</f>
        <v/>
      </c>
      <c r="E28" s="263" t="e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>#VALUE!</v>
      </c>
      <c r="F28" s="263" t="str">
        <f>IFERROR(IF(Table5[[#This Row],[Description:]]&lt;&gt;"", Table5[[#This Row],[Annual Cost:]], ""), "")</f>
        <v/>
      </c>
      <c r="G28" s="260"/>
    </row>
    <row r="29" spans="1:7" s="192" customFormat="1" x14ac:dyDescent="0.25">
      <c r="A29" s="260" t="str">
        <f>IFERROR(IF(Table5[[#This Row],[Description:]]&lt;&gt;"", Table5[[#This Row],[Description:]], ""), "")</f>
        <v/>
      </c>
      <c r="B29" s="260"/>
      <c r="C29" s="261" t="str">
        <f>IFERROR(IF(Table5[[#This Row],[Description:]]&lt;&gt;"", Table5[[#This Row],[Duration (Years):]], ""), "")</f>
        <v/>
      </c>
      <c r="D29" s="262" t="str">
        <f>IFERROR(IF(Table5[[#This Row],[Description:]]&lt;&gt;"", Table5[[#This Row],[Frequency:]], ""), "")</f>
        <v/>
      </c>
      <c r="E29" s="263" t="e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>#VALUE!</v>
      </c>
      <c r="F29" s="263" t="str">
        <f>IFERROR(IF(Table5[[#This Row],[Description:]]&lt;&gt;"", Table5[[#This Row],[Annual Cost:]], ""), "")</f>
        <v/>
      </c>
      <c r="G29" s="260"/>
    </row>
    <row r="30" spans="1:7" s="192" customFormat="1" x14ac:dyDescent="0.25">
      <c r="A30" s="260" t="str">
        <f>IFERROR(IF(Table5[[#This Row],[Description:]]&lt;&gt;"", Table5[[#This Row],[Description:]], ""), "")</f>
        <v/>
      </c>
      <c r="B30" s="260"/>
      <c r="C30" s="261" t="str">
        <f>IFERROR(IF(Table5[[#This Row],[Description:]]&lt;&gt;"", Table5[[#This Row],[Duration (Years):]], ""), "")</f>
        <v/>
      </c>
      <c r="D30" s="262" t="str">
        <f>IFERROR(IF(Table5[[#This Row],[Description:]]&lt;&gt;"", Table5[[#This Row],[Frequency:]], ""), "")</f>
        <v/>
      </c>
      <c r="E30" s="263" t="e">
        <f>IF(OR(Table5[[#This Row],[Description:]]="", ISBLANK(Table5[[#This Row],[One-Time Cost:]]), ISBLANK(Table5[[#This Row],[Cost:]])), "", IF(Table5[[#This Row],[Time Value:]]="lifetime", CONCATENATE(Table5[[#This Row],[One-Time Cost:]] &amp; "*", CHAR(10), CHAR(10), "(based on ", Table5[[#This Row],[Cost:]], "/unit)"), Table5[[#This Row],[Cost:]]))</f>
        <v>#VALUE!</v>
      </c>
      <c r="F30" s="263" t="str">
        <f>IFERROR(IF(Table5[[#This Row],[Description:]]&lt;&gt;"", Table5[[#This Row],[Annual Cost:]], ""), "")</f>
        <v/>
      </c>
      <c r="G30" s="260"/>
    </row>
    <row r="31" spans="1:7" x14ac:dyDescent="0.25">
      <c r="C31" s="265"/>
      <c r="D31" s="265"/>
      <c r="E31" s="266"/>
      <c r="F31" s="266"/>
    </row>
    <row r="32" spans="1:7" x14ac:dyDescent="0.25">
      <c r="D32" s="267" t="s">
        <v>125</v>
      </c>
      <c r="E32" s="268" t="str">
        <f>Equipment!S26</f>
        <v>$976.86
 - 
$4,329.52</v>
      </c>
    </row>
    <row r="33" spans="4:5" x14ac:dyDescent="0.25">
      <c r="D33" s="267" t="s">
        <v>124</v>
      </c>
      <c r="E33" s="268" t="str">
        <f ca="1">Equipment!P26</f>
        <v>$0.00</v>
      </c>
    </row>
  </sheetData>
  <mergeCells count="1">
    <mergeCell ref="A1:G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16C5-F14E-481B-A99E-AD144804415F}">
  <sheetPr codeName="Sheet41"/>
  <dimension ref="A1:I35"/>
  <sheetViews>
    <sheetView workbookViewId="0">
      <selection sqref="A1:G1"/>
    </sheetView>
  </sheetViews>
  <sheetFormatPr defaultRowHeight="15" x14ac:dyDescent="0.25"/>
  <cols>
    <col min="1" max="2" width="18.7109375" style="190" customWidth="1"/>
    <col min="3" max="4" width="10.7109375" style="190" customWidth="1"/>
    <col min="5" max="6" width="13.7109375" style="193" customWidth="1"/>
    <col min="7" max="7" width="18.7109375" style="190" customWidth="1"/>
    <col min="8" max="16384" width="9.140625" style="190"/>
  </cols>
  <sheetData>
    <row r="1" spans="1:9" ht="23.1" customHeight="1" x14ac:dyDescent="0.25">
      <c r="A1" s="353" t="str">
        <f>'Home Services'!A1</f>
        <v>MISCELLANEOUS</v>
      </c>
      <c r="B1" s="353"/>
      <c r="C1" s="353"/>
      <c r="D1" s="353"/>
      <c r="E1" s="353"/>
      <c r="F1" s="353"/>
      <c r="G1" s="353"/>
    </row>
    <row r="2" spans="1:9" s="191" customFormat="1" ht="18" customHeight="1" x14ac:dyDescent="0.25">
      <c r="A2" s="256" t="s">
        <v>117</v>
      </c>
      <c r="B2" s="256" t="s">
        <v>118</v>
      </c>
      <c r="C2" s="256" t="s">
        <v>119</v>
      </c>
      <c r="D2" s="256" t="s">
        <v>120</v>
      </c>
      <c r="E2" s="258" t="s">
        <v>121</v>
      </c>
      <c r="F2" s="258" t="s">
        <v>122</v>
      </c>
      <c r="G2" s="256" t="s">
        <v>123</v>
      </c>
    </row>
    <row r="3" spans="1:9" s="192" customFormat="1" ht="102" x14ac:dyDescent="0.25">
      <c r="A3" s="260" t="str">
        <f>IFERROR(IF(Table7[[#This Row],[Description:]]&lt;&gt;"", Table7[[#This Row],[Description:]], ""), "")</f>
        <v>One 10-14 Day Hospitalization</v>
      </c>
      <c r="B3" s="260" t="s">
        <v>316</v>
      </c>
      <c r="C3" s="261">
        <f ca="1">IFERROR(IF(Table7[[#This Row],[Description:]]&lt;&gt;"", Table7[[#This Row],[Duration (Years):]], ""), "")</f>
        <v>10</v>
      </c>
      <c r="D3" s="262" t="str">
        <f>IFERROR(IF(Table7[[#This Row],[Description:]]&lt;&gt;"", Table7[[#This Row],[Frequency:]], ""), "")</f>
        <v>1x/lifetime</v>
      </c>
      <c r="E3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>$2,948.00
 - 
$4,819.00*
(based on $2,948.00
 - 
$4,819.00/unit)</v>
      </c>
      <c r="F3" s="263" t="str">
        <f>IFERROR(IF(Table7[[#This Row],[Description:]]&lt;&gt;"", Table7[[#This Row],[Annual Cost:]], ""), "")</f>
        <v>$0.00</v>
      </c>
      <c r="G3" s="260" t="s">
        <v>320</v>
      </c>
    </row>
    <row r="4" spans="1:9" s="192" customFormat="1" ht="76.5" x14ac:dyDescent="0.25">
      <c r="A4" s="260" t="str">
        <f>IFERROR(IF(Table7[[#This Row],[Description:]]&lt;&gt;"", Table7[[#This Row],[Description:]], ""), "")</f>
        <v>Thymoglobulin 1.5mg/kg, 1000mg IV (Infusion Regimens of Cytolytic or Immunomodulatory Medications)</v>
      </c>
      <c r="B4" s="260" t="s">
        <v>317</v>
      </c>
      <c r="C4" s="261">
        <f ca="1">IFERROR(IF(Table7[[#This Row],[Description:]]&lt;&gt;"", Table7[[#This Row],[Duration (Years):]], ""), "")</f>
        <v>10</v>
      </c>
      <c r="D4" s="262" t="str">
        <f>IFERROR(IF(Table7[[#This Row],[Description:]]&lt;&gt;"", Table7[[#This Row],[Frequency:]], ""), "")</f>
        <v>7-14x/lifetime</v>
      </c>
      <c r="E4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>$82,215.00
 - 
$164,430.00*
(based on $11,745.00/unit)</v>
      </c>
      <c r="F4" s="263" t="str">
        <f>IFERROR(IF(Table7[[#This Row],[Description:]]&lt;&gt;"", Table7[[#This Row],[Annual Cost:]], ""), "")</f>
        <v>$0.00</v>
      </c>
      <c r="G4" s="260" t="s">
        <v>320</v>
      </c>
    </row>
    <row r="5" spans="1:9" s="192" customFormat="1" ht="102" x14ac:dyDescent="0.25">
      <c r="A5" s="260" t="str">
        <f>IFERROR(IF(Table7[[#This Row],[Description:]]&lt;&gt;"", Table7[[#This Row],[Description:]], ""), "")</f>
        <v>Handyman Services</v>
      </c>
      <c r="B5" s="260" t="s">
        <v>318</v>
      </c>
      <c r="C5" s="261">
        <f ca="1">IFERROR(IF(Table7[[#This Row],[Description:]]&lt;&gt;"", Table7[[#This Row],[Duration (Years):]], ""), "")</f>
        <v>10</v>
      </c>
      <c r="D5" s="262" t="str">
        <f>IFERROR(IF(Table7[[#This Row],[Description:]]&lt;&gt;"", Table7[[#This Row],[Frequency:]], ""), "")</f>
        <v>12x/lifetime</v>
      </c>
      <c r="E5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>$600.00
 - 
$900.00*
(based on $50.00
 - 
$75.00/unit)</v>
      </c>
      <c r="F5" s="263" t="str">
        <f>IFERROR(IF(Table7[[#This Row],[Description:]]&lt;&gt;"", Table7[[#This Row],[Annual Cost:]], ""), "")</f>
        <v>$0.00</v>
      </c>
      <c r="G5" s="260" t="s">
        <v>321</v>
      </c>
    </row>
    <row r="6" spans="1:9" s="192" customFormat="1" ht="102" x14ac:dyDescent="0.25">
      <c r="A6" s="260" t="str">
        <f>IFERROR(IF(Table7[[#This Row],[Description:]]&lt;&gt;"", Table7[[#This Row],[Description:]], ""), "")</f>
        <v>Housekeeping Services</v>
      </c>
      <c r="B6" s="260" t="s">
        <v>319</v>
      </c>
      <c r="C6" s="261">
        <f ca="1">IFERROR(IF(Table7[[#This Row],[Description:]]&lt;&gt;"", Table7[[#This Row],[Duration (Years):]], ""), "")</f>
        <v>10</v>
      </c>
      <c r="D6" s="262" t="str">
        <f>IFERROR(IF(Table7[[#This Row],[Description:]]&lt;&gt;"", Table7[[#This Row],[Frequency:]], ""), "")</f>
        <v>24x/lifetime</v>
      </c>
      <c r="E6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>$3,120.00
 - 
$4,320.00*
(based on $130.00
 - 
$180.00/unit)</v>
      </c>
      <c r="F6" s="263" t="str">
        <f>IFERROR(IF(Table7[[#This Row],[Description:]]&lt;&gt;"", Table7[[#This Row],[Annual Cost:]], ""), "")</f>
        <v>$0.00</v>
      </c>
      <c r="G6" s="260" t="s">
        <v>322</v>
      </c>
    </row>
    <row r="7" spans="1:9" s="192" customFormat="1" ht="15.75" x14ac:dyDescent="0.25">
      <c r="A7" s="260" t="str">
        <f>IFERROR(IF(Table7[[#This Row],[Description:]]&lt;&gt;"", Table7[[#This Row],[Description:]], ""), "")</f>
        <v/>
      </c>
      <c r="B7" s="260"/>
      <c r="C7" s="261" t="str">
        <f>IFERROR(IF(Table7[[#This Row],[Description:]]&lt;&gt;"", Table7[[#This Row],[Duration (Years):]], ""), "")</f>
        <v/>
      </c>
      <c r="D7" s="262" t="str">
        <f>IFERROR(IF(Table7[[#This Row],[Description:]]&lt;&gt;"", Table7[[#This Row],[Frequency:]], ""), "")</f>
        <v/>
      </c>
      <c r="E7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7" s="263" t="str">
        <f>IFERROR(IF(Table7[[#This Row],[Description:]]&lt;&gt;"", Table7[[#This Row],[Annual Cost:]], ""), "")</f>
        <v/>
      </c>
      <c r="G7" s="260"/>
      <c r="I7" s="118" t="s">
        <v>140</v>
      </c>
    </row>
    <row r="8" spans="1:9" s="192" customFormat="1" ht="15.75" x14ac:dyDescent="0.25">
      <c r="A8" s="260" t="str">
        <f>IFERROR(IF(Table7[[#This Row],[Description:]]&lt;&gt;"", Table7[[#This Row],[Description:]], ""), "")</f>
        <v/>
      </c>
      <c r="B8" s="260"/>
      <c r="C8" s="261" t="str">
        <f>IFERROR(IF(Table7[[#This Row],[Description:]]&lt;&gt;"", Table7[[#This Row],[Duration (Years):]], ""), "")</f>
        <v/>
      </c>
      <c r="D8" s="262" t="str">
        <f>IFERROR(IF(Table7[[#This Row],[Description:]]&lt;&gt;"", Table7[[#This Row],[Frequency:]], ""), "")</f>
        <v/>
      </c>
      <c r="E8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8" s="263" t="str">
        <f>IFERROR(IF(Table7[[#This Row],[Description:]]&lt;&gt;"", Table7[[#This Row],[Annual Cost:]], ""), "")</f>
        <v/>
      </c>
      <c r="G8" s="260"/>
      <c r="I8" s="118" t="s">
        <v>141</v>
      </c>
    </row>
    <row r="9" spans="1:9" s="192" customFormat="1" ht="15.75" x14ac:dyDescent="0.25">
      <c r="A9" s="260" t="str">
        <f>IFERROR(IF(Table7[[#This Row],[Description:]]&lt;&gt;"", Table7[[#This Row],[Description:]], ""), "")</f>
        <v/>
      </c>
      <c r="B9" s="260"/>
      <c r="C9" s="261" t="str">
        <f>IFERROR(IF(Table7[[#This Row],[Description:]]&lt;&gt;"", Table7[[#This Row],[Duration (Years):]], ""), "")</f>
        <v/>
      </c>
      <c r="D9" s="262" t="str">
        <f>IFERROR(IF(Table7[[#This Row],[Description:]]&lt;&gt;"", Table7[[#This Row],[Frequency:]], ""), "")</f>
        <v/>
      </c>
      <c r="E9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9" s="263" t="str">
        <f>IFERROR(IF(Table7[[#This Row],[Description:]]&lt;&gt;"", Table7[[#This Row],[Annual Cost:]], ""), "")</f>
        <v/>
      </c>
      <c r="G9" s="260"/>
      <c r="I9" s="121"/>
    </row>
    <row r="10" spans="1:9" s="192" customFormat="1" ht="15.75" x14ac:dyDescent="0.25">
      <c r="A10" s="260" t="str">
        <f>IFERROR(IF(Table7[[#This Row],[Description:]]&lt;&gt;"", Table7[[#This Row],[Description:]], ""), "")</f>
        <v/>
      </c>
      <c r="B10" s="260"/>
      <c r="C10" s="261" t="str">
        <f>IFERROR(IF(Table7[[#This Row],[Description:]]&lt;&gt;"", Table7[[#This Row],[Duration (Years):]], ""), "")</f>
        <v/>
      </c>
      <c r="D10" s="262" t="str">
        <f>IFERROR(IF(Table7[[#This Row],[Description:]]&lt;&gt;"", Table7[[#This Row],[Frequency:]], ""), "")</f>
        <v/>
      </c>
      <c r="E10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10" s="263" t="str">
        <f>IFERROR(IF(Table7[[#This Row],[Description:]]&lt;&gt;"", Table7[[#This Row],[Annual Cost:]], ""), "")</f>
        <v/>
      </c>
      <c r="G10" s="260"/>
      <c r="I10" s="118" t="s">
        <v>142</v>
      </c>
    </row>
    <row r="11" spans="1:9" s="192" customFormat="1" ht="15.75" x14ac:dyDescent="0.25">
      <c r="A11" s="260" t="str">
        <f>IFERROR(IF(Table7[[#This Row],[Description:]]&lt;&gt;"", Table7[[#This Row],[Description:]], ""), "")</f>
        <v/>
      </c>
      <c r="B11" s="260"/>
      <c r="C11" s="261" t="str">
        <f>IFERROR(IF(Table7[[#This Row],[Description:]]&lt;&gt;"", Table7[[#This Row],[Duration (Years):]], ""), "")</f>
        <v/>
      </c>
      <c r="D11" s="262" t="str">
        <f>IFERROR(IF(Table7[[#This Row],[Description:]]&lt;&gt;"", Table7[[#This Row],[Frequency:]], ""), "")</f>
        <v/>
      </c>
      <c r="E11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11" s="263" t="str">
        <f>IFERROR(IF(Table7[[#This Row],[Description:]]&lt;&gt;"", Table7[[#This Row],[Annual Cost:]], ""), "")</f>
        <v/>
      </c>
      <c r="G11" s="260"/>
      <c r="I11" s="118" t="s">
        <v>143</v>
      </c>
    </row>
    <row r="12" spans="1:9" s="192" customFormat="1" x14ac:dyDescent="0.25">
      <c r="A12" s="260" t="str">
        <f>IFERROR(IF(Table7[[#This Row],[Description:]]&lt;&gt;"", Table7[[#This Row],[Description:]], ""), "")</f>
        <v/>
      </c>
      <c r="B12" s="260"/>
      <c r="C12" s="261" t="str">
        <f>IFERROR(IF(Table7[[#This Row],[Description:]]&lt;&gt;"", Table7[[#This Row],[Duration (Years):]], ""), "")</f>
        <v/>
      </c>
      <c r="D12" s="262" t="str">
        <f>IFERROR(IF(Table7[[#This Row],[Description:]]&lt;&gt;"", Table7[[#This Row],[Frequency:]], ""), "")</f>
        <v/>
      </c>
      <c r="E12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12" s="263" t="str">
        <f>IFERROR(IF(Table7[[#This Row],[Description:]]&lt;&gt;"", Table7[[#This Row],[Annual Cost:]], ""), "")</f>
        <v/>
      </c>
      <c r="G12" s="260"/>
    </row>
    <row r="13" spans="1:9" s="192" customFormat="1" x14ac:dyDescent="0.25">
      <c r="A13" s="260" t="str">
        <f>IFERROR(IF(Table7[[#This Row],[Description:]]&lt;&gt;"", Table7[[#This Row],[Description:]], ""), "")</f>
        <v/>
      </c>
      <c r="B13" s="260"/>
      <c r="C13" s="261" t="str">
        <f>IFERROR(IF(Table7[[#This Row],[Description:]]&lt;&gt;"", Table7[[#This Row],[Duration (Years):]], ""), "")</f>
        <v/>
      </c>
      <c r="D13" s="262" t="str">
        <f>IFERROR(IF(Table7[[#This Row],[Description:]]&lt;&gt;"", Table7[[#This Row],[Frequency:]], ""), "")</f>
        <v/>
      </c>
      <c r="E13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13" s="263" t="str">
        <f>IFERROR(IF(Table7[[#This Row],[Description:]]&lt;&gt;"", Table7[[#This Row],[Annual Cost:]], ""), "")</f>
        <v/>
      </c>
      <c r="G13" s="260"/>
    </row>
    <row r="14" spans="1:9" s="192" customFormat="1" x14ac:dyDescent="0.25">
      <c r="A14" s="260" t="str">
        <f>IFERROR(IF(Table7[[#This Row],[Description:]]&lt;&gt;"", Table7[[#This Row],[Description:]], ""), "")</f>
        <v/>
      </c>
      <c r="B14" s="260"/>
      <c r="C14" s="261" t="str">
        <f>IFERROR(IF(Table7[[#This Row],[Description:]]&lt;&gt;"", Table7[[#This Row],[Duration (Years):]], ""), "")</f>
        <v/>
      </c>
      <c r="D14" s="262" t="str">
        <f>IFERROR(IF(Table7[[#This Row],[Description:]]&lt;&gt;"", Table7[[#This Row],[Frequency:]], ""), "")</f>
        <v/>
      </c>
      <c r="E14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14" s="263" t="str">
        <f>IFERROR(IF(Table7[[#This Row],[Description:]]&lt;&gt;"", Table7[[#This Row],[Annual Cost:]], ""), "")</f>
        <v/>
      </c>
      <c r="G14" s="260"/>
    </row>
    <row r="15" spans="1:9" s="192" customFormat="1" x14ac:dyDescent="0.25">
      <c r="A15" s="260" t="str">
        <f>IFERROR(IF(Table7[[#This Row],[Description:]]&lt;&gt;"", Table7[[#This Row],[Description:]], ""), "")</f>
        <v/>
      </c>
      <c r="B15" s="260"/>
      <c r="C15" s="261" t="str">
        <f>IFERROR(IF(Table7[[#This Row],[Description:]]&lt;&gt;"", Table7[[#This Row],[Duration (Years):]], ""), "")</f>
        <v/>
      </c>
      <c r="D15" s="262" t="str">
        <f>IFERROR(IF(Table7[[#This Row],[Description:]]&lt;&gt;"", Table7[[#This Row],[Frequency:]], ""), "")</f>
        <v/>
      </c>
      <c r="E15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15" s="263" t="str">
        <f>IFERROR(IF(Table7[[#This Row],[Description:]]&lt;&gt;"", Table7[[#This Row],[Annual Cost:]], ""), "")</f>
        <v/>
      </c>
      <c r="G15" s="260"/>
    </row>
    <row r="16" spans="1:9" s="192" customFormat="1" x14ac:dyDescent="0.25">
      <c r="A16" s="260" t="str">
        <f>IFERROR(IF(Table7[[#This Row],[Description:]]&lt;&gt;"", Table7[[#This Row],[Description:]], ""), "")</f>
        <v/>
      </c>
      <c r="B16" s="260"/>
      <c r="C16" s="261" t="str">
        <f>IFERROR(IF(Table7[[#This Row],[Description:]]&lt;&gt;"", Table7[[#This Row],[Duration (Years):]], ""), "")</f>
        <v/>
      </c>
      <c r="D16" s="262" t="str">
        <f>IFERROR(IF(Table7[[#This Row],[Description:]]&lt;&gt;"", Table7[[#This Row],[Frequency:]], ""), "")</f>
        <v/>
      </c>
      <c r="E16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16" s="263" t="str">
        <f>IFERROR(IF(Table7[[#This Row],[Description:]]&lt;&gt;"", Table7[[#This Row],[Annual Cost:]], ""), "")</f>
        <v/>
      </c>
      <c r="G16" s="260"/>
    </row>
    <row r="17" spans="1:7" s="192" customFormat="1" x14ac:dyDescent="0.25">
      <c r="A17" s="260" t="str">
        <f>IFERROR(IF(Table7[[#This Row],[Description:]]&lt;&gt;"", Table7[[#This Row],[Description:]], ""), "")</f>
        <v/>
      </c>
      <c r="B17" s="260"/>
      <c r="C17" s="261" t="str">
        <f>IFERROR(IF(Table7[[#This Row],[Description:]]&lt;&gt;"", Table7[[#This Row],[Duration (Years):]], ""), "")</f>
        <v/>
      </c>
      <c r="D17" s="262" t="str">
        <f>IFERROR(IF(Table7[[#This Row],[Description:]]&lt;&gt;"", Table7[[#This Row],[Frequency:]], ""), "")</f>
        <v/>
      </c>
      <c r="E17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17" s="263" t="str">
        <f>IFERROR(IF(Table7[[#This Row],[Description:]]&lt;&gt;"", Table7[[#This Row],[Annual Cost:]], ""), "")</f>
        <v/>
      </c>
      <c r="G17" s="260"/>
    </row>
    <row r="18" spans="1:7" s="192" customFormat="1" x14ac:dyDescent="0.25">
      <c r="A18" s="260" t="str">
        <f>IFERROR(IF(Table7[[#This Row],[Description:]]&lt;&gt;"", Table7[[#This Row],[Description:]], ""), "")</f>
        <v/>
      </c>
      <c r="B18" s="260"/>
      <c r="C18" s="261" t="str">
        <f>IFERROR(IF(Table7[[#This Row],[Description:]]&lt;&gt;"", Table7[[#This Row],[Duration (Years):]], ""), "")</f>
        <v/>
      </c>
      <c r="D18" s="262" t="str">
        <f>IFERROR(IF(Table7[[#This Row],[Description:]]&lt;&gt;"", Table7[[#This Row],[Frequency:]], ""), "")</f>
        <v/>
      </c>
      <c r="E18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18" s="263" t="str">
        <f>IFERROR(IF(Table7[[#This Row],[Description:]]&lt;&gt;"", Table7[[#This Row],[Annual Cost:]], ""), "")</f>
        <v/>
      </c>
      <c r="G18" s="260"/>
    </row>
    <row r="19" spans="1:7" s="192" customFormat="1" x14ac:dyDescent="0.25">
      <c r="A19" s="260" t="str">
        <f>IFERROR(IF(Table7[[#This Row],[Description:]]&lt;&gt;"", Table7[[#This Row],[Description:]], ""), "")</f>
        <v/>
      </c>
      <c r="B19" s="260"/>
      <c r="C19" s="261" t="str">
        <f>IFERROR(IF(Table7[[#This Row],[Description:]]&lt;&gt;"", Table7[[#This Row],[Duration (Years):]], ""), "")</f>
        <v/>
      </c>
      <c r="D19" s="262" t="str">
        <f>IFERROR(IF(Table7[[#This Row],[Description:]]&lt;&gt;"", Table7[[#This Row],[Frequency:]], ""), "")</f>
        <v/>
      </c>
      <c r="E19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19" s="263" t="str">
        <f>IFERROR(IF(Table7[[#This Row],[Description:]]&lt;&gt;"", Table7[[#This Row],[Annual Cost:]], ""), "")</f>
        <v/>
      </c>
      <c r="G19" s="260"/>
    </row>
    <row r="20" spans="1:7" s="192" customFormat="1" x14ac:dyDescent="0.25">
      <c r="A20" s="260" t="str">
        <f>IFERROR(IF(Table7[[#This Row],[Description:]]&lt;&gt;"", Table7[[#This Row],[Description:]], ""), "")</f>
        <v/>
      </c>
      <c r="B20" s="260"/>
      <c r="C20" s="261" t="str">
        <f>IFERROR(IF(Table7[[#This Row],[Description:]]&lt;&gt;"", Table7[[#This Row],[Duration (Years):]], ""), "")</f>
        <v/>
      </c>
      <c r="D20" s="262" t="str">
        <f>IFERROR(IF(Table7[[#This Row],[Description:]]&lt;&gt;"", Table7[[#This Row],[Frequency:]], ""), "")</f>
        <v/>
      </c>
      <c r="E20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20" s="263" t="str">
        <f>IFERROR(IF(Table7[[#This Row],[Description:]]&lt;&gt;"", Table7[[#This Row],[Annual Cost:]], ""), "")</f>
        <v/>
      </c>
      <c r="G20" s="260"/>
    </row>
    <row r="21" spans="1:7" s="192" customFormat="1" x14ac:dyDescent="0.25">
      <c r="A21" s="260" t="str">
        <f>IFERROR(IF(Table7[[#This Row],[Description:]]&lt;&gt;"", Table7[[#This Row],[Description:]], ""), "")</f>
        <v/>
      </c>
      <c r="B21" s="260"/>
      <c r="C21" s="261" t="str">
        <f>IFERROR(IF(Table7[[#This Row],[Description:]]&lt;&gt;"", Table7[[#This Row],[Duration (Years):]], ""), "")</f>
        <v/>
      </c>
      <c r="D21" s="262" t="str">
        <f>IFERROR(IF(Table7[[#This Row],[Description:]]&lt;&gt;"", Table7[[#This Row],[Frequency:]], ""), "")</f>
        <v/>
      </c>
      <c r="E21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21" s="263" t="str">
        <f>IFERROR(IF(Table7[[#This Row],[Description:]]&lt;&gt;"", Table7[[#This Row],[Annual Cost:]], ""), "")</f>
        <v/>
      </c>
      <c r="G21" s="260"/>
    </row>
    <row r="22" spans="1:7" s="192" customFormat="1" x14ac:dyDescent="0.25">
      <c r="A22" s="260" t="str">
        <f>IFERROR(IF(Table7[[#This Row],[Description:]]&lt;&gt;"", Table7[[#This Row],[Description:]], ""), "")</f>
        <v/>
      </c>
      <c r="B22" s="260"/>
      <c r="C22" s="261" t="str">
        <f>IFERROR(IF(Table7[[#This Row],[Description:]]&lt;&gt;"", Table7[[#This Row],[Duration (Years):]], ""), "")</f>
        <v/>
      </c>
      <c r="D22" s="262" t="str">
        <f>IFERROR(IF(Table7[[#This Row],[Description:]]&lt;&gt;"", Table7[[#This Row],[Frequency:]], ""), "")</f>
        <v/>
      </c>
      <c r="E22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22" s="263" t="str">
        <f>IFERROR(IF(Table7[[#This Row],[Description:]]&lt;&gt;"", Table7[[#This Row],[Annual Cost:]], ""), "")</f>
        <v/>
      </c>
      <c r="G22" s="260"/>
    </row>
    <row r="23" spans="1:7" s="192" customFormat="1" x14ac:dyDescent="0.25">
      <c r="A23" s="260" t="str">
        <f>IFERROR(IF(Table7[[#This Row],[Description:]]&lt;&gt;"", Table7[[#This Row],[Description:]], ""), "")</f>
        <v/>
      </c>
      <c r="B23" s="260"/>
      <c r="C23" s="261" t="str">
        <f>IFERROR(IF(Table7[[#This Row],[Description:]]&lt;&gt;"", Table7[[#This Row],[Duration (Years):]], ""), "")</f>
        <v/>
      </c>
      <c r="D23" s="262" t="str">
        <f>IFERROR(IF(Table7[[#This Row],[Description:]]&lt;&gt;"", Table7[[#This Row],[Frequency:]], ""), "")</f>
        <v/>
      </c>
      <c r="E23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23" s="263" t="str">
        <f>IFERROR(IF(Table7[[#This Row],[Description:]]&lt;&gt;"", Table7[[#This Row],[Annual Cost:]], ""), "")</f>
        <v/>
      </c>
      <c r="G23" s="260"/>
    </row>
    <row r="24" spans="1:7" s="192" customFormat="1" x14ac:dyDescent="0.25">
      <c r="A24" s="260" t="str">
        <f>IFERROR(IF(Table7[[#This Row],[Description:]]&lt;&gt;"", Table7[[#This Row],[Description:]], ""), "")</f>
        <v/>
      </c>
      <c r="B24" s="260"/>
      <c r="C24" s="261" t="str">
        <f>IFERROR(IF(Table7[[#This Row],[Description:]]&lt;&gt;"", Table7[[#This Row],[Duration (Years):]], ""), "")</f>
        <v/>
      </c>
      <c r="D24" s="262" t="str">
        <f>IFERROR(IF(Table7[[#This Row],[Description:]]&lt;&gt;"", Table7[[#This Row],[Frequency:]], ""), "")</f>
        <v/>
      </c>
      <c r="E24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24" s="263" t="str">
        <f>IFERROR(IF(Table7[[#This Row],[Description:]]&lt;&gt;"", Table7[[#This Row],[Annual Cost:]], ""), "")</f>
        <v/>
      </c>
      <c r="G24" s="260"/>
    </row>
    <row r="25" spans="1:7" s="192" customFormat="1" x14ac:dyDescent="0.25">
      <c r="A25" s="260" t="str">
        <f>IFERROR(IF(Table7[[#This Row],[Description:]]&lt;&gt;"", Table7[[#This Row],[Description:]], ""), "")</f>
        <v/>
      </c>
      <c r="B25" s="260"/>
      <c r="C25" s="261" t="str">
        <f>IFERROR(IF(Table7[[#This Row],[Description:]]&lt;&gt;"", Table7[[#This Row],[Duration (Years):]], ""), "")</f>
        <v/>
      </c>
      <c r="D25" s="262" t="str">
        <f>IFERROR(IF(Table7[[#This Row],[Description:]]&lt;&gt;"", Table7[[#This Row],[Frequency:]], ""), "")</f>
        <v/>
      </c>
      <c r="E25" s="263" t="str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/>
      </c>
      <c r="F25" s="263" t="str">
        <f>IFERROR(IF(Table7[[#This Row],[Description:]]&lt;&gt;"", Table7[[#This Row],[Annual Cost:]], ""), "")</f>
        <v/>
      </c>
      <c r="G25" s="260"/>
    </row>
    <row r="26" spans="1:7" s="192" customFormat="1" x14ac:dyDescent="0.25">
      <c r="A26" s="260" t="str">
        <f>IFERROR(IF(Table7[[#This Row],[Description:]]&lt;&gt;"", Table7[[#This Row],[Description:]], ""), "")</f>
        <v/>
      </c>
      <c r="B26" s="260"/>
      <c r="C26" s="261" t="str">
        <f>IFERROR(IF(Table7[[#This Row],[Description:]]&lt;&gt;"", Table7[[#This Row],[Duration (Years):]], ""), "")</f>
        <v/>
      </c>
      <c r="D26" s="262" t="str">
        <f>IFERROR(IF(Table7[[#This Row],[Description:]]&lt;&gt;"", Table7[[#This Row],[Frequency:]], ""), "")</f>
        <v/>
      </c>
      <c r="E26" s="263" t="e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>#VALUE!</v>
      </c>
      <c r="F26" s="263" t="str">
        <f>IFERROR(IF(Table7[[#This Row],[Description:]]&lt;&gt;"", Table7[[#This Row],[Annual Cost:]], ""), "")</f>
        <v/>
      </c>
      <c r="G26" s="260"/>
    </row>
    <row r="27" spans="1:7" s="192" customFormat="1" x14ac:dyDescent="0.25">
      <c r="A27" s="260" t="str">
        <f>IFERROR(IF(Table7[[#This Row],[Description:]]&lt;&gt;"", Table7[[#This Row],[Description:]], ""), "")</f>
        <v/>
      </c>
      <c r="B27" s="260"/>
      <c r="C27" s="261" t="str">
        <f>IFERROR(IF(Table7[[#This Row],[Description:]]&lt;&gt;"", Table7[[#This Row],[Duration (Years):]], ""), "")</f>
        <v/>
      </c>
      <c r="D27" s="262" t="str">
        <f>IFERROR(IF(Table7[[#This Row],[Description:]]&lt;&gt;"", Table7[[#This Row],[Frequency:]], ""), "")</f>
        <v/>
      </c>
      <c r="E27" s="263" t="e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>#VALUE!</v>
      </c>
      <c r="F27" s="263" t="str">
        <f>IFERROR(IF(Table7[[#This Row],[Description:]]&lt;&gt;"", Table7[[#This Row],[Annual Cost:]], ""), "")</f>
        <v/>
      </c>
      <c r="G27" s="260"/>
    </row>
    <row r="28" spans="1:7" s="192" customFormat="1" x14ac:dyDescent="0.25">
      <c r="A28" s="260" t="str">
        <f>IFERROR(IF(Table7[[#This Row],[Description:]]&lt;&gt;"", Table7[[#This Row],[Description:]], ""), "")</f>
        <v/>
      </c>
      <c r="B28" s="260"/>
      <c r="C28" s="261" t="str">
        <f>IFERROR(IF(Table7[[#This Row],[Description:]]&lt;&gt;"", Table7[[#This Row],[Duration (Years):]], ""), "")</f>
        <v/>
      </c>
      <c r="D28" s="262" t="str">
        <f>IFERROR(IF(Table7[[#This Row],[Description:]]&lt;&gt;"", Table7[[#This Row],[Frequency:]], ""), "")</f>
        <v/>
      </c>
      <c r="E28" s="263" t="e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>#VALUE!</v>
      </c>
      <c r="F28" s="263" t="str">
        <f>IFERROR(IF(Table7[[#This Row],[Description:]]&lt;&gt;"", Table7[[#This Row],[Annual Cost:]], ""), "")</f>
        <v/>
      </c>
      <c r="G28" s="260"/>
    </row>
    <row r="29" spans="1:7" s="192" customFormat="1" x14ac:dyDescent="0.25">
      <c r="A29" s="260" t="str">
        <f>IFERROR(IF(Table7[[#This Row],[Description:]]&lt;&gt;"", Table7[[#This Row],[Description:]], ""), "")</f>
        <v/>
      </c>
      <c r="B29" s="260"/>
      <c r="C29" s="261" t="str">
        <f>IFERROR(IF(Table7[[#This Row],[Description:]]&lt;&gt;"", Table7[[#This Row],[Duration (Years):]], ""), "")</f>
        <v/>
      </c>
      <c r="D29" s="262" t="str">
        <f>IFERROR(IF(Table7[[#This Row],[Description:]]&lt;&gt;"", Table7[[#This Row],[Frequency:]], ""), "")</f>
        <v/>
      </c>
      <c r="E29" s="263" t="e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>#VALUE!</v>
      </c>
      <c r="F29" s="263" t="str">
        <f>IFERROR(IF(Table7[[#This Row],[Description:]]&lt;&gt;"", Table7[[#This Row],[Annual Cost:]], ""), "")</f>
        <v/>
      </c>
      <c r="G29" s="260"/>
    </row>
    <row r="30" spans="1:7" s="192" customFormat="1" x14ac:dyDescent="0.25">
      <c r="A30" s="260" t="str">
        <f>IFERROR(IF(Table7[[#This Row],[Description:]]&lt;&gt;"", Table7[[#This Row],[Description:]], ""), "")</f>
        <v/>
      </c>
      <c r="B30" s="260"/>
      <c r="C30" s="261" t="str">
        <f>IFERROR(IF(Table7[[#This Row],[Description:]]&lt;&gt;"", Table7[[#This Row],[Duration (Years):]], ""), "")</f>
        <v/>
      </c>
      <c r="D30" s="262" t="str">
        <f>IFERROR(IF(Table7[[#This Row],[Description:]]&lt;&gt;"", Table7[[#This Row],[Frequency:]], ""), "")</f>
        <v/>
      </c>
      <c r="E30" s="263" t="e">
        <f>IF(OR(Table7[[#This Row],[Description:]]="", ISBLANK(Table7[[#This Row],[One-Time Cost:]]), ISBLANK(Table7[[#This Row],[Cost:]])), "", IF(Table7[[#This Row],[Time Value:]]="lifetime", CONCATENATE(Table7[[#This Row],[One-Time Cost:]] &amp; "*", CHAR(10), CHAR(10), "(based on ", Table7[[#This Row],[Cost:]], "/unit)"), Table7[[#This Row],[Cost:]]))</f>
        <v>#VALUE!</v>
      </c>
      <c r="F30" s="263" t="str">
        <f>IFERROR(IF(Table7[[#This Row],[Description:]]&lt;&gt;"", Table7[[#This Row],[Annual Cost:]], ""), "")</f>
        <v/>
      </c>
      <c r="G30" s="260"/>
    </row>
    <row r="31" spans="1:7" x14ac:dyDescent="0.25">
      <c r="A31" s="257"/>
      <c r="B31" s="257"/>
      <c r="C31" s="265"/>
      <c r="D31" s="265"/>
      <c r="E31" s="266"/>
      <c r="F31" s="266"/>
      <c r="G31" s="257"/>
    </row>
    <row r="32" spans="1:7" x14ac:dyDescent="0.25">
      <c r="A32" s="257"/>
      <c r="B32" s="257"/>
      <c r="C32" s="257"/>
      <c r="D32" s="267" t="s">
        <v>125</v>
      </c>
      <c r="E32" s="268" t="str">
        <f>'Home Services'!S26</f>
        <v>$88,883.00
 - 
$174,469.00</v>
      </c>
      <c r="F32" s="269"/>
      <c r="G32" s="257"/>
    </row>
    <row r="33" spans="1:7" x14ac:dyDescent="0.25">
      <c r="A33" s="257"/>
      <c r="B33" s="257"/>
      <c r="C33" s="257"/>
      <c r="D33" s="267" t="s">
        <v>124</v>
      </c>
      <c r="E33" s="268" t="str">
        <f ca="1">'Home Services'!P26</f>
        <v>$0.00</v>
      </c>
      <c r="F33" s="269"/>
      <c r="G33" s="257"/>
    </row>
    <row r="34" spans="1:7" x14ac:dyDescent="0.25">
      <c r="A34" s="257"/>
      <c r="B34" s="257"/>
      <c r="C34" s="257"/>
      <c r="D34" s="257"/>
      <c r="E34" s="269"/>
      <c r="F34" s="269"/>
      <c r="G34" s="257"/>
    </row>
    <row r="35" spans="1:7" x14ac:dyDescent="0.25">
      <c r="A35" s="257"/>
      <c r="B35" s="257"/>
      <c r="C35" s="257"/>
      <c r="D35" s="257"/>
      <c r="E35" s="269"/>
      <c r="F35" s="269"/>
      <c r="G35" s="257"/>
    </row>
  </sheetData>
  <mergeCells count="1">
    <mergeCell ref="A1:G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49DC9-2FBA-444F-AC5E-AC31E29C11FB}">
  <sheetPr codeName="Sheet42"/>
  <dimension ref="A1:I34"/>
  <sheetViews>
    <sheetView workbookViewId="0">
      <selection sqref="A1:G1"/>
    </sheetView>
  </sheetViews>
  <sheetFormatPr defaultRowHeight="15" x14ac:dyDescent="0.25"/>
  <cols>
    <col min="1" max="2" width="18.7109375" style="190" customWidth="1"/>
    <col min="3" max="4" width="10.7109375" style="190" customWidth="1"/>
    <col min="5" max="6" width="13.7109375" style="193" customWidth="1"/>
    <col min="7" max="7" width="18.7109375" style="190" customWidth="1"/>
    <col min="8" max="16384" width="9.140625" style="190"/>
  </cols>
  <sheetData>
    <row r="1" spans="1:9" ht="23.1" customHeight="1" x14ac:dyDescent="0.25">
      <c r="A1" s="353" t="str">
        <f>'Home Maintenance'!A1</f>
        <v>HOME MAINTENANCE</v>
      </c>
      <c r="B1" s="353"/>
      <c r="C1" s="353"/>
      <c r="D1" s="353"/>
      <c r="E1" s="353"/>
      <c r="F1" s="353"/>
      <c r="G1" s="353"/>
    </row>
    <row r="2" spans="1:9" s="191" customFormat="1" ht="18" customHeight="1" x14ac:dyDescent="0.25">
      <c r="A2" s="256" t="s">
        <v>117</v>
      </c>
      <c r="B2" s="256" t="s">
        <v>118</v>
      </c>
      <c r="C2" s="256" t="s">
        <v>119</v>
      </c>
      <c r="D2" s="256" t="s">
        <v>120</v>
      </c>
      <c r="E2" s="258" t="s">
        <v>121</v>
      </c>
      <c r="F2" s="258" t="s">
        <v>122</v>
      </c>
      <c r="G2" s="256" t="s">
        <v>123</v>
      </c>
    </row>
    <row r="3" spans="1:9" s="192" customFormat="1" x14ac:dyDescent="0.25">
      <c r="A3" s="260" t="str">
        <f>IFERROR(IF(Table8[[#This Row],[Description:]]&lt;&gt;"", Table8[[#This Row],[Description:]], ""), "")</f>
        <v/>
      </c>
      <c r="B3" s="260"/>
      <c r="C3" s="261" t="str">
        <f>IFERROR(IF(Table8[[#This Row],[Description:]]&lt;&gt;"", Table8[[#This Row],[Duration (Years):]], ""), "")</f>
        <v/>
      </c>
      <c r="D3" s="262" t="str">
        <f>IFERROR(IF(Table8[[#This Row],[Description:]]&lt;&gt;"", Table8[[#This Row],[Frequency:]], ""), "")</f>
        <v/>
      </c>
      <c r="E3" s="263" t="str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/>
      </c>
      <c r="F3" s="263" t="str">
        <f>IFERROR(IF(Table8[[#This Row],[Description:]]&lt;&gt;"", Table8[[#This Row],[Annual Cost:]], ""), "")</f>
        <v/>
      </c>
      <c r="G3" s="260"/>
    </row>
    <row r="4" spans="1:9" s="192" customFormat="1" x14ac:dyDescent="0.25">
      <c r="A4" s="260" t="str">
        <f>IFERROR(IF(Table8[[#This Row],[Description:]]&lt;&gt;"", Table8[[#This Row],[Description:]], ""), "")</f>
        <v/>
      </c>
      <c r="B4" s="260"/>
      <c r="C4" s="261" t="str">
        <f>IFERROR(IF(Table8[[#This Row],[Description:]]&lt;&gt;"", Table8[[#This Row],[Duration (Years):]], ""), "")</f>
        <v/>
      </c>
      <c r="D4" s="262" t="str">
        <f>IFERROR(IF(Table8[[#This Row],[Description:]]&lt;&gt;"", Table8[[#This Row],[Frequency:]], ""), "")</f>
        <v/>
      </c>
      <c r="E4" s="263" t="str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/>
      </c>
      <c r="F4" s="263" t="str">
        <f>IFERROR(IF(Table8[[#This Row],[Description:]]&lt;&gt;"", Table8[[#This Row],[Annual Cost:]], ""), "")</f>
        <v/>
      </c>
      <c r="G4" s="260"/>
    </row>
    <row r="5" spans="1:9" s="192" customFormat="1" x14ac:dyDescent="0.25">
      <c r="A5" s="260" t="str">
        <f>IFERROR(IF(Table8[[#This Row],[Description:]]&lt;&gt;"", Table8[[#This Row],[Description:]], ""), "")</f>
        <v/>
      </c>
      <c r="B5" s="260"/>
      <c r="C5" s="261" t="str">
        <f>IFERROR(IF(Table8[[#This Row],[Description:]]&lt;&gt;"", Table8[[#This Row],[Duration (Years):]], ""), "")</f>
        <v/>
      </c>
      <c r="D5" s="262" t="str">
        <f>IFERROR(IF(Table8[[#This Row],[Description:]]&lt;&gt;"", Table8[[#This Row],[Frequency:]], ""), "")</f>
        <v/>
      </c>
      <c r="E5" s="263" t="str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/>
      </c>
      <c r="F5" s="263" t="str">
        <f>IFERROR(IF(Table8[[#This Row],[Description:]]&lt;&gt;"", Table8[[#This Row],[Annual Cost:]], ""), "")</f>
        <v/>
      </c>
      <c r="G5" s="260"/>
    </row>
    <row r="6" spans="1:9" s="192" customFormat="1" x14ac:dyDescent="0.25">
      <c r="A6" s="260" t="str">
        <f>IFERROR(IF(Table8[[#This Row],[Description:]]&lt;&gt;"", Table8[[#This Row],[Description:]], ""), "")</f>
        <v/>
      </c>
      <c r="B6" s="260"/>
      <c r="C6" s="261" t="str">
        <f>IFERROR(IF(Table8[[#This Row],[Description:]]&lt;&gt;"", Table8[[#This Row],[Duration (Years):]], ""), "")</f>
        <v/>
      </c>
      <c r="D6" s="262" t="str">
        <f>IFERROR(IF(Table8[[#This Row],[Description:]]&lt;&gt;"", Table8[[#This Row],[Frequency:]], ""), "")</f>
        <v/>
      </c>
      <c r="E6" s="263" t="str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/>
      </c>
      <c r="F6" s="263" t="str">
        <f>IFERROR(IF(Table8[[#This Row],[Description:]]&lt;&gt;"", Table8[[#This Row],[Annual Cost:]], ""), "")</f>
        <v/>
      </c>
      <c r="G6" s="260"/>
    </row>
    <row r="7" spans="1:9" s="192" customFormat="1" ht="15.75" x14ac:dyDescent="0.25">
      <c r="A7" s="260" t="str">
        <f>IFERROR(IF(Table8[[#This Row],[Description:]]&lt;&gt;"", Table8[[#This Row],[Description:]], ""), "")</f>
        <v/>
      </c>
      <c r="B7" s="260"/>
      <c r="C7" s="261" t="str">
        <f>IFERROR(IF(Table8[[#This Row],[Description:]]&lt;&gt;"", Table8[[#This Row],[Duration (Years):]], ""), "")</f>
        <v/>
      </c>
      <c r="D7" s="262" t="str">
        <f>IFERROR(IF(Table8[[#This Row],[Description:]]&lt;&gt;"", Table8[[#This Row],[Frequency:]], ""), "")</f>
        <v/>
      </c>
      <c r="E7" s="263" t="str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/>
      </c>
      <c r="F7" s="263" t="str">
        <f>IFERROR(IF(Table8[[#This Row],[Description:]]&lt;&gt;"", Table8[[#This Row],[Annual Cost:]], ""), "")</f>
        <v/>
      </c>
      <c r="G7" s="260"/>
      <c r="I7" s="118" t="s">
        <v>140</v>
      </c>
    </row>
    <row r="8" spans="1:9" s="192" customFormat="1" ht="15.75" x14ac:dyDescent="0.25">
      <c r="A8" s="260" t="str">
        <f>IFERROR(IF(Table8[[#This Row],[Description:]]&lt;&gt;"", Table8[[#This Row],[Description:]], ""), "")</f>
        <v/>
      </c>
      <c r="B8" s="260"/>
      <c r="C8" s="261" t="str">
        <f>IFERROR(IF(Table8[[#This Row],[Description:]]&lt;&gt;"", Table8[[#This Row],[Duration (Years):]], ""), "")</f>
        <v/>
      </c>
      <c r="D8" s="262" t="str">
        <f>IFERROR(IF(Table8[[#This Row],[Description:]]&lt;&gt;"", Table8[[#This Row],[Frequency:]], ""), "")</f>
        <v/>
      </c>
      <c r="E8" s="263" t="str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/>
      </c>
      <c r="F8" s="263" t="str">
        <f>IFERROR(IF(Table8[[#This Row],[Description:]]&lt;&gt;"", Table8[[#This Row],[Annual Cost:]], ""), "")</f>
        <v/>
      </c>
      <c r="G8" s="260"/>
      <c r="I8" s="118" t="s">
        <v>141</v>
      </c>
    </row>
    <row r="9" spans="1:9" s="192" customFormat="1" ht="15.75" x14ac:dyDescent="0.25">
      <c r="A9" s="260" t="str">
        <f>IFERROR(IF(Table8[[#This Row],[Description:]]&lt;&gt;"", Table8[[#This Row],[Description:]], ""), "")</f>
        <v/>
      </c>
      <c r="B9" s="260"/>
      <c r="C9" s="261" t="str">
        <f>IFERROR(IF(Table8[[#This Row],[Description:]]&lt;&gt;"", Table8[[#This Row],[Duration (Years):]], ""), "")</f>
        <v/>
      </c>
      <c r="D9" s="262" t="str">
        <f>IFERROR(IF(Table8[[#This Row],[Description:]]&lt;&gt;"", Table8[[#This Row],[Frequency:]], ""), "")</f>
        <v/>
      </c>
      <c r="E9" s="263" t="str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/>
      </c>
      <c r="F9" s="263" t="str">
        <f>IFERROR(IF(Table8[[#This Row],[Description:]]&lt;&gt;"", Table8[[#This Row],[Annual Cost:]], ""), "")</f>
        <v/>
      </c>
      <c r="G9" s="260"/>
      <c r="I9" s="121"/>
    </row>
    <row r="10" spans="1:9" s="192" customFormat="1" ht="15.75" x14ac:dyDescent="0.25">
      <c r="A10" s="260" t="str">
        <f>IFERROR(IF(Table8[[#This Row],[Description:]]&lt;&gt;"", Table8[[#This Row],[Description:]], ""), "")</f>
        <v/>
      </c>
      <c r="B10" s="260"/>
      <c r="C10" s="261" t="str">
        <f>IFERROR(IF(Table8[[#This Row],[Description:]]&lt;&gt;"", Table8[[#This Row],[Duration (Years):]], ""), "")</f>
        <v/>
      </c>
      <c r="D10" s="262" t="str">
        <f>IFERROR(IF(Table8[[#This Row],[Description:]]&lt;&gt;"", Table8[[#This Row],[Frequency:]], ""), "")</f>
        <v/>
      </c>
      <c r="E10" s="263" t="str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/>
      </c>
      <c r="F10" s="263" t="str">
        <f>IFERROR(IF(Table8[[#This Row],[Description:]]&lt;&gt;"", Table8[[#This Row],[Annual Cost:]], ""), "")</f>
        <v/>
      </c>
      <c r="G10" s="260"/>
      <c r="I10" s="118" t="s">
        <v>142</v>
      </c>
    </row>
    <row r="11" spans="1:9" s="192" customFormat="1" ht="15.75" x14ac:dyDescent="0.25">
      <c r="A11" s="260" t="str">
        <f>IFERROR(IF(Table8[[#This Row],[Description:]]&lt;&gt;"", Table8[[#This Row],[Description:]], ""), "")</f>
        <v/>
      </c>
      <c r="B11" s="260"/>
      <c r="C11" s="261" t="str">
        <f>IFERROR(IF(Table8[[#This Row],[Description:]]&lt;&gt;"", Table8[[#This Row],[Duration (Years):]], ""), "")</f>
        <v/>
      </c>
      <c r="D11" s="262" t="str">
        <f>IFERROR(IF(Table8[[#This Row],[Description:]]&lt;&gt;"", Table8[[#This Row],[Frequency:]], ""), "")</f>
        <v/>
      </c>
      <c r="E11" s="263" t="str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/>
      </c>
      <c r="F11" s="263" t="str">
        <f>IFERROR(IF(Table8[[#This Row],[Description:]]&lt;&gt;"", Table8[[#This Row],[Annual Cost:]], ""), "")</f>
        <v/>
      </c>
      <c r="G11" s="260"/>
      <c r="I11" s="118" t="s">
        <v>143</v>
      </c>
    </row>
    <row r="12" spans="1:9" s="192" customFormat="1" x14ac:dyDescent="0.25">
      <c r="A12" s="260" t="str">
        <f>IFERROR(IF(Table8[[#This Row],[Description:]]&lt;&gt;"", Table8[[#This Row],[Description:]], ""), "")</f>
        <v/>
      </c>
      <c r="B12" s="260"/>
      <c r="C12" s="261" t="str">
        <f>IFERROR(IF(Table8[[#This Row],[Description:]]&lt;&gt;"", Table8[[#This Row],[Duration (Years):]], ""), "")</f>
        <v/>
      </c>
      <c r="D12" s="262" t="str">
        <f>IFERROR(IF(Table8[[#This Row],[Description:]]&lt;&gt;"", Table8[[#This Row],[Frequency:]], ""), "")</f>
        <v/>
      </c>
      <c r="E12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12" s="263" t="str">
        <f>IFERROR(IF(Table8[[#This Row],[Description:]]&lt;&gt;"", Table8[[#This Row],[Annual Cost:]], ""), "")</f>
        <v/>
      </c>
      <c r="G12" s="260"/>
    </row>
    <row r="13" spans="1:9" s="192" customFormat="1" x14ac:dyDescent="0.25">
      <c r="A13" s="260" t="str">
        <f>IFERROR(IF(Table8[[#This Row],[Description:]]&lt;&gt;"", Table8[[#This Row],[Description:]], ""), "")</f>
        <v/>
      </c>
      <c r="B13" s="260"/>
      <c r="C13" s="261" t="str">
        <f>IFERROR(IF(Table8[[#This Row],[Description:]]&lt;&gt;"", Table8[[#This Row],[Duration (Years):]], ""), "")</f>
        <v/>
      </c>
      <c r="D13" s="262" t="str">
        <f>IFERROR(IF(Table8[[#This Row],[Description:]]&lt;&gt;"", Table8[[#This Row],[Frequency:]], ""), "")</f>
        <v/>
      </c>
      <c r="E13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13" s="263" t="str">
        <f>IFERROR(IF(Table8[[#This Row],[Description:]]&lt;&gt;"", Table8[[#This Row],[Annual Cost:]], ""), "")</f>
        <v/>
      </c>
      <c r="G13" s="260"/>
    </row>
    <row r="14" spans="1:9" s="192" customFormat="1" x14ac:dyDescent="0.25">
      <c r="A14" s="260" t="str">
        <f>IFERROR(IF(Table8[[#This Row],[Description:]]&lt;&gt;"", Table8[[#This Row],[Description:]], ""), "")</f>
        <v/>
      </c>
      <c r="B14" s="260"/>
      <c r="C14" s="261" t="str">
        <f>IFERROR(IF(Table8[[#This Row],[Description:]]&lt;&gt;"", Table8[[#This Row],[Duration (Years):]], ""), "")</f>
        <v/>
      </c>
      <c r="D14" s="262" t="str">
        <f>IFERROR(IF(Table8[[#This Row],[Description:]]&lt;&gt;"", Table8[[#This Row],[Frequency:]], ""), "")</f>
        <v/>
      </c>
      <c r="E14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14" s="263" t="str">
        <f>IFERROR(IF(Table8[[#This Row],[Description:]]&lt;&gt;"", Table8[[#This Row],[Annual Cost:]], ""), "")</f>
        <v/>
      </c>
      <c r="G14" s="260"/>
    </row>
    <row r="15" spans="1:9" s="192" customFormat="1" x14ac:dyDescent="0.25">
      <c r="A15" s="260" t="str">
        <f>IFERROR(IF(Table8[[#This Row],[Description:]]&lt;&gt;"", Table8[[#This Row],[Description:]], ""), "")</f>
        <v/>
      </c>
      <c r="B15" s="260"/>
      <c r="C15" s="261" t="str">
        <f>IFERROR(IF(Table8[[#This Row],[Description:]]&lt;&gt;"", Table8[[#This Row],[Duration (Years):]], ""), "")</f>
        <v/>
      </c>
      <c r="D15" s="262" t="str">
        <f>IFERROR(IF(Table8[[#This Row],[Description:]]&lt;&gt;"", Table8[[#This Row],[Frequency:]], ""), "")</f>
        <v/>
      </c>
      <c r="E15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15" s="263" t="str">
        <f>IFERROR(IF(Table8[[#This Row],[Description:]]&lt;&gt;"", Table8[[#This Row],[Annual Cost:]], ""), "")</f>
        <v/>
      </c>
      <c r="G15" s="260"/>
    </row>
    <row r="16" spans="1:9" s="192" customFormat="1" x14ac:dyDescent="0.25">
      <c r="A16" s="260" t="str">
        <f>IFERROR(IF(Table8[[#This Row],[Description:]]&lt;&gt;"", Table8[[#This Row],[Description:]], ""), "")</f>
        <v/>
      </c>
      <c r="B16" s="260"/>
      <c r="C16" s="261" t="str">
        <f>IFERROR(IF(Table8[[#This Row],[Description:]]&lt;&gt;"", Table8[[#This Row],[Duration (Years):]], ""), "")</f>
        <v/>
      </c>
      <c r="D16" s="262" t="str">
        <f>IFERROR(IF(Table8[[#This Row],[Description:]]&lt;&gt;"", Table8[[#This Row],[Frequency:]], ""), "")</f>
        <v/>
      </c>
      <c r="E16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16" s="263" t="str">
        <f>IFERROR(IF(Table8[[#This Row],[Description:]]&lt;&gt;"", Table8[[#This Row],[Annual Cost:]], ""), "")</f>
        <v/>
      </c>
      <c r="G16" s="260"/>
    </row>
    <row r="17" spans="1:7" s="192" customFormat="1" x14ac:dyDescent="0.25">
      <c r="A17" s="260" t="str">
        <f>IFERROR(IF(Table8[[#This Row],[Description:]]&lt;&gt;"", Table8[[#This Row],[Description:]], ""), "")</f>
        <v/>
      </c>
      <c r="B17" s="260"/>
      <c r="C17" s="261" t="str">
        <f>IFERROR(IF(Table8[[#This Row],[Description:]]&lt;&gt;"", Table8[[#This Row],[Duration (Years):]], ""), "")</f>
        <v/>
      </c>
      <c r="D17" s="262" t="str">
        <f>IFERROR(IF(Table8[[#This Row],[Description:]]&lt;&gt;"", Table8[[#This Row],[Frequency:]], ""), "")</f>
        <v/>
      </c>
      <c r="E17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17" s="263" t="str">
        <f>IFERROR(IF(Table8[[#This Row],[Description:]]&lt;&gt;"", Table8[[#This Row],[Annual Cost:]], ""), "")</f>
        <v/>
      </c>
      <c r="G17" s="260"/>
    </row>
    <row r="18" spans="1:7" s="192" customFormat="1" x14ac:dyDescent="0.25">
      <c r="A18" s="260" t="str">
        <f>IFERROR(IF(Table8[[#This Row],[Description:]]&lt;&gt;"", Table8[[#This Row],[Description:]], ""), "")</f>
        <v/>
      </c>
      <c r="B18" s="260"/>
      <c r="C18" s="261" t="str">
        <f>IFERROR(IF(Table8[[#This Row],[Description:]]&lt;&gt;"", Table8[[#This Row],[Duration (Years):]], ""), "")</f>
        <v/>
      </c>
      <c r="D18" s="262" t="str">
        <f>IFERROR(IF(Table8[[#This Row],[Description:]]&lt;&gt;"", Table8[[#This Row],[Frequency:]], ""), "")</f>
        <v/>
      </c>
      <c r="E18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18" s="263" t="str">
        <f>IFERROR(IF(Table8[[#This Row],[Description:]]&lt;&gt;"", Table8[[#This Row],[Annual Cost:]], ""), "")</f>
        <v/>
      </c>
      <c r="G18" s="260"/>
    </row>
    <row r="19" spans="1:7" s="192" customFormat="1" x14ac:dyDescent="0.25">
      <c r="A19" s="260" t="str">
        <f>IFERROR(IF(Table8[[#This Row],[Description:]]&lt;&gt;"", Table8[[#This Row],[Description:]], ""), "")</f>
        <v/>
      </c>
      <c r="B19" s="260"/>
      <c r="C19" s="261" t="str">
        <f>IFERROR(IF(Table8[[#This Row],[Description:]]&lt;&gt;"", Table8[[#This Row],[Duration (Years):]], ""), "")</f>
        <v/>
      </c>
      <c r="D19" s="262" t="str">
        <f>IFERROR(IF(Table8[[#This Row],[Description:]]&lt;&gt;"", Table8[[#This Row],[Frequency:]], ""), "")</f>
        <v/>
      </c>
      <c r="E19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19" s="263" t="str">
        <f>IFERROR(IF(Table8[[#This Row],[Description:]]&lt;&gt;"", Table8[[#This Row],[Annual Cost:]], ""), "")</f>
        <v/>
      </c>
      <c r="G19" s="260"/>
    </row>
    <row r="20" spans="1:7" s="192" customFormat="1" x14ac:dyDescent="0.25">
      <c r="A20" s="260" t="str">
        <f>IFERROR(IF(Table8[[#This Row],[Description:]]&lt;&gt;"", Table8[[#This Row],[Description:]], ""), "")</f>
        <v/>
      </c>
      <c r="B20" s="260"/>
      <c r="C20" s="261" t="str">
        <f>IFERROR(IF(Table8[[#This Row],[Description:]]&lt;&gt;"", Table8[[#This Row],[Duration (Years):]], ""), "")</f>
        <v/>
      </c>
      <c r="D20" s="262" t="str">
        <f>IFERROR(IF(Table8[[#This Row],[Description:]]&lt;&gt;"", Table8[[#This Row],[Frequency:]], ""), "")</f>
        <v/>
      </c>
      <c r="E20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20" s="263" t="str">
        <f>IFERROR(IF(Table8[[#This Row],[Description:]]&lt;&gt;"", Table8[[#This Row],[Annual Cost:]], ""), "")</f>
        <v/>
      </c>
      <c r="G20" s="260"/>
    </row>
    <row r="21" spans="1:7" s="192" customFormat="1" x14ac:dyDescent="0.25">
      <c r="A21" s="260" t="str">
        <f>IFERROR(IF(Table8[[#This Row],[Description:]]&lt;&gt;"", Table8[[#This Row],[Description:]], ""), "")</f>
        <v/>
      </c>
      <c r="B21" s="260"/>
      <c r="C21" s="261" t="str">
        <f>IFERROR(IF(Table8[[#This Row],[Description:]]&lt;&gt;"", Table8[[#This Row],[Duration (Years):]], ""), "")</f>
        <v/>
      </c>
      <c r="D21" s="262" t="str">
        <f>IFERROR(IF(Table8[[#This Row],[Description:]]&lt;&gt;"", Table8[[#This Row],[Frequency:]], ""), "")</f>
        <v/>
      </c>
      <c r="E21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21" s="263" t="str">
        <f>IFERROR(IF(Table8[[#This Row],[Description:]]&lt;&gt;"", Table8[[#This Row],[Annual Cost:]], ""), "")</f>
        <v/>
      </c>
      <c r="G21" s="260"/>
    </row>
    <row r="22" spans="1:7" s="192" customFormat="1" x14ac:dyDescent="0.25">
      <c r="A22" s="260" t="str">
        <f>IFERROR(IF(Table8[[#This Row],[Description:]]&lt;&gt;"", Table8[[#This Row],[Description:]], ""), "")</f>
        <v/>
      </c>
      <c r="B22" s="260"/>
      <c r="C22" s="261" t="str">
        <f>IFERROR(IF(Table8[[#This Row],[Description:]]&lt;&gt;"", Table8[[#This Row],[Duration (Years):]], ""), "")</f>
        <v/>
      </c>
      <c r="D22" s="262" t="str">
        <f>IFERROR(IF(Table8[[#This Row],[Description:]]&lt;&gt;"", Table8[[#This Row],[Frequency:]], ""), "")</f>
        <v/>
      </c>
      <c r="E22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22" s="263" t="str">
        <f>IFERROR(IF(Table8[[#This Row],[Description:]]&lt;&gt;"", Table8[[#This Row],[Annual Cost:]], ""), "")</f>
        <v/>
      </c>
      <c r="G22" s="260"/>
    </row>
    <row r="23" spans="1:7" s="192" customFormat="1" x14ac:dyDescent="0.25">
      <c r="A23" s="260" t="str">
        <f>IFERROR(IF(Table8[[#This Row],[Description:]]&lt;&gt;"", Table8[[#This Row],[Description:]], ""), "")</f>
        <v/>
      </c>
      <c r="B23" s="260"/>
      <c r="C23" s="261" t="str">
        <f>IFERROR(IF(Table8[[#This Row],[Description:]]&lt;&gt;"", Table8[[#This Row],[Duration (Years):]], ""), "")</f>
        <v/>
      </c>
      <c r="D23" s="262" t="str">
        <f>IFERROR(IF(Table8[[#This Row],[Description:]]&lt;&gt;"", Table8[[#This Row],[Frequency:]], ""), "")</f>
        <v/>
      </c>
      <c r="E23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23" s="263" t="str">
        <f>IFERROR(IF(Table8[[#This Row],[Description:]]&lt;&gt;"", Table8[[#This Row],[Annual Cost:]], ""), "")</f>
        <v/>
      </c>
      <c r="G23" s="260"/>
    </row>
    <row r="24" spans="1:7" s="192" customFormat="1" x14ac:dyDescent="0.25">
      <c r="A24" s="260" t="str">
        <f>IFERROR(IF(Table8[[#This Row],[Description:]]&lt;&gt;"", Table8[[#This Row],[Description:]], ""), "")</f>
        <v/>
      </c>
      <c r="B24" s="260"/>
      <c r="C24" s="261" t="str">
        <f>IFERROR(IF(Table8[[#This Row],[Description:]]&lt;&gt;"", Table8[[#This Row],[Duration (Years):]], ""), "")</f>
        <v/>
      </c>
      <c r="D24" s="262" t="str">
        <f>IFERROR(IF(Table8[[#This Row],[Description:]]&lt;&gt;"", Table8[[#This Row],[Frequency:]], ""), "")</f>
        <v/>
      </c>
      <c r="E24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24" s="263" t="str">
        <f>IFERROR(IF(Table8[[#This Row],[Description:]]&lt;&gt;"", Table8[[#This Row],[Annual Cost:]], ""), "")</f>
        <v/>
      </c>
      <c r="G24" s="260"/>
    </row>
    <row r="25" spans="1:7" s="192" customFormat="1" x14ac:dyDescent="0.25">
      <c r="A25" s="260" t="str">
        <f>IFERROR(IF(Table8[[#This Row],[Description:]]&lt;&gt;"", Table8[[#This Row],[Description:]], ""), "")</f>
        <v/>
      </c>
      <c r="B25" s="260"/>
      <c r="C25" s="261" t="str">
        <f>IFERROR(IF(Table8[[#This Row],[Description:]]&lt;&gt;"", Table8[[#This Row],[Duration (Years):]], ""), "")</f>
        <v/>
      </c>
      <c r="D25" s="262" t="str">
        <f>IFERROR(IF(Table8[[#This Row],[Description:]]&lt;&gt;"", Table8[[#This Row],[Frequency:]], ""), "")</f>
        <v/>
      </c>
      <c r="E25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25" s="263" t="str">
        <f>IFERROR(IF(Table8[[#This Row],[Description:]]&lt;&gt;"", Table8[[#This Row],[Annual Cost:]], ""), "")</f>
        <v/>
      </c>
      <c r="G25" s="260"/>
    </row>
    <row r="26" spans="1:7" s="192" customFormat="1" x14ac:dyDescent="0.25">
      <c r="A26" s="260" t="str">
        <f>IFERROR(IF(Table8[[#This Row],[Description:]]&lt;&gt;"", Table8[[#This Row],[Description:]], ""), "")</f>
        <v/>
      </c>
      <c r="B26" s="260"/>
      <c r="C26" s="261" t="str">
        <f>IFERROR(IF(Table8[[#This Row],[Description:]]&lt;&gt;"", Table8[[#This Row],[Duration (Years):]], ""), "")</f>
        <v/>
      </c>
      <c r="D26" s="262" t="str">
        <f>IFERROR(IF(Table8[[#This Row],[Description:]]&lt;&gt;"", Table8[[#This Row],[Frequency:]], ""), "")</f>
        <v/>
      </c>
      <c r="E26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26" s="263" t="str">
        <f>IFERROR(IF(Table8[[#This Row],[Description:]]&lt;&gt;"", Table8[[#This Row],[Annual Cost:]], ""), "")</f>
        <v/>
      </c>
      <c r="G26" s="260"/>
    </row>
    <row r="27" spans="1:7" s="192" customFormat="1" x14ac:dyDescent="0.25">
      <c r="A27" s="260" t="str">
        <f>IFERROR(IF(Table8[[#This Row],[Description:]]&lt;&gt;"", Table8[[#This Row],[Description:]], ""), "")</f>
        <v/>
      </c>
      <c r="B27" s="260"/>
      <c r="C27" s="261" t="str">
        <f>IFERROR(IF(Table8[[#This Row],[Description:]]&lt;&gt;"", Table8[[#This Row],[Duration (Years):]], ""), "")</f>
        <v/>
      </c>
      <c r="D27" s="262" t="str">
        <f>IFERROR(IF(Table8[[#This Row],[Description:]]&lt;&gt;"", Table8[[#This Row],[Frequency:]], ""), "")</f>
        <v/>
      </c>
      <c r="E27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27" s="263" t="str">
        <f>IFERROR(IF(Table8[[#This Row],[Description:]]&lt;&gt;"", Table8[[#This Row],[Annual Cost:]], ""), "")</f>
        <v/>
      </c>
      <c r="G27" s="260"/>
    </row>
    <row r="28" spans="1:7" s="192" customFormat="1" x14ac:dyDescent="0.25">
      <c r="A28" s="260" t="str">
        <f>IFERROR(IF(Table8[[#This Row],[Description:]]&lt;&gt;"", Table8[[#This Row],[Description:]], ""), "")</f>
        <v/>
      </c>
      <c r="B28" s="260"/>
      <c r="C28" s="261" t="str">
        <f>IFERROR(IF(Table8[[#This Row],[Description:]]&lt;&gt;"", Table8[[#This Row],[Duration (Years):]], ""), "")</f>
        <v/>
      </c>
      <c r="D28" s="262" t="str">
        <f>IFERROR(IF(Table8[[#This Row],[Description:]]&lt;&gt;"", Table8[[#This Row],[Frequency:]], ""), "")</f>
        <v/>
      </c>
      <c r="E28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28" s="263" t="str">
        <f>IFERROR(IF(Table8[[#This Row],[Description:]]&lt;&gt;"", Table8[[#This Row],[Annual Cost:]], ""), "")</f>
        <v/>
      </c>
      <c r="G28" s="260"/>
    </row>
    <row r="29" spans="1:7" s="192" customFormat="1" x14ac:dyDescent="0.25">
      <c r="A29" s="260" t="str">
        <f>IFERROR(IF(Table8[[#This Row],[Description:]]&lt;&gt;"", Table8[[#This Row],[Description:]], ""), "")</f>
        <v/>
      </c>
      <c r="B29" s="260"/>
      <c r="C29" s="261" t="str">
        <f>IFERROR(IF(Table8[[#This Row],[Description:]]&lt;&gt;"", Table8[[#This Row],[Duration (Years):]], ""), "")</f>
        <v/>
      </c>
      <c r="D29" s="262" t="str">
        <f>IFERROR(IF(Table8[[#This Row],[Description:]]&lt;&gt;"", Table8[[#This Row],[Frequency:]], ""), "")</f>
        <v/>
      </c>
      <c r="E29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29" s="263" t="str">
        <f>IFERROR(IF(Table8[[#This Row],[Description:]]&lt;&gt;"", Table8[[#This Row],[Annual Cost:]], ""), "")</f>
        <v/>
      </c>
      <c r="G29" s="260"/>
    </row>
    <row r="30" spans="1:7" s="192" customFormat="1" x14ac:dyDescent="0.25">
      <c r="A30" s="260" t="str">
        <f>IFERROR(IF(Table8[[#This Row],[Description:]]&lt;&gt;"", Table8[[#This Row],[Description:]], ""), "")</f>
        <v/>
      </c>
      <c r="B30" s="260"/>
      <c r="C30" s="261" t="str">
        <f>IFERROR(IF(Table8[[#This Row],[Description:]]&lt;&gt;"", Table8[[#This Row],[Duration (Years):]], ""), "")</f>
        <v/>
      </c>
      <c r="D30" s="262" t="str">
        <f>IFERROR(IF(Table8[[#This Row],[Description:]]&lt;&gt;"", Table8[[#This Row],[Frequency:]], ""), "")</f>
        <v/>
      </c>
      <c r="E30" s="263" t="e">
        <f>IF(OR(Table8[[#This Row],[Description:]]="", ISBLANK(Table8[[#This Row],[One-Time Cost:]]), ISBLANK(Table8[[#This Row],[Cost:]])), "", IF(Table8[[#This Row],[Time Value:]]="lifetime", CONCATENATE(Table8[[#This Row],[One-Time Cost:]] &amp; "*", CHAR(10), CHAR(10), "(based on ", Table8[[#This Row],[Cost:]], "/unit)"), Table8[[#This Row],[Cost:]]))</f>
        <v>#VALUE!</v>
      </c>
      <c r="F30" s="263" t="str">
        <f>IFERROR(IF(Table8[[#This Row],[Description:]]&lt;&gt;"", Table8[[#This Row],[Annual Cost:]], ""), "")</f>
        <v/>
      </c>
      <c r="G30" s="260"/>
    </row>
    <row r="31" spans="1:7" x14ac:dyDescent="0.25">
      <c r="A31" s="257"/>
      <c r="B31" s="257"/>
      <c r="C31" s="265"/>
      <c r="D31" s="265"/>
      <c r="E31" s="266"/>
      <c r="F31" s="266"/>
      <c r="G31" s="257"/>
    </row>
    <row r="32" spans="1:7" x14ac:dyDescent="0.25">
      <c r="A32" s="257"/>
      <c r="B32" s="257"/>
      <c r="C32" s="257"/>
      <c r="D32" s="267" t="s">
        <v>125</v>
      </c>
      <c r="E32" s="268" t="str">
        <f>'Home Maintenance'!S12</f>
        <v>$0.00</v>
      </c>
      <c r="F32" s="269"/>
      <c r="G32" s="257"/>
    </row>
    <row r="33" spans="1:7" x14ac:dyDescent="0.25">
      <c r="A33" s="257"/>
      <c r="B33" s="257"/>
      <c r="C33" s="257"/>
      <c r="D33" s="267" t="s">
        <v>124</v>
      </c>
      <c r="E33" s="268" t="str">
        <f ca="1">'Home Maintenance'!P12</f>
        <v>$0.00</v>
      </c>
      <c r="F33" s="269"/>
      <c r="G33" s="257"/>
    </row>
    <row r="34" spans="1:7" x14ac:dyDescent="0.25">
      <c r="A34" s="257"/>
      <c r="B34" s="257"/>
      <c r="C34" s="257"/>
      <c r="D34" s="257"/>
      <c r="E34" s="269"/>
      <c r="F34" s="269"/>
      <c r="G34" s="257"/>
    </row>
  </sheetData>
  <mergeCells count="1">
    <mergeCell ref="A1:G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19AA-E555-42E5-9B8F-8789E3FB64BF}">
  <sheetPr codeName="Sheet43"/>
  <dimension ref="A1:I33"/>
  <sheetViews>
    <sheetView workbookViewId="0">
      <selection sqref="A1:G1"/>
    </sheetView>
  </sheetViews>
  <sheetFormatPr defaultRowHeight="12.75" x14ac:dyDescent="0.25"/>
  <cols>
    <col min="1" max="2" width="18.7109375" style="257" customWidth="1"/>
    <col min="3" max="4" width="10.7109375" style="257" customWidth="1"/>
    <col min="5" max="6" width="13.7109375" style="269" customWidth="1"/>
    <col min="7" max="7" width="18.7109375" style="257" customWidth="1"/>
    <col min="8" max="16384" width="9.140625" style="257"/>
  </cols>
  <sheetData>
    <row r="1" spans="1:9" ht="23.1" customHeight="1" x14ac:dyDescent="0.25">
      <c r="A1" s="353" t="str">
        <f>Transportation!A1</f>
        <v>TRANSPORTATION</v>
      </c>
      <c r="B1" s="353"/>
      <c r="C1" s="353"/>
      <c r="D1" s="353"/>
      <c r="E1" s="353"/>
      <c r="F1" s="353"/>
      <c r="G1" s="353"/>
    </row>
    <row r="2" spans="1:9" s="259" customFormat="1" ht="18" customHeight="1" x14ac:dyDescent="0.25">
      <c r="A2" s="256" t="s">
        <v>117</v>
      </c>
      <c r="B2" s="256" t="s">
        <v>118</v>
      </c>
      <c r="C2" s="256" t="s">
        <v>119</v>
      </c>
      <c r="D2" s="256" t="s">
        <v>120</v>
      </c>
      <c r="E2" s="258" t="s">
        <v>121</v>
      </c>
      <c r="F2" s="258" t="s">
        <v>122</v>
      </c>
      <c r="G2" s="256" t="s">
        <v>123</v>
      </c>
    </row>
    <row r="3" spans="1:9" s="264" customFormat="1" x14ac:dyDescent="0.25">
      <c r="A3" s="260" t="str">
        <f>IFERROR(IF(Table10[[#This Row],[Description:]]&lt;&gt;"", Table10[[#This Row],[Description:]], ""), "")</f>
        <v/>
      </c>
      <c r="B3" s="260"/>
      <c r="C3" s="261" t="str">
        <f>IFERROR(IF(Table10[[#This Row],[Description:]]&lt;&gt;"", Table10[[#This Row],[Duration (Years):]], ""), "")</f>
        <v/>
      </c>
      <c r="D3" s="262" t="str">
        <f>IFERROR(IF(Table10[[#This Row],[Description:]]&lt;&gt;"", Table10[[#This Row],[Frequency:]], ""), "")</f>
        <v/>
      </c>
      <c r="E3" s="263" t="str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/>
      </c>
      <c r="F3" s="263" t="str">
        <f>IFERROR(IF(Table10[[#This Row],[Description:]]&lt;&gt;"", Table10[[#This Row],[Annual Cost:]], ""), "")</f>
        <v/>
      </c>
      <c r="G3" s="260"/>
    </row>
    <row r="4" spans="1:9" s="264" customFormat="1" x14ac:dyDescent="0.25">
      <c r="A4" s="260" t="str">
        <f>IFERROR(IF(Table10[[#This Row],[Description:]]&lt;&gt;"", Table10[[#This Row],[Description:]], ""), "")</f>
        <v/>
      </c>
      <c r="B4" s="260"/>
      <c r="C4" s="261" t="str">
        <f>IFERROR(IF(Table10[[#This Row],[Description:]]&lt;&gt;"", Table10[[#This Row],[Duration (Years):]], ""), "")</f>
        <v/>
      </c>
      <c r="D4" s="262" t="str">
        <f>IFERROR(IF(Table10[[#This Row],[Description:]]&lt;&gt;"", Table10[[#This Row],[Frequency:]], ""), "")</f>
        <v/>
      </c>
      <c r="E4" s="263" t="str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/>
      </c>
      <c r="F4" s="263" t="str">
        <f>IFERROR(IF(Table10[[#This Row],[Description:]]&lt;&gt;"", Table10[[#This Row],[Annual Cost:]], ""), "")</f>
        <v/>
      </c>
      <c r="G4" s="260"/>
    </row>
    <row r="5" spans="1:9" s="264" customFormat="1" x14ac:dyDescent="0.25">
      <c r="A5" s="260" t="str">
        <f>IFERROR(IF(Table10[[#This Row],[Description:]]&lt;&gt;"", Table10[[#This Row],[Description:]], ""), "")</f>
        <v/>
      </c>
      <c r="B5" s="260"/>
      <c r="C5" s="261" t="str">
        <f>IFERROR(IF(Table10[[#This Row],[Description:]]&lt;&gt;"", Table10[[#This Row],[Duration (Years):]], ""), "")</f>
        <v/>
      </c>
      <c r="D5" s="262" t="str">
        <f>IFERROR(IF(Table10[[#This Row],[Description:]]&lt;&gt;"", Table10[[#This Row],[Frequency:]], ""), "")</f>
        <v/>
      </c>
      <c r="E5" s="263" t="str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/>
      </c>
      <c r="F5" s="263" t="str">
        <f>IFERROR(IF(Table10[[#This Row],[Description:]]&lt;&gt;"", Table10[[#This Row],[Annual Cost:]], ""), "")</f>
        <v/>
      </c>
      <c r="G5" s="260"/>
    </row>
    <row r="6" spans="1:9" s="264" customFormat="1" x14ac:dyDescent="0.25">
      <c r="A6" s="260" t="str">
        <f>IFERROR(IF(Table10[[#This Row],[Description:]]&lt;&gt;"", Table10[[#This Row],[Description:]], ""), "")</f>
        <v/>
      </c>
      <c r="B6" s="260"/>
      <c r="C6" s="261" t="str">
        <f>IFERROR(IF(Table10[[#This Row],[Description:]]&lt;&gt;"", Table10[[#This Row],[Duration (Years):]], ""), "")</f>
        <v/>
      </c>
      <c r="D6" s="262" t="str">
        <f>IFERROR(IF(Table10[[#This Row],[Description:]]&lt;&gt;"", Table10[[#This Row],[Frequency:]], ""), "")</f>
        <v/>
      </c>
      <c r="E6" s="263" t="str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/>
      </c>
      <c r="F6" s="263" t="str">
        <f>IFERROR(IF(Table10[[#This Row],[Description:]]&lt;&gt;"", Table10[[#This Row],[Annual Cost:]], ""), "")</f>
        <v/>
      </c>
      <c r="G6" s="260"/>
    </row>
    <row r="7" spans="1:9" s="264" customFormat="1" x14ac:dyDescent="0.25">
      <c r="A7" s="260" t="str">
        <f>IFERROR(IF(Table10[[#This Row],[Description:]]&lt;&gt;"", Table10[[#This Row],[Description:]], ""), "")</f>
        <v/>
      </c>
      <c r="B7" s="260"/>
      <c r="C7" s="261" t="str">
        <f>IFERROR(IF(Table10[[#This Row],[Description:]]&lt;&gt;"", Table10[[#This Row],[Duration (Years):]], ""), "")</f>
        <v/>
      </c>
      <c r="D7" s="262" t="str">
        <f>IFERROR(IF(Table10[[#This Row],[Description:]]&lt;&gt;"", Table10[[#This Row],[Frequency:]], ""), "")</f>
        <v/>
      </c>
      <c r="E7" s="263" t="str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/>
      </c>
      <c r="F7" s="263" t="str">
        <f>IFERROR(IF(Table10[[#This Row],[Description:]]&lt;&gt;"", Table10[[#This Row],[Annual Cost:]], ""), "")</f>
        <v/>
      </c>
      <c r="G7" s="260"/>
      <c r="I7" s="257" t="s">
        <v>140</v>
      </c>
    </row>
    <row r="8" spans="1:9" s="264" customFormat="1" x14ac:dyDescent="0.25">
      <c r="A8" s="260" t="str">
        <f>IFERROR(IF(Table10[[#This Row],[Description:]]&lt;&gt;"", Table10[[#This Row],[Description:]], ""), "")</f>
        <v/>
      </c>
      <c r="B8" s="260"/>
      <c r="C8" s="261" t="str">
        <f>IFERROR(IF(Table10[[#This Row],[Description:]]&lt;&gt;"", Table10[[#This Row],[Duration (Years):]], ""), "")</f>
        <v/>
      </c>
      <c r="D8" s="262" t="str">
        <f>IFERROR(IF(Table10[[#This Row],[Description:]]&lt;&gt;"", Table10[[#This Row],[Frequency:]], ""), "")</f>
        <v/>
      </c>
      <c r="E8" s="263" t="str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/>
      </c>
      <c r="F8" s="263" t="str">
        <f>IFERROR(IF(Table10[[#This Row],[Description:]]&lt;&gt;"", Table10[[#This Row],[Annual Cost:]], ""), "")</f>
        <v/>
      </c>
      <c r="G8" s="260"/>
      <c r="I8" s="257" t="s">
        <v>141</v>
      </c>
    </row>
    <row r="9" spans="1:9" s="264" customFormat="1" x14ac:dyDescent="0.25">
      <c r="A9" s="260" t="str">
        <f>IFERROR(IF(Table10[[#This Row],[Description:]]&lt;&gt;"", Table10[[#This Row],[Description:]], ""), "")</f>
        <v/>
      </c>
      <c r="B9" s="260"/>
      <c r="C9" s="261" t="str">
        <f>IFERROR(IF(Table10[[#This Row],[Description:]]&lt;&gt;"", Table10[[#This Row],[Duration (Years):]], ""), "")</f>
        <v/>
      </c>
      <c r="D9" s="262" t="str">
        <f>IFERROR(IF(Table10[[#This Row],[Description:]]&lt;&gt;"", Table10[[#This Row],[Frequency:]], ""), "")</f>
        <v/>
      </c>
      <c r="E9" s="263" t="str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/>
      </c>
      <c r="F9" s="263" t="str">
        <f>IFERROR(IF(Table10[[#This Row],[Description:]]&lt;&gt;"", Table10[[#This Row],[Annual Cost:]], ""), "")</f>
        <v/>
      </c>
      <c r="G9" s="260"/>
    </row>
    <row r="10" spans="1:9" s="264" customFormat="1" x14ac:dyDescent="0.25">
      <c r="A10" s="260" t="str">
        <f>IFERROR(IF(Table10[[#This Row],[Description:]]&lt;&gt;"", Table10[[#This Row],[Description:]], ""), "")</f>
        <v/>
      </c>
      <c r="B10" s="260"/>
      <c r="C10" s="261" t="str">
        <f>IFERROR(IF(Table10[[#This Row],[Description:]]&lt;&gt;"", Table10[[#This Row],[Duration (Years):]], ""), "")</f>
        <v/>
      </c>
      <c r="D10" s="262" t="str">
        <f>IFERROR(IF(Table10[[#This Row],[Description:]]&lt;&gt;"", Table10[[#This Row],[Frequency:]], ""), "")</f>
        <v/>
      </c>
      <c r="E10" s="263" t="str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/>
      </c>
      <c r="F10" s="263" t="str">
        <f>IFERROR(IF(Table10[[#This Row],[Description:]]&lt;&gt;"", Table10[[#This Row],[Annual Cost:]], ""), "")</f>
        <v/>
      </c>
      <c r="G10" s="260"/>
      <c r="I10" s="257" t="s">
        <v>142</v>
      </c>
    </row>
    <row r="11" spans="1:9" s="264" customFormat="1" x14ac:dyDescent="0.25">
      <c r="A11" s="260" t="str">
        <f>IFERROR(IF(Table10[[#This Row],[Description:]]&lt;&gt;"", Table10[[#This Row],[Description:]], ""), "")</f>
        <v/>
      </c>
      <c r="B11" s="260"/>
      <c r="C11" s="261" t="str">
        <f>IFERROR(IF(Table10[[#This Row],[Description:]]&lt;&gt;"", Table10[[#This Row],[Duration (Years):]], ""), "")</f>
        <v/>
      </c>
      <c r="D11" s="262" t="str">
        <f>IFERROR(IF(Table10[[#This Row],[Description:]]&lt;&gt;"", Table10[[#This Row],[Frequency:]], ""), "")</f>
        <v/>
      </c>
      <c r="E11" s="263" t="str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/>
      </c>
      <c r="F11" s="263" t="str">
        <f>IFERROR(IF(Table10[[#This Row],[Description:]]&lt;&gt;"", Table10[[#This Row],[Annual Cost:]], ""), "")</f>
        <v/>
      </c>
      <c r="G11" s="260"/>
      <c r="I11" s="257" t="s">
        <v>143</v>
      </c>
    </row>
    <row r="12" spans="1:9" s="264" customFormat="1" x14ac:dyDescent="0.25">
      <c r="A12" s="260" t="str">
        <f>IFERROR(IF(Table10[[#This Row],[Description:]]&lt;&gt;"", Table10[[#This Row],[Description:]], ""), "")</f>
        <v/>
      </c>
      <c r="B12" s="260"/>
      <c r="C12" s="261" t="str">
        <f>IFERROR(IF(Table10[[#This Row],[Description:]]&lt;&gt;"", Table10[[#This Row],[Duration (Years):]], ""), "")</f>
        <v/>
      </c>
      <c r="D12" s="262" t="str">
        <f>IFERROR(IF(Table10[[#This Row],[Description:]]&lt;&gt;"", Table10[[#This Row],[Frequency:]], ""), "")</f>
        <v/>
      </c>
      <c r="E12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12" s="263" t="str">
        <f>IFERROR(IF(Table10[[#This Row],[Description:]]&lt;&gt;"", Table10[[#This Row],[Annual Cost:]], ""), "")</f>
        <v/>
      </c>
      <c r="G12" s="260"/>
    </row>
    <row r="13" spans="1:9" s="264" customFormat="1" x14ac:dyDescent="0.25">
      <c r="A13" s="260" t="str">
        <f>IFERROR(IF(Table10[[#This Row],[Description:]]&lt;&gt;"", Table10[[#This Row],[Description:]], ""), "")</f>
        <v/>
      </c>
      <c r="B13" s="260"/>
      <c r="C13" s="261" t="str">
        <f>IFERROR(IF(Table10[[#This Row],[Description:]]&lt;&gt;"", Table10[[#This Row],[Duration (Years):]], ""), "")</f>
        <v/>
      </c>
      <c r="D13" s="262" t="str">
        <f>IFERROR(IF(Table10[[#This Row],[Description:]]&lt;&gt;"", Table10[[#This Row],[Frequency:]], ""), "")</f>
        <v/>
      </c>
      <c r="E13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13" s="263" t="str">
        <f>IFERROR(IF(Table10[[#This Row],[Description:]]&lt;&gt;"", Table10[[#This Row],[Annual Cost:]], ""), "")</f>
        <v/>
      </c>
      <c r="G13" s="260"/>
    </row>
    <row r="14" spans="1:9" s="264" customFormat="1" x14ac:dyDescent="0.25">
      <c r="A14" s="260" t="str">
        <f>IFERROR(IF(Table10[[#This Row],[Description:]]&lt;&gt;"", Table10[[#This Row],[Description:]], ""), "")</f>
        <v/>
      </c>
      <c r="B14" s="260"/>
      <c r="C14" s="261" t="str">
        <f>IFERROR(IF(Table10[[#This Row],[Description:]]&lt;&gt;"", Table10[[#This Row],[Duration (Years):]], ""), "")</f>
        <v/>
      </c>
      <c r="D14" s="262" t="str">
        <f>IFERROR(IF(Table10[[#This Row],[Description:]]&lt;&gt;"", Table10[[#This Row],[Frequency:]], ""), "")</f>
        <v/>
      </c>
      <c r="E14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14" s="263" t="str">
        <f>IFERROR(IF(Table10[[#This Row],[Description:]]&lt;&gt;"", Table10[[#This Row],[Annual Cost:]], ""), "")</f>
        <v/>
      </c>
      <c r="G14" s="260"/>
    </row>
    <row r="15" spans="1:9" s="264" customFormat="1" x14ac:dyDescent="0.25">
      <c r="A15" s="260" t="str">
        <f>IFERROR(IF(Table10[[#This Row],[Description:]]&lt;&gt;"", Table10[[#This Row],[Description:]], ""), "")</f>
        <v/>
      </c>
      <c r="B15" s="260"/>
      <c r="C15" s="261" t="str">
        <f>IFERROR(IF(Table10[[#This Row],[Description:]]&lt;&gt;"", Table10[[#This Row],[Duration (Years):]], ""), "")</f>
        <v/>
      </c>
      <c r="D15" s="262" t="str">
        <f>IFERROR(IF(Table10[[#This Row],[Description:]]&lt;&gt;"", Table10[[#This Row],[Frequency:]], ""), "")</f>
        <v/>
      </c>
      <c r="E15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15" s="263" t="str">
        <f>IFERROR(IF(Table10[[#This Row],[Description:]]&lt;&gt;"", Table10[[#This Row],[Annual Cost:]], ""), "")</f>
        <v/>
      </c>
      <c r="G15" s="260"/>
    </row>
    <row r="16" spans="1:9" s="264" customFormat="1" x14ac:dyDescent="0.25">
      <c r="A16" s="260" t="str">
        <f>IFERROR(IF(Table10[[#This Row],[Description:]]&lt;&gt;"", Table10[[#This Row],[Description:]], ""), "")</f>
        <v/>
      </c>
      <c r="B16" s="260"/>
      <c r="C16" s="261" t="str">
        <f>IFERROR(IF(Table10[[#This Row],[Description:]]&lt;&gt;"", Table10[[#This Row],[Duration (Years):]], ""), "")</f>
        <v/>
      </c>
      <c r="D16" s="262" t="str">
        <f>IFERROR(IF(Table10[[#This Row],[Description:]]&lt;&gt;"", Table10[[#This Row],[Frequency:]], ""), "")</f>
        <v/>
      </c>
      <c r="E16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16" s="263" t="str">
        <f>IFERROR(IF(Table10[[#This Row],[Description:]]&lt;&gt;"", Table10[[#This Row],[Annual Cost:]], ""), "")</f>
        <v/>
      </c>
      <c r="G16" s="260"/>
    </row>
    <row r="17" spans="1:7" s="264" customFormat="1" x14ac:dyDescent="0.25">
      <c r="A17" s="260" t="str">
        <f>IFERROR(IF(Table10[[#This Row],[Description:]]&lt;&gt;"", Table10[[#This Row],[Description:]], ""), "")</f>
        <v/>
      </c>
      <c r="B17" s="260"/>
      <c r="C17" s="261" t="str">
        <f>IFERROR(IF(Table10[[#This Row],[Description:]]&lt;&gt;"", Table10[[#This Row],[Duration (Years):]], ""), "")</f>
        <v/>
      </c>
      <c r="D17" s="262" t="str">
        <f>IFERROR(IF(Table10[[#This Row],[Description:]]&lt;&gt;"", Table10[[#This Row],[Frequency:]], ""), "")</f>
        <v/>
      </c>
      <c r="E17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17" s="263" t="str">
        <f>IFERROR(IF(Table10[[#This Row],[Description:]]&lt;&gt;"", Table10[[#This Row],[Annual Cost:]], ""), "")</f>
        <v/>
      </c>
      <c r="G17" s="260"/>
    </row>
    <row r="18" spans="1:7" s="264" customFormat="1" x14ac:dyDescent="0.25">
      <c r="A18" s="260" t="str">
        <f>IFERROR(IF(Table10[[#This Row],[Description:]]&lt;&gt;"", Table10[[#This Row],[Description:]], ""), "")</f>
        <v/>
      </c>
      <c r="B18" s="260"/>
      <c r="C18" s="261" t="str">
        <f>IFERROR(IF(Table10[[#This Row],[Description:]]&lt;&gt;"", Table10[[#This Row],[Duration (Years):]], ""), "")</f>
        <v/>
      </c>
      <c r="D18" s="262" t="str">
        <f>IFERROR(IF(Table10[[#This Row],[Description:]]&lt;&gt;"", Table10[[#This Row],[Frequency:]], ""), "")</f>
        <v/>
      </c>
      <c r="E18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18" s="263" t="str">
        <f>IFERROR(IF(Table10[[#This Row],[Description:]]&lt;&gt;"", Table10[[#This Row],[Annual Cost:]], ""), "")</f>
        <v/>
      </c>
      <c r="G18" s="260"/>
    </row>
    <row r="19" spans="1:7" s="264" customFormat="1" x14ac:dyDescent="0.25">
      <c r="A19" s="260" t="str">
        <f>IFERROR(IF(Table10[[#This Row],[Description:]]&lt;&gt;"", Table10[[#This Row],[Description:]], ""), "")</f>
        <v/>
      </c>
      <c r="B19" s="260"/>
      <c r="C19" s="261" t="str">
        <f>IFERROR(IF(Table10[[#This Row],[Description:]]&lt;&gt;"", Table10[[#This Row],[Duration (Years):]], ""), "")</f>
        <v/>
      </c>
      <c r="D19" s="262" t="str">
        <f>IFERROR(IF(Table10[[#This Row],[Description:]]&lt;&gt;"", Table10[[#This Row],[Frequency:]], ""), "")</f>
        <v/>
      </c>
      <c r="E19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19" s="263" t="str">
        <f>IFERROR(IF(Table10[[#This Row],[Description:]]&lt;&gt;"", Table10[[#This Row],[Annual Cost:]], ""), "")</f>
        <v/>
      </c>
      <c r="G19" s="260"/>
    </row>
    <row r="20" spans="1:7" s="264" customFormat="1" x14ac:dyDescent="0.25">
      <c r="A20" s="260" t="str">
        <f>IFERROR(IF(Table10[[#This Row],[Description:]]&lt;&gt;"", Table10[[#This Row],[Description:]], ""), "")</f>
        <v/>
      </c>
      <c r="B20" s="260"/>
      <c r="C20" s="261" t="str">
        <f>IFERROR(IF(Table10[[#This Row],[Description:]]&lt;&gt;"", Table10[[#This Row],[Duration (Years):]], ""), "")</f>
        <v/>
      </c>
      <c r="D20" s="262" t="str">
        <f>IFERROR(IF(Table10[[#This Row],[Description:]]&lt;&gt;"", Table10[[#This Row],[Frequency:]], ""), "")</f>
        <v/>
      </c>
      <c r="E20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20" s="263" t="str">
        <f>IFERROR(IF(Table10[[#This Row],[Description:]]&lt;&gt;"", Table10[[#This Row],[Annual Cost:]], ""), "")</f>
        <v/>
      </c>
      <c r="G20" s="260"/>
    </row>
    <row r="21" spans="1:7" s="264" customFormat="1" x14ac:dyDescent="0.25">
      <c r="A21" s="260" t="str">
        <f>IFERROR(IF(Table10[[#This Row],[Description:]]&lt;&gt;"", Table10[[#This Row],[Description:]], ""), "")</f>
        <v/>
      </c>
      <c r="B21" s="260"/>
      <c r="C21" s="261" t="str">
        <f>IFERROR(IF(Table10[[#This Row],[Description:]]&lt;&gt;"", Table10[[#This Row],[Duration (Years):]], ""), "")</f>
        <v/>
      </c>
      <c r="D21" s="262" t="str">
        <f>IFERROR(IF(Table10[[#This Row],[Description:]]&lt;&gt;"", Table10[[#This Row],[Frequency:]], ""), "")</f>
        <v/>
      </c>
      <c r="E21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21" s="263" t="str">
        <f>IFERROR(IF(Table10[[#This Row],[Description:]]&lt;&gt;"", Table10[[#This Row],[Annual Cost:]], ""), "")</f>
        <v/>
      </c>
      <c r="G21" s="260"/>
    </row>
    <row r="22" spans="1:7" s="264" customFormat="1" x14ac:dyDescent="0.25">
      <c r="A22" s="260" t="str">
        <f>IFERROR(IF(Table10[[#This Row],[Description:]]&lt;&gt;"", Table10[[#This Row],[Description:]], ""), "")</f>
        <v/>
      </c>
      <c r="B22" s="260"/>
      <c r="C22" s="261" t="str">
        <f>IFERROR(IF(Table10[[#This Row],[Description:]]&lt;&gt;"", Table10[[#This Row],[Duration (Years):]], ""), "")</f>
        <v/>
      </c>
      <c r="D22" s="262" t="str">
        <f>IFERROR(IF(Table10[[#This Row],[Description:]]&lt;&gt;"", Table10[[#This Row],[Frequency:]], ""), "")</f>
        <v/>
      </c>
      <c r="E22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22" s="263" t="str">
        <f>IFERROR(IF(Table10[[#This Row],[Description:]]&lt;&gt;"", Table10[[#This Row],[Annual Cost:]], ""), "")</f>
        <v/>
      </c>
      <c r="G22" s="260"/>
    </row>
    <row r="23" spans="1:7" s="264" customFormat="1" x14ac:dyDescent="0.25">
      <c r="A23" s="260" t="str">
        <f>IFERROR(IF(Table10[[#This Row],[Description:]]&lt;&gt;"", Table10[[#This Row],[Description:]], ""), "")</f>
        <v/>
      </c>
      <c r="B23" s="260"/>
      <c r="C23" s="261" t="str">
        <f>IFERROR(IF(Table10[[#This Row],[Description:]]&lt;&gt;"", Table10[[#This Row],[Duration (Years):]], ""), "")</f>
        <v/>
      </c>
      <c r="D23" s="262" t="str">
        <f>IFERROR(IF(Table10[[#This Row],[Description:]]&lt;&gt;"", Table10[[#This Row],[Frequency:]], ""), "")</f>
        <v/>
      </c>
      <c r="E23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23" s="263" t="str">
        <f>IFERROR(IF(Table10[[#This Row],[Description:]]&lt;&gt;"", Table10[[#This Row],[Annual Cost:]], ""), "")</f>
        <v/>
      </c>
      <c r="G23" s="260"/>
    </row>
    <row r="24" spans="1:7" s="264" customFormat="1" x14ac:dyDescent="0.25">
      <c r="A24" s="260" t="str">
        <f>IFERROR(IF(Table10[[#This Row],[Description:]]&lt;&gt;"", Table10[[#This Row],[Description:]], ""), "")</f>
        <v/>
      </c>
      <c r="B24" s="260"/>
      <c r="C24" s="261" t="str">
        <f>IFERROR(IF(Table10[[#This Row],[Description:]]&lt;&gt;"", Table10[[#This Row],[Duration (Years):]], ""), "")</f>
        <v/>
      </c>
      <c r="D24" s="262" t="str">
        <f>IFERROR(IF(Table10[[#This Row],[Description:]]&lt;&gt;"", Table10[[#This Row],[Frequency:]], ""), "")</f>
        <v/>
      </c>
      <c r="E24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24" s="263" t="str">
        <f>IFERROR(IF(Table10[[#This Row],[Description:]]&lt;&gt;"", Table10[[#This Row],[Annual Cost:]], ""), "")</f>
        <v/>
      </c>
      <c r="G24" s="260"/>
    </row>
    <row r="25" spans="1:7" s="264" customFormat="1" x14ac:dyDescent="0.25">
      <c r="A25" s="260" t="str">
        <f>IFERROR(IF(Table10[[#This Row],[Description:]]&lt;&gt;"", Table10[[#This Row],[Description:]], ""), "")</f>
        <v/>
      </c>
      <c r="B25" s="260"/>
      <c r="C25" s="261" t="str">
        <f>IFERROR(IF(Table10[[#This Row],[Description:]]&lt;&gt;"", Table10[[#This Row],[Duration (Years):]], ""), "")</f>
        <v/>
      </c>
      <c r="D25" s="262" t="str">
        <f>IFERROR(IF(Table10[[#This Row],[Description:]]&lt;&gt;"", Table10[[#This Row],[Frequency:]], ""), "")</f>
        <v/>
      </c>
      <c r="E25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25" s="263" t="str">
        <f>IFERROR(IF(Table10[[#This Row],[Description:]]&lt;&gt;"", Table10[[#This Row],[Annual Cost:]], ""), "")</f>
        <v/>
      </c>
      <c r="G25" s="260"/>
    </row>
    <row r="26" spans="1:7" s="264" customFormat="1" x14ac:dyDescent="0.25">
      <c r="A26" s="260" t="str">
        <f>IFERROR(IF(Table10[[#This Row],[Description:]]&lt;&gt;"", Table10[[#This Row],[Description:]], ""), "")</f>
        <v/>
      </c>
      <c r="B26" s="260"/>
      <c r="C26" s="261" t="str">
        <f>IFERROR(IF(Table10[[#This Row],[Description:]]&lt;&gt;"", Table10[[#This Row],[Duration (Years):]], ""), "")</f>
        <v/>
      </c>
      <c r="D26" s="262" t="str">
        <f>IFERROR(IF(Table10[[#This Row],[Description:]]&lt;&gt;"", Table10[[#This Row],[Frequency:]], ""), "")</f>
        <v/>
      </c>
      <c r="E26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26" s="263" t="str">
        <f>IFERROR(IF(Table10[[#This Row],[Description:]]&lt;&gt;"", Table10[[#This Row],[Annual Cost:]], ""), "")</f>
        <v/>
      </c>
      <c r="G26" s="260"/>
    </row>
    <row r="27" spans="1:7" s="264" customFormat="1" x14ac:dyDescent="0.25">
      <c r="A27" s="260" t="str">
        <f>IFERROR(IF(Table10[[#This Row],[Description:]]&lt;&gt;"", Table10[[#This Row],[Description:]], ""), "")</f>
        <v/>
      </c>
      <c r="B27" s="260"/>
      <c r="C27" s="261" t="str">
        <f>IFERROR(IF(Table10[[#This Row],[Description:]]&lt;&gt;"", Table10[[#This Row],[Duration (Years):]], ""), "")</f>
        <v/>
      </c>
      <c r="D27" s="262" t="str">
        <f>IFERROR(IF(Table10[[#This Row],[Description:]]&lt;&gt;"", Table10[[#This Row],[Frequency:]], ""), "")</f>
        <v/>
      </c>
      <c r="E27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27" s="263" t="str">
        <f>IFERROR(IF(Table10[[#This Row],[Description:]]&lt;&gt;"", Table10[[#This Row],[Annual Cost:]], ""), "")</f>
        <v/>
      </c>
      <c r="G27" s="260"/>
    </row>
    <row r="28" spans="1:7" s="264" customFormat="1" x14ac:dyDescent="0.25">
      <c r="A28" s="260" t="str">
        <f>IFERROR(IF(Table10[[#This Row],[Description:]]&lt;&gt;"", Table10[[#This Row],[Description:]], ""), "")</f>
        <v/>
      </c>
      <c r="B28" s="260"/>
      <c r="C28" s="261" t="str">
        <f>IFERROR(IF(Table10[[#This Row],[Description:]]&lt;&gt;"", Table10[[#This Row],[Duration (Years):]], ""), "")</f>
        <v/>
      </c>
      <c r="D28" s="262" t="str">
        <f>IFERROR(IF(Table10[[#This Row],[Description:]]&lt;&gt;"", Table10[[#This Row],[Frequency:]], ""), "")</f>
        <v/>
      </c>
      <c r="E28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28" s="263" t="str">
        <f>IFERROR(IF(Table10[[#This Row],[Description:]]&lt;&gt;"", Table10[[#This Row],[Annual Cost:]], ""), "")</f>
        <v/>
      </c>
      <c r="G28" s="260"/>
    </row>
    <row r="29" spans="1:7" s="264" customFormat="1" x14ac:dyDescent="0.25">
      <c r="A29" s="260" t="str">
        <f>IFERROR(IF(Table10[[#This Row],[Description:]]&lt;&gt;"", Table10[[#This Row],[Description:]], ""), "")</f>
        <v/>
      </c>
      <c r="B29" s="260"/>
      <c r="C29" s="261" t="str">
        <f>IFERROR(IF(Table10[[#This Row],[Description:]]&lt;&gt;"", Table10[[#This Row],[Duration (Years):]], ""), "")</f>
        <v/>
      </c>
      <c r="D29" s="262" t="str">
        <f>IFERROR(IF(Table10[[#This Row],[Description:]]&lt;&gt;"", Table10[[#This Row],[Frequency:]], ""), "")</f>
        <v/>
      </c>
      <c r="E29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29" s="263" t="str">
        <f>IFERROR(IF(Table10[[#This Row],[Description:]]&lt;&gt;"", Table10[[#This Row],[Annual Cost:]], ""), "")</f>
        <v/>
      </c>
      <c r="G29" s="260"/>
    </row>
    <row r="30" spans="1:7" s="264" customFormat="1" x14ac:dyDescent="0.25">
      <c r="A30" s="260" t="str">
        <f>IFERROR(IF(Table10[[#This Row],[Description:]]&lt;&gt;"", Table10[[#This Row],[Description:]], ""), "")</f>
        <v/>
      </c>
      <c r="B30" s="260"/>
      <c r="C30" s="261" t="str">
        <f>IFERROR(IF(Table10[[#This Row],[Description:]]&lt;&gt;"", Table10[[#This Row],[Duration (Years):]], ""), "")</f>
        <v/>
      </c>
      <c r="D30" s="262" t="str">
        <f>IFERROR(IF(Table10[[#This Row],[Description:]]&lt;&gt;"", Table10[[#This Row],[Frequency:]], ""), "")</f>
        <v/>
      </c>
      <c r="E30" s="263" t="e">
        <f>IF(OR(Table10[[#This Row],[Description:]]="", ISBLANK(Table10[[#This Row],[One-Time Cost:]]), ISBLANK(Table10[[#This Row],[Cost:]])), "", IF(Table10[[#This Row],[Time Value:]]="lifetime", CONCATENATE(Table10[[#This Row],[One-Time Cost:]] &amp; "*", CHAR(10), CHAR(10), "(based on ", Table10[[#This Row],[Cost:]], "/unit)"), Table10[[#This Row],[Cost:]]))</f>
        <v>#VALUE!</v>
      </c>
      <c r="F30" s="263" t="str">
        <f>IFERROR(IF(Table10[[#This Row],[Description:]]&lt;&gt;"", Table10[[#This Row],[Annual Cost:]], ""), "")</f>
        <v/>
      </c>
      <c r="G30" s="260"/>
    </row>
    <row r="31" spans="1:7" x14ac:dyDescent="0.25">
      <c r="C31" s="265"/>
      <c r="D31" s="265"/>
      <c r="E31" s="266"/>
      <c r="F31" s="266"/>
    </row>
    <row r="32" spans="1:7" x14ac:dyDescent="0.25">
      <c r="D32" s="267" t="s">
        <v>125</v>
      </c>
      <c r="E32" s="268" t="str">
        <f>Transportation!S12</f>
        <v>$0.00</v>
      </c>
    </row>
    <row r="33" spans="4:5" x14ac:dyDescent="0.25">
      <c r="D33" s="267" t="s">
        <v>124</v>
      </c>
      <c r="E33" s="268" t="str">
        <f ca="1">Transportation!P12</f>
        <v>$0.00</v>
      </c>
    </row>
  </sheetData>
  <mergeCells count="1">
    <mergeCell ref="A1:G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1F93-31E7-4C74-8A2E-EA4E4DA29F90}">
  <sheetPr codeName="Sheet44"/>
  <dimension ref="A1:J22"/>
  <sheetViews>
    <sheetView workbookViewId="0">
      <selection activeCell="Q22" sqref="Q22"/>
    </sheetView>
  </sheetViews>
  <sheetFormatPr defaultRowHeight="30" customHeight="1" x14ac:dyDescent="0.25"/>
  <cols>
    <col min="1" max="1" width="35.7109375" style="123" customWidth="1"/>
    <col min="2" max="3" width="21.85546875" style="125" customWidth="1"/>
    <col min="4" max="7" width="28" style="125" hidden="1" customWidth="1"/>
    <col min="8" max="16384" width="9.140625" style="123"/>
  </cols>
  <sheetData>
    <row r="1" spans="1:10" ht="30" customHeight="1" x14ac:dyDescent="0.25">
      <c r="A1" s="205" t="s">
        <v>127</v>
      </c>
      <c r="B1" s="126" t="s">
        <v>64</v>
      </c>
      <c r="C1" s="126" t="s">
        <v>128</v>
      </c>
    </row>
    <row r="2" spans="1:10" ht="30" customHeight="1" x14ac:dyDescent="0.25">
      <c r="A2" s="124" t="s">
        <v>129</v>
      </c>
      <c r="B2" s="194">
        <f>SUM(Table14[One-Time Cost Min:],Table6[One-Time Cost Min:],Table9[One-Time Cost Min:],Table11[One-Time Cost Min:],Table12[One-Time Cost Min:],Table3[One-Time Cost Min:],Table15[One-Time Cost Min:],Table13[One-Time Cost Min:],Table1[One-Time Cost Min:],Table2[One-Time Cost Min:],Table4[One-Time Cost Min:],Table5[One-Time Cost Min:],Table7[One-Time Cost Min:],Table8[One-Time Cost Min:],Table10[One-Time Cost Min:])</f>
        <v>3015100.62</v>
      </c>
      <c r="C2" s="194">
        <f>SUM(Table14[One-Time Cost Max:],Table6[One-Time Cost Max:],Table9[One-Time Cost Max:],Table11[One-Time Cost Max:],Table12[One-Time Cost Max:],Table3[One-Time Cost Max:],Table15[One-Time Cost Max:],Table13[One-Time Cost Max:],Table1[One-Time Cost Max:],Table2[One-Time Cost Max:],Table4[One-Time Cost Max:],Table5[One-Time Cost Max:],Table7[One-Time Cost Max:],Table8[One-Time Cost Max:],Table10[One-Time Cost Max:])</f>
        <v>5104551.7200000007</v>
      </c>
    </row>
    <row r="3" spans="1:10" ht="30" customHeight="1" x14ac:dyDescent="0.25">
      <c r="A3" s="123" t="s">
        <v>138</v>
      </c>
      <c r="B3" s="194">
        <f ca="1">IFERROR(SUMIFS(Table14[Annual Cost Min:], Table14[Duration (Years):], 'Master Data'!$B$8), 0)
+ IFERROR(SUMIFS(Table6[Annual Cost Min:], Table6[Duration (Years):], 'Master Data'!$B$8), 0)
+ IFERROR(SUMIFS(Table9[Annual Cost Min:], Table9[Duration (Years):], 'Master Data'!$B$8), 0)
+ IFERROR(SUMIFS(Table11[Annual Cost Min:], Table11[Duration (Years):], 'Master Data'!$B$8), 0)
+ IFERROR(SUMIFS(Table12[Annual Cost Min:], Table12[Duration (Years):], 'Master Data'!$B$8), 0)
+ IFERROR(SUMIFS(Table3[Annual Cost Min:], Table3[Duration (Years):], 'Master Data'!$B$8), 0)
+ IFERROR(SUMIFS(Table15[Annual Cost Min:], Table15[Duration (Years):], 'Master Data'!$B$8), 0)
+ IFERROR(SUMIFS(Table13[Annual Cost Min:], Table13[Duration (Years):], 'Master Data'!$B$8), 0)
+ IFERROR(SUMIFS(Table1[Annual Cost Min:], Table1[Duration (Years):], 'Master Data'!$B$8), 0)
+ IFERROR(SUMIFS(Table2[Annual Cost Min:], Table2[Duration (Years):], 'Master Data'!$B$8), 0)
+ IFERROR(SUMIFS(Table4[Annual Cost Min:], Table4[Duration (Years):], 'Master Data'!$B$8), 0)
+ IFERROR(SUMIFS(Table5[Annual Cost Min:], Table5[Duration (Years):], 'Master Data'!$B$8), 0)
+ IFERROR(SUMIFS(Table7[Annual Cost Min:], Table7[Duration (Years):], 'Master Data'!$B$8), 0)
+ IFERROR(SUMIFS(Table8[Annual Cost Min:], Table8[Duration (Years):], 'Master Data'!$B$8), 0)
+ IFERROR(SUMIFS(Table10[Annual Cost Min:], Table10[Duration (Years):], 'Master Data'!$B$8), 0)</f>
        <v>0</v>
      </c>
      <c r="C3" s="194">
        <f ca="1">IFERROR(SUMIFS(Table14[Annual Cost Max:], Table14[Duration (Years):], 'Master Data'!$B$8), 0)
+ IFERROR(SUMIFS(Table6[Annual Cost Max:], Table6[Duration (Years):], 'Master Data'!$B$8), 0)
+ IFERROR(SUMIFS(Table9[Annual Cost Max:], Table9[Duration (Years):], 'Master Data'!$B$8), 0)
+ IFERROR(SUMIFS(Table11[Annual Cost Max:], Table11[Duration (Years):], 'Master Data'!$B$8), 0)
+ IFERROR(SUMIFS(Table12[Annual Cost Max:], Table12[Duration (Years):], 'Master Data'!$B$8), 0)
+ IFERROR(SUMIFS(Table3[Annual Cost Max:], Table3[Duration (Years):], 'Master Data'!$B$8), 0)
+ IFERROR(SUMIFS(Table15[Annual Cost Max:], Table15[Duration (Years):], 'Master Data'!$B$8), 0)
+ IFERROR(SUMIFS(Table13[Annual Cost Max:], Table13[Duration (Years):], 'Master Data'!$B$8), 0)
+ IFERROR(SUMIFS(Table1[Annual Cost Max:], Table1[Duration (Years):], 'Master Data'!$B$8), 0)
+ IFERROR(SUMIFS(Table2[Annual Cost Max:], Table2[Duration (Years):], 'Master Data'!$B$8), 0)
+ IFERROR(SUMIFS(Table4[Annual Cost Max:], Table4[Duration (Years):], 'Master Data'!$B$8), 0)
+ IFERROR(SUMIFS(Table5[Annual Cost Max:], Table5[Duration (Years):], 'Master Data'!$B$8), 0)
+ IFERROR(SUMIFS(Table7[Annual Cost Max:], Table7[Duration (Years):], 'Master Data'!$B$8), 0)
+ IFERROR(SUMIFS(Table8[Annual Cost Max:], Table8[Duration (Years):], 'Master Data'!$B$8), 0)
+ IFERROR(SUMIFS(Table10[Annual Cost Max:], Table10[Duration (Years):], 'Master Data'!$B$8), 0)</f>
        <v>0</v>
      </c>
    </row>
    <row r="6" spans="1:10" ht="30" customHeight="1" x14ac:dyDescent="0.25">
      <c r="A6" s="206" t="s">
        <v>130</v>
      </c>
      <c r="B6" s="195" t="s">
        <v>64</v>
      </c>
      <c r="C6" s="196" t="s">
        <v>128</v>
      </c>
      <c r="D6" s="126" t="s">
        <v>134</v>
      </c>
      <c r="E6" s="126" t="s">
        <v>135</v>
      </c>
      <c r="F6" s="126" t="s">
        <v>136</v>
      </c>
      <c r="G6" s="126" t="s">
        <v>137</v>
      </c>
      <c r="H6" s="122"/>
    </row>
    <row r="7" spans="1:10" ht="30" customHeight="1" x14ac:dyDescent="0.25">
      <c r="A7" s="197" t="str">
        <f>PROPER('1st Procedure'!A1)</f>
        <v>Procedures</v>
      </c>
      <c r="B7" s="125">
        <f t="shared" ref="B7:C14" si="0">SUM(D7,F7)</f>
        <v>2435068</v>
      </c>
      <c r="C7" s="198">
        <f t="shared" si="0"/>
        <v>2473365</v>
      </c>
      <c r="D7" s="125" t="str">
        <f>IF(SUM('1st Procedure'!N:N) = 0, "", SUMPRODUCT('1st Procedure'!N:N, '1st Procedure'!D:D))</f>
        <v/>
      </c>
      <c r="E7" s="125" t="str">
        <f>IF(SUM('1st Procedure'!O:O) = 0, "", SUMPRODUCT('1st Procedure'!O:O, '1st Procedure'!D:D))</f>
        <v/>
      </c>
      <c r="F7" s="125">
        <f>IF(COUNTIF('1st Procedure'!Q:Q, "&gt;0") &gt; 0, SUM('1st Procedure'!Q:Q), "")</f>
        <v>2435068</v>
      </c>
      <c r="G7" s="125">
        <f>IF(COUNTIF('1st Procedure'!R:R, "&gt;0") &gt; 0, SUM('1st Procedure'!R:R), "")</f>
        <v>2473365</v>
      </c>
    </row>
    <row r="8" spans="1:10" ht="30" hidden="1" customHeight="1" x14ac:dyDescent="0.25">
      <c r="A8" s="197" t="str">
        <f>PROPER('2nd'!A1)</f>
        <v>Procedure 2 (Rename)</v>
      </c>
      <c r="B8" s="125">
        <f t="shared" si="0"/>
        <v>0</v>
      </c>
      <c r="C8" s="198">
        <f t="shared" si="0"/>
        <v>0</v>
      </c>
      <c r="D8" s="125" t="str">
        <f>IF(SUM('2nd'!N:N) = 0, "", SUMPRODUCT('2nd'!N:N, '2nd'!D:D))</f>
        <v/>
      </c>
      <c r="E8" s="125" t="str">
        <f>IF(SUM('2nd'!O:O) = 0, "", SUMPRODUCT('2nd'!O:O, '2nd'!D:D))</f>
        <v/>
      </c>
      <c r="F8" s="125" t="str">
        <f>IF(COUNTIF('2nd'!Q:Q, "&gt;0") &gt; 0, SUM('2nd'!Q:Q), "")</f>
        <v/>
      </c>
      <c r="G8" s="125" t="str">
        <f>IF(COUNTIF('2nd'!R:R, "&gt;0") &gt; 0, SUM('2nd'!R:R), "")</f>
        <v/>
      </c>
    </row>
    <row r="9" spans="1:10" ht="30" hidden="1" customHeight="1" x14ac:dyDescent="0.25">
      <c r="A9" s="197" t="str">
        <f>PROPER('3rd'!A1)</f>
        <v>Procedure 3 (Rename)</v>
      </c>
      <c r="B9" s="125">
        <f t="shared" si="0"/>
        <v>0</v>
      </c>
      <c r="C9" s="198">
        <f t="shared" si="0"/>
        <v>0</v>
      </c>
      <c r="D9" s="125" t="str">
        <f>IF(SUM('3rd'!N:N) = 0, "", SUMPRODUCT('3rd'!N:N, '3rd'!D:D))</f>
        <v/>
      </c>
      <c r="E9" s="125" t="str">
        <f>IF(SUM('3rd'!O:O) = 0, "", SUMPRODUCT('3rd'!O:O, '3rd'!D:D))</f>
        <v/>
      </c>
      <c r="F9" s="125" t="str">
        <f>IF(COUNTIF('3rd'!Q:Q, "&gt;0") &gt; 0, SUM('3rd'!Q:Q), "")</f>
        <v/>
      </c>
      <c r="G9" s="125" t="str">
        <f>IF(COUNTIF('3rd'!R:R, "&gt;0") &gt; 0, SUM('3rd'!R:R), "")</f>
        <v/>
      </c>
    </row>
    <row r="10" spans="1:10" ht="30" hidden="1" customHeight="1" x14ac:dyDescent="0.25">
      <c r="A10" s="197" t="str">
        <f>PROPER('4th'!A1)</f>
        <v>Procedure 4 (Rename)</v>
      </c>
      <c r="B10" s="125">
        <f t="shared" si="0"/>
        <v>0</v>
      </c>
      <c r="C10" s="198">
        <f t="shared" si="0"/>
        <v>0</v>
      </c>
      <c r="D10" s="125" t="str">
        <f>IF(SUM('4th'!N:N) = 0, "", SUMPRODUCT('4th'!N:N, '4th'!D:D))</f>
        <v/>
      </c>
      <c r="E10" s="125" t="str">
        <f>IF(SUM('4th'!O:O) = 0, "", SUMPRODUCT('4th'!O:O, '4th'!D:D))</f>
        <v/>
      </c>
      <c r="F10" s="125" t="str">
        <f>IF(COUNTIF('4th'!Q:Q, "&gt;0") &gt; 0, SUM('4th'!Q:Q), "")</f>
        <v/>
      </c>
      <c r="G10" s="125" t="str">
        <f>IF(COUNTIF('4th'!R:R, "&gt;0") &gt; 0, SUM('4th'!R:R), "")</f>
        <v/>
      </c>
      <c r="J10" s="123" t="s">
        <v>139</v>
      </c>
    </row>
    <row r="11" spans="1:10" ht="30" customHeight="1" x14ac:dyDescent="0.25">
      <c r="A11" s="197" t="str">
        <f>PROPER('Routine Care'!A1)</f>
        <v>Future Medical Care - Routine</v>
      </c>
      <c r="B11" s="125">
        <f t="shared" si="0"/>
        <v>14381</v>
      </c>
      <c r="C11" s="198">
        <f t="shared" si="0"/>
        <v>142571</v>
      </c>
      <c r="D11" s="125" t="str">
        <f>IF(SUM('Routine Care'!N:N) = 0, "", SUMPRODUCT('Routine Care'!N:N, 'Routine Care'!D:D))</f>
        <v/>
      </c>
      <c r="E11" s="125" t="str">
        <f>IF(SUM('Routine Care'!O:O) = 0, "", SUMPRODUCT('Routine Care'!O:O, 'Routine Care'!D:D))</f>
        <v/>
      </c>
      <c r="F11" s="125">
        <f>IF(COUNTIF('Routine Care'!Q:Q, "&gt;0") &gt; 0, SUM('Routine Care'!Q:Q), "")</f>
        <v>14381</v>
      </c>
      <c r="G11" s="125">
        <f>IF(COUNTIF('Routine Care'!R:R, "&gt;0") &gt; 0, SUM('Routine Care'!R:R), "")</f>
        <v>142571</v>
      </c>
    </row>
    <row r="12" spans="1:10" ht="30" customHeight="1" x14ac:dyDescent="0.25">
      <c r="A12" s="197" t="str">
        <f>PROPER(Evaluations!A1)</f>
        <v>Projected Evaluations</v>
      </c>
      <c r="B12" s="125">
        <f t="shared" si="0"/>
        <v>0</v>
      </c>
      <c r="C12" s="198">
        <f t="shared" si="0"/>
        <v>0</v>
      </c>
      <c r="D12" s="125" t="str">
        <f>IF(SUM(Evaluations!N:N) = 0, "", SUMPRODUCT(Evaluations!N:N, Evaluations!D:D))</f>
        <v/>
      </c>
      <c r="E12" s="125" t="str">
        <f>IF(SUM(Evaluations!O:O) = 0, "", SUMPRODUCT(Evaluations!O:O, Evaluations!D:D))</f>
        <v/>
      </c>
      <c r="F12" s="125" t="str">
        <f>IF(COUNTIF(Evaluations!Q:Q, "&gt;0") &gt; 0, SUM(Evaluations!Q:Q), "")</f>
        <v/>
      </c>
      <c r="G12" s="125" t="str">
        <f>IF(COUNTIF(Evaluations!R:R, "&gt;0") &gt; 0, SUM(Evaluations!R:R), "")</f>
        <v/>
      </c>
    </row>
    <row r="13" spans="1:10" ht="30" customHeight="1" x14ac:dyDescent="0.25">
      <c r="A13" s="197" t="str">
        <f>PROPER(Therapeutic!A1)</f>
        <v>Therapeutic Modalities</v>
      </c>
      <c r="B13" s="125">
        <f t="shared" si="0"/>
        <v>16263</v>
      </c>
      <c r="C13" s="198">
        <f t="shared" si="0"/>
        <v>144711</v>
      </c>
      <c r="D13" s="125" t="str">
        <f>IF(SUM(Therapeutic!N:N) = 0, "", SUMPRODUCT(Therapeutic!N:N, Therapeutic!D:D))</f>
        <v/>
      </c>
      <c r="E13" s="125" t="str">
        <f>IF(SUM(Therapeutic!O:O) = 0, "", SUMPRODUCT(Therapeutic!O:O, Therapeutic!D:D))</f>
        <v/>
      </c>
      <c r="F13" s="125">
        <f>IF(COUNTIF(Therapeutic!Q:Q, "&gt;0") &gt; 0, SUM(Therapeutic!Q:Q), "")</f>
        <v>16263</v>
      </c>
      <c r="G13" s="125">
        <f>IF(COUNTIF(Therapeutic!R:R, "&gt;0") &gt; 0, SUM(Therapeutic!R:R), "")</f>
        <v>144711</v>
      </c>
    </row>
    <row r="14" spans="1:10" ht="30" customHeight="1" x14ac:dyDescent="0.25">
      <c r="A14" s="197" t="str">
        <f>PROPER(Diagnostic!A1)</f>
        <v>Diagnostics</v>
      </c>
      <c r="B14" s="125">
        <f t="shared" si="0"/>
        <v>123403</v>
      </c>
      <c r="C14" s="198">
        <f t="shared" si="0"/>
        <v>669024</v>
      </c>
      <c r="D14" s="125" t="str">
        <f>IF(SUM(Diagnostic!N:N) = 0, "", SUMPRODUCT(Diagnostic!N:N, Diagnostic!D:D))</f>
        <v/>
      </c>
      <c r="E14" s="125" t="str">
        <f>IF(SUM(Diagnostic!O:O) = 0, "", SUMPRODUCT(Diagnostic!O:O, Diagnostic!D:D))</f>
        <v/>
      </c>
      <c r="F14" s="125">
        <f>IF(COUNTIF(Diagnostic!Q:Q, "&gt;0") &gt; 0, SUM(Diagnostic!Q:Q), "")</f>
        <v>123403</v>
      </c>
      <c r="G14" s="125">
        <f>IF(COUNTIF(Diagnostic!R:R, "&gt;0") &gt; 0, SUM(Diagnostic!R:R), "")</f>
        <v>669024</v>
      </c>
    </row>
    <row r="15" spans="1:10" ht="30" customHeight="1" x14ac:dyDescent="0.25">
      <c r="A15" s="197" t="str">
        <f>PROPER(Medications!A1)</f>
        <v>Medications</v>
      </c>
      <c r="B15" s="125">
        <f t="shared" ref="B15:B21" si="1">SUM(D15,F15)</f>
        <v>336125.76000000007</v>
      </c>
      <c r="C15" s="198">
        <f t="shared" ref="C15:C21" si="2">SUM(E15,G15)</f>
        <v>1496082.2</v>
      </c>
      <c r="D15" s="125" t="str">
        <f>IF(SUM(Medications!N:N) = 0, "", SUMPRODUCT(Medications!N:N, Medications!D:D))</f>
        <v/>
      </c>
      <c r="E15" s="125" t="str">
        <f>IF(SUM(Medications!O:O) = 0, "", SUMPRODUCT(Medications!O:O, Medications!D:D))</f>
        <v/>
      </c>
      <c r="F15" s="125">
        <f>IF(COUNTIF(Medications!Q:Q, "&gt;0") &gt; 0, SUM(Medications!Q:Q), "")</f>
        <v>336125.76000000007</v>
      </c>
      <c r="G15" s="125">
        <f>IF(COUNTIF(Medications!R:R, "&gt;0") &gt; 0, SUM(Medications!R:R), "")</f>
        <v>1496082.2</v>
      </c>
    </row>
    <row r="16" spans="1:10" ht="30" hidden="1" customHeight="1" x14ac:dyDescent="0.25">
      <c r="A16" s="197" t="str">
        <f>PROPER(Injections!A1)</f>
        <v>Interventional Pain Management Procedures</v>
      </c>
      <c r="B16" s="125">
        <f t="shared" si="1"/>
        <v>0</v>
      </c>
      <c r="C16" s="198">
        <f t="shared" si="2"/>
        <v>0</v>
      </c>
      <c r="D16" s="125" t="str">
        <f>IF(SUM(Injections!N:N) = 0, "", SUMPRODUCT(Injections!N:N, Injections!D:D))</f>
        <v/>
      </c>
      <c r="E16" s="125" t="str">
        <f>IF(SUM(Injections!O:O) = 0, "", SUMPRODUCT(Injections!O:O, Injections!D:D))</f>
        <v/>
      </c>
      <c r="F16" s="125" t="str">
        <f>IF(COUNTIF(Injections!Q:Q, "&gt;0") &gt; 0, SUM(Injections!Q:Q), "")</f>
        <v/>
      </c>
      <c r="G16" s="125" t="str">
        <f>IF(COUNTIF(Injections!R:R, "&gt;0") &gt; 0, SUM(Injections!R:R), "")</f>
        <v/>
      </c>
    </row>
    <row r="17" spans="1:7" ht="30" hidden="1" customHeight="1" x14ac:dyDescent="0.25">
      <c r="A17" s="197" t="str">
        <f>PROPER(Prostheses!A1)</f>
        <v>Prosthetics / Orthotics</v>
      </c>
      <c r="B17" s="125">
        <f t="shared" si="1"/>
        <v>0</v>
      </c>
      <c r="C17" s="198">
        <f t="shared" si="2"/>
        <v>0</v>
      </c>
      <c r="D17" s="125" t="str">
        <f>IF(SUM(Prostheses!N:N) = 0, "", SUMPRODUCT(Prostheses!N:N, Prostheses!D:D))</f>
        <v/>
      </c>
      <c r="E17" s="125" t="str">
        <f>IF(SUM(Prostheses!O:O) = 0, "", SUMPRODUCT(Prostheses!O:O, Prostheses!D:D))</f>
        <v/>
      </c>
      <c r="F17" s="125" t="str">
        <f>IF(COUNTIF(Prostheses!Q:Q, "&gt;0") &gt; 0, SUM(Prostheses!Q:Q), "")</f>
        <v/>
      </c>
      <c r="G17" s="125" t="str">
        <f>IF(COUNTIF(Prostheses!R:R, "&gt;0") &gt; 0, SUM(Prostheses!R:R), "")</f>
        <v/>
      </c>
    </row>
    <row r="18" spans="1:7" ht="30" customHeight="1" x14ac:dyDescent="0.25">
      <c r="A18" s="197" t="str">
        <f>PROPER(Equipment!A1)</f>
        <v>Equipment &amp; Supplies</v>
      </c>
      <c r="B18" s="125">
        <f t="shared" si="1"/>
        <v>976.86000000000013</v>
      </c>
      <c r="C18" s="198">
        <f t="shared" si="2"/>
        <v>4329.5199999999995</v>
      </c>
      <c r="D18" s="125" t="str">
        <f>IF(SUM(Equipment!N:N) = 0, "", SUMPRODUCT(Equipment!N:N, Equipment!D:D))</f>
        <v/>
      </c>
      <c r="E18" s="125" t="str">
        <f>IF(SUM(Equipment!O:O) = 0, "", SUMPRODUCT(Equipment!O:O, Equipment!D:D))</f>
        <v/>
      </c>
      <c r="F18" s="125">
        <f>IF(COUNTIF(Equipment!Q:Q, "&gt;0") &gt; 0, SUM(Equipment!Q:Q), "")</f>
        <v>976.86000000000013</v>
      </c>
      <c r="G18" s="125">
        <f>IF(COUNTIF(Equipment!R:R, "&gt;0") &gt; 0, SUM(Equipment!R:R), "")</f>
        <v>4329.5199999999995</v>
      </c>
    </row>
    <row r="19" spans="1:7" ht="30" customHeight="1" x14ac:dyDescent="0.25">
      <c r="A19" s="197" t="str">
        <f>PROPER('Home Services'!A1)</f>
        <v>Miscellaneous</v>
      </c>
      <c r="B19" s="125">
        <f t="shared" si="1"/>
        <v>88883</v>
      </c>
      <c r="C19" s="198">
        <f t="shared" si="2"/>
        <v>174469</v>
      </c>
      <c r="D19" s="125" t="str">
        <f>IF(SUM('Home Services'!N:N) = 0, "", SUMPRODUCT('Home Services'!N:N, 'Home Services'!D:D))</f>
        <v/>
      </c>
      <c r="E19" s="125" t="str">
        <f>IF(SUM('Home Services'!O:O) = 0, "", SUMPRODUCT('Home Services'!O:O, 'Home Services'!D:D))</f>
        <v/>
      </c>
      <c r="F19" s="125">
        <f>IF(COUNTIF('Home Services'!Q:Q, "&gt;0") &gt; 0, SUM('Home Services'!Q:Q), "")</f>
        <v>88883</v>
      </c>
      <c r="G19" s="125">
        <f>IF(COUNTIF('Home Services'!R:R, "&gt;0") &gt; 0, SUM('Home Services'!R:R), "")</f>
        <v>174469</v>
      </c>
    </row>
    <row r="20" spans="1:7" ht="30" hidden="1" customHeight="1" x14ac:dyDescent="0.25">
      <c r="A20" s="197" t="str">
        <f>PROPER('Home Maintenance'!A1)</f>
        <v>Home Maintenance</v>
      </c>
      <c r="B20" s="125">
        <f t="shared" si="1"/>
        <v>0</v>
      </c>
      <c r="C20" s="198">
        <f t="shared" si="2"/>
        <v>0</v>
      </c>
      <c r="D20" s="125" t="str">
        <f>IF(SUM('Home Maintenance'!N:N) = 0, "", SUMPRODUCT('Home Maintenance'!N:N, 'Home Maintenance'!D:D))</f>
        <v/>
      </c>
      <c r="E20" s="125" t="str">
        <f>IF(SUM('Home Maintenance'!O:O) = 0, "", SUMPRODUCT('Home Maintenance'!O:O, 'Home Maintenance'!D:D))</f>
        <v/>
      </c>
      <c r="F20" s="125" t="str">
        <f>IF(COUNTIF('Home Maintenance'!Q:Q, "&gt;0") &gt; 0, SUM('Home Maintenance'!Q:Q), "")</f>
        <v/>
      </c>
      <c r="G20" s="125" t="str">
        <f>IF(COUNTIF('Home Maintenance'!R:R, "&gt;0") &gt; 0, SUM('Home Maintenance'!R:R), "")</f>
        <v/>
      </c>
    </row>
    <row r="21" spans="1:7" ht="30" hidden="1" customHeight="1" x14ac:dyDescent="0.25">
      <c r="A21" s="197" t="str">
        <f>PROPER(Transportation!A1)</f>
        <v>Transportation</v>
      </c>
      <c r="B21" s="125">
        <f t="shared" si="1"/>
        <v>0</v>
      </c>
      <c r="C21" s="198">
        <f t="shared" si="2"/>
        <v>0</v>
      </c>
      <c r="D21" s="125" t="str">
        <f>IF(SUM(Transportation!N:N) = 0, "", SUMPRODUCT(Transportation!N:N, Transportation!D:D))</f>
        <v/>
      </c>
      <c r="E21" s="125" t="str">
        <f>IF(SUM(Transportation!O:O) = 0, "", SUMPRODUCT(Transportation!O:O, Transportation!D:D))</f>
        <v/>
      </c>
      <c r="F21" s="125" t="str">
        <f>IF(COUNTIF(Transportation!Q:Q, "&gt;0") &gt; 0, SUM(Transportation!Q:Q), "")</f>
        <v/>
      </c>
      <c r="G21" s="125" t="str">
        <f>IF(COUNTIF(Transportation!R:R, "&gt;0") &gt; 0, SUM(Transportation!R:R), "")</f>
        <v/>
      </c>
    </row>
    <row r="22" spans="1:7" ht="30" customHeight="1" x14ac:dyDescent="0.25">
      <c r="A22" s="199" t="s">
        <v>131</v>
      </c>
      <c r="B22" s="200">
        <f>SUM(B7:B21)</f>
        <v>3015100.62</v>
      </c>
      <c r="C22" s="201">
        <f>SUM(C7:C21)</f>
        <v>5104551.72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A7BD-EE87-4092-A2A7-ADE98ADCB9DD}">
  <dimension ref="A1:K71"/>
  <sheetViews>
    <sheetView workbookViewId="0"/>
  </sheetViews>
  <sheetFormatPr defaultRowHeight="15" x14ac:dyDescent="0.25"/>
  <cols>
    <col min="1" max="1" width="20.5703125" style="270" customWidth="1"/>
    <col min="2" max="5" width="17.28515625" customWidth="1"/>
    <col min="6" max="6" width="26.140625" customWidth="1"/>
  </cols>
  <sheetData>
    <row r="1" spans="1:11" s="5" customFormat="1" ht="30" x14ac:dyDescent="0.25">
      <c r="A1" s="271" t="s">
        <v>156</v>
      </c>
      <c r="B1" s="5" t="s">
        <v>189</v>
      </c>
      <c r="C1" s="5" t="s">
        <v>330</v>
      </c>
      <c r="D1" s="5" t="s">
        <v>331</v>
      </c>
      <c r="E1" s="5" t="s">
        <v>332</v>
      </c>
      <c r="F1" s="5" t="s">
        <v>157</v>
      </c>
      <c r="I1" s="5" t="s">
        <v>190</v>
      </c>
      <c r="J1" s="5" t="s">
        <v>191</v>
      </c>
      <c r="K1" s="5" t="s">
        <v>251</v>
      </c>
    </row>
    <row r="2" spans="1:11" x14ac:dyDescent="0.25">
      <c r="A2" s="270">
        <v>1</v>
      </c>
      <c r="B2" s="272"/>
      <c r="C2" s="272"/>
      <c r="D2" s="272"/>
      <c r="E2" s="272"/>
      <c r="F2" s="272">
        <v>1810700</v>
      </c>
    </row>
    <row r="3" spans="1:11" x14ac:dyDescent="0.25">
      <c r="A3" s="270">
        <v>2</v>
      </c>
      <c r="B3" s="272"/>
      <c r="C3" s="272"/>
      <c r="D3" s="272"/>
      <c r="E3" s="272"/>
      <c r="F3" s="272">
        <v>2346500</v>
      </c>
    </row>
    <row r="4" spans="1:11" x14ac:dyDescent="0.25">
      <c r="A4" s="270">
        <v>8</v>
      </c>
      <c r="B4" s="272">
        <v>3249</v>
      </c>
      <c r="C4" s="272">
        <v>3249</v>
      </c>
      <c r="D4" s="272">
        <v>3249</v>
      </c>
      <c r="E4" s="272">
        <v>3249</v>
      </c>
      <c r="F4" s="272"/>
    </row>
    <row r="5" spans="1:11" x14ac:dyDescent="0.25">
      <c r="A5" s="270">
        <v>520</v>
      </c>
      <c r="B5" s="272">
        <v>2843</v>
      </c>
      <c r="C5" s="272">
        <v>1889</v>
      </c>
      <c r="D5" s="272">
        <v>2295</v>
      </c>
      <c r="E5" s="272">
        <v>1934</v>
      </c>
      <c r="F5" s="272"/>
    </row>
    <row r="6" spans="1:11" x14ac:dyDescent="0.25">
      <c r="A6" s="270">
        <v>17311</v>
      </c>
      <c r="B6" s="272">
        <v>3903</v>
      </c>
      <c r="C6" s="272">
        <v>2664</v>
      </c>
      <c r="D6" s="272">
        <v>3857</v>
      </c>
      <c r="E6" s="272">
        <v>3849</v>
      </c>
      <c r="F6" s="272"/>
    </row>
    <row r="7" spans="1:11" x14ac:dyDescent="0.25">
      <c r="A7" s="273">
        <v>17311.099999999999</v>
      </c>
      <c r="B7" s="272">
        <v>3832</v>
      </c>
      <c r="C7" s="272">
        <v>3359</v>
      </c>
      <c r="D7" s="272">
        <v>6464</v>
      </c>
      <c r="E7" s="272">
        <v>1436</v>
      </c>
      <c r="F7" s="272"/>
    </row>
    <row r="8" spans="1:11" x14ac:dyDescent="0.25">
      <c r="A8" s="273">
        <v>17311.2</v>
      </c>
      <c r="B8" s="272">
        <v>2524</v>
      </c>
      <c r="C8" s="272">
        <v>3248</v>
      </c>
      <c r="D8" s="272">
        <v>1365</v>
      </c>
      <c r="E8" s="272">
        <v>2807</v>
      </c>
      <c r="F8" s="272"/>
    </row>
    <row r="9" spans="1:11" x14ac:dyDescent="0.25">
      <c r="A9" s="270">
        <v>31628</v>
      </c>
      <c r="B9" s="272">
        <v>2283</v>
      </c>
      <c r="C9" s="272">
        <v>1688</v>
      </c>
      <c r="D9" s="272">
        <v>2568</v>
      </c>
      <c r="E9" s="272">
        <v>1863</v>
      </c>
      <c r="F9" s="272"/>
    </row>
    <row r="10" spans="1:11" x14ac:dyDescent="0.25">
      <c r="A10" s="273">
        <v>31628.1</v>
      </c>
      <c r="B10" s="272">
        <v>14286</v>
      </c>
      <c r="C10" s="272">
        <v>9715</v>
      </c>
      <c r="D10" s="272">
        <v>10116</v>
      </c>
      <c r="E10" s="272">
        <v>11521</v>
      </c>
      <c r="F10" s="272"/>
    </row>
    <row r="11" spans="1:11" x14ac:dyDescent="0.25">
      <c r="A11" s="273">
        <v>31628.2</v>
      </c>
      <c r="B11" s="272">
        <v>17013</v>
      </c>
      <c r="C11" s="272">
        <v>6087</v>
      </c>
      <c r="D11" s="272">
        <v>7119</v>
      </c>
      <c r="E11" s="272">
        <v>18097</v>
      </c>
      <c r="F11" s="272"/>
    </row>
    <row r="12" spans="1:11" x14ac:dyDescent="0.25">
      <c r="A12" s="270">
        <v>71045</v>
      </c>
      <c r="B12" s="272">
        <v>88</v>
      </c>
      <c r="C12" s="272">
        <v>110</v>
      </c>
      <c r="D12" s="272">
        <v>117</v>
      </c>
      <c r="E12" s="272">
        <v>121</v>
      </c>
      <c r="F12" s="272"/>
    </row>
    <row r="13" spans="1:11" x14ac:dyDescent="0.25">
      <c r="A13" s="273">
        <v>71045.2</v>
      </c>
      <c r="B13" s="272">
        <v>1809</v>
      </c>
      <c r="C13" s="272">
        <v>743</v>
      </c>
      <c r="D13" s="272">
        <v>892</v>
      </c>
      <c r="E13" s="272">
        <v>1408</v>
      </c>
      <c r="F13" s="272"/>
    </row>
    <row r="14" spans="1:11" x14ac:dyDescent="0.25">
      <c r="A14" s="270">
        <v>71046</v>
      </c>
      <c r="B14" s="272">
        <v>125</v>
      </c>
      <c r="C14" s="272">
        <v>196</v>
      </c>
      <c r="D14" s="272">
        <v>203</v>
      </c>
      <c r="E14" s="272">
        <v>186</v>
      </c>
      <c r="F14" s="272"/>
    </row>
    <row r="15" spans="1:11" x14ac:dyDescent="0.25">
      <c r="A15" s="273">
        <v>71046.2</v>
      </c>
      <c r="B15" s="272">
        <v>1480</v>
      </c>
      <c r="C15" s="272">
        <v>859</v>
      </c>
      <c r="D15" s="272">
        <v>544</v>
      </c>
      <c r="E15" s="272">
        <v>1503</v>
      </c>
      <c r="F15" s="272"/>
    </row>
    <row r="16" spans="1:11" x14ac:dyDescent="0.25">
      <c r="A16" s="270">
        <v>71047</v>
      </c>
      <c r="B16" s="272">
        <v>123</v>
      </c>
      <c r="C16" s="272">
        <v>248</v>
      </c>
      <c r="D16" s="272">
        <v>334</v>
      </c>
      <c r="E16" s="272">
        <v>315</v>
      </c>
      <c r="F16" s="272"/>
    </row>
    <row r="17" spans="1:6" x14ac:dyDescent="0.25">
      <c r="A17" s="273">
        <v>71047.199999999997</v>
      </c>
      <c r="B17" s="272">
        <v>1551</v>
      </c>
      <c r="C17" s="272">
        <v>1317</v>
      </c>
      <c r="D17" s="272">
        <v>1338</v>
      </c>
      <c r="E17" s="272">
        <v>2217</v>
      </c>
      <c r="F17" s="272"/>
    </row>
    <row r="18" spans="1:6" x14ac:dyDescent="0.25">
      <c r="A18" s="270">
        <v>71048</v>
      </c>
      <c r="B18" s="272">
        <v>315</v>
      </c>
      <c r="C18" s="272">
        <v>153</v>
      </c>
      <c r="D18" s="272">
        <v>359</v>
      </c>
      <c r="E18" s="272">
        <v>338</v>
      </c>
      <c r="F18" s="272"/>
    </row>
    <row r="19" spans="1:6" x14ac:dyDescent="0.25">
      <c r="A19" s="273">
        <v>71048.2</v>
      </c>
      <c r="B19" s="272">
        <v>1887</v>
      </c>
      <c r="C19" s="272">
        <v>1507</v>
      </c>
      <c r="D19" s="272">
        <v>1531</v>
      </c>
      <c r="E19" s="272">
        <v>2509</v>
      </c>
      <c r="F19" s="272"/>
    </row>
    <row r="20" spans="1:6" x14ac:dyDescent="0.25">
      <c r="A20" s="270">
        <v>71250</v>
      </c>
      <c r="B20" s="272">
        <v>1518</v>
      </c>
      <c r="C20" s="272">
        <v>935</v>
      </c>
      <c r="D20" s="272">
        <v>1300</v>
      </c>
      <c r="E20" s="272">
        <v>1047</v>
      </c>
      <c r="F20" s="272"/>
    </row>
    <row r="21" spans="1:6" x14ac:dyDescent="0.25">
      <c r="A21" s="273">
        <v>71250.2</v>
      </c>
      <c r="B21" s="272">
        <v>7485</v>
      </c>
      <c r="C21" s="272">
        <v>3219</v>
      </c>
      <c r="D21" s="272">
        <v>6580</v>
      </c>
      <c r="E21" s="272">
        <v>9174</v>
      </c>
      <c r="F21" s="272"/>
    </row>
    <row r="22" spans="1:6" x14ac:dyDescent="0.25">
      <c r="A22" s="270">
        <v>71260</v>
      </c>
      <c r="B22" s="272"/>
      <c r="C22" s="272"/>
      <c r="D22" s="272"/>
      <c r="E22" s="272"/>
      <c r="F22" s="272"/>
    </row>
    <row r="23" spans="1:6" x14ac:dyDescent="0.25">
      <c r="A23" s="270">
        <v>71270</v>
      </c>
      <c r="B23" s="272"/>
      <c r="C23" s="272"/>
      <c r="D23" s="272"/>
      <c r="E23" s="272"/>
      <c r="F23" s="272"/>
    </row>
    <row r="24" spans="1:6" x14ac:dyDescent="0.25">
      <c r="A24" s="270">
        <v>80053</v>
      </c>
      <c r="B24" s="272">
        <v>109</v>
      </c>
      <c r="C24" s="272">
        <v>53</v>
      </c>
      <c r="D24" s="272">
        <v>72</v>
      </c>
      <c r="E24" s="272">
        <v>72</v>
      </c>
      <c r="F24" s="272"/>
    </row>
    <row r="25" spans="1:6" x14ac:dyDescent="0.25">
      <c r="A25" s="270">
        <v>80197</v>
      </c>
      <c r="B25" s="272">
        <v>157</v>
      </c>
      <c r="C25" s="272">
        <v>219</v>
      </c>
      <c r="D25" s="272">
        <v>106</v>
      </c>
      <c r="E25" s="272">
        <v>359</v>
      </c>
      <c r="F25" s="272"/>
    </row>
    <row r="26" spans="1:6" x14ac:dyDescent="0.25">
      <c r="A26" s="270">
        <v>85025</v>
      </c>
      <c r="B26" s="272">
        <v>48</v>
      </c>
      <c r="C26" s="272">
        <v>41</v>
      </c>
      <c r="D26" s="272">
        <v>54</v>
      </c>
      <c r="E26" s="272">
        <v>54</v>
      </c>
      <c r="F26" s="272"/>
    </row>
    <row r="27" spans="1:6" x14ac:dyDescent="0.25">
      <c r="A27" s="270">
        <v>86644</v>
      </c>
      <c r="B27" s="272"/>
      <c r="C27" s="272"/>
      <c r="D27" s="272"/>
      <c r="E27" s="272"/>
      <c r="F27" s="272"/>
    </row>
    <row r="28" spans="1:6" x14ac:dyDescent="0.25">
      <c r="A28" s="270">
        <v>86645</v>
      </c>
      <c r="B28" s="272"/>
      <c r="C28" s="272"/>
      <c r="D28" s="272"/>
      <c r="E28" s="272"/>
      <c r="F28" s="272"/>
    </row>
    <row r="29" spans="1:6" x14ac:dyDescent="0.25">
      <c r="A29" s="270">
        <v>86832</v>
      </c>
      <c r="B29" s="272">
        <v>354</v>
      </c>
      <c r="C29" s="272">
        <v>354</v>
      </c>
      <c r="D29" s="272">
        <v>1385</v>
      </c>
      <c r="E29" s="272">
        <v>1623</v>
      </c>
      <c r="F29" s="272"/>
    </row>
    <row r="30" spans="1:6" x14ac:dyDescent="0.25">
      <c r="A30" s="270">
        <v>86833</v>
      </c>
      <c r="B30" s="272">
        <v>354</v>
      </c>
      <c r="C30" s="272">
        <v>354</v>
      </c>
      <c r="D30" s="272">
        <v>1047</v>
      </c>
      <c r="E30" s="272">
        <v>1227</v>
      </c>
      <c r="F30" s="272"/>
    </row>
    <row r="31" spans="1:6" x14ac:dyDescent="0.25">
      <c r="A31" s="270">
        <v>87497</v>
      </c>
      <c r="B31" s="272">
        <v>454</v>
      </c>
      <c r="C31" s="272">
        <v>472</v>
      </c>
      <c r="D31" s="272">
        <v>565</v>
      </c>
      <c r="E31" s="272">
        <v>508</v>
      </c>
      <c r="F31" s="272"/>
    </row>
    <row r="32" spans="1:6" x14ac:dyDescent="0.25">
      <c r="A32" s="270">
        <v>90480</v>
      </c>
      <c r="B32" s="272">
        <v>235</v>
      </c>
      <c r="C32" s="272">
        <v>142</v>
      </c>
      <c r="D32" s="272">
        <v>135</v>
      </c>
      <c r="E32" s="272">
        <v>67</v>
      </c>
      <c r="F32" s="272"/>
    </row>
    <row r="33" spans="1:7" x14ac:dyDescent="0.25">
      <c r="A33" s="270">
        <v>94010</v>
      </c>
      <c r="B33" s="272">
        <v>126</v>
      </c>
      <c r="C33" s="272">
        <v>159</v>
      </c>
      <c r="D33" s="272">
        <v>178</v>
      </c>
      <c r="E33" s="272">
        <v>195</v>
      </c>
      <c r="F33" s="272"/>
    </row>
    <row r="34" spans="1:7" x14ac:dyDescent="0.25">
      <c r="A34" s="270">
        <v>94011</v>
      </c>
      <c r="B34" s="272">
        <v>525</v>
      </c>
      <c r="C34" s="272">
        <v>526</v>
      </c>
      <c r="D34" s="272">
        <v>528</v>
      </c>
      <c r="E34" s="272">
        <v>516</v>
      </c>
      <c r="F34" s="272"/>
    </row>
    <row r="35" spans="1:7" x14ac:dyDescent="0.25">
      <c r="A35" s="270">
        <v>94060</v>
      </c>
      <c r="B35" s="272">
        <v>224</v>
      </c>
      <c r="C35" s="272">
        <v>236</v>
      </c>
      <c r="D35" s="272">
        <v>316</v>
      </c>
      <c r="E35" s="272">
        <v>324</v>
      </c>
      <c r="F35" s="272"/>
    </row>
    <row r="36" spans="1:7" x14ac:dyDescent="0.25">
      <c r="A36" s="273">
        <v>94060.2</v>
      </c>
      <c r="B36" s="272">
        <f>1658+83</f>
        <v>1741</v>
      </c>
      <c r="C36" s="272">
        <f>2163+81</f>
        <v>2244</v>
      </c>
      <c r="D36" s="272">
        <f>1523+81</f>
        <v>1604</v>
      </c>
      <c r="E36" s="272">
        <f>3342+90</f>
        <v>3432</v>
      </c>
      <c r="F36" s="272"/>
    </row>
    <row r="37" spans="1:7" x14ac:dyDescent="0.25">
      <c r="A37" s="270">
        <v>94729</v>
      </c>
      <c r="B37" s="272">
        <v>272</v>
      </c>
      <c r="C37" s="272">
        <v>207</v>
      </c>
      <c r="D37" s="272">
        <v>286</v>
      </c>
      <c r="E37" s="272">
        <v>289</v>
      </c>
      <c r="F37" s="272"/>
    </row>
    <row r="38" spans="1:7" x14ac:dyDescent="0.25">
      <c r="A38" s="273">
        <v>94729.2</v>
      </c>
      <c r="B38" s="272">
        <f>1382+52</f>
        <v>1434</v>
      </c>
      <c r="C38" s="272">
        <f>1381+67</f>
        <v>1448</v>
      </c>
      <c r="D38" s="272">
        <f>1344+51</f>
        <v>1395</v>
      </c>
      <c r="E38" s="272">
        <f>1711+97</f>
        <v>1808</v>
      </c>
      <c r="F38" s="272"/>
    </row>
    <row r="39" spans="1:7" x14ac:dyDescent="0.25">
      <c r="A39" s="270">
        <v>94726</v>
      </c>
      <c r="B39" s="272">
        <v>347</v>
      </c>
      <c r="C39" s="272">
        <v>244</v>
      </c>
      <c r="D39" s="272">
        <v>285</v>
      </c>
      <c r="E39" s="272">
        <v>287</v>
      </c>
      <c r="F39" s="272"/>
    </row>
    <row r="40" spans="1:7" x14ac:dyDescent="0.25">
      <c r="A40" s="273">
        <v>94726.2</v>
      </c>
      <c r="B40" s="272">
        <f>3951+46</f>
        <v>3997</v>
      </c>
      <c r="C40" s="272">
        <f>1779+64</f>
        <v>1843</v>
      </c>
      <c r="D40" s="272">
        <f>1282+72</f>
        <v>1354</v>
      </c>
      <c r="E40" s="272">
        <f>1757+105</f>
        <v>1862</v>
      </c>
      <c r="F40" s="272"/>
    </row>
    <row r="41" spans="1:7" x14ac:dyDescent="0.25">
      <c r="A41" s="270">
        <v>94070</v>
      </c>
      <c r="B41" s="272"/>
      <c r="C41" s="272"/>
      <c r="D41" s="272"/>
      <c r="E41" s="272"/>
      <c r="F41" s="272"/>
    </row>
    <row r="42" spans="1:7" x14ac:dyDescent="0.25">
      <c r="A42" s="270">
        <v>94200</v>
      </c>
      <c r="B42" s="272"/>
      <c r="C42" s="272"/>
      <c r="D42" s="272"/>
      <c r="E42" s="272"/>
      <c r="F42" s="272"/>
    </row>
    <row r="43" spans="1:7" x14ac:dyDescent="0.25">
      <c r="A43" s="270">
        <v>94625</v>
      </c>
      <c r="B43" s="272">
        <v>336</v>
      </c>
      <c r="C43" s="272">
        <v>337</v>
      </c>
      <c r="D43" s="272">
        <v>405</v>
      </c>
      <c r="E43" s="321">
        <v>331</v>
      </c>
      <c r="F43" s="272"/>
      <c r="G43" s="354" t="s">
        <v>337</v>
      </c>
    </row>
    <row r="44" spans="1:7" x14ac:dyDescent="0.25">
      <c r="A44" s="273">
        <v>94625.2</v>
      </c>
      <c r="B44" s="272">
        <v>1370</v>
      </c>
      <c r="C44" s="272">
        <v>756</v>
      </c>
      <c r="D44" s="272">
        <v>476</v>
      </c>
      <c r="E44" s="272">
        <v>2150</v>
      </c>
      <c r="F44" s="272"/>
      <c r="G44" s="354"/>
    </row>
    <row r="45" spans="1:7" x14ac:dyDescent="0.25">
      <c r="A45" s="270">
        <v>94626</v>
      </c>
      <c r="B45" s="272">
        <v>682</v>
      </c>
      <c r="C45" s="272">
        <v>682</v>
      </c>
      <c r="D45" s="272">
        <v>414</v>
      </c>
      <c r="E45" s="321">
        <v>670</v>
      </c>
      <c r="F45" s="272"/>
      <c r="G45" s="354"/>
    </row>
    <row r="46" spans="1:7" x14ac:dyDescent="0.25">
      <c r="A46" s="273">
        <v>94626.2</v>
      </c>
      <c r="B46" s="272">
        <v>1256</v>
      </c>
      <c r="C46" s="272">
        <v>767</v>
      </c>
      <c r="D46" s="272">
        <v>847</v>
      </c>
      <c r="E46" s="272">
        <v>2150</v>
      </c>
      <c r="F46" s="272"/>
      <c r="G46" s="354"/>
    </row>
    <row r="47" spans="1:7" x14ac:dyDescent="0.25">
      <c r="A47" s="270">
        <v>94640</v>
      </c>
      <c r="B47" s="272"/>
      <c r="C47" s="272"/>
      <c r="D47" s="272"/>
      <c r="E47" s="272"/>
      <c r="F47" s="272"/>
    </row>
    <row r="48" spans="1:7" x14ac:dyDescent="0.25">
      <c r="A48" s="270">
        <v>94726</v>
      </c>
      <c r="B48" s="272"/>
      <c r="C48" s="272"/>
      <c r="D48" s="272"/>
      <c r="E48" s="272"/>
      <c r="F48" s="272"/>
    </row>
    <row r="49" spans="1:6" x14ac:dyDescent="0.25">
      <c r="A49" s="270">
        <v>94727</v>
      </c>
      <c r="B49" s="272"/>
      <c r="C49" s="272"/>
      <c r="D49" s="272"/>
      <c r="E49" s="272"/>
      <c r="F49" s="272"/>
    </row>
    <row r="50" spans="1:6" x14ac:dyDescent="0.25">
      <c r="A50" s="270">
        <v>94729</v>
      </c>
      <c r="B50" s="272"/>
      <c r="C50" s="272"/>
      <c r="D50" s="272"/>
      <c r="E50" s="272"/>
      <c r="F50" s="272"/>
    </row>
    <row r="51" spans="1:6" x14ac:dyDescent="0.25">
      <c r="A51" s="270">
        <v>96365</v>
      </c>
      <c r="B51" s="272">
        <v>432</v>
      </c>
      <c r="C51" s="272">
        <v>244</v>
      </c>
      <c r="D51" s="272">
        <v>280</v>
      </c>
      <c r="E51" s="272">
        <v>396</v>
      </c>
      <c r="F51" s="272"/>
    </row>
    <row r="52" spans="1:6" x14ac:dyDescent="0.25">
      <c r="A52" s="273">
        <v>96365.1</v>
      </c>
      <c r="B52" s="272"/>
      <c r="C52" s="272"/>
      <c r="D52" s="272"/>
      <c r="E52" s="272"/>
      <c r="F52" s="272"/>
    </row>
    <row r="53" spans="1:6" x14ac:dyDescent="0.25">
      <c r="A53" s="273">
        <v>96365.2</v>
      </c>
      <c r="B53" s="272">
        <v>1930</v>
      </c>
      <c r="C53" s="272">
        <v>1280</v>
      </c>
      <c r="D53" s="272">
        <v>1272</v>
      </c>
      <c r="E53" s="272">
        <v>3398</v>
      </c>
      <c r="F53" s="272"/>
    </row>
    <row r="54" spans="1:6" x14ac:dyDescent="0.25">
      <c r="A54" s="270">
        <v>97110</v>
      </c>
      <c r="B54" s="272">
        <v>84</v>
      </c>
      <c r="C54" s="272">
        <v>40</v>
      </c>
      <c r="D54" s="272">
        <v>78</v>
      </c>
      <c r="E54" s="272">
        <v>180</v>
      </c>
      <c r="F54" s="272"/>
    </row>
    <row r="55" spans="1:6" x14ac:dyDescent="0.25">
      <c r="A55" s="270">
        <v>97112</v>
      </c>
      <c r="B55" s="272">
        <v>78</v>
      </c>
      <c r="C55" s="272">
        <v>39</v>
      </c>
      <c r="D55" s="272">
        <v>84</v>
      </c>
      <c r="E55" s="272">
        <v>77</v>
      </c>
      <c r="F55" s="272"/>
    </row>
    <row r="56" spans="1:6" x14ac:dyDescent="0.25">
      <c r="A56" s="270">
        <v>97140</v>
      </c>
      <c r="B56" s="272">
        <v>81</v>
      </c>
      <c r="C56" s="272">
        <v>39</v>
      </c>
      <c r="D56" s="272">
        <v>81</v>
      </c>
      <c r="E56" s="272">
        <v>84</v>
      </c>
      <c r="F56" s="272"/>
    </row>
    <row r="57" spans="1:6" x14ac:dyDescent="0.25">
      <c r="A57" s="270">
        <v>97161</v>
      </c>
      <c r="B57" s="272">
        <v>291</v>
      </c>
      <c r="C57" s="272">
        <v>99</v>
      </c>
      <c r="D57" s="272">
        <v>201</v>
      </c>
      <c r="E57" s="272">
        <v>381</v>
      </c>
      <c r="F57" s="272"/>
    </row>
    <row r="58" spans="1:6" x14ac:dyDescent="0.25">
      <c r="A58" s="270">
        <v>97530</v>
      </c>
      <c r="B58" s="272">
        <v>80</v>
      </c>
      <c r="C58" s="272">
        <v>45</v>
      </c>
      <c r="D58" s="272">
        <v>81</v>
      </c>
      <c r="E58" s="272">
        <v>80</v>
      </c>
      <c r="F58" s="272"/>
    </row>
    <row r="59" spans="1:6" x14ac:dyDescent="0.25">
      <c r="A59" s="270">
        <v>99152</v>
      </c>
      <c r="B59" s="272">
        <v>294</v>
      </c>
      <c r="C59" s="272">
        <v>196</v>
      </c>
      <c r="D59" s="272">
        <v>332</v>
      </c>
      <c r="E59" s="272">
        <v>264</v>
      </c>
      <c r="F59" s="272"/>
    </row>
    <row r="60" spans="1:6" x14ac:dyDescent="0.25">
      <c r="A60" s="270">
        <v>99153</v>
      </c>
      <c r="B60" s="272">
        <v>56</v>
      </c>
      <c r="C60" s="272">
        <v>65</v>
      </c>
      <c r="D60" s="272">
        <v>74</v>
      </c>
      <c r="E60" s="272">
        <v>65</v>
      </c>
      <c r="F60" s="272"/>
    </row>
    <row r="61" spans="1:6" x14ac:dyDescent="0.25">
      <c r="A61" s="270">
        <v>99202</v>
      </c>
      <c r="B61" s="272">
        <v>287</v>
      </c>
      <c r="C61" s="272">
        <v>37</v>
      </c>
      <c r="D61" s="272">
        <v>329</v>
      </c>
      <c r="E61" s="272">
        <v>597</v>
      </c>
      <c r="F61" s="272"/>
    </row>
    <row r="62" spans="1:6" x14ac:dyDescent="0.25">
      <c r="A62" s="270">
        <v>99203</v>
      </c>
      <c r="B62" s="272">
        <v>443</v>
      </c>
      <c r="C62" s="272">
        <v>412</v>
      </c>
      <c r="D62" s="272">
        <v>416</v>
      </c>
      <c r="E62" s="272">
        <v>249</v>
      </c>
      <c r="F62" s="272"/>
    </row>
    <row r="63" spans="1:6" x14ac:dyDescent="0.25">
      <c r="A63" s="270">
        <v>99204</v>
      </c>
      <c r="B63" s="272">
        <v>1094</v>
      </c>
      <c r="C63" s="272">
        <v>633</v>
      </c>
      <c r="D63" s="272">
        <v>882</v>
      </c>
      <c r="E63" s="272">
        <v>854</v>
      </c>
      <c r="F63" s="272"/>
    </row>
    <row r="64" spans="1:6" x14ac:dyDescent="0.25">
      <c r="A64" s="270">
        <v>99205</v>
      </c>
      <c r="B64" s="272">
        <v>1377</v>
      </c>
      <c r="C64" s="272">
        <v>830</v>
      </c>
      <c r="D64" s="272">
        <v>1124</v>
      </c>
      <c r="E64" s="272">
        <v>1068</v>
      </c>
      <c r="F64" s="272"/>
    </row>
    <row r="65" spans="1:6" x14ac:dyDescent="0.25">
      <c r="A65" s="270">
        <v>99212</v>
      </c>
      <c r="B65" s="272">
        <v>197</v>
      </c>
      <c r="C65" s="272">
        <v>31</v>
      </c>
      <c r="D65" s="272">
        <v>132</v>
      </c>
      <c r="E65" s="272">
        <v>558</v>
      </c>
      <c r="F65" s="272"/>
    </row>
    <row r="66" spans="1:6" x14ac:dyDescent="0.25">
      <c r="A66" s="270">
        <v>99213</v>
      </c>
      <c r="B66" s="272">
        <v>363</v>
      </c>
      <c r="C66" s="272">
        <v>286</v>
      </c>
      <c r="D66" s="272">
        <v>329</v>
      </c>
      <c r="E66" s="272">
        <v>268</v>
      </c>
      <c r="F66" s="272"/>
    </row>
    <row r="67" spans="1:6" x14ac:dyDescent="0.25">
      <c r="A67" s="270">
        <v>99214</v>
      </c>
      <c r="B67" s="272">
        <v>865</v>
      </c>
      <c r="C67" s="272">
        <v>425</v>
      </c>
      <c r="D67" s="272">
        <v>584</v>
      </c>
      <c r="E67" s="272">
        <v>7788</v>
      </c>
      <c r="F67" s="272"/>
    </row>
    <row r="68" spans="1:6" x14ac:dyDescent="0.25">
      <c r="A68" s="270">
        <v>99215</v>
      </c>
      <c r="B68" s="272">
        <v>997</v>
      </c>
      <c r="C68" s="272">
        <v>588</v>
      </c>
      <c r="D68" s="272">
        <v>800</v>
      </c>
      <c r="E68" s="272">
        <v>1002</v>
      </c>
      <c r="F68" s="272"/>
    </row>
    <row r="69" spans="1:6" x14ac:dyDescent="0.25">
      <c r="A69" s="270" t="s">
        <v>188</v>
      </c>
      <c r="B69" s="272">
        <v>9383</v>
      </c>
      <c r="C69" s="272">
        <v>11795</v>
      </c>
      <c r="D69" s="272">
        <v>7313</v>
      </c>
      <c r="E69" s="272">
        <v>6399</v>
      </c>
      <c r="F69" s="272"/>
    </row>
    <row r="70" spans="1:6" x14ac:dyDescent="0.25">
      <c r="A70" s="270" t="s">
        <v>192</v>
      </c>
      <c r="B70" s="272">
        <v>175</v>
      </c>
      <c r="C70" s="272">
        <v>150</v>
      </c>
      <c r="D70" s="272">
        <v>185</v>
      </c>
      <c r="E70" s="272">
        <v>181</v>
      </c>
      <c r="F70" s="272"/>
    </row>
    <row r="71" spans="1:6" x14ac:dyDescent="0.25">
      <c r="B71" s="272"/>
      <c r="C71" s="272"/>
      <c r="D71" s="272"/>
      <c r="E71" s="272"/>
      <c r="F71" s="272"/>
    </row>
  </sheetData>
  <sortState xmlns:xlrd2="http://schemas.microsoft.com/office/spreadsheetml/2017/richdata2" ref="A2:F78">
    <sortCondition ref="A2:A78"/>
  </sortState>
  <mergeCells count="1">
    <mergeCell ref="G43:G4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A284-52DA-4104-91C3-BF12306B2151}">
  <dimension ref="A1:M463"/>
  <sheetViews>
    <sheetView topLeftCell="A86" workbookViewId="0"/>
  </sheetViews>
  <sheetFormatPr defaultRowHeight="15" x14ac:dyDescent="0.25"/>
  <cols>
    <col min="1" max="1" width="66.42578125" customWidth="1"/>
    <col min="2" max="2" width="24.42578125" customWidth="1"/>
    <col min="3" max="3" width="23.42578125" customWidth="1"/>
    <col min="4" max="4" width="21.5703125" customWidth="1"/>
  </cols>
  <sheetData>
    <row r="1" spans="1:13" x14ac:dyDescent="0.25">
      <c r="A1" s="4" t="s">
        <v>196</v>
      </c>
      <c r="B1" s="4" t="s">
        <v>200</v>
      </c>
      <c r="C1" s="4" t="s">
        <v>202</v>
      </c>
      <c r="D1" s="4" t="s">
        <v>201</v>
      </c>
      <c r="J1" s="5"/>
      <c r="K1" s="5"/>
      <c r="L1" s="5"/>
      <c r="M1" s="5"/>
    </row>
    <row r="2" spans="1:13" x14ac:dyDescent="0.25">
      <c r="A2" t="s">
        <v>158</v>
      </c>
      <c r="C2" s="286">
        <v>1</v>
      </c>
    </row>
    <row r="3" spans="1:13" x14ac:dyDescent="0.25">
      <c r="A3" t="s">
        <v>160</v>
      </c>
      <c r="C3" s="286">
        <v>2</v>
      </c>
    </row>
    <row r="4" spans="1:13" x14ac:dyDescent="0.25">
      <c r="A4" t="s">
        <v>159</v>
      </c>
      <c r="B4" t="s">
        <v>198</v>
      </c>
      <c r="C4" s="286">
        <v>17311</v>
      </c>
      <c r="D4" t="s">
        <v>203</v>
      </c>
    </row>
    <row r="5" spans="1:13" x14ac:dyDescent="0.25">
      <c r="A5" t="s">
        <v>159</v>
      </c>
      <c r="B5" t="s">
        <v>198</v>
      </c>
      <c r="C5" s="286">
        <v>99152</v>
      </c>
      <c r="D5" t="s">
        <v>207</v>
      </c>
    </row>
    <row r="6" spans="1:13" x14ac:dyDescent="0.25">
      <c r="A6" t="s">
        <v>159</v>
      </c>
      <c r="B6" t="s">
        <v>198</v>
      </c>
      <c r="C6" s="286">
        <v>99153</v>
      </c>
      <c r="D6" t="s">
        <v>207</v>
      </c>
    </row>
    <row r="7" spans="1:13" x14ac:dyDescent="0.25">
      <c r="A7" t="s">
        <v>159</v>
      </c>
      <c r="B7" t="s">
        <v>199</v>
      </c>
      <c r="C7" s="286">
        <v>17311</v>
      </c>
      <c r="D7" t="s">
        <v>203</v>
      </c>
    </row>
    <row r="8" spans="1:13" x14ac:dyDescent="0.25">
      <c r="A8" t="s">
        <v>159</v>
      </c>
      <c r="B8" t="s">
        <v>199</v>
      </c>
      <c r="C8" s="286">
        <v>99152</v>
      </c>
      <c r="D8" t="s">
        <v>207</v>
      </c>
    </row>
    <row r="9" spans="1:13" x14ac:dyDescent="0.25">
      <c r="A9" t="s">
        <v>159</v>
      </c>
      <c r="B9" t="s">
        <v>199</v>
      </c>
      <c r="C9" s="286">
        <v>99153</v>
      </c>
      <c r="D9" t="s">
        <v>207</v>
      </c>
      <c r="G9" t="s">
        <v>248</v>
      </c>
    </row>
    <row r="10" spans="1:13" x14ac:dyDescent="0.25">
      <c r="A10" t="s">
        <v>159</v>
      </c>
      <c r="B10" t="s">
        <v>199</v>
      </c>
      <c r="C10" s="287">
        <v>17311.099999999999</v>
      </c>
      <c r="D10" t="s">
        <v>204</v>
      </c>
    </row>
    <row r="11" spans="1:13" x14ac:dyDescent="0.25">
      <c r="A11" t="s">
        <v>159</v>
      </c>
      <c r="B11" t="s">
        <v>199</v>
      </c>
      <c r="C11" s="287">
        <v>17311.2</v>
      </c>
      <c r="D11" t="s">
        <v>205</v>
      </c>
    </row>
    <row r="12" spans="1:13" x14ac:dyDescent="0.25">
      <c r="A12" t="s">
        <v>197</v>
      </c>
      <c r="B12" t="s">
        <v>198</v>
      </c>
      <c r="C12" s="286">
        <v>31628</v>
      </c>
      <c r="D12" t="s">
        <v>203</v>
      </c>
    </row>
    <row r="13" spans="1:13" x14ac:dyDescent="0.25">
      <c r="A13" t="s">
        <v>197</v>
      </c>
      <c r="B13" t="s">
        <v>198</v>
      </c>
      <c r="C13" s="286">
        <v>99152</v>
      </c>
      <c r="D13" t="s">
        <v>207</v>
      </c>
    </row>
    <row r="14" spans="1:13" x14ac:dyDescent="0.25">
      <c r="A14" t="s">
        <v>197</v>
      </c>
      <c r="B14" t="s">
        <v>198</v>
      </c>
      <c r="C14" s="287">
        <v>31628.1</v>
      </c>
      <c r="D14" t="s">
        <v>204</v>
      </c>
    </row>
    <row r="15" spans="1:13" x14ac:dyDescent="0.25">
      <c r="A15" t="s">
        <v>197</v>
      </c>
      <c r="B15" t="s">
        <v>198</v>
      </c>
      <c r="C15" s="287">
        <v>31628.2</v>
      </c>
      <c r="D15" t="s">
        <v>205</v>
      </c>
    </row>
    <row r="16" spans="1:13" x14ac:dyDescent="0.25">
      <c r="A16" t="s">
        <v>197</v>
      </c>
      <c r="B16" t="s">
        <v>199</v>
      </c>
      <c r="C16" s="286">
        <v>31628</v>
      </c>
      <c r="D16" t="s">
        <v>203</v>
      </c>
      <c r="G16" t="s">
        <v>249</v>
      </c>
    </row>
    <row r="17" spans="1:7" x14ac:dyDescent="0.25">
      <c r="A17" t="s">
        <v>197</v>
      </c>
      <c r="B17" t="s">
        <v>199</v>
      </c>
      <c r="C17" s="287">
        <v>31628.1</v>
      </c>
      <c r="D17" t="s">
        <v>204</v>
      </c>
      <c r="G17" t="s">
        <v>250</v>
      </c>
    </row>
    <row r="18" spans="1:7" x14ac:dyDescent="0.25">
      <c r="A18" t="s">
        <v>197</v>
      </c>
      <c r="B18" t="s">
        <v>199</v>
      </c>
      <c r="C18" s="287">
        <v>31628.2</v>
      </c>
      <c r="D18" t="s">
        <v>205</v>
      </c>
    </row>
    <row r="19" spans="1:7" x14ac:dyDescent="0.25">
      <c r="A19" t="s">
        <v>197</v>
      </c>
      <c r="B19" t="s">
        <v>199</v>
      </c>
      <c r="C19" s="286">
        <v>520</v>
      </c>
      <c r="D19" t="s">
        <v>206</v>
      </c>
    </row>
    <row r="20" spans="1:7" x14ac:dyDescent="0.25">
      <c r="A20" t="s">
        <v>161</v>
      </c>
      <c r="B20" t="s">
        <v>198</v>
      </c>
      <c r="C20" s="286">
        <v>99212</v>
      </c>
      <c r="D20" t="s">
        <v>203</v>
      </c>
    </row>
    <row r="21" spans="1:7" x14ac:dyDescent="0.25">
      <c r="A21" t="s">
        <v>161</v>
      </c>
      <c r="B21" t="s">
        <v>199</v>
      </c>
      <c r="C21" s="286">
        <v>99215</v>
      </c>
      <c r="D21" t="s">
        <v>203</v>
      </c>
    </row>
    <row r="22" spans="1:7" x14ac:dyDescent="0.25">
      <c r="A22" t="s">
        <v>162</v>
      </c>
      <c r="B22" t="s">
        <v>198</v>
      </c>
      <c r="C22" s="286">
        <v>99212</v>
      </c>
      <c r="D22" t="s">
        <v>203</v>
      </c>
    </row>
    <row r="23" spans="1:7" x14ac:dyDescent="0.25">
      <c r="A23" t="s">
        <v>162</v>
      </c>
      <c r="B23" t="s">
        <v>199</v>
      </c>
      <c r="C23" s="286">
        <v>99215</v>
      </c>
      <c r="D23" t="s">
        <v>203</v>
      </c>
    </row>
    <row r="24" spans="1:7" x14ac:dyDescent="0.25">
      <c r="A24" t="s">
        <v>163</v>
      </c>
      <c r="B24" t="s">
        <v>198</v>
      </c>
      <c r="C24" s="286">
        <v>99212</v>
      </c>
      <c r="D24" t="s">
        <v>203</v>
      </c>
    </row>
    <row r="25" spans="1:7" x14ac:dyDescent="0.25">
      <c r="A25" t="s">
        <v>163</v>
      </c>
      <c r="B25" t="s">
        <v>199</v>
      </c>
      <c r="C25" s="286">
        <v>99215</v>
      </c>
      <c r="D25" t="s">
        <v>203</v>
      </c>
    </row>
    <row r="26" spans="1:7" x14ac:dyDescent="0.25">
      <c r="A26" t="s">
        <v>235</v>
      </c>
      <c r="B26" t="s">
        <v>198</v>
      </c>
      <c r="C26" s="286">
        <v>99212</v>
      </c>
      <c r="D26" t="s">
        <v>203</v>
      </c>
    </row>
    <row r="27" spans="1:7" x14ac:dyDescent="0.25">
      <c r="A27" t="s">
        <v>235</v>
      </c>
      <c r="B27" t="s">
        <v>199</v>
      </c>
      <c r="C27" s="286">
        <v>99215</v>
      </c>
      <c r="D27" t="s">
        <v>203</v>
      </c>
    </row>
    <row r="28" spans="1:7" x14ac:dyDescent="0.25">
      <c r="A28" t="s">
        <v>164</v>
      </c>
      <c r="B28" t="s">
        <v>198</v>
      </c>
      <c r="C28" s="286">
        <v>99212</v>
      </c>
      <c r="D28" t="s">
        <v>203</v>
      </c>
    </row>
    <row r="29" spans="1:7" x14ac:dyDescent="0.25">
      <c r="A29" t="s">
        <v>164</v>
      </c>
      <c r="B29" t="s">
        <v>199</v>
      </c>
      <c r="C29" s="286">
        <v>99215</v>
      </c>
      <c r="D29" t="s">
        <v>203</v>
      </c>
    </row>
    <row r="30" spans="1:7" x14ac:dyDescent="0.25">
      <c r="A30" t="s">
        <v>165</v>
      </c>
      <c r="B30" t="s">
        <v>198</v>
      </c>
      <c r="C30" s="286">
        <v>99212</v>
      </c>
      <c r="D30" t="s">
        <v>203</v>
      </c>
    </row>
    <row r="31" spans="1:7" x14ac:dyDescent="0.25">
      <c r="A31" t="s">
        <v>165</v>
      </c>
      <c r="B31" t="s">
        <v>199</v>
      </c>
      <c r="C31" s="286">
        <v>99215</v>
      </c>
      <c r="D31" t="s">
        <v>203</v>
      </c>
    </row>
    <row r="32" spans="1:7" x14ac:dyDescent="0.25">
      <c r="A32" t="s">
        <v>166</v>
      </c>
      <c r="B32" t="s">
        <v>198</v>
      </c>
      <c r="C32" s="286">
        <v>99212</v>
      </c>
      <c r="D32" t="s">
        <v>203</v>
      </c>
    </row>
    <row r="33" spans="1:8" x14ac:dyDescent="0.25">
      <c r="A33" t="s">
        <v>166</v>
      </c>
      <c r="B33" t="s">
        <v>199</v>
      </c>
      <c r="C33" s="286">
        <v>99215</v>
      </c>
      <c r="D33" t="s">
        <v>203</v>
      </c>
    </row>
    <row r="34" spans="1:8" x14ac:dyDescent="0.25">
      <c r="A34" t="s">
        <v>167</v>
      </c>
      <c r="B34" t="s">
        <v>198</v>
      </c>
      <c r="C34" s="286">
        <v>99212</v>
      </c>
      <c r="D34" t="s">
        <v>203</v>
      </c>
    </row>
    <row r="35" spans="1:8" x14ac:dyDescent="0.25">
      <c r="A35" t="s">
        <v>167</v>
      </c>
      <c r="B35" t="s">
        <v>199</v>
      </c>
      <c r="C35" s="286">
        <v>99215</v>
      </c>
      <c r="D35" t="s">
        <v>203</v>
      </c>
    </row>
    <row r="36" spans="1:8" x14ac:dyDescent="0.25">
      <c r="A36" t="s">
        <v>168</v>
      </c>
      <c r="B36" t="s">
        <v>198</v>
      </c>
      <c r="C36" s="286">
        <v>99212</v>
      </c>
      <c r="D36" t="s">
        <v>203</v>
      </c>
    </row>
    <row r="37" spans="1:8" x14ac:dyDescent="0.25">
      <c r="A37" t="s">
        <v>168</v>
      </c>
      <c r="B37" t="s">
        <v>199</v>
      </c>
      <c r="C37" s="286">
        <v>99215</v>
      </c>
      <c r="D37" t="s">
        <v>203</v>
      </c>
    </row>
    <row r="38" spans="1:8" x14ac:dyDescent="0.25">
      <c r="A38" s="322" t="s">
        <v>169</v>
      </c>
      <c r="B38" s="322" t="s">
        <v>198</v>
      </c>
      <c r="C38" s="323">
        <v>94625</v>
      </c>
      <c r="D38" s="322" t="s">
        <v>203</v>
      </c>
      <c r="E38" s="322"/>
      <c r="H38" t="s">
        <v>338</v>
      </c>
    </row>
    <row r="39" spans="1:8" x14ac:dyDescent="0.25">
      <c r="A39" s="322" t="s">
        <v>169</v>
      </c>
      <c r="B39" s="322" t="s">
        <v>199</v>
      </c>
      <c r="C39" s="324">
        <v>94626.2</v>
      </c>
      <c r="D39" s="322" t="s">
        <v>205</v>
      </c>
      <c r="E39" s="322"/>
    </row>
    <row r="40" spans="1:8" x14ac:dyDescent="0.25">
      <c r="A40" s="322" t="s">
        <v>169</v>
      </c>
      <c r="B40" s="322" t="s">
        <v>199</v>
      </c>
      <c r="C40" s="323">
        <v>94626</v>
      </c>
      <c r="D40" s="322" t="s">
        <v>203</v>
      </c>
      <c r="E40" s="322"/>
    </row>
    <row r="41" spans="1:8" x14ac:dyDescent="0.25">
      <c r="A41" t="s">
        <v>236</v>
      </c>
      <c r="B41" t="s">
        <v>198</v>
      </c>
      <c r="C41" s="286">
        <v>97161</v>
      </c>
      <c r="D41" t="s">
        <v>203</v>
      </c>
    </row>
    <row r="42" spans="1:8" x14ac:dyDescent="0.25">
      <c r="A42" t="s">
        <v>236</v>
      </c>
      <c r="B42" t="s">
        <v>199</v>
      </c>
      <c r="C42" s="286">
        <v>97161</v>
      </c>
      <c r="D42" t="s">
        <v>203</v>
      </c>
    </row>
    <row r="43" spans="1:8" x14ac:dyDescent="0.25">
      <c r="A43" t="s">
        <v>237</v>
      </c>
      <c r="B43" t="s">
        <v>198</v>
      </c>
      <c r="C43" s="286">
        <v>97140</v>
      </c>
      <c r="D43" t="s">
        <v>203</v>
      </c>
    </row>
    <row r="44" spans="1:8" x14ac:dyDescent="0.25">
      <c r="A44" t="s">
        <v>237</v>
      </c>
      <c r="B44" t="s">
        <v>198</v>
      </c>
      <c r="C44" s="286">
        <v>97112</v>
      </c>
      <c r="D44" t="s">
        <v>203</v>
      </c>
    </row>
    <row r="45" spans="1:8" x14ac:dyDescent="0.25">
      <c r="A45" t="s">
        <v>237</v>
      </c>
      <c r="B45" t="s">
        <v>198</v>
      </c>
      <c r="C45" s="286">
        <v>97530</v>
      </c>
      <c r="D45" t="s">
        <v>203</v>
      </c>
    </row>
    <row r="46" spans="1:8" x14ac:dyDescent="0.25">
      <c r="A46" t="s">
        <v>237</v>
      </c>
      <c r="B46" t="s">
        <v>198</v>
      </c>
      <c r="C46" s="286">
        <v>97110</v>
      </c>
      <c r="D46" t="s">
        <v>203</v>
      </c>
    </row>
    <row r="47" spans="1:8" x14ac:dyDescent="0.25">
      <c r="A47" t="s">
        <v>237</v>
      </c>
      <c r="B47" t="s">
        <v>199</v>
      </c>
      <c r="C47" s="286">
        <v>97140</v>
      </c>
      <c r="D47" t="s">
        <v>203</v>
      </c>
    </row>
    <row r="48" spans="1:8" x14ac:dyDescent="0.25">
      <c r="A48" t="s">
        <v>237</v>
      </c>
      <c r="B48" t="s">
        <v>199</v>
      </c>
      <c r="C48" s="286">
        <v>97112</v>
      </c>
      <c r="D48" t="s">
        <v>203</v>
      </c>
    </row>
    <row r="49" spans="1:4" x14ac:dyDescent="0.25">
      <c r="A49" t="s">
        <v>237</v>
      </c>
      <c r="B49" t="s">
        <v>199</v>
      </c>
      <c r="C49" s="286">
        <v>97530</v>
      </c>
      <c r="D49" t="s">
        <v>203</v>
      </c>
    </row>
    <row r="50" spans="1:4" x14ac:dyDescent="0.25">
      <c r="A50" t="s">
        <v>237</v>
      </c>
      <c r="B50" t="s">
        <v>199</v>
      </c>
      <c r="C50" s="286">
        <v>97110</v>
      </c>
      <c r="D50" t="s">
        <v>203</v>
      </c>
    </row>
    <row r="51" spans="1:4" x14ac:dyDescent="0.25">
      <c r="A51" t="s">
        <v>237</v>
      </c>
      <c r="B51" t="s">
        <v>199</v>
      </c>
      <c r="C51" s="286">
        <v>97110</v>
      </c>
      <c r="D51" t="s">
        <v>203</v>
      </c>
    </row>
    <row r="52" spans="1:4" x14ac:dyDescent="0.25">
      <c r="A52" t="s">
        <v>170</v>
      </c>
      <c r="B52" t="s">
        <v>198</v>
      </c>
      <c r="C52" s="286">
        <v>71045</v>
      </c>
      <c r="D52" t="s">
        <v>203</v>
      </c>
    </row>
    <row r="53" spans="1:4" x14ac:dyDescent="0.25">
      <c r="A53" t="s">
        <v>170</v>
      </c>
      <c r="B53" t="s">
        <v>199</v>
      </c>
      <c r="C53" s="287">
        <v>71045.2</v>
      </c>
      <c r="D53" t="s">
        <v>205</v>
      </c>
    </row>
    <row r="54" spans="1:4" x14ac:dyDescent="0.25">
      <c r="A54" t="s">
        <v>170</v>
      </c>
      <c r="B54" t="s">
        <v>198</v>
      </c>
      <c r="C54" s="286">
        <v>71046</v>
      </c>
      <c r="D54" t="s">
        <v>203</v>
      </c>
    </row>
    <row r="55" spans="1:4" x14ac:dyDescent="0.25">
      <c r="A55" t="s">
        <v>170</v>
      </c>
      <c r="B55" t="s">
        <v>199</v>
      </c>
      <c r="C55" s="287">
        <v>71046.2</v>
      </c>
      <c r="D55" t="s">
        <v>205</v>
      </c>
    </row>
    <row r="56" spans="1:4" x14ac:dyDescent="0.25">
      <c r="A56" t="s">
        <v>170</v>
      </c>
      <c r="B56" t="s">
        <v>198</v>
      </c>
      <c r="C56" s="286">
        <v>71047</v>
      </c>
      <c r="D56" t="s">
        <v>203</v>
      </c>
    </row>
    <row r="57" spans="1:4" x14ac:dyDescent="0.25">
      <c r="A57" t="s">
        <v>170</v>
      </c>
      <c r="B57" t="s">
        <v>199</v>
      </c>
      <c r="C57" s="287">
        <v>71047.199999999997</v>
      </c>
      <c r="D57" t="s">
        <v>205</v>
      </c>
    </row>
    <row r="58" spans="1:4" x14ac:dyDescent="0.25">
      <c r="A58" t="s">
        <v>170</v>
      </c>
      <c r="B58" t="s">
        <v>198</v>
      </c>
      <c r="C58" s="286">
        <v>71048</v>
      </c>
      <c r="D58" t="s">
        <v>203</v>
      </c>
    </row>
    <row r="59" spans="1:4" x14ac:dyDescent="0.25">
      <c r="A59" t="s">
        <v>170</v>
      </c>
      <c r="B59" t="s">
        <v>199</v>
      </c>
      <c r="C59" s="287">
        <v>71048.2</v>
      </c>
      <c r="D59" t="s">
        <v>205</v>
      </c>
    </row>
    <row r="60" spans="1:4" x14ac:dyDescent="0.25">
      <c r="A60" t="s">
        <v>171</v>
      </c>
      <c r="B60" t="s">
        <v>198</v>
      </c>
      <c r="C60" s="286">
        <v>94010</v>
      </c>
      <c r="D60" t="s">
        <v>203</v>
      </c>
    </row>
    <row r="61" spans="1:4" x14ac:dyDescent="0.25">
      <c r="A61" t="s">
        <v>171</v>
      </c>
      <c r="B61" t="s">
        <v>199</v>
      </c>
      <c r="C61" s="286">
        <v>94011</v>
      </c>
      <c r="D61" t="s">
        <v>203</v>
      </c>
    </row>
    <row r="62" spans="1:4" x14ac:dyDescent="0.25">
      <c r="A62" t="s">
        <v>172</v>
      </c>
      <c r="B62" t="s">
        <v>198</v>
      </c>
      <c r="C62" s="286">
        <v>94060</v>
      </c>
      <c r="D62" t="s">
        <v>203</v>
      </c>
    </row>
    <row r="63" spans="1:4" x14ac:dyDescent="0.25">
      <c r="A63" t="s">
        <v>172</v>
      </c>
      <c r="B63" t="s">
        <v>198</v>
      </c>
      <c r="C63" s="286">
        <v>94729</v>
      </c>
      <c r="D63" t="s">
        <v>203</v>
      </c>
    </row>
    <row r="64" spans="1:4" x14ac:dyDescent="0.25">
      <c r="A64" t="s">
        <v>172</v>
      </c>
      <c r="B64" t="s">
        <v>198</v>
      </c>
      <c r="C64" s="286">
        <v>94726</v>
      </c>
      <c r="D64" t="s">
        <v>203</v>
      </c>
    </row>
    <row r="65" spans="1:4" x14ac:dyDescent="0.25">
      <c r="A65" t="s">
        <v>172</v>
      </c>
      <c r="B65" t="s">
        <v>199</v>
      </c>
      <c r="C65" s="287">
        <v>94060.2</v>
      </c>
      <c r="D65" t="s">
        <v>205</v>
      </c>
    </row>
    <row r="66" spans="1:4" x14ac:dyDescent="0.25">
      <c r="A66" t="s">
        <v>172</v>
      </c>
      <c r="B66" t="s">
        <v>199</v>
      </c>
      <c r="C66" s="287">
        <v>94729.2</v>
      </c>
      <c r="D66" t="s">
        <v>205</v>
      </c>
    </row>
    <row r="67" spans="1:4" x14ac:dyDescent="0.25">
      <c r="A67" t="s">
        <v>172</v>
      </c>
      <c r="B67" t="s">
        <v>199</v>
      </c>
      <c r="C67" s="287">
        <v>94726.2</v>
      </c>
      <c r="D67" t="s">
        <v>205</v>
      </c>
    </row>
    <row r="68" spans="1:4" x14ac:dyDescent="0.25">
      <c r="A68" t="s">
        <v>173</v>
      </c>
      <c r="B68" t="s">
        <v>198</v>
      </c>
      <c r="C68" s="286">
        <v>80197</v>
      </c>
      <c r="D68" t="s">
        <v>203</v>
      </c>
    </row>
    <row r="69" spans="1:4" x14ac:dyDescent="0.25">
      <c r="A69" t="s">
        <v>173</v>
      </c>
      <c r="B69" t="s">
        <v>199</v>
      </c>
      <c r="C69" s="286">
        <v>80197</v>
      </c>
      <c r="D69" t="s">
        <v>203</v>
      </c>
    </row>
    <row r="70" spans="1:4" x14ac:dyDescent="0.25">
      <c r="A70" t="s">
        <v>174</v>
      </c>
      <c r="B70" t="s">
        <v>198</v>
      </c>
      <c r="C70" s="286">
        <v>80053</v>
      </c>
      <c r="D70" t="s">
        <v>203</v>
      </c>
    </row>
    <row r="71" spans="1:4" x14ac:dyDescent="0.25">
      <c r="A71" t="s">
        <v>174</v>
      </c>
      <c r="B71" t="s">
        <v>199</v>
      </c>
      <c r="C71" s="286">
        <v>80053</v>
      </c>
      <c r="D71" t="s">
        <v>203</v>
      </c>
    </row>
    <row r="72" spans="1:4" x14ac:dyDescent="0.25">
      <c r="A72" t="s">
        <v>238</v>
      </c>
      <c r="B72" t="s">
        <v>198</v>
      </c>
      <c r="C72" s="286">
        <v>85025</v>
      </c>
      <c r="D72" t="s">
        <v>203</v>
      </c>
    </row>
    <row r="73" spans="1:4" x14ac:dyDescent="0.25">
      <c r="A73" t="s">
        <v>238</v>
      </c>
      <c r="B73" t="s">
        <v>199</v>
      </c>
      <c r="C73" s="286">
        <v>85025</v>
      </c>
      <c r="D73" t="s">
        <v>203</v>
      </c>
    </row>
    <row r="74" spans="1:4" x14ac:dyDescent="0.25">
      <c r="A74" t="s">
        <v>175</v>
      </c>
      <c r="B74" t="s">
        <v>198</v>
      </c>
      <c r="C74" s="286">
        <v>71250</v>
      </c>
      <c r="D74" t="s">
        <v>203</v>
      </c>
    </row>
    <row r="75" spans="1:4" x14ac:dyDescent="0.25">
      <c r="A75" t="s">
        <v>175</v>
      </c>
      <c r="B75" t="s">
        <v>199</v>
      </c>
      <c r="C75" s="287">
        <v>71250.2</v>
      </c>
      <c r="D75" t="s">
        <v>205</v>
      </c>
    </row>
    <row r="76" spans="1:4" x14ac:dyDescent="0.25">
      <c r="A76" t="s">
        <v>176</v>
      </c>
      <c r="B76" t="s">
        <v>198</v>
      </c>
      <c r="C76" s="286">
        <v>80197</v>
      </c>
      <c r="D76" t="s">
        <v>203</v>
      </c>
    </row>
    <row r="77" spans="1:4" x14ac:dyDescent="0.25">
      <c r="A77" t="s">
        <v>176</v>
      </c>
      <c r="B77" t="s">
        <v>199</v>
      </c>
      <c r="C77" s="286">
        <v>80197</v>
      </c>
      <c r="D77" t="s">
        <v>203</v>
      </c>
    </row>
    <row r="78" spans="1:4" x14ac:dyDescent="0.25">
      <c r="A78" t="s">
        <v>239</v>
      </c>
      <c r="B78" t="s">
        <v>198</v>
      </c>
      <c r="C78" s="286">
        <v>87497</v>
      </c>
      <c r="D78" t="s">
        <v>203</v>
      </c>
    </row>
    <row r="79" spans="1:4" x14ac:dyDescent="0.25">
      <c r="A79" t="s">
        <v>239</v>
      </c>
      <c r="B79" t="s">
        <v>199</v>
      </c>
      <c r="C79" s="286">
        <v>87497</v>
      </c>
      <c r="D79" t="s">
        <v>203</v>
      </c>
    </row>
    <row r="80" spans="1:4" x14ac:dyDescent="0.25">
      <c r="A80" t="s">
        <v>177</v>
      </c>
      <c r="B80" t="s">
        <v>198</v>
      </c>
      <c r="C80" s="286">
        <v>8</v>
      </c>
      <c r="D80" t="s">
        <v>252</v>
      </c>
    </row>
    <row r="81" spans="1:4" x14ac:dyDescent="0.25">
      <c r="A81" t="s">
        <v>177</v>
      </c>
      <c r="B81" t="s">
        <v>199</v>
      </c>
      <c r="C81" s="286">
        <v>8</v>
      </c>
      <c r="D81" t="s">
        <v>252</v>
      </c>
    </row>
    <row r="82" spans="1:4" x14ac:dyDescent="0.25">
      <c r="A82" t="s">
        <v>240</v>
      </c>
      <c r="B82" t="s">
        <v>198</v>
      </c>
      <c r="C82" s="286">
        <v>86832</v>
      </c>
      <c r="D82" t="s">
        <v>203</v>
      </c>
    </row>
    <row r="83" spans="1:4" x14ac:dyDescent="0.25">
      <c r="A83" t="s">
        <v>240</v>
      </c>
      <c r="B83" t="s">
        <v>199</v>
      </c>
      <c r="C83" s="286">
        <v>86832</v>
      </c>
      <c r="D83" t="s">
        <v>203</v>
      </c>
    </row>
    <row r="84" spans="1:4" x14ac:dyDescent="0.25">
      <c r="A84" t="s">
        <v>179</v>
      </c>
      <c r="B84" t="s">
        <v>198</v>
      </c>
      <c r="C84" s="286">
        <v>90480</v>
      </c>
      <c r="D84" t="s">
        <v>203</v>
      </c>
    </row>
    <row r="85" spans="1:4" x14ac:dyDescent="0.25">
      <c r="A85" t="s">
        <v>179</v>
      </c>
      <c r="B85" t="s">
        <v>199</v>
      </c>
      <c r="C85" s="286">
        <v>90480</v>
      </c>
      <c r="D85" t="s">
        <v>203</v>
      </c>
    </row>
    <row r="86" spans="1:4" x14ac:dyDescent="0.25">
      <c r="A86" t="s">
        <v>263</v>
      </c>
      <c r="B86" t="s">
        <v>198</v>
      </c>
      <c r="C86" s="286">
        <v>96365</v>
      </c>
      <c r="D86" t="s">
        <v>203</v>
      </c>
    </row>
    <row r="87" spans="1:4" x14ac:dyDescent="0.25">
      <c r="A87" t="s">
        <v>263</v>
      </c>
      <c r="B87" t="s">
        <v>198</v>
      </c>
      <c r="C87" s="270" t="s">
        <v>188</v>
      </c>
      <c r="D87" t="s">
        <v>264</v>
      </c>
    </row>
    <row r="88" spans="1:4" x14ac:dyDescent="0.25">
      <c r="A88" t="s">
        <v>263</v>
      </c>
      <c r="B88" t="s">
        <v>198</v>
      </c>
      <c r="C88" s="287">
        <v>96365.2</v>
      </c>
      <c r="D88" t="s">
        <v>205</v>
      </c>
    </row>
    <row r="89" spans="1:4" x14ac:dyDescent="0.25">
      <c r="A89" t="s">
        <v>263</v>
      </c>
      <c r="B89" t="s">
        <v>199</v>
      </c>
      <c r="C89" s="286">
        <v>96365</v>
      </c>
      <c r="D89" t="s">
        <v>203</v>
      </c>
    </row>
    <row r="90" spans="1:4" x14ac:dyDescent="0.25">
      <c r="A90" t="s">
        <v>263</v>
      </c>
      <c r="B90" t="s">
        <v>199</v>
      </c>
      <c r="C90" s="270" t="s">
        <v>188</v>
      </c>
      <c r="D90" t="s">
        <v>264</v>
      </c>
    </row>
    <row r="91" spans="1:4" x14ac:dyDescent="0.25">
      <c r="A91" t="s">
        <v>263</v>
      </c>
      <c r="B91" t="s">
        <v>199</v>
      </c>
      <c r="C91" s="287">
        <v>96365.2</v>
      </c>
      <c r="D91" t="s">
        <v>205</v>
      </c>
    </row>
    <row r="92" spans="1:4" x14ac:dyDescent="0.25">
      <c r="C92" s="286"/>
    </row>
    <row r="93" spans="1:4" x14ac:dyDescent="0.25">
      <c r="C93" s="286"/>
    </row>
    <row r="94" spans="1:4" x14ac:dyDescent="0.25">
      <c r="C94" s="286"/>
    </row>
    <row r="95" spans="1:4" x14ac:dyDescent="0.25">
      <c r="C95" s="286"/>
    </row>
    <row r="96" spans="1:4" x14ac:dyDescent="0.25">
      <c r="C96" s="286"/>
    </row>
    <row r="97" spans="1:3" x14ac:dyDescent="0.25">
      <c r="C97" s="286"/>
    </row>
    <row r="98" spans="1:3" x14ac:dyDescent="0.25">
      <c r="C98" s="286"/>
    </row>
    <row r="99" spans="1:3" x14ac:dyDescent="0.25">
      <c r="C99" s="286"/>
    </row>
    <row r="100" spans="1:3" x14ac:dyDescent="0.25">
      <c r="C100" s="286"/>
    </row>
    <row r="101" spans="1:3" x14ac:dyDescent="0.25">
      <c r="C101" s="286"/>
    </row>
    <row r="102" spans="1:3" x14ac:dyDescent="0.25">
      <c r="C102" s="286"/>
    </row>
    <row r="103" spans="1:3" x14ac:dyDescent="0.25">
      <c r="C103" s="286"/>
    </row>
    <row r="104" spans="1:3" x14ac:dyDescent="0.25">
      <c r="C104" s="286"/>
    </row>
    <row r="105" spans="1:3" x14ac:dyDescent="0.25">
      <c r="A105" t="s">
        <v>186</v>
      </c>
      <c r="C105" s="286"/>
    </row>
    <row r="106" spans="1:3" x14ac:dyDescent="0.25">
      <c r="A106" t="s">
        <v>187</v>
      </c>
      <c r="C106" s="286"/>
    </row>
    <row r="107" spans="1:3" x14ac:dyDescent="0.25">
      <c r="C107" s="286"/>
    </row>
    <row r="108" spans="1:3" x14ac:dyDescent="0.25">
      <c r="C108" s="286"/>
    </row>
    <row r="109" spans="1:3" x14ac:dyDescent="0.25">
      <c r="C109" s="286"/>
    </row>
    <row r="110" spans="1:3" x14ac:dyDescent="0.25">
      <c r="C110" s="286"/>
    </row>
    <row r="111" spans="1:3" x14ac:dyDescent="0.25">
      <c r="C111" s="286"/>
    </row>
    <row r="112" spans="1:3" x14ac:dyDescent="0.25">
      <c r="C112" s="286"/>
    </row>
    <row r="113" spans="3:3" x14ac:dyDescent="0.25">
      <c r="C113" s="286"/>
    </row>
    <row r="114" spans="3:3" x14ac:dyDescent="0.25">
      <c r="C114" s="286"/>
    </row>
    <row r="115" spans="3:3" x14ac:dyDescent="0.25">
      <c r="C115" s="286"/>
    </row>
    <row r="116" spans="3:3" x14ac:dyDescent="0.25">
      <c r="C116" s="286"/>
    </row>
    <row r="117" spans="3:3" x14ac:dyDescent="0.25">
      <c r="C117" s="286"/>
    </row>
    <row r="118" spans="3:3" x14ac:dyDescent="0.25">
      <c r="C118" s="286"/>
    </row>
    <row r="119" spans="3:3" x14ac:dyDescent="0.25">
      <c r="C119" s="286"/>
    </row>
    <row r="120" spans="3:3" x14ac:dyDescent="0.25">
      <c r="C120" s="286"/>
    </row>
    <row r="121" spans="3:3" x14ac:dyDescent="0.25">
      <c r="C121" s="286"/>
    </row>
    <row r="122" spans="3:3" x14ac:dyDescent="0.25">
      <c r="C122" s="286"/>
    </row>
    <row r="123" spans="3:3" x14ac:dyDescent="0.25">
      <c r="C123" s="286"/>
    </row>
    <row r="124" spans="3:3" x14ac:dyDescent="0.25">
      <c r="C124" s="286"/>
    </row>
    <row r="125" spans="3:3" x14ac:dyDescent="0.25">
      <c r="C125" s="286"/>
    </row>
    <row r="126" spans="3:3" x14ac:dyDescent="0.25">
      <c r="C126" s="286"/>
    </row>
    <row r="127" spans="3:3" x14ac:dyDescent="0.25">
      <c r="C127" s="286"/>
    </row>
    <row r="128" spans="3:3" x14ac:dyDescent="0.25">
      <c r="C128" s="286"/>
    </row>
    <row r="129" spans="3:3" x14ac:dyDescent="0.25">
      <c r="C129" s="286"/>
    </row>
    <row r="130" spans="3:3" x14ac:dyDescent="0.25">
      <c r="C130" s="286"/>
    </row>
    <row r="131" spans="3:3" x14ac:dyDescent="0.25">
      <c r="C131" s="286"/>
    </row>
    <row r="132" spans="3:3" x14ac:dyDescent="0.25">
      <c r="C132" s="286"/>
    </row>
    <row r="133" spans="3:3" x14ac:dyDescent="0.25">
      <c r="C133" s="286"/>
    </row>
    <row r="134" spans="3:3" x14ac:dyDescent="0.25">
      <c r="C134" s="286"/>
    </row>
    <row r="135" spans="3:3" x14ac:dyDescent="0.25">
      <c r="C135" s="286"/>
    </row>
    <row r="136" spans="3:3" x14ac:dyDescent="0.25">
      <c r="C136" s="286"/>
    </row>
    <row r="137" spans="3:3" x14ac:dyDescent="0.25">
      <c r="C137" s="286"/>
    </row>
    <row r="138" spans="3:3" x14ac:dyDescent="0.25">
      <c r="C138" s="286"/>
    </row>
    <row r="139" spans="3:3" x14ac:dyDescent="0.25">
      <c r="C139" s="286"/>
    </row>
    <row r="140" spans="3:3" x14ac:dyDescent="0.25">
      <c r="C140" s="286"/>
    </row>
    <row r="141" spans="3:3" x14ac:dyDescent="0.25">
      <c r="C141" s="286"/>
    </row>
    <row r="142" spans="3:3" x14ac:dyDescent="0.25">
      <c r="C142" s="286"/>
    </row>
    <row r="143" spans="3:3" x14ac:dyDescent="0.25">
      <c r="C143" s="286"/>
    </row>
    <row r="144" spans="3:3" x14ac:dyDescent="0.25">
      <c r="C144" s="286"/>
    </row>
    <row r="145" spans="3:3" x14ac:dyDescent="0.25">
      <c r="C145" s="286"/>
    </row>
    <row r="146" spans="3:3" x14ac:dyDescent="0.25">
      <c r="C146" s="286"/>
    </row>
    <row r="147" spans="3:3" x14ac:dyDescent="0.25">
      <c r="C147" s="286"/>
    </row>
    <row r="148" spans="3:3" x14ac:dyDescent="0.25">
      <c r="C148" s="286"/>
    </row>
    <row r="149" spans="3:3" x14ac:dyDescent="0.25">
      <c r="C149" s="286"/>
    </row>
    <row r="150" spans="3:3" x14ac:dyDescent="0.25">
      <c r="C150" s="286"/>
    </row>
    <row r="151" spans="3:3" x14ac:dyDescent="0.25">
      <c r="C151" s="286"/>
    </row>
    <row r="152" spans="3:3" x14ac:dyDescent="0.25">
      <c r="C152" s="286"/>
    </row>
    <row r="153" spans="3:3" x14ac:dyDescent="0.25">
      <c r="C153" s="286"/>
    </row>
    <row r="154" spans="3:3" x14ac:dyDescent="0.25">
      <c r="C154" s="286"/>
    </row>
    <row r="155" spans="3:3" x14ac:dyDescent="0.25">
      <c r="C155" s="286"/>
    </row>
    <row r="156" spans="3:3" x14ac:dyDescent="0.25">
      <c r="C156" s="286"/>
    </row>
    <row r="157" spans="3:3" x14ac:dyDescent="0.25">
      <c r="C157" s="286"/>
    </row>
    <row r="158" spans="3:3" x14ac:dyDescent="0.25">
      <c r="C158" s="286"/>
    </row>
    <row r="159" spans="3:3" x14ac:dyDescent="0.25">
      <c r="C159" s="286"/>
    </row>
    <row r="160" spans="3:3" x14ac:dyDescent="0.25">
      <c r="C160" s="286"/>
    </row>
    <row r="161" spans="3:3" x14ac:dyDescent="0.25">
      <c r="C161" s="286"/>
    </row>
    <row r="162" spans="3:3" x14ac:dyDescent="0.25">
      <c r="C162" s="286"/>
    </row>
    <row r="163" spans="3:3" x14ac:dyDescent="0.25">
      <c r="C163" s="286"/>
    </row>
    <row r="164" spans="3:3" x14ac:dyDescent="0.25">
      <c r="C164" s="286"/>
    </row>
    <row r="165" spans="3:3" x14ac:dyDescent="0.25">
      <c r="C165" s="286"/>
    </row>
    <row r="166" spans="3:3" x14ac:dyDescent="0.25">
      <c r="C166" s="286"/>
    </row>
    <row r="167" spans="3:3" x14ac:dyDescent="0.25">
      <c r="C167" s="286"/>
    </row>
    <row r="168" spans="3:3" x14ac:dyDescent="0.25">
      <c r="C168" s="286"/>
    </row>
    <row r="169" spans="3:3" x14ac:dyDescent="0.25">
      <c r="C169" s="286"/>
    </row>
    <row r="170" spans="3:3" x14ac:dyDescent="0.25">
      <c r="C170" s="286"/>
    </row>
    <row r="171" spans="3:3" x14ac:dyDescent="0.25">
      <c r="C171" s="286"/>
    </row>
    <row r="172" spans="3:3" x14ac:dyDescent="0.25">
      <c r="C172" s="286"/>
    </row>
    <row r="173" spans="3:3" x14ac:dyDescent="0.25">
      <c r="C173" s="286"/>
    </row>
    <row r="174" spans="3:3" x14ac:dyDescent="0.25">
      <c r="C174" s="286"/>
    </row>
    <row r="175" spans="3:3" x14ac:dyDescent="0.25">
      <c r="C175" s="286"/>
    </row>
    <row r="176" spans="3:3" x14ac:dyDescent="0.25">
      <c r="C176" s="286"/>
    </row>
    <row r="177" spans="3:3" x14ac:dyDescent="0.25">
      <c r="C177" s="286"/>
    </row>
    <row r="178" spans="3:3" x14ac:dyDescent="0.25">
      <c r="C178" s="286"/>
    </row>
    <row r="179" spans="3:3" x14ac:dyDescent="0.25">
      <c r="C179" s="286"/>
    </row>
    <row r="180" spans="3:3" x14ac:dyDescent="0.25">
      <c r="C180" s="286"/>
    </row>
    <row r="181" spans="3:3" x14ac:dyDescent="0.25">
      <c r="C181" s="286"/>
    </row>
    <row r="182" spans="3:3" x14ac:dyDescent="0.25">
      <c r="C182" s="286"/>
    </row>
    <row r="183" spans="3:3" x14ac:dyDescent="0.25">
      <c r="C183" s="286"/>
    </row>
    <row r="184" spans="3:3" x14ac:dyDescent="0.25">
      <c r="C184" s="286"/>
    </row>
    <row r="185" spans="3:3" x14ac:dyDescent="0.25">
      <c r="C185" s="286"/>
    </row>
    <row r="186" spans="3:3" x14ac:dyDescent="0.25">
      <c r="C186" s="286"/>
    </row>
    <row r="187" spans="3:3" x14ac:dyDescent="0.25">
      <c r="C187" s="286"/>
    </row>
    <row r="188" spans="3:3" x14ac:dyDescent="0.25">
      <c r="C188" s="286"/>
    </row>
    <row r="189" spans="3:3" x14ac:dyDescent="0.25">
      <c r="C189" s="286"/>
    </row>
    <row r="190" spans="3:3" x14ac:dyDescent="0.25">
      <c r="C190" s="286"/>
    </row>
    <row r="191" spans="3:3" x14ac:dyDescent="0.25">
      <c r="C191" s="286"/>
    </row>
    <row r="192" spans="3:3" x14ac:dyDescent="0.25">
      <c r="C192" s="286"/>
    </row>
    <row r="193" spans="3:3" x14ac:dyDescent="0.25">
      <c r="C193" s="286"/>
    </row>
    <row r="194" spans="3:3" x14ac:dyDescent="0.25">
      <c r="C194" s="286"/>
    </row>
    <row r="195" spans="3:3" x14ac:dyDescent="0.25">
      <c r="C195" s="286"/>
    </row>
    <row r="196" spans="3:3" x14ac:dyDescent="0.25">
      <c r="C196" s="286"/>
    </row>
    <row r="197" spans="3:3" x14ac:dyDescent="0.25">
      <c r="C197" s="286"/>
    </row>
    <row r="198" spans="3:3" x14ac:dyDescent="0.25">
      <c r="C198" s="286"/>
    </row>
    <row r="199" spans="3:3" x14ac:dyDescent="0.25">
      <c r="C199" s="286"/>
    </row>
    <row r="200" spans="3:3" x14ac:dyDescent="0.25">
      <c r="C200" s="286"/>
    </row>
    <row r="201" spans="3:3" x14ac:dyDescent="0.25">
      <c r="C201" s="286"/>
    </row>
    <row r="202" spans="3:3" x14ac:dyDescent="0.25">
      <c r="C202" s="286"/>
    </row>
    <row r="203" spans="3:3" x14ac:dyDescent="0.25">
      <c r="C203" s="286"/>
    </row>
    <row r="204" spans="3:3" x14ac:dyDescent="0.25">
      <c r="C204" s="286"/>
    </row>
    <row r="205" spans="3:3" x14ac:dyDescent="0.25">
      <c r="C205" s="286"/>
    </row>
    <row r="206" spans="3:3" x14ac:dyDescent="0.25">
      <c r="C206" s="286"/>
    </row>
    <row r="207" spans="3:3" x14ac:dyDescent="0.25">
      <c r="C207" s="286"/>
    </row>
    <row r="208" spans="3:3" x14ac:dyDescent="0.25">
      <c r="C208" s="286"/>
    </row>
    <row r="209" spans="3:3" x14ac:dyDescent="0.25">
      <c r="C209" s="286"/>
    </row>
    <row r="210" spans="3:3" x14ac:dyDescent="0.25">
      <c r="C210" s="286"/>
    </row>
    <row r="211" spans="3:3" x14ac:dyDescent="0.25">
      <c r="C211" s="286"/>
    </row>
    <row r="212" spans="3:3" x14ac:dyDescent="0.25">
      <c r="C212" s="286"/>
    </row>
    <row r="213" spans="3:3" x14ac:dyDescent="0.25">
      <c r="C213" s="286"/>
    </row>
    <row r="214" spans="3:3" x14ac:dyDescent="0.25">
      <c r="C214" s="286"/>
    </row>
    <row r="215" spans="3:3" x14ac:dyDescent="0.25">
      <c r="C215" s="286"/>
    </row>
    <row r="216" spans="3:3" x14ac:dyDescent="0.25">
      <c r="C216" s="286"/>
    </row>
    <row r="217" spans="3:3" x14ac:dyDescent="0.25">
      <c r="C217" s="286"/>
    </row>
    <row r="218" spans="3:3" x14ac:dyDescent="0.25">
      <c r="C218" s="286"/>
    </row>
    <row r="219" spans="3:3" x14ac:dyDescent="0.25">
      <c r="C219" s="286"/>
    </row>
    <row r="220" spans="3:3" x14ac:dyDescent="0.25">
      <c r="C220" s="286"/>
    </row>
    <row r="221" spans="3:3" x14ac:dyDescent="0.25">
      <c r="C221" s="286"/>
    </row>
    <row r="222" spans="3:3" x14ac:dyDescent="0.25">
      <c r="C222" s="286"/>
    </row>
    <row r="223" spans="3:3" x14ac:dyDescent="0.25">
      <c r="C223" s="286"/>
    </row>
    <row r="224" spans="3:3" x14ac:dyDescent="0.25">
      <c r="C224" s="286"/>
    </row>
    <row r="225" spans="3:3" x14ac:dyDescent="0.25">
      <c r="C225" s="286"/>
    </row>
    <row r="226" spans="3:3" x14ac:dyDescent="0.25">
      <c r="C226" s="286"/>
    </row>
    <row r="227" spans="3:3" x14ac:dyDescent="0.25">
      <c r="C227" s="286"/>
    </row>
    <row r="228" spans="3:3" x14ac:dyDescent="0.25">
      <c r="C228" s="286"/>
    </row>
    <row r="229" spans="3:3" x14ac:dyDescent="0.25">
      <c r="C229" s="286"/>
    </row>
    <row r="230" spans="3:3" x14ac:dyDescent="0.25">
      <c r="C230" s="286"/>
    </row>
    <row r="231" spans="3:3" x14ac:dyDescent="0.25">
      <c r="C231" s="286"/>
    </row>
    <row r="232" spans="3:3" x14ac:dyDescent="0.25">
      <c r="C232" s="286"/>
    </row>
    <row r="233" spans="3:3" x14ac:dyDescent="0.25">
      <c r="C233" s="286"/>
    </row>
    <row r="234" spans="3:3" x14ac:dyDescent="0.25">
      <c r="C234" s="286"/>
    </row>
    <row r="235" spans="3:3" x14ac:dyDescent="0.25">
      <c r="C235" s="286"/>
    </row>
    <row r="236" spans="3:3" x14ac:dyDescent="0.25">
      <c r="C236" s="286"/>
    </row>
    <row r="237" spans="3:3" x14ac:dyDescent="0.25">
      <c r="C237" s="286"/>
    </row>
    <row r="238" spans="3:3" x14ac:dyDescent="0.25">
      <c r="C238" s="286"/>
    </row>
    <row r="239" spans="3:3" x14ac:dyDescent="0.25">
      <c r="C239" s="286"/>
    </row>
    <row r="240" spans="3:3" x14ac:dyDescent="0.25">
      <c r="C240" s="286"/>
    </row>
    <row r="241" spans="3:3" x14ac:dyDescent="0.25">
      <c r="C241" s="286"/>
    </row>
    <row r="242" spans="3:3" x14ac:dyDescent="0.25">
      <c r="C242" s="286"/>
    </row>
    <row r="243" spans="3:3" x14ac:dyDescent="0.25">
      <c r="C243" s="286"/>
    </row>
    <row r="244" spans="3:3" x14ac:dyDescent="0.25">
      <c r="C244" s="286"/>
    </row>
    <row r="245" spans="3:3" x14ac:dyDescent="0.25">
      <c r="C245" s="286"/>
    </row>
    <row r="246" spans="3:3" x14ac:dyDescent="0.25">
      <c r="C246" s="286"/>
    </row>
    <row r="247" spans="3:3" x14ac:dyDescent="0.25">
      <c r="C247" s="286"/>
    </row>
    <row r="248" spans="3:3" x14ac:dyDescent="0.25">
      <c r="C248" s="286"/>
    </row>
    <row r="249" spans="3:3" x14ac:dyDescent="0.25">
      <c r="C249" s="286"/>
    </row>
    <row r="250" spans="3:3" x14ac:dyDescent="0.25">
      <c r="C250" s="286"/>
    </row>
    <row r="251" spans="3:3" x14ac:dyDescent="0.25">
      <c r="C251" s="286"/>
    </row>
    <row r="252" spans="3:3" x14ac:dyDescent="0.25">
      <c r="C252" s="286"/>
    </row>
    <row r="253" spans="3:3" x14ac:dyDescent="0.25">
      <c r="C253" s="286"/>
    </row>
    <row r="254" spans="3:3" x14ac:dyDescent="0.25">
      <c r="C254" s="286"/>
    </row>
    <row r="255" spans="3:3" x14ac:dyDescent="0.25">
      <c r="C255" s="286"/>
    </row>
    <row r="256" spans="3:3" x14ac:dyDescent="0.25">
      <c r="C256" s="286"/>
    </row>
    <row r="257" spans="3:3" x14ac:dyDescent="0.25">
      <c r="C257" s="286"/>
    </row>
    <row r="258" spans="3:3" x14ac:dyDescent="0.25">
      <c r="C258" s="286"/>
    </row>
    <row r="259" spans="3:3" x14ac:dyDescent="0.25">
      <c r="C259" s="286"/>
    </row>
    <row r="260" spans="3:3" x14ac:dyDescent="0.25">
      <c r="C260" s="286"/>
    </row>
    <row r="261" spans="3:3" x14ac:dyDescent="0.25">
      <c r="C261" s="286"/>
    </row>
    <row r="262" spans="3:3" x14ac:dyDescent="0.25">
      <c r="C262" s="286"/>
    </row>
    <row r="263" spans="3:3" x14ac:dyDescent="0.25">
      <c r="C263" s="286"/>
    </row>
    <row r="264" spans="3:3" x14ac:dyDescent="0.25">
      <c r="C264" s="286"/>
    </row>
    <row r="265" spans="3:3" x14ac:dyDescent="0.25">
      <c r="C265" s="286"/>
    </row>
    <row r="266" spans="3:3" x14ac:dyDescent="0.25">
      <c r="C266" s="286"/>
    </row>
    <row r="267" spans="3:3" x14ac:dyDescent="0.25">
      <c r="C267" s="286"/>
    </row>
    <row r="268" spans="3:3" x14ac:dyDescent="0.25">
      <c r="C268" s="286"/>
    </row>
    <row r="269" spans="3:3" x14ac:dyDescent="0.25">
      <c r="C269" s="286"/>
    </row>
    <row r="270" spans="3:3" x14ac:dyDescent="0.25">
      <c r="C270" s="286"/>
    </row>
    <row r="271" spans="3:3" x14ac:dyDescent="0.25">
      <c r="C271" s="286"/>
    </row>
    <row r="272" spans="3:3" x14ac:dyDescent="0.25">
      <c r="C272" s="286"/>
    </row>
    <row r="273" spans="3:3" x14ac:dyDescent="0.25">
      <c r="C273" s="286"/>
    </row>
    <row r="274" spans="3:3" x14ac:dyDescent="0.25">
      <c r="C274" s="286"/>
    </row>
    <row r="275" spans="3:3" x14ac:dyDescent="0.25">
      <c r="C275" s="286"/>
    </row>
    <row r="276" spans="3:3" x14ac:dyDescent="0.25">
      <c r="C276" s="286"/>
    </row>
    <row r="277" spans="3:3" x14ac:dyDescent="0.25">
      <c r="C277" s="286"/>
    </row>
    <row r="278" spans="3:3" x14ac:dyDescent="0.25">
      <c r="C278" s="286"/>
    </row>
    <row r="279" spans="3:3" x14ac:dyDescent="0.25">
      <c r="C279" s="286"/>
    </row>
    <row r="280" spans="3:3" x14ac:dyDescent="0.25">
      <c r="C280" s="286"/>
    </row>
    <row r="281" spans="3:3" x14ac:dyDescent="0.25">
      <c r="C281" s="286"/>
    </row>
    <row r="282" spans="3:3" x14ac:dyDescent="0.25">
      <c r="C282" s="286"/>
    </row>
    <row r="283" spans="3:3" x14ac:dyDescent="0.25">
      <c r="C283" s="286"/>
    </row>
    <row r="284" spans="3:3" x14ac:dyDescent="0.25">
      <c r="C284" s="286"/>
    </row>
    <row r="285" spans="3:3" x14ac:dyDescent="0.25">
      <c r="C285" s="286"/>
    </row>
    <row r="286" spans="3:3" x14ac:dyDescent="0.25">
      <c r="C286" s="286"/>
    </row>
    <row r="287" spans="3:3" x14ac:dyDescent="0.25">
      <c r="C287" s="286"/>
    </row>
    <row r="288" spans="3:3" x14ac:dyDescent="0.25">
      <c r="C288" s="286"/>
    </row>
    <row r="289" spans="3:3" x14ac:dyDescent="0.25">
      <c r="C289" s="286"/>
    </row>
    <row r="290" spans="3:3" x14ac:dyDescent="0.25">
      <c r="C290" s="286"/>
    </row>
    <row r="291" spans="3:3" x14ac:dyDescent="0.25">
      <c r="C291" s="286"/>
    </row>
    <row r="292" spans="3:3" x14ac:dyDescent="0.25">
      <c r="C292" s="286"/>
    </row>
    <row r="293" spans="3:3" x14ac:dyDescent="0.25">
      <c r="C293" s="286"/>
    </row>
    <row r="294" spans="3:3" x14ac:dyDescent="0.25">
      <c r="C294" s="286"/>
    </row>
    <row r="295" spans="3:3" x14ac:dyDescent="0.25">
      <c r="C295" s="286"/>
    </row>
    <row r="296" spans="3:3" x14ac:dyDescent="0.25">
      <c r="C296" s="286"/>
    </row>
    <row r="297" spans="3:3" x14ac:dyDescent="0.25">
      <c r="C297" s="286"/>
    </row>
    <row r="298" spans="3:3" x14ac:dyDescent="0.25">
      <c r="C298" s="286"/>
    </row>
    <row r="299" spans="3:3" x14ac:dyDescent="0.25">
      <c r="C299" s="286"/>
    </row>
    <row r="300" spans="3:3" x14ac:dyDescent="0.25">
      <c r="C300" s="286"/>
    </row>
    <row r="301" spans="3:3" x14ac:dyDescent="0.25">
      <c r="C301" s="286"/>
    </row>
    <row r="302" spans="3:3" x14ac:dyDescent="0.25">
      <c r="C302" s="286"/>
    </row>
    <row r="303" spans="3:3" x14ac:dyDescent="0.25">
      <c r="C303" s="286"/>
    </row>
    <row r="304" spans="3:3" x14ac:dyDescent="0.25">
      <c r="C304" s="286"/>
    </row>
    <row r="305" spans="3:3" x14ac:dyDescent="0.25">
      <c r="C305" s="286"/>
    </row>
    <row r="306" spans="3:3" x14ac:dyDescent="0.25">
      <c r="C306" s="286"/>
    </row>
    <row r="307" spans="3:3" x14ac:dyDescent="0.25">
      <c r="C307" s="286"/>
    </row>
    <row r="308" spans="3:3" x14ac:dyDescent="0.25">
      <c r="C308" s="286"/>
    </row>
    <row r="309" spans="3:3" x14ac:dyDescent="0.25">
      <c r="C309" s="286"/>
    </row>
    <row r="310" spans="3:3" x14ac:dyDescent="0.25">
      <c r="C310" s="286"/>
    </row>
    <row r="311" spans="3:3" x14ac:dyDescent="0.25">
      <c r="C311" s="286"/>
    </row>
    <row r="312" spans="3:3" x14ac:dyDescent="0.25">
      <c r="C312" s="286"/>
    </row>
    <row r="313" spans="3:3" x14ac:dyDescent="0.25">
      <c r="C313" s="286"/>
    </row>
    <row r="314" spans="3:3" x14ac:dyDescent="0.25">
      <c r="C314" s="286"/>
    </row>
    <row r="315" spans="3:3" x14ac:dyDescent="0.25">
      <c r="C315" s="286"/>
    </row>
    <row r="316" spans="3:3" x14ac:dyDescent="0.25">
      <c r="C316" s="286"/>
    </row>
    <row r="317" spans="3:3" x14ac:dyDescent="0.25">
      <c r="C317" s="286"/>
    </row>
    <row r="318" spans="3:3" x14ac:dyDescent="0.25">
      <c r="C318" s="286"/>
    </row>
    <row r="319" spans="3:3" x14ac:dyDescent="0.25">
      <c r="C319" s="286"/>
    </row>
    <row r="320" spans="3:3" x14ac:dyDescent="0.25">
      <c r="C320" s="286"/>
    </row>
    <row r="321" spans="3:3" x14ac:dyDescent="0.25">
      <c r="C321" s="286"/>
    </row>
    <row r="322" spans="3:3" x14ac:dyDescent="0.25">
      <c r="C322" s="286"/>
    </row>
    <row r="323" spans="3:3" x14ac:dyDescent="0.25">
      <c r="C323" s="286"/>
    </row>
    <row r="324" spans="3:3" x14ac:dyDescent="0.25">
      <c r="C324" s="286"/>
    </row>
    <row r="325" spans="3:3" x14ac:dyDescent="0.25">
      <c r="C325" s="286"/>
    </row>
    <row r="326" spans="3:3" x14ac:dyDescent="0.25">
      <c r="C326" s="286"/>
    </row>
    <row r="327" spans="3:3" x14ac:dyDescent="0.25">
      <c r="C327" s="286"/>
    </row>
    <row r="328" spans="3:3" x14ac:dyDescent="0.25">
      <c r="C328" s="286"/>
    </row>
    <row r="329" spans="3:3" x14ac:dyDescent="0.25">
      <c r="C329" s="286"/>
    </row>
    <row r="330" spans="3:3" x14ac:dyDescent="0.25">
      <c r="C330" s="286"/>
    </row>
    <row r="331" spans="3:3" x14ac:dyDescent="0.25">
      <c r="C331" s="286"/>
    </row>
    <row r="332" spans="3:3" x14ac:dyDescent="0.25">
      <c r="C332" s="286"/>
    </row>
    <row r="333" spans="3:3" x14ac:dyDescent="0.25">
      <c r="C333" s="286"/>
    </row>
    <row r="334" spans="3:3" x14ac:dyDescent="0.25">
      <c r="C334" s="286"/>
    </row>
    <row r="335" spans="3:3" x14ac:dyDescent="0.25">
      <c r="C335" s="286"/>
    </row>
    <row r="336" spans="3:3" x14ac:dyDescent="0.25">
      <c r="C336" s="286"/>
    </row>
    <row r="337" spans="3:3" x14ac:dyDescent="0.25">
      <c r="C337" s="286"/>
    </row>
    <row r="338" spans="3:3" x14ac:dyDescent="0.25">
      <c r="C338" s="286"/>
    </row>
    <row r="339" spans="3:3" x14ac:dyDescent="0.25">
      <c r="C339" s="286"/>
    </row>
    <row r="340" spans="3:3" x14ac:dyDescent="0.25">
      <c r="C340" s="286"/>
    </row>
    <row r="341" spans="3:3" x14ac:dyDescent="0.25">
      <c r="C341" s="286"/>
    </row>
    <row r="342" spans="3:3" x14ac:dyDescent="0.25">
      <c r="C342" s="286"/>
    </row>
    <row r="343" spans="3:3" x14ac:dyDescent="0.25">
      <c r="C343" s="286"/>
    </row>
    <row r="344" spans="3:3" x14ac:dyDescent="0.25">
      <c r="C344" s="286"/>
    </row>
    <row r="345" spans="3:3" x14ac:dyDescent="0.25">
      <c r="C345" s="286"/>
    </row>
    <row r="346" spans="3:3" x14ac:dyDescent="0.25">
      <c r="C346" s="286"/>
    </row>
    <row r="347" spans="3:3" x14ac:dyDescent="0.25">
      <c r="C347" s="286"/>
    </row>
    <row r="348" spans="3:3" x14ac:dyDescent="0.25">
      <c r="C348" s="286"/>
    </row>
    <row r="349" spans="3:3" x14ac:dyDescent="0.25">
      <c r="C349" s="286"/>
    </row>
    <row r="350" spans="3:3" x14ac:dyDescent="0.25">
      <c r="C350" s="286"/>
    </row>
    <row r="351" spans="3:3" x14ac:dyDescent="0.25">
      <c r="C351" s="286"/>
    </row>
    <row r="352" spans="3:3" x14ac:dyDescent="0.25">
      <c r="C352" s="286"/>
    </row>
    <row r="353" spans="3:3" x14ac:dyDescent="0.25">
      <c r="C353" s="286"/>
    </row>
    <row r="354" spans="3:3" x14ac:dyDescent="0.25">
      <c r="C354" s="286"/>
    </row>
    <row r="355" spans="3:3" x14ac:dyDescent="0.25">
      <c r="C355" s="286"/>
    </row>
    <row r="356" spans="3:3" x14ac:dyDescent="0.25">
      <c r="C356" s="286"/>
    </row>
    <row r="357" spans="3:3" x14ac:dyDescent="0.25">
      <c r="C357" s="286"/>
    </row>
    <row r="358" spans="3:3" x14ac:dyDescent="0.25">
      <c r="C358" s="286"/>
    </row>
    <row r="359" spans="3:3" x14ac:dyDescent="0.25">
      <c r="C359" s="286"/>
    </row>
    <row r="360" spans="3:3" x14ac:dyDescent="0.25">
      <c r="C360" s="286"/>
    </row>
    <row r="361" spans="3:3" x14ac:dyDescent="0.25">
      <c r="C361" s="286"/>
    </row>
    <row r="362" spans="3:3" x14ac:dyDescent="0.25">
      <c r="C362" s="286"/>
    </row>
    <row r="363" spans="3:3" x14ac:dyDescent="0.25">
      <c r="C363" s="286"/>
    </row>
    <row r="364" spans="3:3" x14ac:dyDescent="0.25">
      <c r="C364" s="286"/>
    </row>
    <row r="365" spans="3:3" x14ac:dyDescent="0.25">
      <c r="C365" s="286"/>
    </row>
    <row r="366" spans="3:3" x14ac:dyDescent="0.25">
      <c r="C366" s="286"/>
    </row>
    <row r="367" spans="3:3" x14ac:dyDescent="0.25">
      <c r="C367" s="286"/>
    </row>
    <row r="368" spans="3:3" x14ac:dyDescent="0.25">
      <c r="C368" s="286"/>
    </row>
    <row r="369" spans="3:3" x14ac:dyDescent="0.25">
      <c r="C369" s="286"/>
    </row>
    <row r="370" spans="3:3" x14ac:dyDescent="0.25">
      <c r="C370" s="286"/>
    </row>
    <row r="371" spans="3:3" x14ac:dyDescent="0.25">
      <c r="C371" s="286"/>
    </row>
    <row r="372" spans="3:3" x14ac:dyDescent="0.25">
      <c r="C372" s="286"/>
    </row>
    <row r="373" spans="3:3" x14ac:dyDescent="0.25">
      <c r="C373" s="286"/>
    </row>
    <row r="374" spans="3:3" x14ac:dyDescent="0.25">
      <c r="C374" s="286"/>
    </row>
    <row r="375" spans="3:3" x14ac:dyDescent="0.25">
      <c r="C375" s="286"/>
    </row>
    <row r="376" spans="3:3" x14ac:dyDescent="0.25">
      <c r="C376" s="286"/>
    </row>
    <row r="377" spans="3:3" x14ac:dyDescent="0.25">
      <c r="C377" s="286"/>
    </row>
    <row r="378" spans="3:3" x14ac:dyDescent="0.25">
      <c r="C378" s="286"/>
    </row>
    <row r="379" spans="3:3" x14ac:dyDescent="0.25">
      <c r="C379" s="286"/>
    </row>
    <row r="380" spans="3:3" x14ac:dyDescent="0.25">
      <c r="C380" s="286"/>
    </row>
    <row r="381" spans="3:3" x14ac:dyDescent="0.25">
      <c r="C381" s="286"/>
    </row>
    <row r="382" spans="3:3" x14ac:dyDescent="0.25">
      <c r="C382" s="286"/>
    </row>
    <row r="383" spans="3:3" x14ac:dyDescent="0.25">
      <c r="C383" s="286"/>
    </row>
    <row r="384" spans="3:3" x14ac:dyDescent="0.25">
      <c r="C384" s="286"/>
    </row>
    <row r="385" spans="3:3" x14ac:dyDescent="0.25">
      <c r="C385" s="286"/>
    </row>
    <row r="386" spans="3:3" x14ac:dyDescent="0.25">
      <c r="C386" s="286"/>
    </row>
    <row r="387" spans="3:3" x14ac:dyDescent="0.25">
      <c r="C387" s="286"/>
    </row>
    <row r="388" spans="3:3" x14ac:dyDescent="0.25">
      <c r="C388" s="286"/>
    </row>
    <row r="389" spans="3:3" x14ac:dyDescent="0.25">
      <c r="C389" s="286"/>
    </row>
    <row r="390" spans="3:3" x14ac:dyDescent="0.25">
      <c r="C390" s="286"/>
    </row>
    <row r="391" spans="3:3" x14ac:dyDescent="0.25">
      <c r="C391" s="286"/>
    </row>
    <row r="392" spans="3:3" x14ac:dyDescent="0.25">
      <c r="C392" s="286"/>
    </row>
    <row r="393" spans="3:3" x14ac:dyDescent="0.25">
      <c r="C393" s="286"/>
    </row>
    <row r="394" spans="3:3" x14ac:dyDescent="0.25">
      <c r="C394" s="286"/>
    </row>
    <row r="395" spans="3:3" x14ac:dyDescent="0.25">
      <c r="C395" s="286"/>
    </row>
    <row r="396" spans="3:3" x14ac:dyDescent="0.25">
      <c r="C396" s="286"/>
    </row>
    <row r="397" spans="3:3" x14ac:dyDescent="0.25">
      <c r="C397" s="286"/>
    </row>
    <row r="398" spans="3:3" x14ac:dyDescent="0.25">
      <c r="C398" s="286"/>
    </row>
    <row r="399" spans="3:3" x14ac:dyDescent="0.25">
      <c r="C399" s="286"/>
    </row>
    <row r="400" spans="3:3" x14ac:dyDescent="0.25">
      <c r="C400" s="286"/>
    </row>
    <row r="401" spans="3:3" x14ac:dyDescent="0.25">
      <c r="C401" s="286"/>
    </row>
    <row r="402" spans="3:3" x14ac:dyDescent="0.25">
      <c r="C402" s="286"/>
    </row>
    <row r="403" spans="3:3" x14ac:dyDescent="0.25">
      <c r="C403" s="286"/>
    </row>
    <row r="404" spans="3:3" x14ac:dyDescent="0.25">
      <c r="C404" s="286"/>
    </row>
    <row r="405" spans="3:3" x14ac:dyDescent="0.25">
      <c r="C405" s="286"/>
    </row>
    <row r="406" spans="3:3" x14ac:dyDescent="0.25">
      <c r="C406" s="286"/>
    </row>
    <row r="407" spans="3:3" x14ac:dyDescent="0.25">
      <c r="C407" s="286"/>
    </row>
    <row r="408" spans="3:3" x14ac:dyDescent="0.25">
      <c r="C408" s="286"/>
    </row>
    <row r="409" spans="3:3" x14ac:dyDescent="0.25">
      <c r="C409" s="286"/>
    </row>
    <row r="410" spans="3:3" x14ac:dyDescent="0.25">
      <c r="C410" s="286"/>
    </row>
    <row r="411" spans="3:3" x14ac:dyDescent="0.25">
      <c r="C411" s="286"/>
    </row>
    <row r="412" spans="3:3" x14ac:dyDescent="0.25">
      <c r="C412" s="286"/>
    </row>
    <row r="413" spans="3:3" x14ac:dyDescent="0.25">
      <c r="C413" s="286"/>
    </row>
    <row r="414" spans="3:3" x14ac:dyDescent="0.25">
      <c r="C414" s="286"/>
    </row>
    <row r="415" spans="3:3" x14ac:dyDescent="0.25">
      <c r="C415" s="286"/>
    </row>
    <row r="416" spans="3:3" x14ac:dyDescent="0.25">
      <c r="C416" s="286"/>
    </row>
    <row r="417" spans="3:3" x14ac:dyDescent="0.25">
      <c r="C417" s="286"/>
    </row>
    <row r="418" spans="3:3" x14ac:dyDescent="0.25">
      <c r="C418" s="286"/>
    </row>
    <row r="419" spans="3:3" x14ac:dyDescent="0.25">
      <c r="C419" s="286"/>
    </row>
    <row r="420" spans="3:3" x14ac:dyDescent="0.25">
      <c r="C420" s="286"/>
    </row>
    <row r="421" spans="3:3" x14ac:dyDescent="0.25">
      <c r="C421" s="286"/>
    </row>
    <row r="422" spans="3:3" x14ac:dyDescent="0.25">
      <c r="C422" s="286"/>
    </row>
    <row r="423" spans="3:3" x14ac:dyDescent="0.25">
      <c r="C423" s="286"/>
    </row>
    <row r="424" spans="3:3" x14ac:dyDescent="0.25">
      <c r="C424" s="286"/>
    </row>
    <row r="425" spans="3:3" x14ac:dyDescent="0.25">
      <c r="C425" s="286"/>
    </row>
    <row r="426" spans="3:3" x14ac:dyDescent="0.25">
      <c r="C426" s="286"/>
    </row>
    <row r="427" spans="3:3" x14ac:dyDescent="0.25">
      <c r="C427" s="286"/>
    </row>
    <row r="428" spans="3:3" x14ac:dyDescent="0.25">
      <c r="C428" s="286"/>
    </row>
    <row r="429" spans="3:3" x14ac:dyDescent="0.25">
      <c r="C429" s="286"/>
    </row>
    <row r="430" spans="3:3" x14ac:dyDescent="0.25">
      <c r="C430" s="286"/>
    </row>
    <row r="431" spans="3:3" x14ac:dyDescent="0.25">
      <c r="C431" s="286"/>
    </row>
    <row r="432" spans="3:3" x14ac:dyDescent="0.25">
      <c r="C432" s="286"/>
    </row>
    <row r="433" spans="3:3" x14ac:dyDescent="0.25">
      <c r="C433" s="286"/>
    </row>
    <row r="434" spans="3:3" x14ac:dyDescent="0.25">
      <c r="C434" s="286"/>
    </row>
    <row r="435" spans="3:3" x14ac:dyDescent="0.25">
      <c r="C435" s="286"/>
    </row>
    <row r="436" spans="3:3" x14ac:dyDescent="0.25">
      <c r="C436" s="286"/>
    </row>
    <row r="437" spans="3:3" x14ac:dyDescent="0.25">
      <c r="C437" s="286"/>
    </row>
    <row r="438" spans="3:3" x14ac:dyDescent="0.25">
      <c r="C438" s="286"/>
    </row>
    <row r="439" spans="3:3" x14ac:dyDescent="0.25">
      <c r="C439" s="286"/>
    </row>
    <row r="440" spans="3:3" x14ac:dyDescent="0.25">
      <c r="C440" s="286"/>
    </row>
    <row r="441" spans="3:3" x14ac:dyDescent="0.25">
      <c r="C441" s="286"/>
    </row>
    <row r="442" spans="3:3" x14ac:dyDescent="0.25">
      <c r="C442" s="286"/>
    </row>
    <row r="443" spans="3:3" x14ac:dyDescent="0.25">
      <c r="C443" s="286"/>
    </row>
    <row r="444" spans="3:3" x14ac:dyDescent="0.25">
      <c r="C444" s="286"/>
    </row>
    <row r="445" spans="3:3" x14ac:dyDescent="0.25">
      <c r="C445" s="286"/>
    </row>
    <row r="446" spans="3:3" x14ac:dyDescent="0.25">
      <c r="C446" s="286"/>
    </row>
    <row r="447" spans="3:3" x14ac:dyDescent="0.25">
      <c r="C447" s="286"/>
    </row>
    <row r="448" spans="3:3" x14ac:dyDescent="0.25">
      <c r="C448" s="286"/>
    </row>
    <row r="449" spans="3:3" x14ac:dyDescent="0.25">
      <c r="C449" s="286"/>
    </row>
    <row r="450" spans="3:3" x14ac:dyDescent="0.25">
      <c r="C450" s="286"/>
    </row>
    <row r="451" spans="3:3" x14ac:dyDescent="0.25">
      <c r="C451" s="286"/>
    </row>
    <row r="452" spans="3:3" x14ac:dyDescent="0.25">
      <c r="C452" s="286"/>
    </row>
    <row r="453" spans="3:3" x14ac:dyDescent="0.25">
      <c r="C453" s="286"/>
    </row>
    <row r="454" spans="3:3" x14ac:dyDescent="0.25">
      <c r="C454" s="286"/>
    </row>
    <row r="455" spans="3:3" x14ac:dyDescent="0.25">
      <c r="C455" s="286"/>
    </row>
    <row r="456" spans="3:3" x14ac:dyDescent="0.25">
      <c r="C456" s="286"/>
    </row>
    <row r="457" spans="3:3" x14ac:dyDescent="0.25">
      <c r="C457" s="286"/>
    </row>
    <row r="458" spans="3:3" x14ac:dyDescent="0.25">
      <c r="C458" s="286"/>
    </row>
    <row r="459" spans="3:3" x14ac:dyDescent="0.25">
      <c r="C459" s="286"/>
    </row>
    <row r="460" spans="3:3" x14ac:dyDescent="0.25">
      <c r="C460" s="286"/>
    </row>
    <row r="461" spans="3:3" x14ac:dyDescent="0.25">
      <c r="C461" s="286"/>
    </row>
    <row r="462" spans="3:3" x14ac:dyDescent="0.25">
      <c r="C462" s="286"/>
    </row>
    <row r="463" spans="3:3" x14ac:dyDescent="0.25">
      <c r="C463" s="286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F968-6515-459C-A2BE-4A7480C9936E}">
  <dimension ref="A1:Q57"/>
  <sheetViews>
    <sheetView workbookViewId="0"/>
  </sheetViews>
  <sheetFormatPr defaultRowHeight="15" x14ac:dyDescent="0.25"/>
  <cols>
    <col min="1" max="1" width="42.42578125" customWidth="1"/>
    <col min="2" max="13" width="15.7109375" customWidth="1"/>
  </cols>
  <sheetData>
    <row r="1" spans="1:14" x14ac:dyDescent="0.25">
      <c r="A1" s="4" t="s">
        <v>208</v>
      </c>
      <c r="B1" s="4" t="s">
        <v>214</v>
      </c>
      <c r="C1" s="4" t="s">
        <v>215</v>
      </c>
      <c r="D1" s="4" t="s">
        <v>216</v>
      </c>
      <c r="E1" s="4" t="s">
        <v>217</v>
      </c>
      <c r="F1" s="4" t="s">
        <v>218</v>
      </c>
      <c r="G1" s="4" t="s">
        <v>219</v>
      </c>
      <c r="H1" s="4" t="s">
        <v>220</v>
      </c>
      <c r="I1" s="4" t="s">
        <v>221</v>
      </c>
      <c r="J1" s="4" t="s">
        <v>222</v>
      </c>
      <c r="K1" s="4" t="s">
        <v>333</v>
      </c>
      <c r="L1" s="4" t="s">
        <v>334</v>
      </c>
      <c r="M1" s="4" t="s">
        <v>335</v>
      </c>
    </row>
    <row r="2" spans="1:14" x14ac:dyDescent="0.25">
      <c r="A2" t="s">
        <v>178</v>
      </c>
      <c r="B2" s="272">
        <v>65.28</v>
      </c>
      <c r="C2" s="272">
        <v>65.28</v>
      </c>
      <c r="D2" s="272">
        <v>65.28</v>
      </c>
      <c r="E2" s="272">
        <v>65.28</v>
      </c>
      <c r="F2" s="272">
        <v>65.28</v>
      </c>
      <c r="G2" s="272">
        <v>65.28</v>
      </c>
      <c r="H2" s="272">
        <v>65.28</v>
      </c>
      <c r="I2" s="272">
        <v>65.28</v>
      </c>
      <c r="J2" s="272">
        <v>65.28</v>
      </c>
      <c r="K2" s="272">
        <v>65.28</v>
      </c>
      <c r="L2" s="272">
        <v>65.28</v>
      </c>
      <c r="M2" s="272">
        <v>65.28</v>
      </c>
      <c r="N2" s="272"/>
    </row>
    <row r="3" spans="1:14" x14ac:dyDescent="0.25">
      <c r="A3" t="s">
        <v>242</v>
      </c>
      <c r="B3" s="272">
        <v>1.33</v>
      </c>
      <c r="C3" s="272">
        <f>AVERAGE(105.32,115.52,1062,1238)/60</f>
        <v>10.503500000000001</v>
      </c>
      <c r="D3" s="272">
        <v>20.98</v>
      </c>
      <c r="E3" s="272">
        <v>1.1299999999999999</v>
      </c>
      <c r="F3" s="272">
        <f>AVERAGE(104.63,118.01,1064,1238)/60</f>
        <v>10.519333333333332</v>
      </c>
      <c r="G3" s="272">
        <v>20.98</v>
      </c>
      <c r="H3" s="272">
        <v>1.1299999999999999</v>
      </c>
      <c r="I3" s="272">
        <f>AVERAGE(104.63,117.08,583.49,1238)/60</f>
        <v>8.5133333333333336</v>
      </c>
      <c r="J3" s="272">
        <v>20.83</v>
      </c>
      <c r="K3" s="272">
        <v>1.37</v>
      </c>
      <c r="L3" s="272">
        <f>AVERAGE(230.95,249.88,774.33,1259)/60</f>
        <v>10.475666666666665</v>
      </c>
      <c r="M3" s="272">
        <v>20.98</v>
      </c>
      <c r="N3" s="272"/>
    </row>
    <row r="4" spans="1:14" x14ac:dyDescent="0.25">
      <c r="A4" t="s">
        <v>213</v>
      </c>
      <c r="B4" s="272">
        <v>2.4900000000000002</v>
      </c>
      <c r="C4" s="272">
        <f>402.62/60</f>
        <v>6.7103333333333337</v>
      </c>
      <c r="D4" s="272">
        <v>6.76</v>
      </c>
      <c r="E4" s="272">
        <v>2.9</v>
      </c>
      <c r="F4" s="272">
        <f>402.57/60</f>
        <v>6.7095000000000002</v>
      </c>
      <c r="G4" s="272">
        <v>6.75</v>
      </c>
      <c r="H4" s="272">
        <v>2.42</v>
      </c>
      <c r="I4" s="272">
        <f>401/60</f>
        <v>6.6833333333333336</v>
      </c>
      <c r="J4" s="272">
        <v>6.75</v>
      </c>
      <c r="K4" s="272">
        <v>2.4900000000000002</v>
      </c>
      <c r="L4" s="272">
        <f>404.69/60</f>
        <v>6.7448333333333332</v>
      </c>
      <c r="M4" s="272">
        <v>6.76</v>
      </c>
      <c r="N4" s="272"/>
    </row>
    <row r="5" spans="1:14" x14ac:dyDescent="0.25">
      <c r="A5" t="s">
        <v>223</v>
      </c>
      <c r="B5" s="272">
        <v>0.67</v>
      </c>
      <c r="C5" s="272">
        <f>20.55/30</f>
        <v>0.68500000000000005</v>
      </c>
      <c r="D5" s="272">
        <v>0.99</v>
      </c>
      <c r="E5" s="272">
        <v>0.69</v>
      </c>
      <c r="F5" s="272">
        <f>21.27/30</f>
        <v>0.70899999999999996</v>
      </c>
      <c r="G5" s="272">
        <v>0.99</v>
      </c>
      <c r="H5" s="272">
        <v>0.43</v>
      </c>
      <c r="I5" s="272">
        <f>25.2/30</f>
        <v>0.84</v>
      </c>
      <c r="J5" s="272">
        <v>0.94</v>
      </c>
      <c r="K5" s="272">
        <v>0.67</v>
      </c>
      <c r="L5" s="272">
        <f>20.92/30</f>
        <v>0.69733333333333336</v>
      </c>
      <c r="M5" s="272">
        <v>0.99</v>
      </c>
      <c r="N5" s="272"/>
    </row>
    <row r="6" spans="1:14" x14ac:dyDescent="0.25">
      <c r="A6" t="s">
        <v>224</v>
      </c>
      <c r="B6" s="272">
        <v>8.15</v>
      </c>
      <c r="C6" s="272">
        <f>881.19/60</f>
        <v>14.686500000000001</v>
      </c>
      <c r="D6" s="272">
        <v>16.16</v>
      </c>
      <c r="E6" s="272">
        <v>8.0500000000000007</v>
      </c>
      <c r="F6" s="272">
        <f>878.82/60</f>
        <v>14.647</v>
      </c>
      <c r="G6" s="272">
        <v>16.149999999999999</v>
      </c>
      <c r="H6" s="272">
        <v>8.0500000000000007</v>
      </c>
      <c r="I6" s="272">
        <f>896.44/60</f>
        <v>14.940666666666667</v>
      </c>
      <c r="J6" s="272">
        <v>16.149999999999999</v>
      </c>
      <c r="K6" s="272">
        <v>8.15</v>
      </c>
      <c r="L6" s="272">
        <f>896.81/60</f>
        <v>14.946833333333332</v>
      </c>
      <c r="M6" s="272">
        <v>16.16</v>
      </c>
      <c r="N6" s="272"/>
    </row>
    <row r="7" spans="1:14" ht="30" x14ac:dyDescent="0.25">
      <c r="A7" s="288" t="s">
        <v>225</v>
      </c>
      <c r="B7" s="272">
        <v>0.93</v>
      </c>
      <c r="C7" s="272">
        <f>19.85/12</f>
        <v>1.6541666666666668</v>
      </c>
      <c r="D7" s="272">
        <v>2.44</v>
      </c>
      <c r="E7" s="272">
        <v>1.01</v>
      </c>
      <c r="F7" s="272">
        <f>20.61/12</f>
        <v>1.7175</v>
      </c>
      <c r="G7" s="272">
        <v>2.44</v>
      </c>
      <c r="H7" s="272">
        <v>0.93</v>
      </c>
      <c r="I7" s="272">
        <f>19.19/12</f>
        <v>1.5991666666666668</v>
      </c>
      <c r="J7" s="272">
        <v>2.44</v>
      </c>
      <c r="K7" s="272">
        <v>0.93</v>
      </c>
      <c r="L7" s="272">
        <f>20.2/12</f>
        <v>1.6833333333333333</v>
      </c>
      <c r="M7" s="272">
        <v>2.44</v>
      </c>
      <c r="N7" s="272"/>
    </row>
    <row r="8" spans="1:14" x14ac:dyDescent="0.25">
      <c r="A8" t="s">
        <v>226</v>
      </c>
      <c r="B8" s="272">
        <v>36.78</v>
      </c>
      <c r="C8" s="272">
        <f>3104/60</f>
        <v>51.733333333333334</v>
      </c>
      <c r="D8" s="272">
        <v>58.55</v>
      </c>
      <c r="E8" s="272">
        <v>37.1</v>
      </c>
      <c r="F8" s="272">
        <f>3112/60</f>
        <v>51.866666666666667</v>
      </c>
      <c r="G8" s="272">
        <v>58.6</v>
      </c>
      <c r="H8" s="272">
        <v>37.1</v>
      </c>
      <c r="I8" s="272">
        <f>3218/60</f>
        <v>53.633333333333333</v>
      </c>
      <c r="J8" s="272">
        <v>58.6</v>
      </c>
      <c r="K8" s="272">
        <v>36.78</v>
      </c>
      <c r="L8" s="272">
        <f>3207/60</f>
        <v>53.45</v>
      </c>
      <c r="M8" s="272">
        <v>58.55</v>
      </c>
      <c r="N8" s="272"/>
    </row>
    <row r="9" spans="1:14" x14ac:dyDescent="0.25">
      <c r="A9" t="s">
        <v>227</v>
      </c>
      <c r="B9" s="272">
        <v>24.77</v>
      </c>
      <c r="C9" s="272">
        <f>4282/90</f>
        <v>47.577777777777776</v>
      </c>
      <c r="D9" s="272">
        <v>63.02</v>
      </c>
      <c r="E9" s="272">
        <v>24.77</v>
      </c>
      <c r="F9" s="272">
        <f>4521/90</f>
        <v>50.233333333333334</v>
      </c>
      <c r="G9" s="272">
        <v>63.02</v>
      </c>
      <c r="H9" s="272">
        <v>24.77</v>
      </c>
      <c r="I9" s="272">
        <f>5526/90</f>
        <v>61.4</v>
      </c>
      <c r="J9" s="272">
        <v>63.02</v>
      </c>
      <c r="K9" s="272">
        <v>24.77</v>
      </c>
      <c r="L9" s="272">
        <f>5526/90</f>
        <v>61.4</v>
      </c>
      <c r="M9" s="272">
        <v>63.02</v>
      </c>
      <c r="N9" s="272"/>
    </row>
    <row r="10" spans="1:14" x14ac:dyDescent="0.25">
      <c r="A10" t="s">
        <v>228</v>
      </c>
      <c r="B10" s="272">
        <v>5.96</v>
      </c>
      <c r="C10" s="272">
        <f>180.66/30</f>
        <v>6.0220000000000002</v>
      </c>
      <c r="D10" s="272">
        <v>6.34</v>
      </c>
      <c r="E10" s="272">
        <v>5.93</v>
      </c>
      <c r="F10" s="272">
        <f>184.95/30</f>
        <v>6.165</v>
      </c>
      <c r="G10" s="272">
        <v>6.33</v>
      </c>
      <c r="H10" s="272">
        <v>5.95</v>
      </c>
      <c r="I10" s="272">
        <f>183.95/30</f>
        <v>6.1316666666666659</v>
      </c>
      <c r="J10" s="272">
        <v>6.7</v>
      </c>
      <c r="K10" s="272">
        <v>5.56</v>
      </c>
      <c r="L10" s="272">
        <f>178.74/30</f>
        <v>5.9580000000000002</v>
      </c>
      <c r="M10" s="272">
        <v>6.02</v>
      </c>
      <c r="N10" s="272"/>
    </row>
    <row r="11" spans="1:14" x14ac:dyDescent="0.25">
      <c r="A11" t="s">
        <v>229</v>
      </c>
      <c r="B11" s="272">
        <v>2.95</v>
      </c>
      <c r="C11" s="272">
        <f>97.79/30</f>
        <v>3.2596666666666669</v>
      </c>
      <c r="D11" s="272">
        <v>4.1399999999999997</v>
      </c>
      <c r="E11" s="272">
        <v>2.58</v>
      </c>
      <c r="F11" s="272">
        <f>94.04/30</f>
        <v>3.1346666666666669</v>
      </c>
      <c r="G11" s="272">
        <v>4.1399999999999997</v>
      </c>
      <c r="H11" s="272">
        <v>1.65</v>
      </c>
      <c r="I11" s="272">
        <f>94.04/30</f>
        <v>3.1346666666666669</v>
      </c>
      <c r="J11" s="272">
        <v>4.1399999999999997</v>
      </c>
      <c r="K11" s="272">
        <v>1.67</v>
      </c>
      <c r="L11" s="272">
        <f>95.02/30</f>
        <v>3.1673333333333331</v>
      </c>
      <c r="M11" s="272">
        <v>4.1399999999999997</v>
      </c>
      <c r="N11" s="272"/>
    </row>
    <row r="12" spans="1:14" x14ac:dyDescent="0.25">
      <c r="A12" t="s">
        <v>230</v>
      </c>
      <c r="B12" s="272">
        <v>0.45</v>
      </c>
      <c r="C12" s="272">
        <f>26.95/60</f>
        <v>0.44916666666666666</v>
      </c>
      <c r="D12" s="272">
        <v>0.72</v>
      </c>
      <c r="E12" s="272">
        <v>0.45</v>
      </c>
      <c r="F12" s="272">
        <f>27.04/60</f>
        <v>0.45066666666666666</v>
      </c>
      <c r="G12" s="272">
        <v>0.72</v>
      </c>
      <c r="H12" s="272">
        <v>0.45</v>
      </c>
      <c r="I12" s="272">
        <f>27.04/60</f>
        <v>0.45066666666666666</v>
      </c>
      <c r="J12" s="272">
        <v>0.66</v>
      </c>
      <c r="K12" s="272">
        <v>0.45</v>
      </c>
      <c r="L12" s="272">
        <f>26.95/60</f>
        <v>0.44916666666666666</v>
      </c>
      <c r="M12" s="272">
        <v>0.66</v>
      </c>
      <c r="N12" s="272"/>
    </row>
    <row r="13" spans="1:14" x14ac:dyDescent="0.25">
      <c r="A13" t="s">
        <v>231</v>
      </c>
      <c r="B13" s="272">
        <v>0.13</v>
      </c>
      <c r="C13" s="272">
        <f>11.9/72</f>
        <v>0.16527777777777777</v>
      </c>
      <c r="D13" s="272">
        <v>0.2</v>
      </c>
      <c r="E13" s="272">
        <v>0.17</v>
      </c>
      <c r="F13" s="272">
        <f>13.89/72</f>
        <v>0.19291666666666668</v>
      </c>
      <c r="G13" s="272">
        <v>0.2</v>
      </c>
      <c r="H13" s="272">
        <v>0.16</v>
      </c>
      <c r="I13" s="272">
        <f>13.89/72</f>
        <v>0.19291666666666668</v>
      </c>
      <c r="J13" s="272">
        <v>0.2</v>
      </c>
      <c r="K13" s="272">
        <v>0.19</v>
      </c>
      <c r="L13" s="272">
        <f>13.89/72</f>
        <v>0.19291666666666668</v>
      </c>
      <c r="M13" s="272">
        <v>0.2</v>
      </c>
      <c r="N13" s="272"/>
    </row>
    <row r="14" spans="1:14" x14ac:dyDescent="0.25">
      <c r="A14" t="s">
        <v>232</v>
      </c>
      <c r="B14" s="272">
        <v>0.23</v>
      </c>
      <c r="C14" s="272">
        <f>16.99/60</f>
        <v>0.28316666666666662</v>
      </c>
      <c r="D14" s="272">
        <v>0.33</v>
      </c>
      <c r="E14" s="272">
        <v>0.23</v>
      </c>
      <c r="F14" s="272">
        <f>16.99/60</f>
        <v>0.28316666666666662</v>
      </c>
      <c r="G14" s="272">
        <v>0.33</v>
      </c>
      <c r="H14" s="272">
        <v>0.23</v>
      </c>
      <c r="I14" s="272">
        <f>16.99/60</f>
        <v>0.28316666666666662</v>
      </c>
      <c r="J14" s="272">
        <v>0.33</v>
      </c>
      <c r="K14" s="272">
        <v>0.23</v>
      </c>
      <c r="L14" s="272">
        <f>16.99/60</f>
        <v>0.28316666666666662</v>
      </c>
      <c r="M14" s="272">
        <v>0.33</v>
      </c>
      <c r="N14" s="272"/>
    </row>
    <row r="15" spans="1:14" x14ac:dyDescent="0.25">
      <c r="A15" t="s">
        <v>233</v>
      </c>
      <c r="B15" s="272">
        <v>0.2</v>
      </c>
      <c r="C15" s="272">
        <f>16.41/60</f>
        <v>0.27350000000000002</v>
      </c>
      <c r="D15" s="272">
        <v>0.31</v>
      </c>
      <c r="E15" s="272">
        <v>0.2</v>
      </c>
      <c r="F15" s="272">
        <f>16.41/60</f>
        <v>0.27350000000000002</v>
      </c>
      <c r="G15" s="272">
        <v>0.31</v>
      </c>
      <c r="H15" s="272">
        <v>0.2</v>
      </c>
      <c r="I15" s="272">
        <f>16.41/60</f>
        <v>0.27350000000000002</v>
      </c>
      <c r="J15" s="272">
        <v>0.31</v>
      </c>
      <c r="K15" s="272">
        <v>0.2</v>
      </c>
      <c r="L15" s="272">
        <f>16.41/60</f>
        <v>0.27350000000000002</v>
      </c>
      <c r="M15" s="272">
        <v>0.31</v>
      </c>
      <c r="N15" s="272"/>
    </row>
    <row r="16" spans="1:14" x14ac:dyDescent="0.25">
      <c r="A16" t="s">
        <v>234</v>
      </c>
      <c r="B16" s="272">
        <v>0.11</v>
      </c>
      <c r="C16" s="272">
        <f>9/30</f>
        <v>0.3</v>
      </c>
      <c r="D16" s="272">
        <v>0.31</v>
      </c>
      <c r="E16" s="272">
        <v>0.1</v>
      </c>
      <c r="F16" s="272">
        <f>9.03/30</f>
        <v>0.30099999999999999</v>
      </c>
      <c r="G16" s="272">
        <v>0.36</v>
      </c>
      <c r="H16" s="272">
        <v>0.1</v>
      </c>
      <c r="I16" s="272">
        <f>9.02/30</f>
        <v>0.30066666666666664</v>
      </c>
      <c r="J16" s="272">
        <v>0.36</v>
      </c>
      <c r="K16" s="272">
        <v>0.1</v>
      </c>
      <c r="L16" s="272">
        <f>9.02/30</f>
        <v>0.30066666666666664</v>
      </c>
      <c r="M16" s="272">
        <v>0.36</v>
      </c>
      <c r="N16" s="272"/>
    </row>
    <row r="17" spans="1:14" x14ac:dyDescent="0.25">
      <c r="B17" s="272"/>
      <c r="C17" s="272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</row>
    <row r="18" spans="1:14" x14ac:dyDescent="0.25"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 s="272"/>
      <c r="M18" s="272"/>
      <c r="N18" s="272"/>
    </row>
    <row r="19" spans="1:14" x14ac:dyDescent="0.25"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 s="272"/>
      <c r="M19" s="272"/>
      <c r="N19" s="272"/>
    </row>
    <row r="20" spans="1:14" x14ac:dyDescent="0.25"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 s="272"/>
      <c r="M20" s="272"/>
      <c r="N20" s="272"/>
    </row>
    <row r="21" spans="1:14" x14ac:dyDescent="0.25"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</row>
    <row r="22" spans="1:14" x14ac:dyDescent="0.25"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72"/>
    </row>
    <row r="23" spans="1:14" x14ac:dyDescent="0.25">
      <c r="A23" s="4" t="s">
        <v>208</v>
      </c>
      <c r="B23" s="316" t="s">
        <v>253</v>
      </c>
      <c r="C23" s="316" t="s">
        <v>254</v>
      </c>
      <c r="D23" s="316" t="s">
        <v>255</v>
      </c>
      <c r="E23" s="316" t="s">
        <v>256</v>
      </c>
      <c r="F23" s="316" t="s">
        <v>257</v>
      </c>
      <c r="G23" s="316" t="s">
        <v>258</v>
      </c>
      <c r="H23" s="316" t="s">
        <v>259</v>
      </c>
      <c r="I23" s="316" t="s">
        <v>260</v>
      </c>
      <c r="J23" s="316" t="s">
        <v>261</v>
      </c>
      <c r="K23" s="316"/>
      <c r="L23" s="272"/>
      <c r="M23" s="272"/>
      <c r="N23" s="272"/>
    </row>
    <row r="24" spans="1:14" x14ac:dyDescent="0.25">
      <c r="A24" t="s">
        <v>184</v>
      </c>
      <c r="B24" s="272">
        <v>45</v>
      </c>
      <c r="C24" s="272">
        <v>46.42</v>
      </c>
      <c r="D24" s="272">
        <v>50.99</v>
      </c>
      <c r="E24" s="272"/>
      <c r="F24" s="272"/>
      <c r="G24" s="272"/>
      <c r="H24" s="272"/>
      <c r="I24" s="272"/>
      <c r="J24" s="272"/>
      <c r="K24" s="272"/>
      <c r="L24" s="272"/>
      <c r="M24" s="272"/>
      <c r="N24" s="272"/>
    </row>
    <row r="25" spans="1:14" x14ac:dyDescent="0.25">
      <c r="A25" t="s">
        <v>183</v>
      </c>
      <c r="B25" s="272">
        <v>49.99</v>
      </c>
      <c r="C25" s="272"/>
      <c r="D25" s="272">
        <v>27.99</v>
      </c>
      <c r="E25" s="272">
        <v>35.99</v>
      </c>
      <c r="F25" s="272"/>
      <c r="G25" s="272"/>
      <c r="H25" s="272"/>
      <c r="I25" s="272"/>
      <c r="J25" s="272"/>
      <c r="K25" s="272"/>
      <c r="L25" s="272"/>
      <c r="M25" s="272"/>
      <c r="N25" s="272"/>
    </row>
    <row r="26" spans="1:14" x14ac:dyDescent="0.25">
      <c r="A26" t="s">
        <v>182</v>
      </c>
      <c r="B26" s="272">
        <v>14.99</v>
      </c>
      <c r="C26" s="272">
        <v>5.74</v>
      </c>
      <c r="D26" s="272">
        <v>10.49</v>
      </c>
      <c r="E26" s="272"/>
      <c r="F26" s="272"/>
      <c r="G26" s="272"/>
      <c r="H26" s="272"/>
      <c r="I26" s="272"/>
      <c r="J26" s="272"/>
      <c r="K26" s="272"/>
      <c r="L26" s="272"/>
      <c r="M26" s="272"/>
      <c r="N26" s="272"/>
    </row>
    <row r="27" spans="1:14" x14ac:dyDescent="0.25">
      <c r="A27" t="s">
        <v>181</v>
      </c>
      <c r="B27" s="272"/>
      <c r="C27" s="272"/>
      <c r="D27" s="272"/>
      <c r="E27" s="272"/>
      <c r="F27" s="272">
        <v>215</v>
      </c>
      <c r="G27" s="272">
        <v>410</v>
      </c>
      <c r="H27" s="272">
        <v>365.99</v>
      </c>
      <c r="I27" s="272"/>
      <c r="J27" s="272"/>
      <c r="K27" s="272"/>
      <c r="L27" s="272"/>
      <c r="M27" s="272"/>
      <c r="N27" s="272"/>
    </row>
    <row r="28" spans="1:14" x14ac:dyDescent="0.25">
      <c r="A28" t="s">
        <v>180</v>
      </c>
      <c r="B28" s="272">
        <v>24.99</v>
      </c>
      <c r="C28" s="272">
        <v>33.99</v>
      </c>
      <c r="D28" s="272">
        <v>24.99</v>
      </c>
      <c r="E28" s="272"/>
      <c r="F28" s="272"/>
      <c r="G28" s="272"/>
      <c r="H28" s="272"/>
      <c r="I28" s="272"/>
      <c r="J28" s="272"/>
      <c r="K28" s="272"/>
      <c r="L28" s="272"/>
      <c r="M28" s="272"/>
      <c r="N28" s="272"/>
    </row>
    <row r="29" spans="1:14" x14ac:dyDescent="0.25">
      <c r="A29" t="s">
        <v>185</v>
      </c>
      <c r="B29" s="272"/>
      <c r="C29" s="272"/>
      <c r="D29" s="272"/>
      <c r="E29" s="272">
        <f>AVERAGE(99.99,149.99)</f>
        <v>124.99000000000001</v>
      </c>
      <c r="F29" s="272"/>
      <c r="G29" s="272"/>
      <c r="H29" s="272"/>
      <c r="I29" s="272">
        <f>AVERAGE(89.99,149.99)</f>
        <v>119.99000000000001</v>
      </c>
      <c r="J29" s="272">
        <f>AVERAGE(79.99,118.99)</f>
        <v>99.49</v>
      </c>
      <c r="K29" s="272"/>
      <c r="L29" s="272"/>
      <c r="M29" s="272"/>
      <c r="N29" s="272"/>
    </row>
    <row r="30" spans="1:14" x14ac:dyDescent="0.25">
      <c r="A30" t="s">
        <v>243</v>
      </c>
      <c r="E30">
        <v>47.99</v>
      </c>
      <c r="I30">
        <v>49.99</v>
      </c>
      <c r="J30">
        <v>35.99</v>
      </c>
    </row>
    <row r="31" spans="1:14" x14ac:dyDescent="0.25">
      <c r="A31" t="s">
        <v>262</v>
      </c>
      <c r="B31">
        <v>30.99</v>
      </c>
      <c r="C31">
        <v>29.99</v>
      </c>
      <c r="D31">
        <v>29.99</v>
      </c>
    </row>
    <row r="35" spans="1:13" x14ac:dyDescent="0.25">
      <c r="A35" s="4" t="s">
        <v>196</v>
      </c>
      <c r="B35" s="4" t="s">
        <v>214</v>
      </c>
      <c r="C35" s="4" t="s">
        <v>215</v>
      </c>
      <c r="D35" s="4" t="s">
        <v>216</v>
      </c>
      <c r="E35" s="4" t="s">
        <v>217</v>
      </c>
      <c r="F35" s="4" t="s">
        <v>218</v>
      </c>
      <c r="G35" s="4" t="s">
        <v>219</v>
      </c>
      <c r="H35" s="4" t="s">
        <v>220</v>
      </c>
      <c r="I35" s="4" t="s">
        <v>221</v>
      </c>
      <c r="J35" s="4" t="s">
        <v>222</v>
      </c>
      <c r="K35" s="4" t="s">
        <v>333</v>
      </c>
      <c r="L35" s="4" t="s">
        <v>334</v>
      </c>
      <c r="M35" s="4" t="s">
        <v>335</v>
      </c>
    </row>
    <row r="36" spans="1:13" x14ac:dyDescent="0.25">
      <c r="A36" t="s">
        <v>246</v>
      </c>
      <c r="B36" s="272">
        <v>50</v>
      </c>
      <c r="C36" s="272">
        <v>75</v>
      </c>
      <c r="D36" s="272">
        <v>58</v>
      </c>
      <c r="E36" s="272">
        <v>60</v>
      </c>
      <c r="F36" s="272">
        <v>60</v>
      </c>
      <c r="G36" s="272">
        <v>75</v>
      </c>
      <c r="H36" s="272">
        <v>60</v>
      </c>
      <c r="I36" s="272">
        <v>85</v>
      </c>
      <c r="J36" s="272">
        <v>90</v>
      </c>
      <c r="K36" s="272">
        <v>60</v>
      </c>
      <c r="L36" s="272">
        <v>60</v>
      </c>
      <c r="M36" s="272">
        <v>85</v>
      </c>
    </row>
    <row r="37" spans="1:13" x14ac:dyDescent="0.25">
      <c r="A37" t="s">
        <v>247</v>
      </c>
      <c r="B37" s="272">
        <v>130</v>
      </c>
      <c r="C37" s="272">
        <v>140</v>
      </c>
      <c r="D37" s="272">
        <v>180</v>
      </c>
      <c r="E37" s="272">
        <v>95</v>
      </c>
      <c r="F37" s="272">
        <v>150</v>
      </c>
      <c r="G37" s="272">
        <v>155</v>
      </c>
      <c r="H37" s="272">
        <v>130</v>
      </c>
      <c r="I37" s="272">
        <v>150</v>
      </c>
      <c r="J37" s="272">
        <v>160</v>
      </c>
      <c r="K37" s="272">
        <v>110</v>
      </c>
      <c r="L37" s="272">
        <v>150</v>
      </c>
      <c r="M37" s="272">
        <v>169</v>
      </c>
    </row>
    <row r="40" spans="1:13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56" spans="1:17" x14ac:dyDescent="0.25">
      <c r="B56" s="4" t="s">
        <v>267</v>
      </c>
      <c r="C56" s="4" t="s">
        <v>268</v>
      </c>
      <c r="D56" s="4" t="s">
        <v>269</v>
      </c>
      <c r="E56" s="4" t="s">
        <v>270</v>
      </c>
      <c r="F56" s="4" t="s">
        <v>217</v>
      </c>
      <c r="G56" s="4" t="s">
        <v>218</v>
      </c>
      <c r="H56" s="4" t="s">
        <v>219</v>
      </c>
      <c r="I56" s="4" t="s">
        <v>265</v>
      </c>
      <c r="J56" s="4" t="s">
        <v>220</v>
      </c>
      <c r="K56" s="4" t="s">
        <v>221</v>
      </c>
      <c r="L56" s="4" t="s">
        <v>222</v>
      </c>
      <c r="M56" s="4" t="s">
        <v>266</v>
      </c>
      <c r="N56" s="4" t="s">
        <v>333</v>
      </c>
      <c r="O56" s="4" t="s">
        <v>334</v>
      </c>
      <c r="P56" s="4" t="s">
        <v>335</v>
      </c>
      <c r="Q56" s="4" t="s">
        <v>336</v>
      </c>
    </row>
    <row r="57" spans="1:17" x14ac:dyDescent="0.25">
      <c r="A57" s="322" t="s">
        <v>245</v>
      </c>
      <c r="B57" s="272">
        <v>4404</v>
      </c>
      <c r="C57" s="272">
        <v>4819</v>
      </c>
      <c r="D57" s="272">
        <v>2948</v>
      </c>
      <c r="E57" s="272">
        <v>4471</v>
      </c>
      <c r="F57" s="272">
        <v>4404</v>
      </c>
      <c r="G57" s="272">
        <v>4819</v>
      </c>
      <c r="H57" s="272">
        <v>2948</v>
      </c>
      <c r="I57" s="272">
        <v>4471</v>
      </c>
      <c r="J57" s="272">
        <v>4404</v>
      </c>
      <c r="K57" s="272">
        <v>4819</v>
      </c>
      <c r="L57" s="272">
        <v>2948</v>
      </c>
      <c r="M57" s="272">
        <v>4471</v>
      </c>
      <c r="N57" s="272">
        <v>4404</v>
      </c>
      <c r="O57" s="272">
        <v>4819</v>
      </c>
      <c r="P57" s="272">
        <v>2948</v>
      </c>
      <c r="Q57" s="272">
        <v>4471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91D3-F7A0-4F01-97B4-B580A1AA7CEE}">
  <sheetPr>
    <tabColor rgb="FF92D050"/>
  </sheetPr>
  <dimension ref="A1:AA142"/>
  <sheetViews>
    <sheetView tabSelected="1" topLeftCell="A37" zoomScale="115" zoomScaleNormal="115" workbookViewId="0">
      <selection activeCell="B46" sqref="B46"/>
    </sheetView>
  </sheetViews>
  <sheetFormatPr defaultColWidth="19.28515625" defaultRowHeight="15" x14ac:dyDescent="0.25"/>
  <cols>
    <col min="1" max="1" width="34.140625" customWidth="1"/>
    <col min="2" max="2" width="39.85546875" style="288" customWidth="1"/>
    <col min="3" max="8" width="11.85546875" customWidth="1"/>
    <col min="11" max="11" width="11.7109375" style="73" hidden="1" customWidth="1"/>
    <col min="12" max="14" width="11.7109375" hidden="1" customWidth="1"/>
    <col min="15" max="15" width="12" hidden="1" customWidth="1"/>
    <col min="16" max="16" width="22" style="317" hidden="1" customWidth="1"/>
    <col min="17" max="17" width="43.28515625" style="317" customWidth="1"/>
    <col min="18" max="18" width="3" style="317" customWidth="1"/>
    <col min="27" max="27" width="15" customWidth="1"/>
  </cols>
  <sheetData>
    <row r="1" spans="1:27" s="319" customFormat="1" ht="48.75" customHeight="1" x14ac:dyDescent="0.25">
      <c r="A1" s="318" t="s">
        <v>271</v>
      </c>
      <c r="B1" s="318" t="s">
        <v>272</v>
      </c>
      <c r="C1" s="318" t="s">
        <v>273</v>
      </c>
      <c r="D1" s="318" t="s">
        <v>323</v>
      </c>
      <c r="E1" s="318" t="s">
        <v>345</v>
      </c>
      <c r="F1" s="318" t="s">
        <v>346</v>
      </c>
      <c r="G1" s="318" t="s">
        <v>347</v>
      </c>
      <c r="H1" s="318" t="s">
        <v>348</v>
      </c>
      <c r="I1" s="318" t="s">
        <v>274</v>
      </c>
      <c r="J1" s="318" t="s">
        <v>275</v>
      </c>
      <c r="K1" s="320" t="s">
        <v>324</v>
      </c>
      <c r="L1" s="318" t="s">
        <v>325</v>
      </c>
      <c r="M1" s="318" t="s">
        <v>326</v>
      </c>
      <c r="N1" s="318" t="s">
        <v>327</v>
      </c>
      <c r="O1" s="318" t="s">
        <v>328</v>
      </c>
      <c r="P1" s="318" t="s">
        <v>339</v>
      </c>
      <c r="Q1" s="318" t="s">
        <v>340</v>
      </c>
      <c r="R1" s="318"/>
      <c r="S1" s="318" t="s">
        <v>211</v>
      </c>
      <c r="T1" s="318" t="s">
        <v>212</v>
      </c>
      <c r="U1" s="318" t="s">
        <v>209</v>
      </c>
      <c r="V1" s="318" t="s">
        <v>210</v>
      </c>
      <c r="W1" s="318"/>
      <c r="X1" s="318"/>
      <c r="Y1" s="318"/>
      <c r="Z1" s="318"/>
      <c r="AA1" s="318"/>
    </row>
    <row r="2" spans="1:27" x14ac:dyDescent="0.25">
      <c r="A2" t="str" cm="1">
        <f t="array" ref="A2:A63">_xlfn.VSTACK(
  IFERROR(_xlfn.MAKEARRAY(ROWS(_xlfn._xlws.FILTER('1st Procedure'!A3:A25,'1st Procedure'!A3:A25&lt;&gt;"")),1,_xlfn.LAMBDA(_xlpm.r,_xlpm.c,'1st Procedure'!A$1)),""),
  IFERROR(_xlfn.MAKEARRAY(ROWS(_xlfn._xlws.FILTER('Routine Care'!A3:A25,'Routine Care'!A3:A25&lt;&gt;"")),1,_xlfn.LAMBDA(_xlpm.r,_xlpm.c,'Routine Care'!A$1)),""),
  IFERROR(_xlfn.MAKEARRAY(ROWS(_xlfn._xlws.FILTER(Evaluations!A3:A25,Evaluations!A3:A25&lt;&gt;"")),1,_xlfn.LAMBDA(_xlpm.r,_xlpm.c,Evaluations!A$1)),""),
  IFERROR(_xlfn.MAKEARRAY(ROWS(_xlfn._xlws.FILTER(Therapeutic!A3:A25,Therapeutic!A3:A25&lt;&gt;"")),1,_xlfn.LAMBDA(_xlpm.r,_xlpm.c,Therapeutic!A$1)),""),
  IFERROR(_xlfn.MAKEARRAY(ROWS(_xlfn._xlws.FILTER(Diagnostic!A3:A25,Diagnostic!A3:A25&lt;&gt;"")),1,_xlfn.LAMBDA(_xlpm.r,_xlpm.c,Diagnostic!A$1)),""),
  IFERROR(_xlfn.MAKEARRAY(ROWS(_xlfn._xlws.FILTER(Medications!A3:A25,Medications!A3:A25&lt;&gt;"")),1,_xlfn.LAMBDA(_xlpm.r,_xlpm.c,Medications!A$1)),""),
  IFERROR(_xlfn.MAKEARRAY(ROWS(_xlfn._xlws.FILTER(Equipment!A3:A25,Equipment!A3:A25&lt;&gt;"")),1,_xlfn.LAMBDA(_xlpm.r,_xlpm.c,Equipment!A$1)),""),
  IFERROR(_xlfn.MAKEARRAY(ROWS(_xlfn._xlws.FILTER('Home Services'!A3:A25,'Home Services'!A3:A25&lt;&gt;"")),1,_xlfn.LAMBDA(_xlpm.r,_xlpm.c,'Home Services'!A$1)),"")
)</f>
        <v>PROCEDURES</v>
      </c>
      <c r="B2" s="288" t="str" cm="1">
        <f t="array" ref="B2:B63">_xlfn.VSTACK(
  IFERROR(_xlfn._xlws.FILTER('1st Procedure'!A3:A25, '1st Procedure'!A3:A25&lt;&gt;""), ""),
  IFERROR(_xlfn._xlws.FILTER('Routine Care'!A3:A25, 'Routine Care'!A3:A25&lt;&gt;""), ""),
  IFERROR(_xlfn._xlws.FILTER(Evaluations!A3:A25, Evaluations!A3:A25&lt;&gt;""), ""),
  IFERROR(_xlfn._xlws.FILTER(Therapeutic!A3:A25, Therapeutic!A3:A25&lt;&gt;""), ""),
  IFERROR(_xlfn._xlws.FILTER(Diagnostic!A3:A25, Diagnostic!A3:A25&lt;&gt;""), ""),
  IFERROR(_xlfn._xlws.FILTER(Medications!A3:A25, Medications!A3:A25&lt;&gt;""), ""),
  IFERROR(_xlfn._xlws.FILTER(Equipment!A3:A25, Equipment!A3:A25&lt;&gt;""), ""),
  IFERROR(_xlfn._xlws.FILTER('Home Services'!A3:A25, 'Home Services'!A3:A25&lt;&gt;""), "")
)</f>
        <v>Double Lung Transplant</v>
      </c>
      <c r="C2">
        <f ca="1">_xlfn.LET(
    _xlpm.base,'Master Data'!$B$6,
    _xlpm.txt,P2,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2" s="73">
        <f ca="1">_xlfn.LET(
    _xlpm.base,YEAR(TODAY()),
    _xlpm.txt,P2,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2026</v>
      </c>
      <c r="E2">
        <f ca="1">_xlfn.LET(
    _xlpm.base,C2,
    _xlpm.txt,P2,
    IF(_xlpm.txt="","",
       _xlfn.LET(
           _xlpm.firstPart,LEFT(_xlpm.txt,FIND("x",_xlpm.txt)-1),
           _xlpm.dashPos,IFERROR(FIND("-",_xlpm.firstPart),0),
           _xlpm.hasDash,_xlpm.dashPos&gt;0,
           _xlpm.firstNum,IF(_xlpm.hasDash,VALUE(LEFT(_xlpm.firstPart,_xlpm.dashPos-1)),VALUE(_xlpm.firstPart)),
           _xlpm.secondNum,IF(_xlpm.hasDash,VALUE(MID(_xlpm.firstPart,_xlpm.dashPos+1,99)),""),
           _xlpm.isOneSingle,AND(_xlpm.firstNum=1,NOT(_xlpm.hasDash)),
           _xlpm.isOneTwo,AND(_xlpm.firstNum=1,_xlpm.secondNum=2),
           _xlpm.isSixteenThirtySix,AND(_xlpm.firstNum=16,_xlpm.secondNum=36),
           _xlpm.isPlusOneGroup,
                OR(_xlpm.firstNum=7,
                   _xlpm.firstNum=12,
                   _xlpm.firstNum=24,
                   AND(_xlpm.firstNum=36,_xlpm.secondNum=72)
                ),
           IF(_xlpm.isOneSingle,
                IF(OR(ISNUMBER(SEARCH("procedures",A2)),
                      ISNUMBER(SEARCH("therapeutic",A2))),
                   _xlpm.base+1,
                   _xlpm.base+5
                ),
           IF(_xlpm.isOneTwo,
                _xlpm.base,
           IF(_xlpm.isSixteenThirtySix,
                _xlpm.base+4,
           IF(_xlpm.isPlusOneGroup,
                _xlpm.base+1,
           IF(OR(_xlpm.firstNum&gt;1000,_xlpm.hasDash),
                _xlpm.base+5,
                _xlpm.base
           )))))
       )
    )
)</f>
        <v>127.3</v>
      </c>
      <c r="F2" s="73">
        <f ca="1">IF(P2="","", D2 + (E2 - C2))</f>
        <v>2027</v>
      </c>
      <c r="G2">
        <f ca="1">_xlfn.LET(
    _xlpm.base,C2,
    _xlpm.txt,P2,
    IF(_xlpm.txt="","",
       _xlfn.LET(
           _xlpm.firstPart,LEFT(_xlpm.txt,FIND("x",_xlpm.txt)-1),
           _xlpm.dashPos,IFERROR(FIND("-",_xlpm.firstPart),0),
           _xlpm.hasDash,_xlpm.dashPos&gt;0,
           _xlpm.firstNum,IF(_xlpm.hasDash,VALUE(LEFT(_xlpm.firstPart,_xlpm.dashPos-1)),VALUE(_xlpm.firstPart)),
           _xlpm.secondNum,IF(_xlpm.hasDash,VALUE(MID(_xlpm.firstPart,_xlpm.dashPos+1,99)),""),
           _xlpm.isOneSingle,AND(_xlpm.firstNum=1,NOT(_xlpm.hasDash)),
           _xlpm.isOneTwo,AND(_xlpm.firstNum=1,_xlpm.secondNum=2),
           _xlpm.isSixteenThirtySix,AND(_xlpm.firstNum=16,_xlpm.secondNum=36),
           _xlpm.isPlusOneGroup,
                OR(_xlpm.firstNum=7,
                   _xlpm.firstNum=12,
                   _xlpm.firstNum=24,
                   AND(_xlpm.firstNum=36,_xlpm.secondNum=72)
                ),
           IF(_xlpm.isOneSingle,
                IF(OR(ISNUMBER(SEARCH("procedures",A2)),
                      ISNUMBER(SEARCH("therapeutic",A2))),
                   _xlpm.base+1,
                   _xlpm.base+10
                ),
           IF(_xlpm.isOneTwo,
                _xlpm.base,
           IF(_xlpm.isSixteenThirtySix,
                _xlpm.base+9,
           IF(_xlpm.isPlusOneGroup,
                _xlpm.base+1,
           IF(OR(_xlpm.firstNum&gt;1000,_xlpm.hasDash),
                _xlpm.base+10,
                _xlpm.base
           )))))
       )
    )
)</f>
        <v>127.3</v>
      </c>
      <c r="H2" s="73">
        <f ca="1">IF(P2="","", D2 + (G2 - C2))</f>
        <v>2027</v>
      </c>
      <c r="I2" s="272" cm="1">
        <f t="array" ref="I2:I63">_xlfn.VSTACK(
  IFERROR(_xlfn._xlws.FILTER('1st Procedure'!E3:E25, '1st Procedure'!A3:A25&lt;&gt;""), ""),
  IFERROR(_xlfn._xlws.FILTER('Routine Care'!E3:E25, 'Routine Care'!A3:A25&lt;&gt;""), ""),
  IFERROR(_xlfn._xlws.FILTER(Evaluations!E3:E25, Evaluations!A3:A25&lt;&gt;""), ""),
  IFERROR(_xlfn._xlws.FILTER(Therapeutic!E3:E25, Therapeutic!A3:A25&lt;&gt;""), ""),
  IFERROR(_xlfn._xlws.FILTER(Diagnostic!E3:E25, Diagnostic!A3:A25&lt;&gt;""), ""),
  IFERROR(_xlfn._xlws.FILTER(Medications!E3:E25, Medications!A3:A25&lt;&gt;""), ""),
  IFERROR(_xlfn._xlws.FILTER(Equipment!E3:E25, Equipment!A3:A25&lt;&gt;""), ""),
  IFERROR(_xlfn._xlws.FILTER('Home Services'!E3:E25, 'Home Services'!A3:A25&lt;&gt;""), "")
)</f>
        <v>2346500</v>
      </c>
      <c r="J2" s="272" cm="1">
        <f t="array" ref="J2:J63">_xlfn.VSTACK(
  IFERROR(_xlfn._xlws.FILTER('1st Procedure'!F3:F25, '1st Procedure'!A3:A25&lt;&gt;""), ""),
  IFERROR(_xlfn._xlws.FILTER('Routine Care'!F3:F25, 'Routine Care'!A3:A25&lt;&gt;""), ""),
  IFERROR(_xlfn._xlws.FILTER(Evaluations!F3:F25, Evaluations!A3:A25&lt;&gt;""), ""),
  IFERROR(_xlfn._xlws.FILTER(Therapeutic!F3:F25, Therapeutic!A3:A25&lt;&gt;""), ""),
  IFERROR(_xlfn._xlws.FILTER(Diagnostic!F3:F25, Diagnostic!A3:A25&lt;&gt;""), ""),
  IFERROR(_xlfn._xlws.FILTER(Medications!F3:F25, Medications!A3:A25&lt;&gt;""), ""),
  IFERROR(_xlfn._xlws.FILTER(Equipment!F3:F25, Equipment!A3:A25&lt;&gt;""), ""),
  IFERROR(_xlfn._xlws.FILTER('Home Services'!F3:F25, 'Home Services'!A3:A25&lt;&gt;""), "")
)</f>
        <v>2346500</v>
      </c>
      <c r="K2" s="73" cm="1">
        <f t="array" ref="K2:K63">_xlfn.LET(
    _xlpm.v,
    _xlfn.VSTACK(
        IFERROR(_xlfn._xlws.FILTER('1st Procedure'!H3:H25, '1st Procedure'!A3:A25&lt;&gt;""), ""),
        IFERROR(_xlfn._xlws.FILTER('Routine Care'!H3:H25, 'Routine Care'!A3:A25&lt;&gt;""), ""),
        IFERROR(_xlfn._xlws.FILTER(Evaluations!H3:H25, Evaluations!A3:A25&lt;&gt;""), ""),
        IFERROR(_xlfn._xlws.FILTER(Therapeutic!H3:H25, Therapeutic!A3:A25&lt;&gt;""), ""),
        IFERROR(_xlfn._xlws.FILTER(Diagnostic!H3:H25, Diagnostic!A3:A25&lt;&gt;""), ""),
        IFERROR(_xlfn._xlws.FILTER(Medications!H3:H25, Medications!A3:A25&lt;&gt;""), ""),
        IFERROR(_xlfn._xlws.FILTER(Equipment!H3:H25, Equipment!A3:A25&lt;&gt;""), ""),
        IFERROR(_xlfn._xlws.FILTER('Home Services'!H3:H25, 'Home Services'!A3:A25&lt;&gt;""), "")
    ),
    IF(_xlpm.v=0, "", _xlpm.v)
)</f>
        <v>1</v>
      </c>
      <c r="L2" t="str" cm="1">
        <f t="array" ref="L2:L63">_xlfn.LET(
    _xlpm.v,
    _xlfn.VSTACK(
        IFERROR(_xlfn._xlws.FILTER('1st Procedure'!I3:I25, '1st Procedure'!A3:A25&lt;&gt;""), ""),
        IFERROR(_xlfn._xlws.FILTER('Routine Care'!I3:I25, 'Routine Care'!A3:A25&lt;&gt;""), ""),
        IFERROR(_xlfn._xlws.FILTER(Evaluations!I3:I25, Evaluations!A3:A25&lt;&gt;""), ""),
        IFERROR(_xlfn._xlws.FILTER(Therapeutic!I3:I25, Therapeutic!A3:A25&lt;&gt;""), ""),
        IFERROR(_xlfn._xlws.FILTER(Diagnostic!I3:I25, Diagnostic!A3:A25&lt;&gt;""), ""),
        IFERROR(_xlfn._xlws.FILTER(Medications!I3:I25, Medications!A3:A25&lt;&gt;""), ""),
        IFERROR(_xlfn._xlws.FILTER(Equipment!I3:I25, Equipment!A3:A25&lt;&gt;""), ""),
        IFERROR(_xlfn._xlws.FILTER('Home Services'!I3:I25, 'Home Services'!A3:A25&lt;&gt;""), "")
    ),
    IF(_xlpm.v=0, "", _xlpm.v)
)</f>
        <v/>
      </c>
      <c r="M2" t="str" cm="1">
        <f t="array" ref="M2:M63">_xlfn.LET(
    _xlpm.v,
    _xlfn.VSTACK(
        IFERROR(_xlfn._xlws.FILTER('1st Procedure'!J3:J25, '1st Procedure'!A3:A25&lt;&gt;""), ""),
        IFERROR(_xlfn._xlws.FILTER('Routine Care'!J3:J25, 'Routine Care'!A3:A25&lt;&gt;""), ""),
        IFERROR(_xlfn._xlws.FILTER(Evaluations!J3:J25, Evaluations!A3:A25&lt;&gt;""), ""),
        IFERROR(_xlfn._xlws.FILTER(Therapeutic!J3:J25, Therapeutic!A3:A25&lt;&gt;""), ""),
        IFERROR(_xlfn._xlws.FILTER(Diagnostic!J3:J25, Diagnostic!A3:A25&lt;&gt;""), ""),
        IFERROR(_xlfn._xlws.FILTER(Medications!J3:J25, Medications!A3:A25&lt;&gt;""), ""),
        IFERROR(_xlfn._xlws.FILTER(Equipment!J3:J25, Equipment!A3:A25&lt;&gt;""), ""),
        IFERROR(_xlfn._xlws.FILTER('Home Services'!J3:J25, 'Home Services'!A3:A25&lt;&gt;""), "")
    ),
    IF(_xlpm.v=0, "", _xlpm.v)
)</f>
        <v/>
      </c>
      <c r="N2" t="str" cm="1">
        <f t="array" ref="N2:N63">_xlfn.LET(
    _xlpm.v,
    _xlfn.VSTACK(
        IFERROR(_xlfn._xlws.FILTER('1st Procedure'!K3:K25, '1st Procedure'!A3:A25&lt;&gt;""), ""),
        IFERROR(_xlfn._xlws.FILTER('Routine Care'!K3:K25, 'Routine Care'!A3:A25&lt;&gt;""), ""),
        IFERROR(_xlfn._xlws.FILTER(Evaluations!K3:K25, Evaluations!A3:A25&lt;&gt;""), ""),
        IFERROR(_xlfn._xlws.FILTER(Therapeutic!K3:K25, Therapeutic!A3:A25&lt;&gt;""), ""),
        IFERROR(_xlfn._xlws.FILTER(Diagnostic!K3:K25, Diagnostic!A3:A25&lt;&gt;""), ""),
        IFERROR(_xlfn._xlws.FILTER(Medications!K3:K25, Medications!A3:A25&lt;&gt;""), ""),
        IFERROR(_xlfn._xlws.FILTER(Equipment!K3:K25, Equipment!A3:A25&lt;&gt;""), ""),
        IFERROR(_xlfn._xlws.FILTER('Home Services'!K3:K25, 'Home Services'!A3:A25&lt;&gt;""), "")
    ),
    IF(_xlpm.v=0, "", _xlpm.v)
)</f>
        <v/>
      </c>
      <c r="O2" t="str" cm="1">
        <f t="array" ref="O2:O63">_xlfn.VSTACK(
  IFERROR(_xlfn._xlws.FILTER('1st Procedure'!L3:L25, '1st Procedure'!A3:A25&lt;&gt;""), ""),
  IFERROR(_xlfn._xlws.FILTER('Routine Care'!L3:L25, 'Routine Care'!A3:A25&lt;&gt;""), ""),
  IFERROR(_xlfn._xlws.FILTER(Evaluations!L3:L25, Evaluations!A3:A25&lt;&gt;""), ""),
  IFERROR(_xlfn._xlws.FILTER(Therapeutic!L3:L25, Therapeutic!A3:A25&lt;&gt;""), ""),
  IFERROR(_xlfn._xlws.FILTER(Diagnostic!L3:L25, Diagnostic!A3:A25&lt;&gt;""), ""),
  IFERROR(_xlfn._xlws.FILTER(Medications!L3:L25, Medications!A3:A25&lt;&gt;""), ""),
  IFERROR(_xlfn._xlws.FILTER(Equipment!L3:L25, Equipment!A3:A25&lt;&gt;""), ""),
  IFERROR(_xlfn._xlws.FILTER('Home Services'!L3:L25, 'Home Services'!A3:A25&lt;&gt;""), "")
)</f>
        <v>lifetime</v>
      </c>
      <c r="P2" s="317" t="str" cm="1">
        <f t="array" ref="P2:P63">_xlfn.VSTACK(
  IFERROR(_xlfn._xlws.FILTER('1st Procedure'!M3:M25, '1st Procedure'!A3:A25&lt;&gt;""), ""),
  IFERROR(_xlfn._xlws.FILTER('Routine Care'!M3:M25, 'Routine Care'!A3:A25&lt;&gt;""), ""),
  IFERROR(_xlfn._xlws.FILTER(Evaluations!M3:M25, Evaluations!A3:A25&lt;&gt;""), ""),
  IFERROR(_xlfn._xlws.FILTER(Therapeutic!M3:M25, Therapeutic!A3:A25&lt;&gt;""), ""),
  IFERROR(_xlfn._xlws.FILTER(Diagnostic!M3:M25, Diagnostic!A3:A25&lt;&gt;""), ""),
  IFERROR(_xlfn._xlws.FILTER(Medications!M3:M25, Medications!A3:A25&lt;&gt;""), ""),
  IFERROR(_xlfn._xlws.FILTER(Equipment!M3:M25, Equipment!A3:A25&lt;&gt;""), ""),
  IFERROR(_xlfn._xlws.FILTER('Home Services'!M3:M25, 'Home Services'!A3:A25&lt;&gt;""), "")
)</f>
        <v>1x/lifetime</v>
      </c>
      <c r="Q2" s="317" t="str" cm="1">
        <f t="array" ref="Q2">_xlfn.LET(
    _xlpm.v, P2,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1x/lifetime</v>
      </c>
      <c r="R2" s="317" t="str" cm="1">
        <f t="array" ref="R2">IF(
   ISNUMBER(SEARCH("year",Q2)),
   _xlfn.LET(
      _xlpm.t,Q2,
      _xlpm.g,I2,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S2" s="272" t="str" cm="1">
        <f t="array" ref="S2">IF(
   ISNUMBER(SEARCH("year",Q2)),
   _xlfn.LET(
      _xlpm.t,Q2,
      _xlpm.g,I2,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2" s="272" t="str" cm="1">
        <f t="array" ref="T2">IF(
   ISNUMBER(SEARCH("year",Q2)),
   _xlfn.LET(
      _xlpm.t,Q2,
      _xlpm.h,J2,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2" s="272">
        <f>IF(
   AND(
      NOT(ISNUMBER(SEARCH("year",Q2))),
      NOT(ISNUMBER(SEARCH("day",Q2))),
      NOT(ISNUMBER(SEARCH("week",Q2)))
   ),
   I2*K2,
   ""
)</f>
        <v>2346500</v>
      </c>
      <c r="V2" s="272">
        <f>IF(
   AND(
      NOT(ISNUMBER(SEARCH("year",Q2))),
      NOT(ISNUMBER(SEARCH("day",Q2))),
      NOT(ISNUMBER(SEARCH("week",Q2)))
   ),
   J2*IF(L2&lt;&gt;"",L2,K2),
   ""
)</f>
        <v>2346500</v>
      </c>
      <c r="W2" s="272"/>
      <c r="X2" s="272"/>
      <c r="Y2" s="272"/>
      <c r="Z2" s="272"/>
    </row>
    <row r="3" spans="1:27" ht="30" x14ac:dyDescent="0.25">
      <c r="A3" t="str">
        <v>PROCEDURES</v>
      </c>
      <c r="B3" s="288" t="str">
        <v>Flexible Bronchoscopy with Transbronchial Biopsy or "Cryo Biopsy"</v>
      </c>
      <c r="C3">
        <f ca="1">_xlfn.LET(
    _xlpm.base,'Master Data'!$B$6,
    _xlpm.txt,P3,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3" s="73">
        <f t="shared" ref="D3:D63" ca="1" si="0">_xlfn.LET(
    _xlpm.base,YEAR(TODAY()),
    _xlpm.txt,P3,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2026</v>
      </c>
      <c r="E3">
        <f t="shared" ref="E3:E63" ca="1" si="1">_xlfn.LET(
    _xlpm.base,C3,
    _xlpm.txt,P3,
    IF(_xlpm.txt="","",
       _xlfn.LET(
           _xlpm.firstPart,LEFT(_xlpm.txt,FIND("x",_xlpm.txt)-1),
           _xlpm.dashPos,IFERROR(FIND("-",_xlpm.firstPart),0),
           _xlpm.hasDash,_xlpm.dashPos&gt;0,
           _xlpm.firstNum,IF(_xlpm.hasDash,VALUE(LEFT(_xlpm.firstPart,_xlpm.dashPos-1)),VALUE(_xlpm.firstPart)),
           _xlpm.secondNum,IF(_xlpm.hasDash,VALUE(MID(_xlpm.firstPart,_xlpm.dashPos+1,99)),""),
           _xlpm.isOneSingle,AND(_xlpm.firstNum=1,NOT(_xlpm.hasDash)),
           _xlpm.isOneTwo,AND(_xlpm.firstNum=1,_xlpm.secondNum=2),
           _xlpm.isSixteenThirtySix,AND(_xlpm.firstNum=16,_xlpm.secondNum=36),
           _xlpm.isPlusOneGroup,
                OR(_xlpm.firstNum=7,
                   _xlpm.firstNum=12,
                   _xlpm.firstNum=24,
                   AND(_xlpm.firstNum=36,_xlpm.secondNum=72)
                ),
           IF(_xlpm.isOneSingle,
                IF(OR(ISNUMBER(SEARCH("procedures",A3)),
                      ISNUMBER(SEARCH("therapeutic",A3))),
                   _xlpm.base+1,
                   _xlpm.base+5
                ),
           IF(_xlpm.isOneTwo,
                _xlpm.base,
           IF(_xlpm.isSixteenThirtySix,
                _xlpm.base+4,
           IF(_xlpm.isPlusOneGroup,
                _xlpm.base+1,
           IF(OR(_xlpm.firstNum&gt;1000,_xlpm.hasDash),
                _xlpm.base+5,
                _xlpm.base
           )))))
       )
    )
)</f>
        <v>126.3</v>
      </c>
      <c r="F3" s="73">
        <f t="shared" ref="F3:F63" ca="1" si="2">IF(P3="","", D3 + (E3 - C3))</f>
        <v>2026</v>
      </c>
      <c r="G3">
        <f t="shared" ref="G3:G63" ca="1" si="3">_xlfn.LET(
    _xlpm.base,C3,
    _xlpm.txt,P3,
    IF(_xlpm.txt="","",
       _xlfn.LET(
           _xlpm.firstPart,LEFT(_xlpm.txt,FIND("x",_xlpm.txt)-1),
           _xlpm.dashPos,IFERROR(FIND("-",_xlpm.firstPart),0),
           _xlpm.hasDash,_xlpm.dashPos&gt;0,
           _xlpm.firstNum,IF(_xlpm.hasDash,VALUE(LEFT(_xlpm.firstPart,_xlpm.dashPos-1)),VALUE(_xlpm.firstPart)),
           _xlpm.secondNum,IF(_xlpm.hasDash,VALUE(MID(_xlpm.firstPart,_xlpm.dashPos+1,99)),""),
           _xlpm.isOneSingle,AND(_xlpm.firstNum=1,NOT(_xlpm.hasDash)),
           _xlpm.isOneTwo,AND(_xlpm.firstNum=1,_xlpm.secondNum=2),
           _xlpm.isSixteenThirtySix,AND(_xlpm.firstNum=16,_xlpm.secondNum=36),
           _xlpm.isPlusOneGroup,
                OR(_xlpm.firstNum=7,
                   _xlpm.firstNum=12,
                   _xlpm.firstNum=24,
                   AND(_xlpm.firstNum=36,_xlpm.secondNum=72)
                ),
           IF(_xlpm.isOneSingle,
                IF(OR(ISNUMBER(SEARCH("procedures",A3)),
                      ISNUMBER(SEARCH("therapeutic",A3))),
                   _xlpm.base+1,
                   _xlpm.base+10
                ),
           IF(_xlpm.isOneTwo,
                _xlpm.base,
           IF(_xlpm.isSixteenThirtySix,
                _xlpm.base+9,
           IF(_xlpm.isPlusOneGroup,
                _xlpm.base+1,
           IF(OR(_xlpm.firstNum&gt;1000,_xlpm.hasDash),
                _xlpm.base+10,
                _xlpm.base
           )))))
       )
    )
)</f>
        <v>126.3</v>
      </c>
      <c r="H3" s="73">
        <f t="shared" ref="H3:H63" ca="1" si="4">IF(P3="","", D3 + (G3 - C3))</f>
        <v>2026</v>
      </c>
      <c r="I3" s="272">
        <v>16863</v>
      </c>
      <c r="J3" s="272">
        <v>22139</v>
      </c>
      <c r="K3" s="73">
        <v>5</v>
      </c>
      <c r="L3" t="str">
        <v/>
      </c>
      <c r="M3" t="str">
        <v/>
      </c>
      <c r="N3" t="str">
        <v/>
      </c>
      <c r="O3" t="str">
        <v>lifetime</v>
      </c>
      <c r="P3" s="317" t="str">
        <v>5x/lifetime</v>
      </c>
      <c r="Q3" s="317" t="str" cm="1">
        <f t="array" ref="Q3">_xlfn.LET(
    _xlpm.v, P3,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5x/lifetime</v>
      </c>
      <c r="S3" s="272" t="str" cm="1">
        <f t="array" ref="S3">IF(
   ISNUMBER(SEARCH("year",Q3)),
   _xlfn.LET(
      _xlpm.t,Q3,
      _xlpm.g,I3,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3" s="272" t="str" cm="1">
        <f t="array" ref="T3">IF(
   ISNUMBER(SEARCH("year",Q3)),
   _xlfn.LET(
      _xlpm.t,Q3,
      _xlpm.h,J3,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3" s="272">
        <f t="shared" ref="U3:U63" si="5">IF(
   AND(
      NOT(ISNUMBER(SEARCH("year",Q3))),
      NOT(ISNUMBER(SEARCH("day",Q3))),
      NOT(ISNUMBER(SEARCH("week",Q3)))
   ),
   I3*K3,
   ""
)</f>
        <v>84315</v>
      </c>
      <c r="V3" s="272">
        <f t="shared" ref="V3:V63" si="6">IF(
   AND(
      NOT(ISNUMBER(SEARCH("year",Q3))),
      NOT(ISNUMBER(SEARCH("day",Q3))),
      NOT(ISNUMBER(SEARCH("week",Q3)))
   ),
   J3*IF(L3&lt;&gt;"",L3,K3),
   ""
)</f>
        <v>110695</v>
      </c>
      <c r="W3" s="272"/>
      <c r="X3" s="272"/>
      <c r="Y3" s="272"/>
      <c r="Z3" s="272"/>
    </row>
    <row r="4" spans="1:27" x14ac:dyDescent="0.25">
      <c r="A4" t="str">
        <v>PROCEDURES</v>
      </c>
      <c r="B4" s="288" t="str">
        <v>Mohs Procedure</v>
      </c>
      <c r="C4">
        <f ca="1">_xlfn.LET(
    _xlpm.base,'Master Data'!$B$6,
    _xlpm.txt,P4,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4" s="73">
        <f t="shared" ca="1" si="0"/>
        <v>2026</v>
      </c>
      <c r="E4">
        <f t="shared" ca="1" si="1"/>
        <v>126.3</v>
      </c>
      <c r="F4" s="73">
        <f t="shared" ca="1" si="2"/>
        <v>2026</v>
      </c>
      <c r="G4">
        <f t="shared" ca="1" si="3"/>
        <v>126.3</v>
      </c>
      <c r="H4" s="73">
        <f t="shared" ca="1" si="4"/>
        <v>2026</v>
      </c>
      <c r="I4" s="272">
        <v>4253</v>
      </c>
      <c r="J4" s="272">
        <v>8085</v>
      </c>
      <c r="K4" s="73">
        <v>1</v>
      </c>
      <c r="L4">
        <v>2</v>
      </c>
      <c r="M4" t="str">
        <v/>
      </c>
      <c r="N4" t="str">
        <v/>
      </c>
      <c r="O4" t="str">
        <v>lifetime</v>
      </c>
      <c r="P4" s="317" t="str">
        <v>1-2x/lifetime</v>
      </c>
      <c r="Q4" s="317" t="str" cm="1">
        <f t="array" ref="Q4">_xlfn.LET(
    _xlpm.v, P4,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1-2x/lifetime</v>
      </c>
      <c r="S4" s="272" t="str" cm="1">
        <f t="array" ref="S4">IF(
   ISNUMBER(SEARCH("year",Q4)),
   _xlfn.LET(
      _xlpm.t,Q4,
      _xlpm.g,I4,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4" s="272" t="str" cm="1">
        <f t="array" ref="T4">IF(
   ISNUMBER(SEARCH("year",Q4)),
   _xlfn.LET(
      _xlpm.t,Q4,
      _xlpm.h,J4,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4" s="272">
        <f t="shared" si="5"/>
        <v>4253</v>
      </c>
      <c r="V4" s="272">
        <f t="shared" si="6"/>
        <v>16170</v>
      </c>
      <c r="W4" s="272"/>
      <c r="X4" s="272"/>
      <c r="Y4" s="272"/>
      <c r="Z4" s="272"/>
    </row>
    <row r="5" spans="1:27" x14ac:dyDescent="0.25">
      <c r="A5" t="str">
        <v>FUTURE MEDICAL CARE - ROUTINE</v>
      </c>
      <c r="B5" s="288" t="str">
        <v>Transplant Physician</v>
      </c>
      <c r="C5">
        <f ca="1">_xlfn.LET(
    _xlpm.base,'Master Data'!$B$6,
    _xlpm.txt,P5,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5" s="73">
        <f t="shared" ca="1" si="0"/>
        <v>2026</v>
      </c>
      <c r="E5">
        <f t="shared" ca="1" si="1"/>
        <v>127.3</v>
      </c>
      <c r="F5" s="73">
        <f t="shared" ca="1" si="2"/>
        <v>2027</v>
      </c>
      <c r="G5">
        <f t="shared" ca="1" si="3"/>
        <v>127.3</v>
      </c>
      <c r="H5" s="73">
        <f t="shared" ca="1" si="4"/>
        <v>2027</v>
      </c>
      <c r="I5" s="272">
        <v>197</v>
      </c>
      <c r="J5" s="272">
        <v>997</v>
      </c>
      <c r="K5" s="73">
        <v>7</v>
      </c>
      <c r="L5" t="str">
        <v/>
      </c>
      <c r="M5" t="str">
        <v/>
      </c>
      <c r="N5" t="str">
        <v/>
      </c>
      <c r="O5" t="str">
        <v>lifetime</v>
      </c>
      <c r="P5" s="317" t="str">
        <v>7x/lifetime</v>
      </c>
      <c r="Q5" s="317" t="str" cm="1">
        <f t="array" ref="Q5">_xlfn.LET(
    _xlpm.v, P5,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1x/month, for 7 months</v>
      </c>
      <c r="S5" s="272" t="str" cm="1">
        <f t="array" ref="S5">IF(
   ISNUMBER(SEARCH("year",Q5)),
   _xlfn.LET(
      _xlpm.t,Q5,
      _xlpm.g,I5,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5" s="272" t="str" cm="1">
        <f t="array" ref="T5">IF(
   ISNUMBER(SEARCH("year",Q5)),
   _xlfn.LET(
      _xlpm.t,Q5,
      _xlpm.h,J5,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5" s="272">
        <f t="shared" si="5"/>
        <v>1379</v>
      </c>
      <c r="V5" s="272">
        <f t="shared" si="6"/>
        <v>6979</v>
      </c>
      <c r="W5" s="272"/>
      <c r="X5" s="272"/>
      <c r="Y5" s="272"/>
      <c r="Z5" s="272"/>
    </row>
    <row r="6" spans="1:27" x14ac:dyDescent="0.25">
      <c r="A6" t="str">
        <v>FUTURE MEDICAL CARE - ROUTINE</v>
      </c>
      <c r="B6" s="288" t="str">
        <v>Transplant Physician</v>
      </c>
      <c r="C6">
        <f ca="1">_xlfn.LET(
    _xlpm.base,'Master Data'!$B$6,
    _xlpm.txt,P6,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127.3</v>
      </c>
      <c r="D6" s="73">
        <f t="shared" ca="1" si="0"/>
        <v>2027</v>
      </c>
      <c r="E6">
        <f t="shared" ca="1" si="1"/>
        <v>131.30000000000001</v>
      </c>
      <c r="F6" s="73">
        <f t="shared" ca="1" si="2"/>
        <v>2031</v>
      </c>
      <c r="G6">
        <f t="shared" ca="1" si="3"/>
        <v>136.30000000000001</v>
      </c>
      <c r="H6" s="73">
        <f t="shared" ca="1" si="4"/>
        <v>2036</v>
      </c>
      <c r="I6" s="272">
        <v>197</v>
      </c>
      <c r="J6" s="272">
        <v>997</v>
      </c>
      <c r="K6" s="73">
        <v>16</v>
      </c>
      <c r="L6">
        <v>36</v>
      </c>
      <c r="M6" t="str">
        <v/>
      </c>
      <c r="N6" t="str">
        <v/>
      </c>
      <c r="O6" t="str">
        <v>lifetime</v>
      </c>
      <c r="P6" s="317" t="str">
        <v>16-36x/lifetime</v>
      </c>
      <c r="Q6" s="317" t="str" cm="1">
        <f t="array" ref="Q6">_xlfn.LET(
    _xlpm.v, P6,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4x/year, for 4 to 9 years, beginning in 1 year</v>
      </c>
      <c r="S6" s="272" cm="1">
        <f t="array" ref="S6">IF(
   ISNUMBER(SEARCH("year",Q6)),
   _xlfn.LET(
      _xlpm.t,Q6,
      _xlpm.g,I6,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788</v>
      </c>
      <c r="T6" s="272" cm="1">
        <f t="array" ref="T6">IF(
   ISNUMBER(SEARCH("year",Q6)),
   _xlfn.LET(
      _xlpm.t,Q6,
      _xlpm.h,J6,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3988</v>
      </c>
      <c r="U6" s="272" t="str">
        <f t="shared" si="5"/>
        <v/>
      </c>
      <c r="V6" s="272" t="str">
        <f t="shared" si="6"/>
        <v/>
      </c>
      <c r="W6" s="272"/>
      <c r="X6" s="272"/>
      <c r="Y6" s="272"/>
      <c r="Z6" s="272"/>
    </row>
    <row r="7" spans="1:27" x14ac:dyDescent="0.25">
      <c r="A7" t="str">
        <v>FUTURE MEDICAL CARE - ROUTINE</v>
      </c>
      <c r="B7" s="288" t="str">
        <v>Ophthalmologist</v>
      </c>
      <c r="C7">
        <f ca="1">_xlfn.LET(
    _xlpm.base,'Master Data'!$B$6,
    _xlpm.txt,P7,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7" s="73">
        <f t="shared" ca="1" si="0"/>
        <v>2026</v>
      </c>
      <c r="E7">
        <f t="shared" ca="1" si="1"/>
        <v>131.30000000000001</v>
      </c>
      <c r="F7" s="73">
        <f t="shared" ca="1" si="2"/>
        <v>2031</v>
      </c>
      <c r="G7">
        <f t="shared" ca="1" si="3"/>
        <v>136.30000000000001</v>
      </c>
      <c r="H7" s="73">
        <f t="shared" ca="1" si="4"/>
        <v>2036</v>
      </c>
      <c r="I7" s="272">
        <v>197</v>
      </c>
      <c r="J7" s="272">
        <v>997</v>
      </c>
      <c r="K7" s="73">
        <v>5</v>
      </c>
      <c r="L7">
        <v>10</v>
      </c>
      <c r="M7" t="str">
        <v/>
      </c>
      <c r="N7" t="str">
        <v/>
      </c>
      <c r="O7" t="str">
        <v>lifetime</v>
      </c>
      <c r="P7" s="317" t="str">
        <v>5-10x/lifetime</v>
      </c>
      <c r="Q7" s="317" t="str" cm="1">
        <f t="array" ref="Q7">_xlfn.LET(
    _xlpm.v, P7,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1x/year, for 5 to 10 years</v>
      </c>
      <c r="S7" s="272" cm="1">
        <f t="array" ref="S7">IF(
   ISNUMBER(SEARCH("year",Q7)),
   _xlfn.LET(
      _xlpm.t,Q7,
      _xlpm.g,I7,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197</v>
      </c>
      <c r="T7" s="272" cm="1">
        <f t="array" ref="T7">IF(
   ISNUMBER(SEARCH("year",Q7)),
   _xlfn.LET(
      _xlpm.t,Q7,
      _xlpm.h,J7,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997</v>
      </c>
      <c r="U7" s="272" t="str">
        <f t="shared" si="5"/>
        <v/>
      </c>
      <c r="V7" s="272" t="str">
        <f t="shared" si="6"/>
        <v/>
      </c>
      <c r="W7" s="355"/>
      <c r="X7" s="355"/>
      <c r="Y7" s="272"/>
      <c r="Z7" s="272"/>
    </row>
    <row r="8" spans="1:27" x14ac:dyDescent="0.25">
      <c r="A8" t="str">
        <v>FUTURE MEDICAL CARE - ROUTINE</v>
      </c>
      <c r="B8" s="288" t="str">
        <v>Internist</v>
      </c>
      <c r="C8">
        <f ca="1">_xlfn.LET(
    _xlpm.base,'Master Data'!$B$6,
    _xlpm.txt,P8,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8" s="73">
        <f t="shared" ca="1" si="0"/>
        <v>2026</v>
      </c>
      <c r="E8">
        <f t="shared" ca="1" si="1"/>
        <v>131.30000000000001</v>
      </c>
      <c r="F8" s="73">
        <f t="shared" ca="1" si="2"/>
        <v>2031</v>
      </c>
      <c r="G8">
        <f t="shared" ca="1" si="3"/>
        <v>136.30000000000001</v>
      </c>
      <c r="H8" s="73">
        <f t="shared" ca="1" si="4"/>
        <v>2036</v>
      </c>
      <c r="I8" s="272">
        <v>197</v>
      </c>
      <c r="J8" s="272">
        <v>997</v>
      </c>
      <c r="K8" s="73">
        <v>5</v>
      </c>
      <c r="L8">
        <v>10</v>
      </c>
      <c r="M8" t="str">
        <v/>
      </c>
      <c r="N8" t="str">
        <v/>
      </c>
      <c r="O8" t="str">
        <v>lifetime</v>
      </c>
      <c r="P8" s="317" t="str">
        <v>5-10x/lifetime</v>
      </c>
      <c r="Q8" s="317" t="str" cm="1">
        <f t="array" ref="Q8">_xlfn.LET(
    _xlpm.v, P8,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1x/year, for 5 to 10 years</v>
      </c>
      <c r="S8" s="272" cm="1">
        <f t="array" ref="S8">IF(
   ISNUMBER(SEARCH("year",Q8)),
   _xlfn.LET(
      _xlpm.t,Q8,
      _xlpm.g,I8,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197</v>
      </c>
      <c r="T8" s="272" cm="1">
        <f t="array" ref="T8">IF(
   ISNUMBER(SEARCH("year",Q8)),
   _xlfn.LET(
      _xlpm.t,Q8,
      _xlpm.h,J8,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997</v>
      </c>
      <c r="U8" s="272" t="str">
        <f t="shared" si="5"/>
        <v/>
      </c>
      <c r="V8" s="272" t="str">
        <f t="shared" si="6"/>
        <v/>
      </c>
      <c r="W8" s="355"/>
      <c r="X8" s="355"/>
      <c r="Y8" s="272"/>
      <c r="Z8" s="272"/>
    </row>
    <row r="9" spans="1:27" x14ac:dyDescent="0.25">
      <c r="A9" t="str">
        <v>FUTURE MEDICAL CARE - ROUTINE</v>
      </c>
      <c r="B9" s="288" t="str">
        <v>Nephrologist</v>
      </c>
      <c r="C9">
        <f ca="1">_xlfn.LET(
    _xlpm.base,'Master Data'!$B$6,
    _xlpm.txt,P9,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9" s="73">
        <f t="shared" ca="1" si="0"/>
        <v>2026</v>
      </c>
      <c r="E9">
        <f t="shared" ca="1" si="1"/>
        <v>131.30000000000001</v>
      </c>
      <c r="F9" s="73">
        <f t="shared" ca="1" si="2"/>
        <v>2031</v>
      </c>
      <c r="G9">
        <f t="shared" ca="1" si="3"/>
        <v>136.30000000000001</v>
      </c>
      <c r="H9" s="73">
        <f t="shared" ca="1" si="4"/>
        <v>2036</v>
      </c>
      <c r="I9" s="272">
        <v>197</v>
      </c>
      <c r="J9" s="272">
        <v>997</v>
      </c>
      <c r="K9" s="73">
        <v>5</v>
      </c>
      <c r="L9">
        <v>10</v>
      </c>
      <c r="M9" t="str">
        <v/>
      </c>
      <c r="N9" t="str">
        <v/>
      </c>
      <c r="O9" t="str">
        <v>lifetime</v>
      </c>
      <c r="P9" s="317" t="str">
        <v>5-10x/lifetime</v>
      </c>
      <c r="Q9" s="317" t="str" cm="1">
        <f t="array" ref="Q9">_xlfn.LET(
    _xlpm.v, P9,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1x/year, for 5 to 10 years</v>
      </c>
      <c r="S9" s="272" cm="1">
        <f t="array" ref="S9">IF(
   ISNUMBER(SEARCH("year",Q9)),
   _xlfn.LET(
      _xlpm.t,Q9,
      _xlpm.g,I9,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197</v>
      </c>
      <c r="T9" s="272" cm="1">
        <f t="array" ref="T9">IF(
   ISNUMBER(SEARCH("year",Q9)),
   _xlfn.LET(
      _xlpm.t,Q9,
      _xlpm.h,J9,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997</v>
      </c>
      <c r="U9" s="272" t="str">
        <f t="shared" si="5"/>
        <v/>
      </c>
      <c r="V9" s="272" t="str">
        <f t="shared" si="6"/>
        <v/>
      </c>
      <c r="W9" s="355"/>
      <c r="X9" s="355"/>
      <c r="Y9" s="272"/>
      <c r="Z9" s="272"/>
    </row>
    <row r="10" spans="1:27" x14ac:dyDescent="0.25">
      <c r="A10" t="str">
        <v>FUTURE MEDICAL CARE - ROUTINE</v>
      </c>
      <c r="B10" s="288" t="str">
        <v>Endocrinologist</v>
      </c>
      <c r="C10">
        <f ca="1">_xlfn.LET(
    _xlpm.base,'Master Data'!$B$6,
    _xlpm.txt,P10,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10" s="73">
        <f t="shared" ca="1" si="0"/>
        <v>2026</v>
      </c>
      <c r="E10">
        <f t="shared" ca="1" si="1"/>
        <v>131.30000000000001</v>
      </c>
      <c r="F10" s="73">
        <f t="shared" ca="1" si="2"/>
        <v>2031</v>
      </c>
      <c r="G10">
        <f t="shared" ca="1" si="3"/>
        <v>136.30000000000001</v>
      </c>
      <c r="H10" s="73">
        <f t="shared" ca="1" si="4"/>
        <v>2036</v>
      </c>
      <c r="I10" s="272">
        <v>197</v>
      </c>
      <c r="J10" s="272">
        <v>997</v>
      </c>
      <c r="K10" s="73">
        <v>5</v>
      </c>
      <c r="L10">
        <v>10</v>
      </c>
      <c r="M10" t="str">
        <v/>
      </c>
      <c r="N10" t="str">
        <v/>
      </c>
      <c r="O10" t="str">
        <v>lifetime</v>
      </c>
      <c r="P10" s="317" t="str">
        <v>5-10x/lifetime</v>
      </c>
      <c r="Q10" s="317" t="str" cm="1">
        <f t="array" ref="Q10">_xlfn.LET(
    _xlpm.v, P10,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1x/year, for 5 to 10 years</v>
      </c>
      <c r="S10" s="272" cm="1">
        <f t="array" ref="S10">IF(
   ISNUMBER(SEARCH("year",Q10)),
   _xlfn.LET(
      _xlpm.t,Q10,
      _xlpm.g,I10,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197</v>
      </c>
      <c r="T10" s="272" cm="1">
        <f t="array" ref="T10">IF(
   ISNUMBER(SEARCH("year",Q10)),
   _xlfn.LET(
      _xlpm.t,Q10,
      _xlpm.h,J10,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997</v>
      </c>
      <c r="U10" s="272" t="str">
        <f t="shared" si="5"/>
        <v/>
      </c>
      <c r="V10" s="272" t="str">
        <f t="shared" si="6"/>
        <v/>
      </c>
      <c r="W10" s="355"/>
      <c r="X10" s="355"/>
      <c r="Y10" s="272"/>
      <c r="Z10" s="272"/>
    </row>
    <row r="11" spans="1:27" x14ac:dyDescent="0.25">
      <c r="A11" t="str">
        <v>FUTURE MEDICAL CARE - ROUTINE</v>
      </c>
      <c r="B11" s="288" t="str">
        <v>Pulmonologist</v>
      </c>
      <c r="C11">
        <f ca="1">_xlfn.LET(
    _xlpm.base,'Master Data'!$B$6,
    _xlpm.txt,P11,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11" s="73">
        <f t="shared" ca="1" si="0"/>
        <v>2026</v>
      </c>
      <c r="E11">
        <f t="shared" ca="1" si="1"/>
        <v>131.30000000000001</v>
      </c>
      <c r="F11" s="73">
        <f t="shared" ca="1" si="2"/>
        <v>2031</v>
      </c>
      <c r="G11">
        <f t="shared" ca="1" si="3"/>
        <v>136.30000000000001</v>
      </c>
      <c r="H11" s="73">
        <f t="shared" ca="1" si="4"/>
        <v>2036</v>
      </c>
      <c r="I11" s="272">
        <v>197</v>
      </c>
      <c r="J11" s="272">
        <v>997</v>
      </c>
      <c r="K11" s="73">
        <v>5</v>
      </c>
      <c r="L11">
        <v>10</v>
      </c>
      <c r="M11" t="str">
        <v/>
      </c>
      <c r="N11" t="str">
        <v/>
      </c>
      <c r="O11" t="str">
        <v>lifetime</v>
      </c>
      <c r="P11" s="317" t="str">
        <v>5-10x/lifetime</v>
      </c>
      <c r="Q11" s="317" t="str" cm="1">
        <f t="array" ref="Q11">_xlfn.LET(
    _xlpm.v, P11,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1x/year, for 5 to 10 years</v>
      </c>
      <c r="S11" s="272" cm="1">
        <f t="array" ref="S11">IF(
   ISNUMBER(SEARCH("year",Q11)),
   _xlfn.LET(
      _xlpm.t,Q11,
      _xlpm.g,I11,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197</v>
      </c>
      <c r="T11" s="272" cm="1">
        <f t="array" ref="T11">IF(
   ISNUMBER(SEARCH("year",Q11)),
   _xlfn.LET(
      _xlpm.t,Q11,
      _xlpm.h,J11,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997</v>
      </c>
      <c r="U11" s="272" t="str">
        <f t="shared" si="5"/>
        <v/>
      </c>
      <c r="V11" s="272" t="str">
        <f t="shared" si="6"/>
        <v/>
      </c>
      <c r="W11" s="355"/>
      <c r="X11" s="355"/>
      <c r="Y11" s="272"/>
      <c r="Z11" s="272"/>
    </row>
    <row r="12" spans="1:27" x14ac:dyDescent="0.25">
      <c r="A12" t="str">
        <v>FUTURE MEDICAL CARE - ROUTINE</v>
      </c>
      <c r="B12" s="288" t="str">
        <v>Cardiologist</v>
      </c>
      <c r="C12">
        <f ca="1">_xlfn.LET(
    _xlpm.base,'Master Data'!$B$6,
    _xlpm.txt,P12,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12" s="73">
        <f t="shared" ca="1" si="0"/>
        <v>2026</v>
      </c>
      <c r="E12">
        <f t="shared" ca="1" si="1"/>
        <v>131.30000000000001</v>
      </c>
      <c r="F12" s="73">
        <f t="shared" ca="1" si="2"/>
        <v>2031</v>
      </c>
      <c r="G12">
        <f t="shared" ca="1" si="3"/>
        <v>136.30000000000001</v>
      </c>
      <c r="H12" s="73">
        <f t="shared" ca="1" si="4"/>
        <v>2036</v>
      </c>
      <c r="I12" s="272">
        <v>197</v>
      </c>
      <c r="J12" s="272">
        <v>997</v>
      </c>
      <c r="K12" s="73">
        <v>5</v>
      </c>
      <c r="L12">
        <v>10</v>
      </c>
      <c r="M12" t="str">
        <v/>
      </c>
      <c r="N12" t="str">
        <v/>
      </c>
      <c r="O12" t="str">
        <v>lifetime</v>
      </c>
      <c r="P12" s="317" t="str">
        <v>5-10x/lifetime</v>
      </c>
      <c r="Q12" s="317" t="str" cm="1">
        <f t="array" ref="Q12">_xlfn.LET(
    _xlpm.v, P12,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1x/year, for 5 to 10 years</v>
      </c>
      <c r="S12" s="272" cm="1">
        <f t="array" ref="S12">IF(
   ISNUMBER(SEARCH("year",Q12)),
   _xlfn.LET(
      _xlpm.t,Q12,
      _xlpm.g,I12,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197</v>
      </c>
      <c r="T12" s="272" cm="1">
        <f t="array" ref="T12">IF(
   ISNUMBER(SEARCH("year",Q12)),
   _xlfn.LET(
      _xlpm.t,Q12,
      _xlpm.h,J12,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997</v>
      </c>
      <c r="U12" s="272" t="str">
        <f t="shared" si="5"/>
        <v/>
      </c>
      <c r="V12" s="272" t="str">
        <f t="shared" si="6"/>
        <v/>
      </c>
      <c r="W12" s="355"/>
      <c r="X12" s="355"/>
      <c r="Y12" s="272"/>
      <c r="Z12" s="272"/>
    </row>
    <row r="13" spans="1:27" x14ac:dyDescent="0.25">
      <c r="A13" t="str">
        <v>FUTURE MEDICAL CARE - ROUTINE</v>
      </c>
      <c r="B13" s="288" t="str">
        <v>Dermatologist</v>
      </c>
      <c r="C13">
        <f ca="1">_xlfn.LET(
    _xlpm.base,'Master Data'!$B$6,
    _xlpm.txt,P13,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13" s="73">
        <f t="shared" ca="1" si="0"/>
        <v>2026</v>
      </c>
      <c r="E13">
        <f t="shared" ca="1" si="1"/>
        <v>131.30000000000001</v>
      </c>
      <c r="F13" s="73">
        <f t="shared" ca="1" si="2"/>
        <v>2031</v>
      </c>
      <c r="G13">
        <f t="shared" ca="1" si="3"/>
        <v>136.30000000000001</v>
      </c>
      <c r="H13" s="73">
        <f t="shared" ca="1" si="4"/>
        <v>2036</v>
      </c>
      <c r="I13" s="272">
        <v>197</v>
      </c>
      <c r="J13" s="272">
        <v>997</v>
      </c>
      <c r="K13" s="73">
        <v>10</v>
      </c>
      <c r="L13">
        <v>20</v>
      </c>
      <c r="M13" t="str">
        <v/>
      </c>
      <c r="N13" t="str">
        <v/>
      </c>
      <c r="O13" t="str">
        <v>lifetime</v>
      </c>
      <c r="P13" s="317" t="str">
        <v>10-20x/lifetime</v>
      </c>
      <c r="Q13" s="317" t="str" cm="1">
        <f t="array" ref="Q13">_xlfn.LET(
    _xlpm.v, P13,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2x/year, for 5 to 10 years</v>
      </c>
      <c r="S13" s="272" cm="1">
        <f t="array" ref="S13">IF(
   ISNUMBER(SEARCH("year",Q13)),
   _xlfn.LET(
      _xlpm.t,Q13,
      _xlpm.g,I13,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394</v>
      </c>
      <c r="T13" s="272" cm="1">
        <f t="array" ref="T13">IF(
   ISNUMBER(SEARCH("year",Q13)),
   _xlfn.LET(
      _xlpm.t,Q13,
      _xlpm.h,J13,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1994</v>
      </c>
      <c r="U13" s="272" t="str">
        <f t="shared" si="5"/>
        <v/>
      </c>
      <c r="V13" s="272" t="str">
        <f t="shared" si="6"/>
        <v/>
      </c>
      <c r="W13" s="355"/>
      <c r="X13" s="355"/>
      <c r="Y13" s="272"/>
      <c r="Z13" s="272"/>
    </row>
    <row r="14" spans="1:27" x14ac:dyDescent="0.25">
      <c r="A14" t="str">
        <v>FUTURE MEDICAL CARE - ROUTINE</v>
      </c>
      <c r="B14" s="288" t="str">
        <v>Dentist</v>
      </c>
      <c r="C14">
        <f ca="1">_xlfn.LET(
    _xlpm.base,'Master Data'!$B$6,
    _xlpm.txt,P14,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14" s="73">
        <f t="shared" ca="1" si="0"/>
        <v>2026</v>
      </c>
      <c r="E14">
        <f t="shared" ca="1" si="1"/>
        <v>131.30000000000001</v>
      </c>
      <c r="F14" s="73">
        <f t="shared" ca="1" si="2"/>
        <v>2031</v>
      </c>
      <c r="G14">
        <f t="shared" ca="1" si="3"/>
        <v>136.30000000000001</v>
      </c>
      <c r="H14" s="73">
        <f t="shared" ca="1" si="4"/>
        <v>2036</v>
      </c>
      <c r="I14" s="272">
        <v>197</v>
      </c>
      <c r="J14" s="272">
        <v>997</v>
      </c>
      <c r="K14" s="73">
        <v>10</v>
      </c>
      <c r="L14">
        <v>20</v>
      </c>
      <c r="M14" t="str">
        <v/>
      </c>
      <c r="N14" t="str">
        <v/>
      </c>
      <c r="O14" t="str">
        <v>lifetime</v>
      </c>
      <c r="P14" s="317" t="str">
        <v>10-20x/lifetime</v>
      </c>
      <c r="Q14" s="317" t="str" cm="1">
        <f t="array" ref="Q14">_xlfn.LET(
    _xlpm.v, P14,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2x/year, for 5 to 10 years</v>
      </c>
      <c r="S14" s="272" cm="1">
        <f t="array" ref="S14">IF(
   ISNUMBER(SEARCH("year",Q14)),
   _xlfn.LET(
      _xlpm.t,Q14,
      _xlpm.g,I14,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394</v>
      </c>
      <c r="T14" s="272" cm="1">
        <f t="array" ref="T14">IF(
   ISNUMBER(SEARCH("year",Q14)),
   _xlfn.LET(
      _xlpm.t,Q14,
      _xlpm.h,J14,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1994</v>
      </c>
      <c r="U14" s="272" t="str">
        <f t="shared" si="5"/>
        <v/>
      </c>
      <c r="V14" s="272" t="str">
        <f t="shared" si="6"/>
        <v/>
      </c>
      <c r="W14" s="355"/>
      <c r="X14" s="355"/>
      <c r="Y14" s="272"/>
      <c r="Z14" s="272"/>
    </row>
    <row r="15" spans="1:27" x14ac:dyDescent="0.25">
      <c r="A15" t="str">
        <v/>
      </c>
      <c r="B15" s="288" t="str">
        <v/>
      </c>
      <c r="C15" t="str">
        <f>_xlfn.LET(
    _xlpm.base,'Master Data'!$B$6,
    _xlpm.txt,P15,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/>
      </c>
      <c r="D15" s="73" t="str">
        <f t="shared" ca="1" si="0"/>
        <v/>
      </c>
      <c r="E15" t="str">
        <f t="shared" si="1"/>
        <v/>
      </c>
      <c r="F15" s="73" t="str">
        <f t="shared" si="2"/>
        <v/>
      </c>
      <c r="G15" t="str">
        <f t="shared" si="3"/>
        <v/>
      </c>
      <c r="H15" s="73" t="str">
        <f t="shared" si="4"/>
        <v/>
      </c>
      <c r="I15" s="272" t="str">
        <v/>
      </c>
      <c r="J15" s="272" t="str">
        <v/>
      </c>
      <c r="K15" s="73" t="str">
        <v/>
      </c>
      <c r="L15" t="str">
        <v/>
      </c>
      <c r="M15" t="str">
        <v/>
      </c>
      <c r="N15" t="str">
        <v/>
      </c>
      <c r="O15" t="str">
        <v/>
      </c>
      <c r="P15" s="317" t="str">
        <v/>
      </c>
      <c r="Q15" s="317" t="str" cm="1">
        <f t="array" ref="Q15">_xlfn.LET(
    _xlpm.v, P15,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/>
      </c>
      <c r="S15" s="272" t="str" cm="1">
        <f t="array" ref="S15">IF(
   ISNUMBER(SEARCH("year",Q15)),
   _xlfn.LET(
      _xlpm.t,Q15,
      _xlpm.g,I15,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15" s="272" t="str" cm="1">
        <f t="array" ref="T15">IF(
   ISNUMBER(SEARCH("year",Q15)),
   _xlfn.LET(
      _xlpm.t,Q15,
      _xlpm.h,J15,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15" s="272" t="e">
        <f t="shared" si="5"/>
        <v>#VALUE!</v>
      </c>
      <c r="V15" s="272" t="e">
        <f t="shared" si="6"/>
        <v>#VALUE!</v>
      </c>
      <c r="W15" s="272"/>
      <c r="X15" s="272"/>
      <c r="Y15" s="272"/>
      <c r="Z15" s="272"/>
    </row>
    <row r="16" spans="1:27" x14ac:dyDescent="0.25">
      <c r="A16" t="str">
        <v>THERAPEUTIC MODALITIES</v>
      </c>
      <c r="B16" s="288" t="str">
        <v>Outpatient Pulmonary Rehabilitation</v>
      </c>
      <c r="C16">
        <f ca="1">_xlfn.LET(
    _xlpm.base,'Master Data'!$B$6,
    _xlpm.txt,P16,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16" s="73">
        <f t="shared" ca="1" si="0"/>
        <v>2026</v>
      </c>
      <c r="E16">
        <f t="shared" ca="1" si="1"/>
        <v>127.3</v>
      </c>
      <c r="F16" s="73">
        <f t="shared" ca="1" si="2"/>
        <v>2027</v>
      </c>
      <c r="G16">
        <f t="shared" ca="1" si="3"/>
        <v>127.3</v>
      </c>
      <c r="H16" s="73">
        <f t="shared" ca="1" si="4"/>
        <v>2027</v>
      </c>
      <c r="I16" s="272">
        <v>336</v>
      </c>
      <c r="J16" s="272">
        <v>1938</v>
      </c>
      <c r="K16" s="73">
        <v>36</v>
      </c>
      <c r="L16">
        <v>72</v>
      </c>
      <c r="M16" t="str">
        <v/>
      </c>
      <c r="N16" t="str">
        <v/>
      </c>
      <c r="O16" t="str">
        <v>lifetime</v>
      </c>
      <c r="P16" s="317" t="str">
        <v>36-72x/lifetime</v>
      </c>
      <c r="Q16" s="317" t="str" cm="1">
        <f t="array" ref="Q16">_xlfn.LET(
    _xlpm.v, P16,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36-72x/lifetime</v>
      </c>
      <c r="S16" s="272" t="str" cm="1">
        <f t="array" ref="S16">IF(
   ISNUMBER(SEARCH("year",Q16)),
   _xlfn.LET(
      _xlpm.t,Q16,
      _xlpm.g,I16,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16" s="272" t="str" cm="1">
        <f t="array" ref="T16">IF(
   ISNUMBER(SEARCH("year",Q16)),
   _xlfn.LET(
      _xlpm.t,Q16,
      _xlpm.h,J16,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16" s="272">
        <f t="shared" si="5"/>
        <v>12096</v>
      </c>
      <c r="V16" s="272">
        <f t="shared" si="6"/>
        <v>139536</v>
      </c>
      <c r="W16" s="272"/>
      <c r="X16" s="272"/>
      <c r="Y16" s="272"/>
      <c r="Z16" s="272"/>
    </row>
    <row r="17" spans="1:26" x14ac:dyDescent="0.25">
      <c r="A17" t="str">
        <v>THERAPEUTIC MODALITIES</v>
      </c>
      <c r="B17" s="288" t="str">
        <v>Physical Therapy Evaluation</v>
      </c>
      <c r="C17">
        <f ca="1">_xlfn.LET(
    _xlpm.base,'Master Data'!$B$6,
    _xlpm.txt,P17,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17" s="73">
        <f t="shared" ca="1" si="0"/>
        <v>2026</v>
      </c>
      <c r="E17">
        <f t="shared" ca="1" si="1"/>
        <v>127.3</v>
      </c>
      <c r="F17" s="73">
        <f t="shared" ca="1" si="2"/>
        <v>2027</v>
      </c>
      <c r="G17">
        <f t="shared" ca="1" si="3"/>
        <v>127.3</v>
      </c>
      <c r="H17" s="73">
        <f t="shared" ca="1" si="4"/>
        <v>2027</v>
      </c>
      <c r="I17" s="272">
        <v>291</v>
      </c>
      <c r="J17" s="272">
        <v>291</v>
      </c>
      <c r="K17" s="73">
        <v>1</v>
      </c>
      <c r="L17" t="str">
        <v/>
      </c>
      <c r="M17" t="str">
        <v/>
      </c>
      <c r="N17" t="str">
        <v/>
      </c>
      <c r="O17" t="str">
        <v>lifetime</v>
      </c>
      <c r="P17" s="317" t="str">
        <v>1x/lifetime</v>
      </c>
      <c r="Q17" s="317" t="str" cm="1">
        <f t="array" ref="Q17">_xlfn.LET(
    _xlpm.v, P17,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1x/lifetime</v>
      </c>
      <c r="S17" s="272" t="str" cm="1">
        <f t="array" ref="S17">IF(
   ISNUMBER(SEARCH("year",Q17)),
   _xlfn.LET(
      _xlpm.t,Q17,
      _xlpm.g,I17,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17" s="272" t="str" cm="1">
        <f t="array" ref="T17">IF(
   ISNUMBER(SEARCH("year",Q17)),
   _xlfn.LET(
      _xlpm.t,Q17,
      _xlpm.h,J17,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17" s="272">
        <f t="shared" si="5"/>
        <v>291</v>
      </c>
      <c r="V17" s="272">
        <f t="shared" si="6"/>
        <v>291</v>
      </c>
      <c r="W17" s="272"/>
      <c r="X17" s="272"/>
      <c r="Y17" s="272"/>
      <c r="Z17" s="272"/>
    </row>
    <row r="18" spans="1:26" x14ac:dyDescent="0.25">
      <c r="A18" t="str">
        <v>THERAPEUTIC MODALITIES</v>
      </c>
      <c r="B18" s="288" t="str">
        <v>Physical Therapy Session</v>
      </c>
      <c r="C18">
        <f ca="1">_xlfn.LET(
    _xlpm.base,'Master Data'!$B$6,
    _xlpm.txt,P18,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18" s="73">
        <f t="shared" ca="1" si="0"/>
        <v>2026</v>
      </c>
      <c r="E18">
        <f t="shared" ca="1" si="1"/>
        <v>127.3</v>
      </c>
      <c r="F18" s="73">
        <f t="shared" ca="1" si="2"/>
        <v>2027</v>
      </c>
      <c r="G18">
        <f t="shared" ca="1" si="3"/>
        <v>127.3</v>
      </c>
      <c r="H18" s="73">
        <f t="shared" ca="1" si="4"/>
        <v>2027</v>
      </c>
      <c r="I18" s="272">
        <v>323</v>
      </c>
      <c r="J18" s="272">
        <v>407</v>
      </c>
      <c r="K18" s="73">
        <v>12</v>
      </c>
      <c r="L18" t="str">
        <v/>
      </c>
      <c r="M18" t="str">
        <v/>
      </c>
      <c r="N18" t="str">
        <v/>
      </c>
      <c r="O18" t="str">
        <v>lifetime</v>
      </c>
      <c r="P18" s="317" t="str">
        <v>12x/lifetime</v>
      </c>
      <c r="Q18" s="317" t="str" cm="1">
        <f t="array" ref="Q18">_xlfn.LET(
    _xlpm.v, P18,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12x/lifetime</v>
      </c>
      <c r="S18" s="272" t="str" cm="1">
        <f t="array" ref="S18">IF(
   ISNUMBER(SEARCH("year",Q18)),
   _xlfn.LET(
      _xlpm.t,Q18,
      _xlpm.g,I18,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18" s="272" t="str" cm="1">
        <f t="array" ref="T18">IF(
   ISNUMBER(SEARCH("year",Q18)),
   _xlfn.LET(
      _xlpm.t,Q18,
      _xlpm.h,J18,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18" s="272">
        <f t="shared" si="5"/>
        <v>3876</v>
      </c>
      <c r="V18" s="272">
        <f t="shared" si="6"/>
        <v>4884</v>
      </c>
      <c r="W18" s="272"/>
      <c r="X18" s="272"/>
      <c r="Y18" s="272"/>
      <c r="Z18" s="272"/>
    </row>
    <row r="19" spans="1:26" x14ac:dyDescent="0.25">
      <c r="A19" t="str">
        <v>DIAGNOSTICS</v>
      </c>
      <c r="B19" s="288" t="str">
        <v>Chest X-ray</v>
      </c>
      <c r="C19">
        <f ca="1">_xlfn.LET(
    _xlpm.base,'Master Data'!$B$6,
    _xlpm.txt,P19,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19" s="73">
        <f t="shared" ca="1" si="0"/>
        <v>2026</v>
      </c>
      <c r="E19">
        <f t="shared" ca="1" si="1"/>
        <v>127.3</v>
      </c>
      <c r="F19" s="73">
        <f t="shared" ca="1" si="2"/>
        <v>2027</v>
      </c>
      <c r="G19">
        <f t="shared" ca="1" si="3"/>
        <v>127.3</v>
      </c>
      <c r="H19" s="73">
        <f t="shared" ca="1" si="4"/>
        <v>2027</v>
      </c>
      <c r="I19" s="272">
        <v>88</v>
      </c>
      <c r="J19" s="272">
        <v>1887</v>
      </c>
      <c r="K19" s="73">
        <v>7</v>
      </c>
      <c r="L19" t="str">
        <v/>
      </c>
      <c r="M19" t="str">
        <v/>
      </c>
      <c r="N19" t="str">
        <v/>
      </c>
      <c r="O19" t="str">
        <v>lifetime</v>
      </c>
      <c r="P19" s="317" t="str">
        <v>7x/lifetime</v>
      </c>
      <c r="Q19" s="317" t="str" cm="1">
        <f t="array" ref="Q19">_xlfn.LET(
    _xlpm.v, P19,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1x/month, for 7 months</v>
      </c>
      <c r="S19" s="272" t="str" cm="1">
        <f t="array" ref="S19">IF(
   ISNUMBER(SEARCH("year",Q19)),
   _xlfn.LET(
      _xlpm.t,Q19,
      _xlpm.g,I19,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19" s="272" t="str" cm="1">
        <f t="array" ref="T19">IF(
   ISNUMBER(SEARCH("year",Q19)),
   _xlfn.LET(
      _xlpm.t,Q19,
      _xlpm.h,J19,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19" s="272">
        <f t="shared" si="5"/>
        <v>616</v>
      </c>
      <c r="V19" s="272">
        <f t="shared" si="6"/>
        <v>13209</v>
      </c>
      <c r="W19" s="272"/>
      <c r="X19" s="272"/>
      <c r="Y19" s="272"/>
      <c r="Z19" s="272"/>
    </row>
    <row r="20" spans="1:26" x14ac:dyDescent="0.25">
      <c r="A20" t="str">
        <v>DIAGNOSTICS</v>
      </c>
      <c r="B20" s="288" t="str">
        <v>Chest X-ray</v>
      </c>
      <c r="C20">
        <f ca="1">_xlfn.LET(
    _xlpm.base,'Master Data'!$B$6,
    _xlpm.txt,P20,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127.3</v>
      </c>
      <c r="D20" s="73">
        <f t="shared" ca="1" si="0"/>
        <v>2027</v>
      </c>
      <c r="E20">
        <f t="shared" ca="1" si="1"/>
        <v>131.30000000000001</v>
      </c>
      <c r="F20" s="73">
        <f t="shared" ca="1" si="2"/>
        <v>2031</v>
      </c>
      <c r="G20">
        <f t="shared" ca="1" si="3"/>
        <v>136.30000000000001</v>
      </c>
      <c r="H20" s="73">
        <f t="shared" ca="1" si="4"/>
        <v>2036</v>
      </c>
      <c r="I20" s="272">
        <v>88</v>
      </c>
      <c r="J20" s="272">
        <v>1887</v>
      </c>
      <c r="K20" s="73">
        <v>16</v>
      </c>
      <c r="L20">
        <v>36</v>
      </c>
      <c r="M20" t="str">
        <v/>
      </c>
      <c r="N20" t="str">
        <v/>
      </c>
      <c r="O20" t="str">
        <v>lifetime</v>
      </c>
      <c r="P20" s="317" t="str">
        <v>16-36x/lifetime</v>
      </c>
      <c r="Q20" s="317" t="str" cm="1">
        <f t="array" ref="Q20">_xlfn.LET(
    _xlpm.v, P20,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4x/year, for 4 to 9 years, beginning in 1 year</v>
      </c>
      <c r="S20" s="272" cm="1">
        <f t="array" ref="S20">IF(
   ISNUMBER(SEARCH("year",Q20)),
   _xlfn.LET(
      _xlpm.t,Q20,
      _xlpm.g,I20,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352</v>
      </c>
      <c r="T20" s="272" cm="1">
        <f t="array" ref="T20">IF(
   ISNUMBER(SEARCH("year",Q20)),
   _xlfn.LET(
      _xlpm.t,Q20,
      _xlpm.h,J20,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7548</v>
      </c>
      <c r="U20" s="272" t="str">
        <f t="shared" si="5"/>
        <v/>
      </c>
      <c r="V20" s="272" t="str">
        <f t="shared" si="6"/>
        <v/>
      </c>
      <c r="W20" s="272"/>
      <c r="X20" s="272"/>
      <c r="Y20" s="272"/>
      <c r="Z20" s="272"/>
    </row>
    <row r="21" spans="1:26" x14ac:dyDescent="0.25">
      <c r="A21" t="str">
        <v>DIAGNOSTICS</v>
      </c>
      <c r="B21" s="288" t="str">
        <v>Spirometry Test</v>
      </c>
      <c r="C21">
        <f ca="1">_xlfn.LET(
    _xlpm.base,'Master Data'!$B$6,
    _xlpm.txt,P21,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21" s="73">
        <f t="shared" ca="1" si="0"/>
        <v>2026</v>
      </c>
      <c r="E21">
        <f t="shared" ca="1" si="1"/>
        <v>127.3</v>
      </c>
      <c r="F21" s="73">
        <f t="shared" ca="1" si="2"/>
        <v>2027</v>
      </c>
      <c r="G21">
        <f t="shared" ca="1" si="3"/>
        <v>127.3</v>
      </c>
      <c r="H21" s="73">
        <f t="shared" ca="1" si="4"/>
        <v>2027</v>
      </c>
      <c r="I21" s="272">
        <v>126</v>
      </c>
      <c r="J21" s="272">
        <v>525</v>
      </c>
      <c r="K21" s="73">
        <v>7</v>
      </c>
      <c r="L21" t="str">
        <v/>
      </c>
      <c r="M21" t="str">
        <v/>
      </c>
      <c r="N21" t="str">
        <v/>
      </c>
      <c r="O21" t="str">
        <v>lifetime</v>
      </c>
      <c r="P21" s="317" t="str">
        <v>7x/lifetime</v>
      </c>
      <c r="Q21" s="317" t="str" cm="1">
        <f t="array" ref="Q21">_xlfn.LET(
    _xlpm.v, P21,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1x/month, for 7 months</v>
      </c>
      <c r="S21" s="272" t="str" cm="1">
        <f t="array" ref="S21">IF(
   ISNUMBER(SEARCH("year",Q21)),
   _xlfn.LET(
      _xlpm.t,Q21,
      _xlpm.g,I21,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21" s="272" t="str" cm="1">
        <f t="array" ref="T21">IF(
   ISNUMBER(SEARCH("year",Q21)),
   _xlfn.LET(
      _xlpm.t,Q21,
      _xlpm.h,J21,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21" s="272">
        <f t="shared" si="5"/>
        <v>882</v>
      </c>
      <c r="V21" s="272">
        <f t="shared" si="6"/>
        <v>3675</v>
      </c>
      <c r="W21" s="272"/>
      <c r="X21" s="272"/>
      <c r="Y21" s="272"/>
      <c r="Z21" s="272"/>
    </row>
    <row r="22" spans="1:26" x14ac:dyDescent="0.25">
      <c r="A22" t="str">
        <v>DIAGNOSTICS</v>
      </c>
      <c r="B22" s="288" t="str">
        <v>Spirometry Test</v>
      </c>
      <c r="C22">
        <f ca="1">_xlfn.LET(
    _xlpm.base,'Master Data'!$B$6,
    _xlpm.txt,P22,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127.3</v>
      </c>
      <c r="D22" s="73">
        <f t="shared" ca="1" si="0"/>
        <v>2027</v>
      </c>
      <c r="E22">
        <f t="shared" ca="1" si="1"/>
        <v>131.30000000000001</v>
      </c>
      <c r="F22" s="73">
        <f t="shared" ca="1" si="2"/>
        <v>2031</v>
      </c>
      <c r="G22">
        <f t="shared" ca="1" si="3"/>
        <v>136.30000000000001</v>
      </c>
      <c r="H22" s="73">
        <f t="shared" ca="1" si="4"/>
        <v>2036</v>
      </c>
      <c r="I22" s="272">
        <v>126</v>
      </c>
      <c r="J22" s="272">
        <v>525</v>
      </c>
      <c r="K22" s="73">
        <v>16</v>
      </c>
      <c r="L22">
        <v>36</v>
      </c>
      <c r="M22" t="str">
        <v/>
      </c>
      <c r="N22" t="str">
        <v/>
      </c>
      <c r="O22" t="str">
        <v>lifetime</v>
      </c>
      <c r="P22" s="317" t="str">
        <v>16-36x/lifetime</v>
      </c>
      <c r="Q22" s="317" t="str" cm="1">
        <f t="array" ref="Q22">_xlfn.LET(
    _xlpm.v, P22,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4x/year, for 4 to 9 years, beginning in 1 year</v>
      </c>
      <c r="S22" s="272" cm="1">
        <f t="array" ref="S22">IF(
   ISNUMBER(SEARCH("year",Q22)),
   _xlfn.LET(
      _xlpm.t,Q22,
      _xlpm.g,I22,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504</v>
      </c>
      <c r="T22" s="272" cm="1">
        <f t="array" ref="T22">IF(
   ISNUMBER(SEARCH("year",Q22)),
   _xlfn.LET(
      _xlpm.t,Q22,
      _xlpm.h,J22,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2100</v>
      </c>
      <c r="U22" s="272" t="str">
        <f t="shared" si="5"/>
        <v/>
      </c>
      <c r="V22" s="272" t="str">
        <f t="shared" si="6"/>
        <v/>
      </c>
      <c r="W22" s="272"/>
      <c r="X22" s="272"/>
      <c r="Y22" s="272"/>
      <c r="Z22" s="272"/>
    </row>
    <row r="23" spans="1:26" x14ac:dyDescent="0.25">
      <c r="A23" t="str">
        <v>DIAGNOSTICS</v>
      </c>
      <c r="B23" s="288" t="str">
        <v>Pulmonary Function Test</v>
      </c>
      <c r="C23">
        <f ca="1">_xlfn.LET(
    _xlpm.base,'Master Data'!$B$6,
    _xlpm.txt,P23,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23" s="73">
        <f t="shared" ca="1" si="0"/>
        <v>2026</v>
      </c>
      <c r="E23">
        <f t="shared" ca="1" si="1"/>
        <v>127.3</v>
      </c>
      <c r="F23" s="73">
        <f t="shared" ca="1" si="2"/>
        <v>2027</v>
      </c>
      <c r="G23">
        <f t="shared" ca="1" si="3"/>
        <v>127.3</v>
      </c>
      <c r="H23" s="73">
        <f t="shared" ca="1" si="4"/>
        <v>2027</v>
      </c>
      <c r="I23" s="272">
        <v>843</v>
      </c>
      <c r="J23" s="272">
        <v>7172</v>
      </c>
      <c r="K23" s="73">
        <v>7</v>
      </c>
      <c r="L23" t="str">
        <v/>
      </c>
      <c r="M23" t="str">
        <v/>
      </c>
      <c r="N23" t="str">
        <v/>
      </c>
      <c r="O23" t="str">
        <v>lifetime</v>
      </c>
      <c r="P23" s="317" t="str">
        <v>7x/lifetime</v>
      </c>
      <c r="Q23" s="317" t="str" cm="1">
        <f t="array" ref="Q23">_xlfn.LET(
    _xlpm.v, P23,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1x/month, for 7 months</v>
      </c>
      <c r="S23" s="272" t="str" cm="1">
        <f t="array" ref="S23">IF(
   ISNUMBER(SEARCH("year",Q23)),
   _xlfn.LET(
      _xlpm.t,Q23,
      _xlpm.g,I23,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23" s="272" t="str" cm="1">
        <f t="array" ref="T23">IF(
   ISNUMBER(SEARCH("year",Q23)),
   _xlfn.LET(
      _xlpm.t,Q23,
      _xlpm.h,J23,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23" s="272">
        <f t="shared" si="5"/>
        <v>5901</v>
      </c>
      <c r="V23" s="272">
        <f t="shared" si="6"/>
        <v>50204</v>
      </c>
      <c r="W23" s="272"/>
      <c r="X23" s="272"/>
      <c r="Y23" s="272"/>
      <c r="Z23" s="272"/>
    </row>
    <row r="24" spans="1:26" x14ac:dyDescent="0.25">
      <c r="A24" t="str">
        <v>DIAGNOSTICS</v>
      </c>
      <c r="B24" s="288" t="str">
        <v>Pulmonary Function Test</v>
      </c>
      <c r="C24">
        <f ca="1">_xlfn.LET(
    _xlpm.base,'Master Data'!$B$6,
    _xlpm.txt,P24,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127.3</v>
      </c>
      <c r="D24" s="73">
        <f t="shared" ca="1" si="0"/>
        <v>2027</v>
      </c>
      <c r="E24">
        <f t="shared" ca="1" si="1"/>
        <v>131.30000000000001</v>
      </c>
      <c r="F24" s="73">
        <f t="shared" ca="1" si="2"/>
        <v>2031</v>
      </c>
      <c r="G24">
        <f t="shared" ca="1" si="3"/>
        <v>136.30000000000001</v>
      </c>
      <c r="H24" s="73">
        <f t="shared" ca="1" si="4"/>
        <v>2036</v>
      </c>
      <c r="I24" s="272">
        <v>843</v>
      </c>
      <c r="J24" s="272">
        <v>7172</v>
      </c>
      <c r="K24" s="73">
        <v>16</v>
      </c>
      <c r="L24">
        <v>36</v>
      </c>
      <c r="M24" t="str">
        <v/>
      </c>
      <c r="N24" t="str">
        <v/>
      </c>
      <c r="O24" t="str">
        <v>lifetime</v>
      </c>
      <c r="P24" s="317" t="str">
        <v>16-36x/lifetime</v>
      </c>
      <c r="Q24" s="317" t="str" cm="1">
        <f t="array" ref="Q24">_xlfn.LET(
    _xlpm.v, P24,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4x/year, for 4 to 9 years, beginning in 1 year</v>
      </c>
      <c r="S24" s="272" cm="1">
        <f t="array" ref="S24">IF(
   ISNUMBER(SEARCH("year",Q24)),
   _xlfn.LET(
      _xlpm.t,Q24,
      _xlpm.g,I24,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3372</v>
      </c>
      <c r="T24" s="272" cm="1">
        <f t="array" ref="T24">IF(
   ISNUMBER(SEARCH("year",Q24)),
   _xlfn.LET(
      _xlpm.t,Q24,
      _xlpm.h,J24,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28688</v>
      </c>
      <c r="U24" s="272" t="str">
        <f t="shared" si="5"/>
        <v/>
      </c>
      <c r="V24" s="272" t="str">
        <f t="shared" si="6"/>
        <v/>
      </c>
      <c r="W24" s="272"/>
      <c r="X24" s="272"/>
      <c r="Y24" s="272"/>
      <c r="Z24" s="272"/>
    </row>
    <row r="25" spans="1:26" x14ac:dyDescent="0.25">
      <c r="A25" t="str">
        <v>DIAGNOSTICS</v>
      </c>
      <c r="B25" s="288" t="str">
        <v>Prograf Level</v>
      </c>
      <c r="C25">
        <f ca="1">_xlfn.LET(
    _xlpm.base,'Master Data'!$B$6,
    _xlpm.txt,P25,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25" s="73">
        <f t="shared" ca="1" si="0"/>
        <v>2026</v>
      </c>
      <c r="E25">
        <f t="shared" ca="1" si="1"/>
        <v>127.3</v>
      </c>
      <c r="F25" s="73">
        <f t="shared" ca="1" si="2"/>
        <v>2027</v>
      </c>
      <c r="G25">
        <f t="shared" ca="1" si="3"/>
        <v>127.3</v>
      </c>
      <c r="H25" s="73">
        <f t="shared" ca="1" si="4"/>
        <v>2027</v>
      </c>
      <c r="I25" s="272">
        <v>157</v>
      </c>
      <c r="J25" s="272">
        <v>157</v>
      </c>
      <c r="K25" s="73">
        <v>7</v>
      </c>
      <c r="L25" t="str">
        <v/>
      </c>
      <c r="M25" t="str">
        <v/>
      </c>
      <c r="N25" t="str">
        <v/>
      </c>
      <c r="O25" t="str">
        <v>lifetime</v>
      </c>
      <c r="P25" s="317" t="str">
        <v>7x/lifetime</v>
      </c>
      <c r="Q25" s="317" t="str" cm="1">
        <f t="array" ref="Q25">_xlfn.LET(
    _xlpm.v, P25,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1x/month, for 7 months</v>
      </c>
      <c r="S25" s="272" t="str" cm="1">
        <f t="array" ref="S25">IF(
   ISNUMBER(SEARCH("year",Q25)),
   _xlfn.LET(
      _xlpm.t,Q25,
      _xlpm.g,I25,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25" s="272" t="str" cm="1">
        <f t="array" ref="T25">IF(
   ISNUMBER(SEARCH("year",Q25)),
   _xlfn.LET(
      _xlpm.t,Q25,
      _xlpm.h,J25,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25" s="272">
        <f t="shared" si="5"/>
        <v>1099</v>
      </c>
      <c r="V25" s="272">
        <f t="shared" si="6"/>
        <v>1099</v>
      </c>
      <c r="W25" s="272"/>
      <c r="X25" s="272"/>
      <c r="Y25" s="272"/>
      <c r="Z25" s="272"/>
    </row>
    <row r="26" spans="1:26" x14ac:dyDescent="0.25">
      <c r="A26" t="str">
        <v>DIAGNOSTICS</v>
      </c>
      <c r="B26" s="288" t="str">
        <v>Prograf Level</v>
      </c>
      <c r="C26">
        <f ca="1">_xlfn.LET(
    _xlpm.base,'Master Data'!$B$6,
    _xlpm.txt,P26,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127.3</v>
      </c>
      <c r="D26" s="73">
        <f t="shared" ca="1" si="0"/>
        <v>2027</v>
      </c>
      <c r="E26">
        <f t="shared" ca="1" si="1"/>
        <v>131.30000000000001</v>
      </c>
      <c r="F26" s="73">
        <f t="shared" ca="1" si="2"/>
        <v>2031</v>
      </c>
      <c r="G26">
        <f t="shared" ca="1" si="3"/>
        <v>136.30000000000001</v>
      </c>
      <c r="H26" s="73">
        <f t="shared" ca="1" si="4"/>
        <v>2036</v>
      </c>
      <c r="I26" s="272">
        <v>157</v>
      </c>
      <c r="J26" s="272">
        <v>157</v>
      </c>
      <c r="K26" s="73">
        <v>16</v>
      </c>
      <c r="L26">
        <v>36</v>
      </c>
      <c r="M26" t="str">
        <v/>
      </c>
      <c r="N26" t="str">
        <v/>
      </c>
      <c r="O26" t="str">
        <v>lifetime</v>
      </c>
      <c r="P26" s="317" t="str">
        <v>16-36x/lifetime</v>
      </c>
      <c r="Q26" s="317" t="str" cm="1">
        <f t="array" ref="Q26">_xlfn.LET(
    _xlpm.v, P26,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4x/year, for 4 to 9 years, beginning in 1 year</v>
      </c>
      <c r="S26" s="272" cm="1">
        <f t="array" ref="S26">IF(
   ISNUMBER(SEARCH("year",Q26)),
   _xlfn.LET(
      _xlpm.t,Q26,
      _xlpm.g,I26,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628</v>
      </c>
      <c r="T26" s="272" cm="1">
        <f t="array" ref="T26">IF(
   ISNUMBER(SEARCH("year",Q26)),
   _xlfn.LET(
      _xlpm.t,Q26,
      _xlpm.h,J26,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628</v>
      </c>
      <c r="U26" s="272" t="str">
        <f t="shared" si="5"/>
        <v/>
      </c>
      <c r="V26" s="272" t="str">
        <f t="shared" si="6"/>
        <v/>
      </c>
      <c r="W26" s="272"/>
      <c r="X26" s="272"/>
      <c r="Y26" s="272"/>
      <c r="Z26" s="272"/>
    </row>
    <row r="27" spans="1:26" x14ac:dyDescent="0.25">
      <c r="A27" t="str">
        <v>DIAGNOSTICS</v>
      </c>
      <c r="B27" s="288" t="str">
        <v>CMP</v>
      </c>
      <c r="C27">
        <f ca="1">_xlfn.LET(
    _xlpm.base,'Master Data'!$B$6,
    _xlpm.txt,P27,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27" s="73">
        <f t="shared" ca="1" si="0"/>
        <v>2026</v>
      </c>
      <c r="E27">
        <f t="shared" ca="1" si="1"/>
        <v>127.3</v>
      </c>
      <c r="F27" s="73">
        <f t="shared" ca="1" si="2"/>
        <v>2027</v>
      </c>
      <c r="G27">
        <f t="shared" ca="1" si="3"/>
        <v>127.3</v>
      </c>
      <c r="H27" s="73">
        <f t="shared" ca="1" si="4"/>
        <v>2027</v>
      </c>
      <c r="I27" s="272">
        <v>109</v>
      </c>
      <c r="J27" s="272">
        <v>109</v>
      </c>
      <c r="K27" s="73">
        <v>7</v>
      </c>
      <c r="L27" t="str">
        <v/>
      </c>
      <c r="M27" t="str">
        <v/>
      </c>
      <c r="N27" t="str">
        <v/>
      </c>
      <c r="O27" t="str">
        <v>lifetime</v>
      </c>
      <c r="P27" s="317" t="str">
        <v>7x/lifetime</v>
      </c>
      <c r="Q27" s="317" t="str" cm="1">
        <f t="array" ref="Q27">_xlfn.LET(
    _xlpm.v, P27,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1x/month, for 7 months</v>
      </c>
      <c r="S27" s="272" t="str" cm="1">
        <f t="array" ref="S27">IF(
   ISNUMBER(SEARCH("year",Q27)),
   _xlfn.LET(
      _xlpm.t,Q27,
      _xlpm.g,I27,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27" s="272" t="str" cm="1">
        <f t="array" ref="T27">IF(
   ISNUMBER(SEARCH("year",Q27)),
   _xlfn.LET(
      _xlpm.t,Q27,
      _xlpm.h,J27,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27" s="272">
        <f t="shared" si="5"/>
        <v>763</v>
      </c>
      <c r="V27" s="272">
        <f t="shared" si="6"/>
        <v>763</v>
      </c>
      <c r="W27" s="272"/>
      <c r="X27" s="272"/>
      <c r="Y27" s="272"/>
      <c r="Z27" s="272"/>
    </row>
    <row r="28" spans="1:26" x14ac:dyDescent="0.25">
      <c r="A28" t="str">
        <v>DIAGNOSTICS</v>
      </c>
      <c r="B28" s="288" t="str">
        <v>CMP</v>
      </c>
      <c r="C28">
        <f ca="1">_xlfn.LET(
    _xlpm.base,'Master Data'!$B$6,
    _xlpm.txt,P28,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127.3</v>
      </c>
      <c r="D28" s="73">
        <f t="shared" ca="1" si="0"/>
        <v>2027</v>
      </c>
      <c r="E28">
        <f t="shared" ca="1" si="1"/>
        <v>131.30000000000001</v>
      </c>
      <c r="F28" s="73">
        <f t="shared" ca="1" si="2"/>
        <v>2031</v>
      </c>
      <c r="G28">
        <f t="shared" ca="1" si="3"/>
        <v>136.30000000000001</v>
      </c>
      <c r="H28" s="73">
        <f t="shared" ca="1" si="4"/>
        <v>2036</v>
      </c>
      <c r="I28" s="272">
        <v>109</v>
      </c>
      <c r="J28" s="272">
        <v>109</v>
      </c>
      <c r="K28" s="73">
        <v>16</v>
      </c>
      <c r="L28">
        <v>36</v>
      </c>
      <c r="M28" t="str">
        <v/>
      </c>
      <c r="N28" t="str">
        <v/>
      </c>
      <c r="O28" t="str">
        <v>lifetime</v>
      </c>
      <c r="P28" s="317" t="str">
        <v>16-36x/lifetime</v>
      </c>
      <c r="Q28" s="317" t="str" cm="1">
        <f t="array" ref="Q28">_xlfn.LET(
    _xlpm.v, P28,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4x/year, for 4 to 9 years, beginning in 1 year</v>
      </c>
      <c r="S28" s="272" cm="1">
        <f t="array" ref="S28">IF(
   ISNUMBER(SEARCH("year",Q28)),
   _xlfn.LET(
      _xlpm.t,Q28,
      _xlpm.g,I28,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436</v>
      </c>
      <c r="T28" s="272" cm="1">
        <f t="array" ref="T28">IF(
   ISNUMBER(SEARCH("year",Q28)),
   _xlfn.LET(
      _xlpm.t,Q28,
      _xlpm.h,J28,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436</v>
      </c>
      <c r="U28" s="272" t="str">
        <f t="shared" si="5"/>
        <v/>
      </c>
      <c r="V28" s="272" t="str">
        <f t="shared" si="6"/>
        <v/>
      </c>
      <c r="W28" s="272"/>
      <c r="X28" s="272"/>
      <c r="Y28" s="272"/>
      <c r="Z28" s="272"/>
    </row>
    <row r="29" spans="1:26" x14ac:dyDescent="0.25">
      <c r="A29" t="str">
        <v>DIAGNOSTICS</v>
      </c>
      <c r="B29" s="288" t="str">
        <v>CBC</v>
      </c>
      <c r="C29">
        <f ca="1">_xlfn.LET(
    _xlpm.base,'Master Data'!$B$6,
    _xlpm.txt,P29,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29" s="73">
        <f t="shared" ca="1" si="0"/>
        <v>2026</v>
      </c>
      <c r="E29">
        <f t="shared" ca="1" si="1"/>
        <v>127.3</v>
      </c>
      <c r="F29" s="73">
        <f t="shared" ca="1" si="2"/>
        <v>2027</v>
      </c>
      <c r="G29">
        <f t="shared" ca="1" si="3"/>
        <v>127.3</v>
      </c>
      <c r="H29" s="73">
        <f t="shared" ca="1" si="4"/>
        <v>2027</v>
      </c>
      <c r="I29" s="272">
        <v>48</v>
      </c>
      <c r="J29" s="272">
        <v>48</v>
      </c>
      <c r="K29" s="73">
        <v>7</v>
      </c>
      <c r="L29" t="str">
        <v/>
      </c>
      <c r="M29" t="str">
        <v/>
      </c>
      <c r="N29" t="str">
        <v/>
      </c>
      <c r="O29" t="str">
        <v>lifetime</v>
      </c>
      <c r="P29" s="317" t="str">
        <v>7x/lifetime</v>
      </c>
      <c r="Q29" s="317" t="str" cm="1">
        <f t="array" ref="Q29">_xlfn.LET(
    _xlpm.v, P29,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1x/month, for 7 months</v>
      </c>
      <c r="S29" s="272" t="str" cm="1">
        <f t="array" ref="S29">IF(
   ISNUMBER(SEARCH("year",Q29)),
   _xlfn.LET(
      _xlpm.t,Q29,
      _xlpm.g,I29,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29" s="272" t="str" cm="1">
        <f t="array" ref="T29">IF(
   ISNUMBER(SEARCH("year",Q29)),
   _xlfn.LET(
      _xlpm.t,Q29,
      _xlpm.h,J29,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29" s="272">
        <f t="shared" si="5"/>
        <v>336</v>
      </c>
      <c r="V29" s="272">
        <f t="shared" si="6"/>
        <v>336</v>
      </c>
      <c r="W29" s="272"/>
      <c r="X29" s="272"/>
      <c r="Y29" s="272"/>
      <c r="Z29" s="272"/>
    </row>
    <row r="30" spans="1:26" x14ac:dyDescent="0.25">
      <c r="A30" t="str">
        <v>DIAGNOSTICS</v>
      </c>
      <c r="B30" s="288" t="str">
        <v>CBC</v>
      </c>
      <c r="C30">
        <f ca="1">_xlfn.LET(
    _xlpm.base,'Master Data'!$B$6,
    _xlpm.txt,P30,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127.3</v>
      </c>
      <c r="D30" s="73">
        <f t="shared" ca="1" si="0"/>
        <v>2027</v>
      </c>
      <c r="E30">
        <f t="shared" ca="1" si="1"/>
        <v>131.30000000000001</v>
      </c>
      <c r="F30" s="73">
        <f t="shared" ca="1" si="2"/>
        <v>2031</v>
      </c>
      <c r="G30">
        <f t="shared" ca="1" si="3"/>
        <v>136.30000000000001</v>
      </c>
      <c r="H30" s="73">
        <f t="shared" ca="1" si="4"/>
        <v>2036</v>
      </c>
      <c r="I30" s="272">
        <v>48</v>
      </c>
      <c r="J30" s="272">
        <v>48</v>
      </c>
      <c r="K30" s="73">
        <v>16</v>
      </c>
      <c r="L30">
        <v>36</v>
      </c>
      <c r="M30" t="str">
        <v/>
      </c>
      <c r="N30" t="str">
        <v/>
      </c>
      <c r="O30" t="str">
        <v>lifetime</v>
      </c>
      <c r="P30" s="317" t="str">
        <v>16-36x/lifetime</v>
      </c>
      <c r="Q30" s="317" t="str" cm="1">
        <f t="array" ref="Q30">_xlfn.LET(
    _xlpm.v, P30,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4x/year, for 4 to 9 years, beginning in 1 year</v>
      </c>
      <c r="S30" s="272" cm="1">
        <f t="array" ref="S30">IF(
   ISNUMBER(SEARCH("year",Q30)),
   _xlfn.LET(
      _xlpm.t,Q30,
      _xlpm.g,I30,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192</v>
      </c>
      <c r="T30" s="272" cm="1">
        <f t="array" ref="T30">IF(
   ISNUMBER(SEARCH("year",Q30)),
   _xlfn.LET(
      _xlpm.t,Q30,
      _xlpm.h,J30,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192</v>
      </c>
      <c r="U30" s="272" t="str">
        <f t="shared" si="5"/>
        <v/>
      </c>
      <c r="V30" s="272" t="str">
        <f t="shared" si="6"/>
        <v/>
      </c>
      <c r="W30" s="272"/>
      <c r="X30" s="272"/>
      <c r="Y30" s="272"/>
      <c r="Z30" s="272"/>
    </row>
    <row r="31" spans="1:26" x14ac:dyDescent="0.25">
      <c r="A31" t="str">
        <v>DIAGNOSTICS</v>
      </c>
      <c r="B31" s="288" t="str">
        <v>Chest CT Scan</v>
      </c>
      <c r="C31">
        <f ca="1">_xlfn.LET(
    _xlpm.base,'Master Data'!$B$6,
    _xlpm.txt,P31,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31" s="73">
        <f t="shared" ca="1" si="0"/>
        <v>2026</v>
      </c>
      <c r="E31">
        <f t="shared" ca="1" si="1"/>
        <v>131.30000000000001</v>
      </c>
      <c r="F31" s="73">
        <f t="shared" ca="1" si="2"/>
        <v>2031</v>
      </c>
      <c r="G31">
        <f t="shared" ca="1" si="3"/>
        <v>136.30000000000001</v>
      </c>
      <c r="H31" s="73">
        <f t="shared" ca="1" si="4"/>
        <v>2036</v>
      </c>
      <c r="I31" s="272">
        <v>1518</v>
      </c>
      <c r="J31" s="272">
        <v>7485</v>
      </c>
      <c r="K31" s="73">
        <v>5</v>
      </c>
      <c r="L31">
        <v>10</v>
      </c>
      <c r="M31" t="str">
        <v/>
      </c>
      <c r="N31" t="str">
        <v/>
      </c>
      <c r="O31" t="str">
        <v>lifetime</v>
      </c>
      <c r="P31" s="317" t="str">
        <v>5-10x/lifetime</v>
      </c>
      <c r="Q31" s="317" t="str" cm="1">
        <f t="array" ref="Q31">_xlfn.LET(
    _xlpm.v, P31,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1x/year, for 5 to 10 years</v>
      </c>
      <c r="S31" s="272" cm="1">
        <f t="array" ref="S31">IF(
   ISNUMBER(SEARCH("year",Q31)),
   _xlfn.LET(
      _xlpm.t,Q31,
      _xlpm.g,I31,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1518</v>
      </c>
      <c r="T31" s="272" cm="1">
        <f t="array" ref="T31">IF(
   ISNUMBER(SEARCH("year",Q31)),
   _xlfn.LET(
      _xlpm.t,Q31,
      _xlpm.h,J31,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7485</v>
      </c>
      <c r="U31" s="272" t="str">
        <f t="shared" si="5"/>
        <v/>
      </c>
      <c r="V31" s="272" t="str">
        <f t="shared" si="6"/>
        <v/>
      </c>
      <c r="W31" s="355"/>
      <c r="X31" s="355"/>
      <c r="Y31" s="272"/>
      <c r="Z31" s="272"/>
    </row>
    <row r="32" spans="1:26" x14ac:dyDescent="0.25">
      <c r="A32" t="str">
        <v>DIAGNOSTICS</v>
      </c>
      <c r="B32" s="288" t="str">
        <v>Tacrolimus Test</v>
      </c>
      <c r="C32">
        <f ca="1">_xlfn.LET(
    _xlpm.base,'Master Data'!$B$6,
    _xlpm.txt,P32,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32" s="73">
        <f t="shared" ca="1" si="0"/>
        <v>2026</v>
      </c>
      <c r="E32">
        <f t="shared" ca="1" si="1"/>
        <v>131.30000000000001</v>
      </c>
      <c r="F32" s="73">
        <f t="shared" ca="1" si="2"/>
        <v>2031</v>
      </c>
      <c r="G32">
        <f t="shared" ca="1" si="3"/>
        <v>136.30000000000001</v>
      </c>
      <c r="H32" s="73">
        <f t="shared" ca="1" si="4"/>
        <v>2036</v>
      </c>
      <c r="I32" s="272">
        <v>157</v>
      </c>
      <c r="J32" s="272">
        <v>157</v>
      </c>
      <c r="K32" s="73">
        <v>20</v>
      </c>
      <c r="L32">
        <v>40</v>
      </c>
      <c r="M32" t="str">
        <v/>
      </c>
      <c r="N32" t="str">
        <v/>
      </c>
      <c r="O32" t="str">
        <v>lifetime</v>
      </c>
      <c r="P32" s="317" t="str">
        <v>20-40x/lifetime</v>
      </c>
      <c r="Q32" s="317" t="str" cm="1">
        <f t="array" ref="Q32">_xlfn.LET(
    _xlpm.v, P32,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4x/year, for 5 to 10 years</v>
      </c>
      <c r="S32" s="272" cm="1">
        <f t="array" ref="S32">IF(
   ISNUMBER(SEARCH("year",Q32)),
   _xlfn.LET(
      _xlpm.t,Q32,
      _xlpm.g,I32,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628</v>
      </c>
      <c r="T32" s="272" cm="1">
        <f t="array" ref="T32">IF(
   ISNUMBER(SEARCH("year",Q32)),
   _xlfn.LET(
      _xlpm.t,Q32,
      _xlpm.h,J32,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628</v>
      </c>
      <c r="U32" s="272" t="str">
        <f t="shared" si="5"/>
        <v/>
      </c>
      <c r="V32" s="272" t="str">
        <f t="shared" si="6"/>
        <v/>
      </c>
      <c r="W32" s="355"/>
      <c r="X32" s="355"/>
      <c r="Y32" s="272"/>
      <c r="Z32" s="272"/>
    </row>
    <row r="33" spans="1:26" x14ac:dyDescent="0.25">
      <c r="A33" t="str">
        <v>DIAGNOSTICS</v>
      </c>
      <c r="B33" s="288" t="str">
        <v>Quantitative CMV DNA PCR</v>
      </c>
      <c r="C33">
        <f ca="1">_xlfn.LET(
    _xlpm.base,'Master Data'!$B$6,
    _xlpm.txt,P33,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33" s="73">
        <f t="shared" ca="1" si="0"/>
        <v>2026</v>
      </c>
      <c r="E33">
        <f t="shared" ca="1" si="1"/>
        <v>131.30000000000001</v>
      </c>
      <c r="F33" s="73">
        <f t="shared" ca="1" si="2"/>
        <v>2031</v>
      </c>
      <c r="G33">
        <f t="shared" ca="1" si="3"/>
        <v>136.30000000000001</v>
      </c>
      <c r="H33" s="73">
        <f t="shared" ca="1" si="4"/>
        <v>2036</v>
      </c>
      <c r="I33" s="272">
        <v>454</v>
      </c>
      <c r="J33" s="272">
        <v>454</v>
      </c>
      <c r="K33" s="73">
        <v>20</v>
      </c>
      <c r="L33">
        <v>40</v>
      </c>
      <c r="M33" t="str">
        <v/>
      </c>
      <c r="N33" t="str">
        <v/>
      </c>
      <c r="O33" t="str">
        <v>lifetime</v>
      </c>
      <c r="P33" s="317" t="str">
        <v>20-40x/lifetime</v>
      </c>
      <c r="Q33" s="317" t="str" cm="1">
        <f t="array" ref="Q33">_xlfn.LET(
    _xlpm.v, P33,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4x/year, for 5 to 10 years</v>
      </c>
      <c r="S33" s="272" cm="1">
        <f t="array" ref="S33">IF(
   ISNUMBER(SEARCH("year",Q33)),
   _xlfn.LET(
      _xlpm.t,Q33,
      _xlpm.g,I33,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1816</v>
      </c>
      <c r="T33" s="272" cm="1">
        <f t="array" ref="T33">IF(
   ISNUMBER(SEARCH("year",Q33)),
   _xlfn.LET(
      _xlpm.t,Q33,
      _xlpm.h,J33,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1816</v>
      </c>
      <c r="U33" s="272" t="str">
        <f t="shared" si="5"/>
        <v/>
      </c>
      <c r="V33" s="272" t="str">
        <f t="shared" si="6"/>
        <v/>
      </c>
      <c r="W33" s="355"/>
      <c r="X33" s="355"/>
      <c r="Y33" s="272"/>
      <c r="Z33" s="272"/>
    </row>
    <row r="34" spans="1:26" x14ac:dyDescent="0.25">
      <c r="A34" t="str">
        <v>DIAGNOSTICS</v>
      </c>
      <c r="B34" s="288" t="str">
        <v>Prospera Lung Test</v>
      </c>
      <c r="C34">
        <f ca="1">_xlfn.LET(
    _xlpm.base,'Master Data'!$B$6,
    _xlpm.txt,P34,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34" s="73">
        <f t="shared" ca="1" si="0"/>
        <v>2026</v>
      </c>
      <c r="E34">
        <f t="shared" ca="1" si="1"/>
        <v>131.30000000000001</v>
      </c>
      <c r="F34" s="73">
        <f t="shared" ca="1" si="2"/>
        <v>2031</v>
      </c>
      <c r="G34">
        <f t="shared" ca="1" si="3"/>
        <v>136.30000000000001</v>
      </c>
      <c r="H34" s="73">
        <f t="shared" ca="1" si="4"/>
        <v>2036</v>
      </c>
      <c r="I34" s="272">
        <v>3249</v>
      </c>
      <c r="J34" s="272">
        <v>3249</v>
      </c>
      <c r="K34" s="73">
        <v>20</v>
      </c>
      <c r="L34">
        <v>40</v>
      </c>
      <c r="M34" t="str">
        <v/>
      </c>
      <c r="N34" t="str">
        <v/>
      </c>
      <c r="O34" t="str">
        <v>lifetime</v>
      </c>
      <c r="P34" s="317" t="str">
        <v>20-40x/lifetime</v>
      </c>
      <c r="Q34" s="317" t="str" cm="1">
        <f t="array" ref="Q34">_xlfn.LET(
    _xlpm.v, P34,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4x/year, for 5 to 10 years</v>
      </c>
      <c r="S34" s="272" cm="1">
        <f t="array" ref="S34">IF(
   ISNUMBER(SEARCH("year",Q34)),
   _xlfn.LET(
      _xlpm.t,Q34,
      _xlpm.g,I34,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12996</v>
      </c>
      <c r="T34" s="272" cm="1">
        <f t="array" ref="T34">IF(
   ISNUMBER(SEARCH("year",Q34)),
   _xlfn.LET(
      _xlpm.t,Q34,
      _xlpm.h,J34,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12996</v>
      </c>
      <c r="U34" s="272" t="str">
        <f t="shared" si="5"/>
        <v/>
      </c>
      <c r="V34" s="272" t="str">
        <f t="shared" si="6"/>
        <v/>
      </c>
      <c r="W34" s="355"/>
      <c r="X34" s="355"/>
      <c r="Y34" s="272"/>
      <c r="Z34" s="272"/>
    </row>
    <row r="35" spans="1:26" x14ac:dyDescent="0.25">
      <c r="A35" t="str">
        <v>DIAGNOSTICS</v>
      </c>
      <c r="B35" s="288" t="str">
        <v>HLA Immunogenetic Lab Studies</v>
      </c>
      <c r="C35">
        <f ca="1">_xlfn.LET(
    _xlpm.base,'Master Data'!$B$6,
    _xlpm.txt,P35,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35" s="73">
        <f t="shared" ca="1" si="0"/>
        <v>2026</v>
      </c>
      <c r="E35">
        <f t="shared" ca="1" si="1"/>
        <v>131.30000000000001</v>
      </c>
      <c r="F35" s="73">
        <f t="shared" ca="1" si="2"/>
        <v>2031</v>
      </c>
      <c r="G35">
        <f t="shared" ca="1" si="3"/>
        <v>136.30000000000001</v>
      </c>
      <c r="H35" s="73">
        <f t="shared" ca="1" si="4"/>
        <v>2036</v>
      </c>
      <c r="I35" s="272">
        <v>354</v>
      </c>
      <c r="J35" s="272">
        <v>354</v>
      </c>
      <c r="K35" s="73">
        <v>20</v>
      </c>
      <c r="L35">
        <v>40</v>
      </c>
      <c r="M35" t="str">
        <v/>
      </c>
      <c r="N35" t="str">
        <v/>
      </c>
      <c r="O35" t="str">
        <v>lifetime</v>
      </c>
      <c r="P35" s="317" t="str">
        <v>20-40x/lifetime</v>
      </c>
      <c r="Q35" s="317" t="str" cm="1">
        <f t="array" ref="Q35">_xlfn.LET(
    _xlpm.v, P35,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4x/year, for 5 to 10 years</v>
      </c>
      <c r="S35" s="272" cm="1">
        <f t="array" ref="S35">IF(
   ISNUMBER(SEARCH("year",Q35)),
   _xlfn.LET(
      _xlpm.t,Q35,
      _xlpm.g,I35,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1416</v>
      </c>
      <c r="T35" s="272" cm="1">
        <f t="array" ref="T35">IF(
   ISNUMBER(SEARCH("year",Q35)),
   _xlfn.LET(
      _xlpm.t,Q35,
      _xlpm.h,J35,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1416</v>
      </c>
      <c r="U35" s="272" t="str">
        <f t="shared" si="5"/>
        <v/>
      </c>
      <c r="V35" s="272" t="str">
        <f t="shared" si="6"/>
        <v/>
      </c>
      <c r="W35" s="355"/>
      <c r="X35" s="355"/>
      <c r="Y35" s="272"/>
      <c r="Z35" s="272"/>
    </row>
    <row r="36" spans="1:26" x14ac:dyDescent="0.25">
      <c r="A36" t="str">
        <v>MEDICATIONS</v>
      </c>
      <c r="B36" s="288" t="str">
        <v>Tacrolimus (Prograf) 0.5 to 5mg</v>
      </c>
      <c r="C36">
        <f ca="1">_xlfn.LET(
    _xlpm.base,'Master Data'!$B$6,
    _xlpm.txt,P36,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36" s="73">
        <f t="shared" ca="1" si="0"/>
        <v>2026</v>
      </c>
      <c r="E36">
        <f t="shared" ca="1" si="1"/>
        <v>131.30000000000001</v>
      </c>
      <c r="F36" s="73">
        <f t="shared" ca="1" si="2"/>
        <v>2031</v>
      </c>
      <c r="G36">
        <f t="shared" ca="1" si="3"/>
        <v>136.30000000000001</v>
      </c>
      <c r="H36" s="73">
        <f t="shared" ca="1" si="4"/>
        <v>2036</v>
      </c>
      <c r="I36" s="272">
        <v>1.33</v>
      </c>
      <c r="J36" s="272">
        <v>20.98</v>
      </c>
      <c r="K36" s="73">
        <v>3650</v>
      </c>
      <c r="L36">
        <v>7300</v>
      </c>
      <c r="M36" t="str">
        <v/>
      </c>
      <c r="N36" t="str">
        <v/>
      </c>
      <c r="O36" t="str">
        <v>lifetime</v>
      </c>
      <c r="P36" s="317" t="str">
        <v>3650-7300x/lifetime</v>
      </c>
      <c r="Q36" s="317" t="str" cm="1">
        <f t="array" ref="Q36">_xlfn.LET(
    _xlpm.v, P36,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2x/day, for 5 to 10 years</v>
      </c>
      <c r="S36" s="272" cm="1">
        <f t="array" ref="S36">IF(
   ISNUMBER(SEARCH("year",Q36)),
   _xlfn.LET(
      _xlpm.t,Q36,
      _xlpm.g,I36,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970.90000000000009</v>
      </c>
      <c r="T36" s="272" cm="1">
        <f t="array" ref="T36">IF(
   ISNUMBER(SEARCH("year",Q36)),
   _xlfn.LET(
      _xlpm.t,Q36,
      _xlpm.h,J36,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15315.4</v>
      </c>
      <c r="U36" s="272" t="str">
        <f t="shared" si="5"/>
        <v/>
      </c>
      <c r="V36" s="272" t="str">
        <f t="shared" si="6"/>
        <v/>
      </c>
      <c r="W36" s="355"/>
      <c r="X36" s="355"/>
      <c r="Y36" s="272"/>
      <c r="Z36" s="272"/>
    </row>
    <row r="37" spans="1:26" x14ac:dyDescent="0.25">
      <c r="A37" t="str">
        <v>MEDICATIONS</v>
      </c>
      <c r="B37" s="288" t="str">
        <v>Mycophenolate (Cellcept) 500mg</v>
      </c>
      <c r="C37">
        <f ca="1">_xlfn.LET(
    _xlpm.base,'Master Data'!$B$6,
    _xlpm.txt,P37,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37" s="73">
        <f t="shared" ca="1" si="0"/>
        <v>2026</v>
      </c>
      <c r="E37">
        <f t="shared" ca="1" si="1"/>
        <v>131.30000000000001</v>
      </c>
      <c r="F37" s="73">
        <f t="shared" ca="1" si="2"/>
        <v>2031</v>
      </c>
      <c r="G37">
        <f t="shared" ca="1" si="3"/>
        <v>136.30000000000001</v>
      </c>
      <c r="H37" s="73">
        <f t="shared" ca="1" si="4"/>
        <v>2036</v>
      </c>
      <c r="I37" s="272">
        <v>2.4900000000000002</v>
      </c>
      <c r="J37" s="272">
        <v>6.76</v>
      </c>
      <c r="K37" s="73">
        <v>3650</v>
      </c>
      <c r="L37">
        <v>7300</v>
      </c>
      <c r="M37" t="str">
        <v/>
      </c>
      <c r="N37" t="str">
        <v/>
      </c>
      <c r="O37" t="str">
        <v>lifetime</v>
      </c>
      <c r="P37" s="317" t="str">
        <v>3650-7300x/lifetime</v>
      </c>
      <c r="Q37" s="317" t="str" cm="1">
        <f t="array" ref="Q37">_xlfn.LET(
    _xlpm.v, P37,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2x/day, for 5 to 10 years</v>
      </c>
      <c r="S37" s="272" cm="1">
        <f t="array" ref="S37">IF(
   ISNUMBER(SEARCH("year",Q37)),
   _xlfn.LET(
      _xlpm.t,Q37,
      _xlpm.g,I37,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1817.7</v>
      </c>
      <c r="T37" s="272" cm="1">
        <f t="array" ref="T37">IF(
   ISNUMBER(SEARCH("year",Q37)),
   _xlfn.LET(
      _xlpm.t,Q37,
      _xlpm.h,J37,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4934.8</v>
      </c>
      <c r="U37" s="272" t="str">
        <f t="shared" si="5"/>
        <v/>
      </c>
      <c r="V37" s="272" t="str">
        <f t="shared" si="6"/>
        <v/>
      </c>
      <c r="W37" s="355"/>
      <c r="X37" s="355"/>
      <c r="Y37" s="272"/>
      <c r="Z37" s="272"/>
    </row>
    <row r="38" spans="1:26" x14ac:dyDescent="0.25">
      <c r="A38" t="str">
        <v>MEDICATIONS</v>
      </c>
      <c r="B38" s="288" t="str">
        <v>Prednisone (Deltasone) 10mg</v>
      </c>
      <c r="C38">
        <f ca="1">_xlfn.LET(
    _xlpm.base,'Master Data'!$B$6,
    _xlpm.txt,P38,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38" s="73">
        <f t="shared" ca="1" si="0"/>
        <v>2026</v>
      </c>
      <c r="E38">
        <f t="shared" ca="1" si="1"/>
        <v>131.30000000000001</v>
      </c>
      <c r="F38" s="73">
        <f t="shared" ca="1" si="2"/>
        <v>2031</v>
      </c>
      <c r="G38">
        <f t="shared" ca="1" si="3"/>
        <v>136.30000000000001</v>
      </c>
      <c r="H38" s="73">
        <f t="shared" ca="1" si="4"/>
        <v>2036</v>
      </c>
      <c r="I38" s="272">
        <v>0.67</v>
      </c>
      <c r="J38" s="272">
        <v>0.99</v>
      </c>
      <c r="K38" s="73">
        <v>1825</v>
      </c>
      <c r="L38">
        <v>3650</v>
      </c>
      <c r="M38" t="str">
        <v/>
      </c>
      <c r="N38" t="str">
        <v/>
      </c>
      <c r="O38" t="str">
        <v>lifetime</v>
      </c>
      <c r="P38" s="317" t="str">
        <v>1825-3650x/lifetime</v>
      </c>
      <c r="Q38" s="317" t="str" cm="1">
        <f t="array" ref="Q38">_xlfn.LET(
    _xlpm.v, P38,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1x/day, for 5 to 10 years</v>
      </c>
      <c r="S38" s="272" cm="1">
        <f t="array" ref="S38">IF(
   ISNUMBER(SEARCH("year",Q38)),
   _xlfn.LET(
      _xlpm.t,Q38,
      _xlpm.g,I38,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244.55</v>
      </c>
      <c r="T38" s="272" cm="1">
        <f t="array" ref="T38">IF(
   ISNUMBER(SEARCH("year",Q38)),
   _xlfn.LET(
      _xlpm.t,Q38,
      _xlpm.h,J38,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361.35</v>
      </c>
      <c r="U38" s="272" t="str">
        <f t="shared" si="5"/>
        <v/>
      </c>
      <c r="V38" s="272" t="str">
        <f t="shared" si="6"/>
        <v/>
      </c>
      <c r="W38" s="355"/>
      <c r="X38" s="355"/>
      <c r="Y38" s="272"/>
      <c r="Z38" s="272"/>
    </row>
    <row r="39" spans="1:26" x14ac:dyDescent="0.25">
      <c r="A39" t="str">
        <v>MEDICATIONS</v>
      </c>
      <c r="B39" s="288" t="str">
        <v>Sirolimus (Rapamune) 1mg</v>
      </c>
      <c r="C39">
        <f ca="1">_xlfn.LET(
    _xlpm.base,'Master Data'!$B$6,
    _xlpm.txt,P39,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39" s="73">
        <f t="shared" ca="1" si="0"/>
        <v>2026</v>
      </c>
      <c r="E39">
        <f t="shared" ca="1" si="1"/>
        <v>131.30000000000001</v>
      </c>
      <c r="F39" s="73">
        <f t="shared" ca="1" si="2"/>
        <v>2031</v>
      </c>
      <c r="G39">
        <f t="shared" ca="1" si="3"/>
        <v>136.30000000000001</v>
      </c>
      <c r="H39" s="73">
        <f t="shared" ca="1" si="4"/>
        <v>2036</v>
      </c>
      <c r="I39" s="272">
        <v>8.15</v>
      </c>
      <c r="J39" s="272">
        <v>16.16</v>
      </c>
      <c r="K39" s="73">
        <v>3650</v>
      </c>
      <c r="L39">
        <v>7300</v>
      </c>
      <c r="M39" t="str">
        <v/>
      </c>
      <c r="N39" t="str">
        <v/>
      </c>
      <c r="O39" t="str">
        <v>lifetime</v>
      </c>
      <c r="P39" s="317" t="str">
        <v>3650-7300x/lifetime</v>
      </c>
      <c r="Q39" s="317" t="str" cm="1">
        <f t="array" ref="Q39">_xlfn.LET(
    _xlpm.v, P39,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2x/day, for 5 to 10 years</v>
      </c>
      <c r="S39" s="272" cm="1">
        <f t="array" ref="S39">IF(
   ISNUMBER(SEARCH("year",Q39)),
   _xlfn.LET(
      _xlpm.t,Q39,
      _xlpm.g,I39,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5949.5</v>
      </c>
      <c r="T39" s="272" cm="1">
        <f t="array" ref="T39">IF(
   ISNUMBER(SEARCH("year",Q39)),
   _xlfn.LET(
      _xlpm.t,Q39,
      _xlpm.h,J39,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11796.8</v>
      </c>
      <c r="U39" s="272" t="str">
        <f t="shared" si="5"/>
        <v/>
      </c>
      <c r="V39" s="272" t="str">
        <f t="shared" si="6"/>
        <v/>
      </c>
      <c r="W39" s="355"/>
      <c r="X39" s="355"/>
      <c r="Y39" s="272"/>
      <c r="Z39" s="272"/>
    </row>
    <row r="40" spans="1:26" ht="30" x14ac:dyDescent="0.25">
      <c r="A40" t="str">
        <v>MEDICATIONS</v>
      </c>
      <c r="B40" s="288" t="str">
        <v>Sulfamethoxazole / Trimethoprim (Bactrim) 800/160mg</v>
      </c>
      <c r="C40">
        <f ca="1">_xlfn.LET(
    _xlpm.base,'Master Data'!$B$6,
    _xlpm.txt,P40,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40" s="73">
        <f t="shared" ca="1" si="0"/>
        <v>2026</v>
      </c>
      <c r="E40">
        <f t="shared" ca="1" si="1"/>
        <v>131.30000000000001</v>
      </c>
      <c r="F40" s="73">
        <f t="shared" ca="1" si="2"/>
        <v>2031</v>
      </c>
      <c r="G40">
        <f t="shared" ca="1" si="3"/>
        <v>136.30000000000001</v>
      </c>
      <c r="H40" s="73">
        <f t="shared" ca="1" si="4"/>
        <v>2036</v>
      </c>
      <c r="I40" s="272">
        <v>0.93</v>
      </c>
      <c r="J40" s="272">
        <v>2.44</v>
      </c>
      <c r="K40" s="73">
        <v>780</v>
      </c>
      <c r="L40">
        <v>1560</v>
      </c>
      <c r="M40" t="str">
        <v/>
      </c>
      <c r="N40" t="str">
        <v/>
      </c>
      <c r="O40" t="str">
        <v>lifetime</v>
      </c>
      <c r="P40" s="317" t="str">
        <v>780-1560x/lifetime</v>
      </c>
      <c r="Q40" s="317" t="str" cm="1">
        <f t="array" ref="Q40">_xlfn.LET(
    _xlpm.v, P40,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3x/week, for 5 to 10 years</v>
      </c>
      <c r="S40" s="272" cm="1">
        <f t="array" ref="S40">IF(
   ISNUMBER(SEARCH("year",Q40)),
   _xlfn.LET(
      _xlpm.t,Q40,
      _xlpm.g,I40,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145.08000000000001</v>
      </c>
      <c r="T40" s="272" cm="1">
        <f t="array" ref="T40">IF(
   ISNUMBER(SEARCH("year",Q40)),
   _xlfn.LET(
      _xlpm.t,Q40,
      _xlpm.h,J40,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380.64</v>
      </c>
      <c r="U40" s="272" t="str">
        <f t="shared" si="5"/>
        <v/>
      </c>
      <c r="V40" s="272" t="str">
        <f t="shared" si="6"/>
        <v/>
      </c>
      <c r="W40" s="355"/>
      <c r="X40" s="355"/>
      <c r="Y40" s="272"/>
      <c r="Z40" s="272"/>
    </row>
    <row r="41" spans="1:26" x14ac:dyDescent="0.25">
      <c r="A41" t="str">
        <v>MEDICATIONS</v>
      </c>
      <c r="B41" s="288" t="str">
        <v>Valganciclovir (Valcyte) 450mg</v>
      </c>
      <c r="C41">
        <f ca="1">_xlfn.LET(
    _xlpm.base,'Master Data'!$B$6,
    _xlpm.txt,P41,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41" s="73">
        <f t="shared" ca="1" si="0"/>
        <v>2026</v>
      </c>
      <c r="E41">
        <f t="shared" ca="1" si="1"/>
        <v>131.30000000000001</v>
      </c>
      <c r="F41" s="73">
        <f t="shared" ca="1" si="2"/>
        <v>2031</v>
      </c>
      <c r="G41">
        <f t="shared" ca="1" si="3"/>
        <v>136.30000000000001</v>
      </c>
      <c r="H41" s="73">
        <f t="shared" ca="1" si="4"/>
        <v>2036</v>
      </c>
      <c r="I41" s="272">
        <v>36.78</v>
      </c>
      <c r="J41" s="272">
        <v>58.55</v>
      </c>
      <c r="K41" s="73">
        <v>3650</v>
      </c>
      <c r="L41">
        <v>7300</v>
      </c>
      <c r="M41" t="str">
        <v/>
      </c>
      <c r="N41" t="str">
        <v/>
      </c>
      <c r="O41" t="str">
        <v>lifetime</v>
      </c>
      <c r="P41" s="317" t="str">
        <v>3650-7300x/lifetime</v>
      </c>
      <c r="Q41" s="317" t="str" cm="1">
        <f t="array" ref="Q41">_xlfn.LET(
    _xlpm.v, P41,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2x/day, for 5 to 10 years</v>
      </c>
      <c r="S41" s="272" cm="1">
        <f t="array" ref="S41">IF(
   ISNUMBER(SEARCH("year",Q41)),
   _xlfn.LET(
      _xlpm.t,Q41,
      _xlpm.g,I41,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26849.4</v>
      </c>
      <c r="T41" s="272" cm="1">
        <f t="array" ref="T41">IF(
   ISNUMBER(SEARCH("year",Q41)),
   _xlfn.LET(
      _xlpm.t,Q41,
      _xlpm.h,J41,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42741.5</v>
      </c>
      <c r="U41" s="272" t="str">
        <f t="shared" si="5"/>
        <v/>
      </c>
      <c r="V41" s="272" t="str">
        <f t="shared" si="6"/>
        <v/>
      </c>
      <c r="W41" s="355"/>
      <c r="X41" s="355"/>
      <c r="Y41" s="272"/>
      <c r="Z41" s="272"/>
    </row>
    <row r="42" spans="1:26" x14ac:dyDescent="0.25">
      <c r="A42" t="str">
        <v>MEDICATIONS</v>
      </c>
      <c r="B42" s="288" t="str">
        <v>Posaconazole (Noxafil) 100mg</v>
      </c>
      <c r="C42">
        <f ca="1">_xlfn.LET(
    _xlpm.base,'Master Data'!$B$6,
    _xlpm.txt,P42,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42" s="73">
        <f t="shared" ca="1" si="0"/>
        <v>2026</v>
      </c>
      <c r="E42">
        <f t="shared" ca="1" si="1"/>
        <v>131.30000000000001</v>
      </c>
      <c r="F42" s="73">
        <f t="shared" ca="1" si="2"/>
        <v>2031</v>
      </c>
      <c r="G42">
        <f t="shared" ca="1" si="3"/>
        <v>136.30000000000001</v>
      </c>
      <c r="H42" s="73">
        <f t="shared" ca="1" si="4"/>
        <v>2036</v>
      </c>
      <c r="I42" s="272">
        <v>24.77</v>
      </c>
      <c r="J42" s="272">
        <v>63.02</v>
      </c>
      <c r="K42" s="73">
        <v>5475</v>
      </c>
      <c r="L42">
        <v>10950</v>
      </c>
      <c r="M42" t="str">
        <v/>
      </c>
      <c r="N42" t="str">
        <v/>
      </c>
      <c r="O42" t="str">
        <v>lifetime</v>
      </c>
      <c r="P42" s="317" t="str">
        <v>5475-10950x/lifetime</v>
      </c>
      <c r="Q42" s="317" t="str" cm="1">
        <f t="array" ref="Q42">_xlfn.LET(
    _xlpm.v, P42,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3x/day, for 5 to 10 years</v>
      </c>
      <c r="S42" s="272" cm="1">
        <f t="array" ref="S42">IF(
   ISNUMBER(SEARCH("year",Q42)),
   _xlfn.LET(
      _xlpm.t,Q42,
      _xlpm.g,I42,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ISNUMBER(SEARCH("3x/day",_xlpm.t)), _xlpm.g*365*3,
         ISNUMBER(SEARCH("1x/day",_xlpm.t)), _xlpm.g*365,
         ISNUMBER(SEARCH("1x/2 to 3 years",_xlpm.t)), _xlpm.g/3,
         ISNUMBER(SEARCH("1x/3 to 5 years",_xlpm.t)), _xlpm.g/5,
         0
      )
   ),
   ""
)</f>
        <v>27123.149999999998</v>
      </c>
      <c r="T42" s="272" cm="1">
        <f t="array" ref="T42">IF(
   ISNUMBER(SEARCH("year",Q42)),
   _xlfn.LET(
      _xlpm.t,Q42,
      _xlpm.h,J42,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ISNUMBER(SEARCH("3x/day",_xlpm.t)), _xlpm.h*365*3,
         ISNUMBER(SEARCH("1x/day",_xlpm.t)), _xlpm.h*365,
         ISNUMBER(SEARCH("1x/2 to 3 years",_xlpm.t)), _xlpm.h/3,
         ISNUMBER(SEARCH("1x/3 to 5 years",_xlpm.t)), _xlpm.h/5,
         0
      )
   ),
   ""
)</f>
        <v>69006.900000000009</v>
      </c>
      <c r="U42" s="272" t="str">
        <f t="shared" si="5"/>
        <v/>
      </c>
      <c r="V42" s="272" t="str">
        <f t="shared" si="6"/>
        <v/>
      </c>
      <c r="W42" s="355"/>
      <c r="X42" s="355"/>
      <c r="Y42" s="272"/>
      <c r="Z42" s="272"/>
    </row>
    <row r="43" spans="1:26" x14ac:dyDescent="0.25">
      <c r="A43" t="str">
        <v>MEDICATIONS</v>
      </c>
      <c r="B43" s="288" t="str">
        <v>Azithromycin (Zithromax) 250mg</v>
      </c>
      <c r="C43">
        <f ca="1">_xlfn.LET(
    _xlpm.base,'Master Data'!$B$6,
    _xlpm.txt,P43,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43" s="73">
        <f t="shared" ca="1" si="0"/>
        <v>2026</v>
      </c>
      <c r="E43">
        <f t="shared" ca="1" si="1"/>
        <v>131.30000000000001</v>
      </c>
      <c r="F43" s="73">
        <f t="shared" ca="1" si="2"/>
        <v>2031</v>
      </c>
      <c r="G43">
        <f t="shared" ca="1" si="3"/>
        <v>136.30000000000001</v>
      </c>
      <c r="H43" s="73">
        <f t="shared" ca="1" si="4"/>
        <v>2036</v>
      </c>
      <c r="I43" s="272">
        <v>5.96</v>
      </c>
      <c r="J43" s="272">
        <v>6.34</v>
      </c>
      <c r="K43" s="73">
        <v>1825</v>
      </c>
      <c r="L43">
        <v>3650</v>
      </c>
      <c r="M43" t="str">
        <v/>
      </c>
      <c r="N43" t="str">
        <v/>
      </c>
      <c r="O43" t="str">
        <v>lifetime</v>
      </c>
      <c r="P43" s="317" t="str">
        <v>1825-3650x/lifetime</v>
      </c>
      <c r="Q43" s="317" t="str" cm="1">
        <f t="array" ref="Q43">_xlfn.LET(
    _xlpm.v, P43,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1x/day, for 5 to 10 years</v>
      </c>
      <c r="S43" s="272" cm="1">
        <f t="array" ref="S43">IF(
   ISNUMBER(SEARCH("year",Q43)),
   _xlfn.LET(
      _xlpm.t,Q43,
      _xlpm.g,I43,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2175.4</v>
      </c>
      <c r="T43" s="272" cm="1">
        <f t="array" ref="T43">IF(
   ISNUMBER(SEARCH("year",Q43)),
   _xlfn.LET(
      _xlpm.t,Q43,
      _xlpm.h,J43,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2314.1</v>
      </c>
      <c r="U43" s="272" t="str">
        <f t="shared" si="5"/>
        <v/>
      </c>
      <c r="V43" s="272" t="str">
        <f t="shared" si="6"/>
        <v/>
      </c>
      <c r="W43" s="355"/>
      <c r="X43" s="355"/>
      <c r="Y43" s="272"/>
      <c r="Z43" s="272"/>
    </row>
    <row r="44" spans="1:26" x14ac:dyDescent="0.25">
      <c r="A44" t="str">
        <v>MEDICATIONS</v>
      </c>
      <c r="B44" s="288" t="str">
        <v>Atorvastatin (Lipitor) 20mg</v>
      </c>
      <c r="C44">
        <f ca="1">_xlfn.LET(
    _xlpm.base,'Master Data'!$B$6,
    _xlpm.txt,P44,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44" s="73">
        <f t="shared" ca="1" si="0"/>
        <v>2026</v>
      </c>
      <c r="E44">
        <f t="shared" ca="1" si="1"/>
        <v>131.30000000000001</v>
      </c>
      <c r="F44" s="73">
        <f t="shared" ca="1" si="2"/>
        <v>2031</v>
      </c>
      <c r="G44">
        <f t="shared" ca="1" si="3"/>
        <v>136.30000000000001</v>
      </c>
      <c r="H44" s="73">
        <f t="shared" ca="1" si="4"/>
        <v>2036</v>
      </c>
      <c r="I44" s="272">
        <v>2.95</v>
      </c>
      <c r="J44" s="272">
        <v>4.1399999999999997</v>
      </c>
      <c r="K44" s="73">
        <v>1825</v>
      </c>
      <c r="L44">
        <v>3650</v>
      </c>
      <c r="M44" t="str">
        <v/>
      </c>
      <c r="N44" t="str">
        <v/>
      </c>
      <c r="O44" t="str">
        <v>lifetime</v>
      </c>
      <c r="P44" s="317" t="str">
        <v>1825-3650x/lifetime</v>
      </c>
      <c r="Q44" s="317" t="str" cm="1">
        <f t="array" ref="Q44">_xlfn.LET(
    _xlpm.v, P44,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1x/day, for 5 to 10 years</v>
      </c>
      <c r="S44" s="272" cm="1">
        <f t="array" ref="S44">IF(
   ISNUMBER(SEARCH("year",Q44)),
   _xlfn.LET(
      _xlpm.t,Q44,
      _xlpm.g,I44,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1076.75</v>
      </c>
      <c r="T44" s="272" cm="1">
        <f t="array" ref="T44">IF(
   ISNUMBER(SEARCH("year",Q44)),
   _xlfn.LET(
      _xlpm.t,Q44,
      _xlpm.h,J44,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1511.1</v>
      </c>
      <c r="U44" s="272" t="str">
        <f t="shared" si="5"/>
        <v/>
      </c>
      <c r="V44" s="272" t="str">
        <f t="shared" si="6"/>
        <v/>
      </c>
      <c r="W44" s="355"/>
      <c r="X44" s="355"/>
      <c r="Y44" s="272"/>
      <c r="Z44" s="272"/>
    </row>
    <row r="45" spans="1:26" x14ac:dyDescent="0.25">
      <c r="A45" t="str">
        <v>MEDICATIONS</v>
      </c>
      <c r="B45" s="288" t="str">
        <v>Tenormin (Atenolol) 50mg</v>
      </c>
      <c r="C45">
        <f ca="1">_xlfn.LET(
    _xlpm.base,'Master Data'!$B$6,
    _xlpm.txt,P45,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45" s="73">
        <f t="shared" ca="1" si="0"/>
        <v>2026</v>
      </c>
      <c r="E45">
        <f t="shared" ca="1" si="1"/>
        <v>131.30000000000001</v>
      </c>
      <c r="F45" s="73">
        <f t="shared" ca="1" si="2"/>
        <v>2031</v>
      </c>
      <c r="G45">
        <f t="shared" ca="1" si="3"/>
        <v>136.30000000000001</v>
      </c>
      <c r="H45" s="73">
        <f t="shared" ca="1" si="4"/>
        <v>2036</v>
      </c>
      <c r="I45" s="272">
        <v>0.44916666666666666</v>
      </c>
      <c r="J45" s="272">
        <v>0.72</v>
      </c>
      <c r="K45" s="73">
        <v>3650</v>
      </c>
      <c r="L45">
        <v>7300</v>
      </c>
      <c r="M45" t="str">
        <v/>
      </c>
      <c r="N45" t="str">
        <v/>
      </c>
      <c r="O45" t="str">
        <v>lifetime</v>
      </c>
      <c r="P45" s="317" t="str">
        <v>3650-7300x/lifetime</v>
      </c>
      <c r="Q45" s="317" t="str" cm="1">
        <f t="array" ref="Q45">_xlfn.LET(
    _xlpm.v, P45,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2x/day, for 5 to 10 years</v>
      </c>
      <c r="S45" s="272" cm="1">
        <f t="array" ref="S45">IF(
   ISNUMBER(SEARCH("year",Q45)),
   _xlfn.LET(
      _xlpm.t,Q45,
      _xlpm.g,I45,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327.89166666666665</v>
      </c>
      <c r="T45" s="272" cm="1">
        <f t="array" ref="T45">IF(
   ISNUMBER(SEARCH("year",Q45)),
   _xlfn.LET(
      _xlpm.t,Q45,
      _xlpm.h,J45,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525.6</v>
      </c>
      <c r="U45" s="272" t="str">
        <f t="shared" si="5"/>
        <v/>
      </c>
      <c r="V45" s="272" t="str">
        <f t="shared" si="6"/>
        <v/>
      </c>
      <c r="W45" s="355"/>
      <c r="X45" s="355"/>
      <c r="Y45" s="272"/>
      <c r="Z45" s="272"/>
    </row>
    <row r="46" spans="1:26" x14ac:dyDescent="0.25">
      <c r="A46" t="str">
        <v>MEDICATIONS</v>
      </c>
      <c r="B46" s="288" t="str">
        <v>Anti-Ulcer Medication (e.g., Tums) 1000mg</v>
      </c>
      <c r="C46">
        <f ca="1">_xlfn.LET(
    _xlpm.base,'Master Data'!$B$6,
    _xlpm.txt,P46,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46" s="73">
        <f t="shared" ca="1" si="0"/>
        <v>2026</v>
      </c>
      <c r="E46">
        <f t="shared" ca="1" si="1"/>
        <v>131.30000000000001</v>
      </c>
      <c r="F46" s="73">
        <f t="shared" ca="1" si="2"/>
        <v>2031</v>
      </c>
      <c r="G46">
        <f t="shared" ca="1" si="3"/>
        <v>136.30000000000001</v>
      </c>
      <c r="H46" s="73">
        <f t="shared" ca="1" si="4"/>
        <v>2036</v>
      </c>
      <c r="I46" s="272">
        <v>0.13</v>
      </c>
      <c r="J46" s="272">
        <v>0.2</v>
      </c>
      <c r="K46" s="73">
        <v>1825</v>
      </c>
      <c r="L46">
        <v>3650</v>
      </c>
      <c r="M46" t="str">
        <v/>
      </c>
      <c r="N46" t="str">
        <v/>
      </c>
      <c r="O46" t="str">
        <v>lifetime</v>
      </c>
      <c r="P46" s="317" t="str">
        <v>1825-3650x/lifetime</v>
      </c>
      <c r="Q46" s="317" t="str" cm="1">
        <f t="array" ref="Q46">_xlfn.LET(
    _xlpm.v, P46,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1x/day, for 5 to 10 years</v>
      </c>
      <c r="S46" s="272" cm="1">
        <f t="array" ref="S46">IF(
   ISNUMBER(SEARCH("year",Q46)),
   _xlfn.LET(
      _xlpm.t,Q46,
      _xlpm.g,I46,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47.45</v>
      </c>
      <c r="T46" s="272" cm="1">
        <f t="array" ref="T46">IF(
   ISNUMBER(SEARCH("year",Q46)),
   _xlfn.LET(
      _xlpm.t,Q46,
      _xlpm.h,J46,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73</v>
      </c>
      <c r="U46" s="272" t="str">
        <f t="shared" si="5"/>
        <v/>
      </c>
      <c r="V46" s="272" t="str">
        <f t="shared" si="6"/>
        <v/>
      </c>
      <c r="W46" s="355"/>
      <c r="X46" s="355"/>
      <c r="Y46" s="272"/>
      <c r="Z46" s="272"/>
    </row>
    <row r="47" spans="1:26" x14ac:dyDescent="0.25">
      <c r="A47" t="str">
        <v>MEDICATIONS</v>
      </c>
      <c r="B47" s="288" t="str">
        <v>Flu Vaccine</v>
      </c>
      <c r="C47">
        <f ca="1">_xlfn.LET(
    _xlpm.base,'Master Data'!$B$6,
    _xlpm.txt,P47,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47" s="73">
        <f t="shared" ca="1" si="0"/>
        <v>2026</v>
      </c>
      <c r="E47">
        <f t="shared" ca="1" si="1"/>
        <v>131.30000000000001</v>
      </c>
      <c r="F47" s="73">
        <f t="shared" ca="1" si="2"/>
        <v>2031</v>
      </c>
      <c r="G47">
        <f t="shared" ca="1" si="3"/>
        <v>136.30000000000001</v>
      </c>
      <c r="H47" s="73">
        <f t="shared" ca="1" si="4"/>
        <v>2036</v>
      </c>
      <c r="I47" s="272">
        <v>65.28</v>
      </c>
      <c r="J47" s="272">
        <v>65.28</v>
      </c>
      <c r="K47" s="73">
        <v>5</v>
      </c>
      <c r="L47">
        <v>10</v>
      </c>
      <c r="M47" t="str">
        <v/>
      </c>
      <c r="N47" t="str">
        <v/>
      </c>
      <c r="O47" t="str">
        <v>lifetime</v>
      </c>
      <c r="P47" s="317" t="str">
        <v>5-10x/lifetime</v>
      </c>
      <c r="Q47" s="317" t="str" cm="1">
        <f t="array" ref="Q47">_xlfn.LET(
    _xlpm.v, P47,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1x/year, for 5 to 10 years</v>
      </c>
      <c r="S47" s="272" cm="1">
        <f t="array" ref="S47">IF(
   ISNUMBER(SEARCH("year",Q47)),
   _xlfn.LET(
      _xlpm.t,Q47,
      _xlpm.g,I47,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65.28</v>
      </c>
      <c r="T47" s="272" cm="1">
        <f t="array" ref="T47">IF(
   ISNUMBER(SEARCH("year",Q47)),
   _xlfn.LET(
      _xlpm.t,Q47,
      _xlpm.h,J47,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65.28</v>
      </c>
      <c r="U47" s="272" t="str">
        <f t="shared" si="5"/>
        <v/>
      </c>
      <c r="V47" s="272" t="str">
        <f t="shared" si="6"/>
        <v/>
      </c>
      <c r="W47" s="355"/>
      <c r="X47" s="355"/>
      <c r="Y47" s="272"/>
      <c r="Z47" s="272"/>
    </row>
    <row r="48" spans="1:26" x14ac:dyDescent="0.25">
      <c r="A48" t="str">
        <v>MEDICATIONS</v>
      </c>
      <c r="B48" s="288" t="str">
        <v>COVID Vaccine</v>
      </c>
      <c r="C48">
        <f ca="1">_xlfn.LET(
    _xlpm.base,'Master Data'!$B$6,
    _xlpm.txt,P48,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48" s="73">
        <f t="shared" ca="1" si="0"/>
        <v>2026</v>
      </c>
      <c r="E48">
        <f t="shared" ca="1" si="1"/>
        <v>131.30000000000001</v>
      </c>
      <c r="F48" s="73">
        <f t="shared" ca="1" si="2"/>
        <v>2031</v>
      </c>
      <c r="G48">
        <f t="shared" ca="1" si="3"/>
        <v>136.30000000000001</v>
      </c>
      <c r="H48" s="73">
        <f t="shared" ca="1" si="4"/>
        <v>2036</v>
      </c>
      <c r="I48" s="272">
        <v>235</v>
      </c>
      <c r="J48" s="272">
        <v>235</v>
      </c>
      <c r="K48" s="73">
        <v>5</v>
      </c>
      <c r="L48">
        <v>10</v>
      </c>
      <c r="M48" t="str">
        <v/>
      </c>
      <c r="N48" t="str">
        <v/>
      </c>
      <c r="O48" t="str">
        <v>lifetime</v>
      </c>
      <c r="P48" s="317" t="str">
        <v>5-10x/lifetime</v>
      </c>
      <c r="Q48" s="317" t="str" cm="1">
        <f t="array" ref="Q48">_xlfn.LET(
    _xlpm.v, P48,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1x/year, for 5 to 10 years</v>
      </c>
      <c r="S48" s="272" cm="1">
        <f t="array" ref="S48">IF(
   ISNUMBER(SEARCH("year",Q48)),
   _xlfn.LET(
      _xlpm.t,Q48,
      _xlpm.g,I48,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235</v>
      </c>
      <c r="T48" s="272" cm="1">
        <f t="array" ref="T48">IF(
   ISNUMBER(SEARCH("year",Q48)),
   _xlfn.LET(
      _xlpm.t,Q48,
      _xlpm.h,J48,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235</v>
      </c>
      <c r="U48" s="272" t="str">
        <f t="shared" si="5"/>
        <v/>
      </c>
      <c r="V48" s="272" t="str">
        <f t="shared" si="6"/>
        <v/>
      </c>
      <c r="W48" s="355"/>
      <c r="X48" s="355"/>
      <c r="Y48" s="272"/>
      <c r="Z48" s="272"/>
    </row>
    <row r="49" spans="1:26" x14ac:dyDescent="0.25">
      <c r="A49" t="str">
        <v>MEDICATIONS</v>
      </c>
      <c r="B49" s="288" t="str">
        <v>Iron 10mg (Chewable)</v>
      </c>
      <c r="C49">
        <f ca="1">_xlfn.LET(
    _xlpm.base,'Master Data'!$B$6,
    _xlpm.txt,P49,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49" s="73">
        <f t="shared" ca="1" si="0"/>
        <v>2026</v>
      </c>
      <c r="E49">
        <f t="shared" ca="1" si="1"/>
        <v>131.30000000000001</v>
      </c>
      <c r="F49" s="73">
        <f t="shared" ca="1" si="2"/>
        <v>2031</v>
      </c>
      <c r="G49">
        <f t="shared" ca="1" si="3"/>
        <v>136.30000000000001</v>
      </c>
      <c r="H49" s="73">
        <f t="shared" ca="1" si="4"/>
        <v>2036</v>
      </c>
      <c r="I49" s="272">
        <v>0.23</v>
      </c>
      <c r="J49" s="272">
        <v>0.33</v>
      </c>
      <c r="K49" s="73">
        <v>1825</v>
      </c>
      <c r="L49">
        <v>3650</v>
      </c>
      <c r="M49" t="str">
        <v/>
      </c>
      <c r="N49" t="str">
        <v/>
      </c>
      <c r="O49" t="str">
        <v>lifetime</v>
      </c>
      <c r="P49" s="317" t="str">
        <v>1825-3650x/lifetime</v>
      </c>
      <c r="Q49" s="317" t="str" cm="1">
        <f t="array" ref="Q49">_xlfn.LET(
    _xlpm.v, P49,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1x/day, for 5 to 10 years</v>
      </c>
      <c r="S49" s="272" cm="1">
        <f t="array" ref="S49">IF(
   ISNUMBER(SEARCH("year",Q49)),
   _xlfn.LET(
      _xlpm.t,Q49,
      _xlpm.g,I49,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83.95</v>
      </c>
      <c r="T49" s="272" cm="1">
        <f t="array" ref="T49">IF(
   ISNUMBER(SEARCH("year",Q49)),
   _xlfn.LET(
      _xlpm.t,Q49,
      _xlpm.h,J49,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120.45</v>
      </c>
      <c r="U49" s="272" t="str">
        <f t="shared" si="5"/>
        <v/>
      </c>
      <c r="V49" s="272" t="str">
        <f t="shared" si="6"/>
        <v/>
      </c>
      <c r="W49" s="355"/>
      <c r="X49" s="355"/>
      <c r="Y49" s="272"/>
      <c r="Z49" s="272"/>
    </row>
    <row r="50" spans="1:26" x14ac:dyDescent="0.25">
      <c r="A50" t="str">
        <v>MEDICATIONS</v>
      </c>
      <c r="B50" s="288" t="str">
        <v>Vitamin C 90mg</v>
      </c>
      <c r="C50">
        <f ca="1">_xlfn.LET(
    _xlpm.base,'Master Data'!$B$6,
    _xlpm.txt,P50,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50" s="73">
        <f t="shared" ca="1" si="0"/>
        <v>2026</v>
      </c>
      <c r="E50">
        <f t="shared" ca="1" si="1"/>
        <v>131.30000000000001</v>
      </c>
      <c r="F50" s="73">
        <f t="shared" ca="1" si="2"/>
        <v>2031</v>
      </c>
      <c r="G50">
        <f t="shared" ca="1" si="3"/>
        <v>136.30000000000001</v>
      </c>
      <c r="H50" s="73">
        <f t="shared" ca="1" si="4"/>
        <v>2036</v>
      </c>
      <c r="I50" s="272">
        <v>0.2</v>
      </c>
      <c r="J50" s="272">
        <v>0.31</v>
      </c>
      <c r="K50" s="73">
        <v>1825</v>
      </c>
      <c r="L50">
        <v>3650</v>
      </c>
      <c r="M50" t="str">
        <v/>
      </c>
      <c r="N50" t="str">
        <v/>
      </c>
      <c r="O50" t="str">
        <v>lifetime</v>
      </c>
      <c r="P50" s="317" t="str">
        <v>1825-3650x/lifetime</v>
      </c>
      <c r="Q50" s="317" t="str" cm="1">
        <f t="array" ref="Q50">_xlfn.LET(
    _xlpm.v, P50,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1x/day, for 5 to 10 years</v>
      </c>
      <c r="S50" s="272" cm="1">
        <f t="array" ref="S50">IF(
   ISNUMBER(SEARCH("year",Q50)),
   _xlfn.LET(
      _xlpm.t,Q50,
      _xlpm.g,I50,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73</v>
      </c>
      <c r="T50" s="272" cm="1">
        <f t="array" ref="T50">IF(
   ISNUMBER(SEARCH("year",Q50)),
   _xlfn.LET(
      _xlpm.t,Q50,
      _xlpm.h,J50,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113.15</v>
      </c>
      <c r="U50" s="272" t="str">
        <f t="shared" si="5"/>
        <v/>
      </c>
      <c r="V50" s="272" t="str">
        <f t="shared" si="6"/>
        <v/>
      </c>
      <c r="W50" s="355"/>
      <c r="X50" s="355"/>
      <c r="Y50" s="272"/>
      <c r="Z50" s="272"/>
    </row>
    <row r="51" spans="1:26" x14ac:dyDescent="0.25">
      <c r="A51" t="str">
        <v>MEDICATIONS</v>
      </c>
      <c r="B51" s="288" t="str">
        <v>Magnesium Oxide 400mg</v>
      </c>
      <c r="C51">
        <f ca="1">_xlfn.LET(
    _xlpm.base,'Master Data'!$B$6,
    _xlpm.txt,P51,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51" s="73">
        <f t="shared" ca="1" si="0"/>
        <v>2026</v>
      </c>
      <c r="E51">
        <f t="shared" ca="1" si="1"/>
        <v>131.30000000000001</v>
      </c>
      <c r="F51" s="73">
        <f t="shared" ca="1" si="2"/>
        <v>2031</v>
      </c>
      <c r="G51">
        <f t="shared" ca="1" si="3"/>
        <v>136.30000000000001</v>
      </c>
      <c r="H51" s="73">
        <f t="shared" ca="1" si="4"/>
        <v>2036</v>
      </c>
      <c r="I51" s="272">
        <v>0.11</v>
      </c>
      <c r="J51" s="272">
        <v>0.31</v>
      </c>
      <c r="K51" s="73">
        <v>1825</v>
      </c>
      <c r="L51">
        <v>3650</v>
      </c>
      <c r="M51" t="str">
        <v/>
      </c>
      <c r="N51" t="str">
        <v/>
      </c>
      <c r="O51" t="str">
        <v>lifetime</v>
      </c>
      <c r="P51" s="317" t="str">
        <v>1825-3650x/lifetime</v>
      </c>
      <c r="Q51" s="317" t="str" cm="1">
        <f t="array" ref="Q51">_xlfn.LET(
    _xlpm.v, P51,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1x/day, for 5 to 10 years</v>
      </c>
      <c r="S51" s="272" cm="1">
        <f t="array" ref="S51">IF(
   ISNUMBER(SEARCH("year",Q51)),
   _xlfn.LET(
      _xlpm.t,Q51,
      _xlpm.g,I51,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>40.15</v>
      </c>
      <c r="T51" s="272" cm="1">
        <f t="array" ref="T51">IF(
   ISNUMBER(SEARCH("year",Q51)),
   _xlfn.LET(
      _xlpm.t,Q51,
      _xlpm.h,J51,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>113.15</v>
      </c>
      <c r="U51" s="272" t="str">
        <f t="shared" si="5"/>
        <v/>
      </c>
      <c r="V51" s="272" t="str">
        <f t="shared" si="6"/>
        <v/>
      </c>
      <c r="W51" s="355"/>
      <c r="X51" s="355"/>
      <c r="Y51" s="272"/>
      <c r="Z51" s="272"/>
    </row>
    <row r="52" spans="1:26" x14ac:dyDescent="0.25">
      <c r="A52" t="str">
        <v>EQUIPMENT &amp; SUPPLIES</v>
      </c>
      <c r="B52" s="288" t="str">
        <v>Blood Pressure Cuff</v>
      </c>
      <c r="C52">
        <f ca="1">_xlfn.LET(
    _xlpm.base,'Master Data'!$B$6,
    _xlpm.txt,P52,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52" s="73">
        <f t="shared" ca="1" si="0"/>
        <v>2026</v>
      </c>
      <c r="E52">
        <f t="shared" ca="1" si="1"/>
        <v>131.30000000000001</v>
      </c>
      <c r="F52" s="73">
        <f t="shared" ca="1" si="2"/>
        <v>2031</v>
      </c>
      <c r="G52">
        <f t="shared" ca="1" si="3"/>
        <v>136.30000000000001</v>
      </c>
      <c r="H52" s="73">
        <f t="shared" ca="1" si="4"/>
        <v>2036</v>
      </c>
      <c r="I52" s="272">
        <v>24.99</v>
      </c>
      <c r="J52" s="272">
        <v>33.99</v>
      </c>
      <c r="K52" s="73">
        <v>2</v>
      </c>
      <c r="L52">
        <v>5</v>
      </c>
      <c r="M52" t="str">
        <v/>
      </c>
      <c r="N52" t="str">
        <v/>
      </c>
      <c r="O52" t="str">
        <v>lifetime</v>
      </c>
      <c r="P52" s="317" t="str">
        <v>2-5x/lifetime</v>
      </c>
      <c r="Q52" s="317" t="str" cm="1">
        <f t="array" ref="Q52">_xlfn.LET(
    _xlpm.v, P52,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1x/2 to 3 years, for 5 to 10 years</v>
      </c>
      <c r="S52" s="272" cm="1">
        <f t="array" ref="S52">IF(
   ISNUMBER(SEARCH("year",Q52)),
   _xlfn.LET(
      _xlpm.t,Q52,
      _xlpm.g,I52,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_xlpm.g*2/5,
         ISNUMBER(SEARCH("1x/3 to 5 years",_xlpm.t)), _xlpm.g/5,
         0
      )
   ),
   ""
)</f>
        <v>9.9959999999999987</v>
      </c>
      <c r="T52" s="272" cm="1">
        <f t="array" ref="T52">IF(
   ISNUMBER(SEARCH("year",Q52)),
   _xlfn.LET(
      _xlpm.t,Q52,
      _xlpm.h,J52,
      _xlfn.SWITCH(TRUE,
         ISNUMBER(SEARCH("1-2x/year",_xlpm.t)), _xlpm.h*2,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_xlpm.h*5/10,
         ISNUMBER(SEARCH("1x/3 to 5 years",_xlpm.t)), _xlpm.h*3/10,
         0
      )
   ),
   ""
)</f>
        <v>16.995000000000001</v>
      </c>
      <c r="U52" s="272" t="str">
        <f t="shared" si="5"/>
        <v/>
      </c>
      <c r="V52" s="272" t="str">
        <f t="shared" si="6"/>
        <v/>
      </c>
      <c r="W52" s="272"/>
      <c r="X52" s="272"/>
      <c r="Y52" s="272"/>
      <c r="Z52" s="272"/>
    </row>
    <row r="53" spans="1:26" x14ac:dyDescent="0.25">
      <c r="A53" t="str">
        <v>EQUIPMENT &amp; SUPPLIES</v>
      </c>
      <c r="B53" s="288" t="str">
        <v>Micro Spirometer</v>
      </c>
      <c r="C53">
        <f ca="1">_xlfn.LET(
    _xlpm.base,'Master Data'!$B$6,
    _xlpm.txt,P53,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53" s="73">
        <f t="shared" ca="1" si="0"/>
        <v>2026</v>
      </c>
      <c r="E53">
        <f t="shared" ca="1" si="1"/>
        <v>131.30000000000001</v>
      </c>
      <c r="F53" s="73">
        <f t="shared" ca="1" si="2"/>
        <v>2031</v>
      </c>
      <c r="G53">
        <f t="shared" ca="1" si="3"/>
        <v>136.30000000000001</v>
      </c>
      <c r="H53" s="73">
        <f t="shared" ca="1" si="4"/>
        <v>2036</v>
      </c>
      <c r="I53" s="272">
        <v>215</v>
      </c>
      <c r="J53" s="272">
        <v>410</v>
      </c>
      <c r="K53" s="73">
        <v>2</v>
      </c>
      <c r="L53">
        <v>5</v>
      </c>
      <c r="M53" t="str">
        <v/>
      </c>
      <c r="N53" t="str">
        <v/>
      </c>
      <c r="O53" t="str">
        <v>lifetime</v>
      </c>
      <c r="P53" s="317" t="str">
        <v>2-5x/lifetime</v>
      </c>
      <c r="Q53" s="317" t="str" cm="1">
        <f t="array" ref="Q53">_xlfn.LET(
    _xlpm.v, P53,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1x/2 to 3 years, for 5 to 10 years</v>
      </c>
      <c r="S53" s="272" cm="1">
        <f t="array" ref="S53">IF(
   ISNUMBER(SEARCH("year",Q53)),
   _xlfn.LET(
      _xlpm.t,Q53,
      _xlpm.g,I53,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_xlpm.g*2/5,
         ISNUMBER(SEARCH("1x/3 to 5 years",_xlpm.t)), _xlpm.g/5,
         0
      )
   ),
   ""
)</f>
        <v>86</v>
      </c>
      <c r="T53" s="272" cm="1">
        <f t="array" ref="T53">IF(
   ISNUMBER(SEARCH("year",Q53)),
   _xlfn.LET(
      _xlpm.t,Q53,
      _xlpm.h,J53,
      _xlfn.SWITCH(TRUE,
         ISNUMBER(SEARCH("1-2x/year",_xlpm.t)), _xlpm.h*2,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_xlpm.h*5/10,
         ISNUMBER(SEARCH("1x/3 to 5 years",_xlpm.t)), _xlpm.h*3/10,
         0
      )
   ),
   ""
)</f>
        <v>205</v>
      </c>
      <c r="U53" s="272" t="str">
        <f t="shared" si="5"/>
        <v/>
      </c>
      <c r="V53" s="272" t="str">
        <f t="shared" si="6"/>
        <v/>
      </c>
      <c r="W53" s="272"/>
      <c r="X53" s="272"/>
      <c r="Y53" s="272"/>
      <c r="Z53" s="272"/>
    </row>
    <row r="54" spans="1:26" x14ac:dyDescent="0.25">
      <c r="A54" t="str">
        <v>EQUIPMENT &amp; SUPPLIES</v>
      </c>
      <c r="B54" s="288" t="str">
        <v>Thermometer</v>
      </c>
      <c r="C54">
        <f ca="1">_xlfn.LET(
    _xlpm.base,'Master Data'!$B$6,
    _xlpm.txt,P54,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54" s="73">
        <f t="shared" ca="1" si="0"/>
        <v>2026</v>
      </c>
      <c r="E54">
        <f t="shared" ca="1" si="1"/>
        <v>131.30000000000001</v>
      </c>
      <c r="F54" s="73">
        <f t="shared" ca="1" si="2"/>
        <v>2031</v>
      </c>
      <c r="G54">
        <f t="shared" ca="1" si="3"/>
        <v>136.30000000000001</v>
      </c>
      <c r="H54" s="73">
        <f t="shared" ca="1" si="4"/>
        <v>2036</v>
      </c>
      <c r="I54" s="272">
        <v>5.74</v>
      </c>
      <c r="J54" s="272">
        <v>14.99</v>
      </c>
      <c r="K54" s="73">
        <v>2</v>
      </c>
      <c r="L54">
        <v>5</v>
      </c>
      <c r="M54" t="str">
        <v/>
      </c>
      <c r="N54" t="str">
        <v/>
      </c>
      <c r="O54" t="str">
        <v>lifetime</v>
      </c>
      <c r="P54" s="317" t="str">
        <v>2-5x/lifetime</v>
      </c>
      <c r="Q54" s="317" t="str" cm="1">
        <f t="array" ref="Q54">_xlfn.LET(
    _xlpm.v, P54,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1x/2 to 3 years, for 5 to 10 years</v>
      </c>
      <c r="S54" s="272" cm="1">
        <f t="array" ref="S54">IF(
   ISNUMBER(SEARCH("year",Q54)),
   _xlfn.LET(
      _xlpm.t,Q54,
      _xlpm.g,I54,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_xlpm.g*2/5,
         ISNUMBER(SEARCH("1x/3 to 5 years",_xlpm.t)), _xlpm.g/5,
         0
      )
   ),
   ""
)</f>
        <v>2.2960000000000003</v>
      </c>
      <c r="T54" s="272" cm="1">
        <f t="array" ref="T54">IF(
   ISNUMBER(SEARCH("year",Q54)),
   _xlfn.LET(
      _xlpm.t,Q54,
      _xlpm.h,J54,
      _xlfn.SWITCH(TRUE,
         ISNUMBER(SEARCH("1-2x/year",_xlpm.t)), _xlpm.h*2,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_xlpm.h*5/10,
         ISNUMBER(SEARCH("1x/3 to 5 years",_xlpm.t)), _xlpm.h*3/10,
         0
      )
   ),
   ""
)</f>
        <v>7.4950000000000001</v>
      </c>
      <c r="U54" s="272" t="str">
        <f t="shared" si="5"/>
        <v/>
      </c>
      <c r="V54" s="272" t="str">
        <f t="shared" si="6"/>
        <v/>
      </c>
      <c r="W54" s="272"/>
      <c r="X54" s="272"/>
      <c r="Y54" s="272"/>
      <c r="Z54" s="272"/>
    </row>
    <row r="55" spans="1:26" x14ac:dyDescent="0.25">
      <c r="A55" t="str">
        <v>EQUIPMENT &amp; SUPPLIES</v>
      </c>
      <c r="B55" s="288" t="str">
        <v>Body Weight Scale</v>
      </c>
      <c r="C55">
        <f ca="1">_xlfn.LET(
    _xlpm.base,'Master Data'!$B$6,
    _xlpm.txt,P55,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55" s="73">
        <f t="shared" ca="1" si="0"/>
        <v>2026</v>
      </c>
      <c r="E55">
        <f t="shared" ca="1" si="1"/>
        <v>131.30000000000001</v>
      </c>
      <c r="F55" s="73">
        <f t="shared" ca="1" si="2"/>
        <v>2031</v>
      </c>
      <c r="G55">
        <f t="shared" ca="1" si="3"/>
        <v>136.30000000000001</v>
      </c>
      <c r="H55" s="73">
        <f t="shared" ca="1" si="4"/>
        <v>2036</v>
      </c>
      <c r="I55" s="272">
        <v>27.99</v>
      </c>
      <c r="J55" s="272">
        <v>49.99</v>
      </c>
      <c r="K55" s="73">
        <v>2</v>
      </c>
      <c r="L55">
        <v>5</v>
      </c>
      <c r="M55" t="str">
        <v/>
      </c>
      <c r="N55" t="str">
        <v/>
      </c>
      <c r="O55" t="str">
        <v>lifetime</v>
      </c>
      <c r="P55" s="317" t="str">
        <v>2-5x/lifetime</v>
      </c>
      <c r="Q55" s="317" t="str" cm="1">
        <f t="array" ref="Q55">_xlfn.LET(
    _xlpm.v, P55,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1x/2 to 3 years, for 5 to 10 years</v>
      </c>
      <c r="S55" s="272" cm="1">
        <f t="array" ref="S55">IF(
   ISNUMBER(SEARCH("year",Q55)),
   _xlfn.LET(
      _xlpm.t,Q55,
      _xlpm.g,I55,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_xlpm.g*2/5,
         ISNUMBER(SEARCH("1x/3 to 5 years",_xlpm.t)), _xlpm.g/5,
         0
      )
   ),
   ""
)</f>
        <v>11.196</v>
      </c>
      <c r="T55" s="272" cm="1">
        <f t="array" ref="T55">IF(
   ISNUMBER(SEARCH("year",Q55)),
   _xlfn.LET(
      _xlpm.t,Q55,
      _xlpm.h,J55,
      _xlfn.SWITCH(TRUE,
         ISNUMBER(SEARCH("1-2x/year",_xlpm.t)), _xlpm.h*2,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_xlpm.h*5/10,
         ISNUMBER(SEARCH("1x/3 to 5 years",_xlpm.t)), _xlpm.h*3/10,
         0
      )
   ),
   ""
)</f>
        <v>24.995000000000001</v>
      </c>
      <c r="U55" s="272" t="str">
        <f t="shared" si="5"/>
        <v/>
      </c>
      <c r="V55" s="272" t="str">
        <f t="shared" si="6"/>
        <v/>
      </c>
      <c r="W55" s="272"/>
      <c r="X55" s="272"/>
      <c r="Y55" s="272"/>
      <c r="Z55" s="272"/>
    </row>
    <row r="56" spans="1:26" x14ac:dyDescent="0.25">
      <c r="A56" t="str">
        <v>EQUIPMENT &amp; SUPPLIES</v>
      </c>
      <c r="B56" s="288" t="str">
        <v>Pulse Oximeter</v>
      </c>
      <c r="C56">
        <f ca="1">_xlfn.LET(
    _xlpm.base,'Master Data'!$B$6,
    _xlpm.txt,P56,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56" s="73">
        <f t="shared" ca="1" si="0"/>
        <v>2026</v>
      </c>
      <c r="E56">
        <f t="shared" ca="1" si="1"/>
        <v>131.30000000000001</v>
      </c>
      <c r="F56" s="73">
        <f t="shared" ca="1" si="2"/>
        <v>2031</v>
      </c>
      <c r="G56">
        <f t="shared" ca="1" si="3"/>
        <v>136.30000000000001</v>
      </c>
      <c r="H56" s="73">
        <f t="shared" ca="1" si="4"/>
        <v>2036</v>
      </c>
      <c r="I56" s="272">
        <v>45</v>
      </c>
      <c r="J56" s="272">
        <v>50.99</v>
      </c>
      <c r="K56" s="73">
        <v>2</v>
      </c>
      <c r="L56">
        <v>5</v>
      </c>
      <c r="M56" t="str">
        <v/>
      </c>
      <c r="N56" t="str">
        <v/>
      </c>
      <c r="O56" t="str">
        <v>lifetime</v>
      </c>
      <c r="P56" s="317" t="str">
        <v>2-5x/lifetime</v>
      </c>
      <c r="Q56" s="317" t="str" cm="1">
        <f t="array" ref="Q56">_xlfn.LET(
    _xlpm.v, P56,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1x/2 to 3 years, for 5 to 10 years</v>
      </c>
      <c r="S56" s="272" cm="1">
        <f t="array" ref="S56">IF(
   ISNUMBER(SEARCH("year",Q56)),
   _xlfn.LET(
      _xlpm.t,Q56,
      _xlpm.g,I56,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_xlpm.g*2/5,
         ISNUMBER(SEARCH("1x/3 to 5 years",_xlpm.t)), _xlpm.g/5,
         0
      )
   ),
   ""
)</f>
        <v>18</v>
      </c>
      <c r="T56" s="272" cm="1">
        <f t="array" ref="T56">IF(
   ISNUMBER(SEARCH("year",Q56)),
   _xlfn.LET(
      _xlpm.t,Q56,
      _xlpm.h,J56,
      _xlfn.SWITCH(TRUE,
         ISNUMBER(SEARCH("1-2x/year",_xlpm.t)), _xlpm.h*2,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_xlpm.h*5/10,
         ISNUMBER(SEARCH("1x/3 to 5 years",_xlpm.t)), _xlpm.h*3/10,
         0
      )
   ),
   ""
)</f>
        <v>25.495000000000001</v>
      </c>
      <c r="U56" s="272" t="str">
        <f t="shared" si="5"/>
        <v/>
      </c>
      <c r="V56" s="272" t="str">
        <f t="shared" si="6"/>
        <v/>
      </c>
      <c r="W56" s="272"/>
      <c r="X56" s="272"/>
      <c r="Y56" s="272"/>
      <c r="Z56" s="272"/>
    </row>
    <row r="57" spans="1:26" x14ac:dyDescent="0.25">
      <c r="A57" t="str">
        <v>EQUIPMENT &amp; SUPPLIES</v>
      </c>
      <c r="B57" s="288" t="str">
        <v>Accu-Chek Blood Sugar Monitor</v>
      </c>
      <c r="C57">
        <f ca="1">_xlfn.LET(
    _xlpm.base,'Master Data'!$B$6,
    _xlpm.txt,P57,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57" s="73">
        <f t="shared" ca="1" si="0"/>
        <v>2026</v>
      </c>
      <c r="E57">
        <f t="shared" ca="1" si="1"/>
        <v>131.30000000000001</v>
      </c>
      <c r="F57" s="73">
        <f t="shared" ca="1" si="2"/>
        <v>2031</v>
      </c>
      <c r="G57">
        <f t="shared" ca="1" si="3"/>
        <v>136.30000000000001</v>
      </c>
      <c r="H57" s="73">
        <f t="shared" ca="1" si="4"/>
        <v>2036</v>
      </c>
      <c r="I57" s="272">
        <v>29.99</v>
      </c>
      <c r="J57" s="272">
        <v>30.99</v>
      </c>
      <c r="K57" s="73">
        <v>2</v>
      </c>
      <c r="L57">
        <v>5</v>
      </c>
      <c r="M57" t="str">
        <v/>
      </c>
      <c r="N57" t="str">
        <v/>
      </c>
      <c r="O57" t="str">
        <v>lifetime</v>
      </c>
      <c r="P57" s="317" t="str">
        <v>2-5x/lifetime</v>
      </c>
      <c r="Q57" s="317" t="str" cm="1">
        <f t="array" ref="Q57">_xlfn.LET(
    _xlpm.v, P57,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1x/2 to 3 years, for 5 to 10 years</v>
      </c>
      <c r="S57" s="272" cm="1">
        <f t="array" ref="S57">IF(
   ISNUMBER(SEARCH("year",Q57)),
   _xlfn.LET(
      _xlpm.t,Q57,
      _xlpm.g,I57,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_xlpm.g*2/5,
         ISNUMBER(SEARCH("1x/3 to 5 years",_xlpm.t)), _xlpm.g/5,
         0
      )
   ),
   ""
)</f>
        <v>11.995999999999999</v>
      </c>
      <c r="T57" s="272" cm="1">
        <f t="array" ref="T57">IF(
   ISNUMBER(SEARCH("year",Q57)),
   _xlfn.LET(
      _xlpm.t,Q57,
      _xlpm.h,J57,
      _xlfn.SWITCH(TRUE,
         ISNUMBER(SEARCH("1-2x/year",_xlpm.t)), _xlpm.h*2,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_xlpm.h*5/10,
         ISNUMBER(SEARCH("1x/3 to 5 years",_xlpm.t)), _xlpm.h*3/10,
         0
      )
   ),
   ""
)</f>
        <v>15.494999999999999</v>
      </c>
      <c r="U57" s="272" t="str">
        <f t="shared" si="5"/>
        <v/>
      </c>
      <c r="V57" s="272" t="str">
        <f t="shared" si="6"/>
        <v/>
      </c>
      <c r="W57" s="272"/>
      <c r="X57" s="272"/>
      <c r="Y57" s="272"/>
      <c r="Z57" s="272"/>
    </row>
    <row r="58" spans="1:26" x14ac:dyDescent="0.25">
      <c r="A58" t="str">
        <v>EQUIPMENT &amp; SUPPLIES</v>
      </c>
      <c r="B58" s="288" t="str">
        <v>HEPA Air Purifier</v>
      </c>
      <c r="C58">
        <f ca="1">_xlfn.LET(
    _xlpm.base,'Master Data'!$B$6,
    _xlpm.txt,P58,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58" s="73">
        <f t="shared" ca="1" si="0"/>
        <v>2026</v>
      </c>
      <c r="E58">
        <f t="shared" ca="1" si="1"/>
        <v>131.30000000000001</v>
      </c>
      <c r="F58" s="73">
        <f t="shared" ca="1" si="2"/>
        <v>2031</v>
      </c>
      <c r="G58">
        <f t="shared" ca="1" si="3"/>
        <v>136.30000000000001</v>
      </c>
      <c r="H58" s="73">
        <f t="shared" ca="1" si="4"/>
        <v>2036</v>
      </c>
      <c r="I58" s="272">
        <v>99.49</v>
      </c>
      <c r="J58" s="272">
        <v>124.99000000000001</v>
      </c>
      <c r="K58" s="73">
        <v>1</v>
      </c>
      <c r="L58">
        <v>3</v>
      </c>
      <c r="M58" t="str">
        <v/>
      </c>
      <c r="N58" t="str">
        <v/>
      </c>
      <c r="O58" t="str">
        <v>lifetime</v>
      </c>
      <c r="P58" s="317" t="str">
        <v>1-3x/lifetime</v>
      </c>
      <c r="Q58" s="317" t="str" cm="1">
        <f t="array" ref="Q58">_xlfn.LET(
    _xlpm.v, P58,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1x/3 to 5 years, for 5 to 10 years</v>
      </c>
      <c r="S58" s="272" cm="1">
        <f t="array" ref="S58">IF(
   ISNUMBER(SEARCH("year",Q58)),
   _xlfn.LET(
      _xlpm.t,Q58,
      _xlpm.g,I58,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_xlpm.g*2/5,
         ISNUMBER(SEARCH("1x/3 to 5 years",_xlpm.t)), _xlpm.g/5,
         0
      )
   ),
   ""
)</f>
        <v>19.898</v>
      </c>
      <c r="T58" s="272" cm="1">
        <f t="array" ref="T58">IF(
   ISNUMBER(SEARCH("year",Q58)),
   _xlfn.LET(
      _xlpm.t,Q58,
      _xlpm.h,J58,
      _xlfn.SWITCH(TRUE,
         ISNUMBER(SEARCH("1-2x/year",_xlpm.t)), _xlpm.h*2,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_xlpm.h*5/10,
         ISNUMBER(SEARCH("1x/3 to 5 years",_xlpm.t)), _xlpm.h*3/10,
         0
      )
   ),
   ""
)</f>
        <v>37.497</v>
      </c>
      <c r="U58" s="272" t="str">
        <f t="shared" si="5"/>
        <v/>
      </c>
      <c r="V58" s="272" t="str">
        <f t="shared" si="6"/>
        <v/>
      </c>
      <c r="W58" s="272"/>
      <c r="X58" s="272"/>
      <c r="Y58" s="272"/>
      <c r="Z58" s="272"/>
    </row>
    <row r="59" spans="1:26" x14ac:dyDescent="0.25">
      <c r="A59" t="str">
        <v>EQUIPMENT &amp; SUPPLIES</v>
      </c>
      <c r="B59" s="288" t="str">
        <v>HEPA Replacement Filter</v>
      </c>
      <c r="C59">
        <f ca="1">_xlfn.LET(
    _xlpm.base,'Master Data'!$B$6,
    _xlpm.txt,P59,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59" s="73">
        <f t="shared" ca="1" si="0"/>
        <v>2026</v>
      </c>
      <c r="E59">
        <f t="shared" ca="1" si="1"/>
        <v>131.30000000000001</v>
      </c>
      <c r="F59" s="73">
        <f t="shared" ca="1" si="2"/>
        <v>2031</v>
      </c>
      <c r="G59">
        <f t="shared" ca="1" si="3"/>
        <v>136.30000000000001</v>
      </c>
      <c r="H59" s="73">
        <f t="shared" ca="1" si="4"/>
        <v>2036</v>
      </c>
      <c r="I59" s="272">
        <v>35.99</v>
      </c>
      <c r="J59" s="272">
        <v>49.99</v>
      </c>
      <c r="K59" s="73">
        <v>5</v>
      </c>
      <c r="L59">
        <v>20</v>
      </c>
      <c r="M59" t="str">
        <v/>
      </c>
      <c r="N59" t="str">
        <v/>
      </c>
      <c r="O59" t="str">
        <v>lifetime</v>
      </c>
      <c r="P59" s="317" t="str">
        <v>5-20x/lifetime</v>
      </c>
      <c r="Q59" s="317" t="str" cm="1">
        <f t="array" ref="Q59">_xlfn.LET(
    _xlpm.v, P59,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1-2x/year, for 5 to 10 years</v>
      </c>
      <c r="S59" s="272" cm="1">
        <f t="array" ref="S59">IF(
   ISNUMBER(SEARCH("year",Q59)),
   _xlfn.LET(
      _xlpm.t,Q59,
      _xlpm.g,I59,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_xlpm.g*2/5,
         ISNUMBER(SEARCH("1x/3 to 5 years",_xlpm.t)), _xlpm.g/5,
         0
      )
   ),
   ""
)</f>
        <v>35.99</v>
      </c>
      <c r="T59" s="272" cm="1">
        <f t="array" ref="T59">IF(
   ISNUMBER(SEARCH("year",Q59)),
   _xlfn.LET(
      _xlpm.t,Q59,
      _xlpm.h,J59,
      _xlfn.SWITCH(TRUE,
         ISNUMBER(SEARCH("1-2x/year",_xlpm.t)), _xlpm.h*2,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_xlpm.h*5/10,
         ISNUMBER(SEARCH("1x/3 to 5 years",_xlpm.t)), _xlpm.h*3/10,
         0
      )
   ),
   ""
)</f>
        <v>99.98</v>
      </c>
      <c r="U59" s="272" t="str">
        <f t="shared" si="5"/>
        <v/>
      </c>
      <c r="V59" s="272" t="str">
        <f t="shared" si="6"/>
        <v/>
      </c>
      <c r="W59" s="272"/>
      <c r="X59" s="272"/>
      <c r="Y59" s="272"/>
      <c r="Z59" s="272"/>
    </row>
    <row r="60" spans="1:26" x14ac:dyDescent="0.25">
      <c r="A60" t="str">
        <v>MISCELLANEOUS</v>
      </c>
      <c r="B60" s="288" t="str">
        <v>One 10-14 Day Hospitalization</v>
      </c>
      <c r="C60">
        <f ca="1">_xlfn.LET(
    _xlpm.base,'Master Data'!$B$6,
    _xlpm.txt,P60,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60" s="73">
        <f t="shared" ca="1" si="0"/>
        <v>2026</v>
      </c>
      <c r="E60">
        <f t="shared" ca="1" si="1"/>
        <v>131.30000000000001</v>
      </c>
      <c r="F60" s="73">
        <f t="shared" ca="1" si="2"/>
        <v>2031</v>
      </c>
      <c r="G60">
        <f t="shared" ca="1" si="3"/>
        <v>136.30000000000001</v>
      </c>
      <c r="H60" s="73">
        <f t="shared" ca="1" si="4"/>
        <v>2036</v>
      </c>
      <c r="I60" s="272">
        <v>2948</v>
      </c>
      <c r="J60" s="272">
        <v>4819</v>
      </c>
      <c r="K60" s="73">
        <v>1</v>
      </c>
      <c r="L60" t="str">
        <v/>
      </c>
      <c r="M60" t="str">
        <v/>
      </c>
      <c r="N60" t="str">
        <v/>
      </c>
      <c r="O60" t="str">
        <v>lifetime</v>
      </c>
      <c r="P60" s="317" t="str">
        <v>1x/lifetime</v>
      </c>
      <c r="Q60" s="317" t="str" cm="1">
        <f t="array" ref="Q60">_xlfn.LET(
    _xlpm.v, P60,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1x/lifetime</v>
      </c>
      <c r="S60" s="272" t="str" cm="1">
        <f t="array" ref="S60">IF(
   ISNUMBER(SEARCH("year",Q60)),
   _xlfn.LET(
      _xlpm.t,Q60,
      _xlpm.g,I60,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60" s="272" t="str" cm="1">
        <f t="array" ref="T60">IF(
   ISNUMBER(SEARCH("year",Q60)),
   _xlfn.LET(
      _xlpm.t,Q60,
      _xlpm.h,J60,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60" s="272">
        <f t="shared" si="5"/>
        <v>2948</v>
      </c>
      <c r="V60" s="272">
        <f t="shared" si="6"/>
        <v>4819</v>
      </c>
      <c r="W60" s="272"/>
      <c r="X60" s="272"/>
      <c r="Y60" s="272"/>
      <c r="Z60" s="272"/>
    </row>
    <row r="61" spans="1:26" ht="45" x14ac:dyDescent="0.25">
      <c r="A61" t="str">
        <v>MISCELLANEOUS</v>
      </c>
      <c r="B61" s="288" t="str">
        <v>Thymoglobulin 1.5mg/kg, 1000mg IV (Infusion Regimens of Cytolytic or Immunomodulatory Medications)</v>
      </c>
      <c r="C61">
        <f ca="1">_xlfn.LET(
    _xlpm.base,'Master Data'!$B$6,
    _xlpm.txt,P61,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61" s="73">
        <f t="shared" ca="1" si="0"/>
        <v>2026</v>
      </c>
      <c r="E61">
        <f t="shared" ca="1" si="1"/>
        <v>127.3</v>
      </c>
      <c r="F61" s="73">
        <f t="shared" ca="1" si="2"/>
        <v>2027</v>
      </c>
      <c r="G61">
        <f t="shared" ca="1" si="3"/>
        <v>127.3</v>
      </c>
      <c r="H61" s="73">
        <f t="shared" ca="1" si="4"/>
        <v>2027</v>
      </c>
      <c r="I61" s="272">
        <v>11745</v>
      </c>
      <c r="J61" s="272">
        <v>11745</v>
      </c>
      <c r="K61" s="73">
        <v>7</v>
      </c>
      <c r="L61">
        <v>14</v>
      </c>
      <c r="M61" t="str">
        <v/>
      </c>
      <c r="N61" t="str">
        <v/>
      </c>
      <c r="O61" t="str">
        <v>lifetime</v>
      </c>
      <c r="P61" s="317" t="str">
        <v>7-14x/lifetime</v>
      </c>
      <c r="Q61" s="317" t="str" cm="1">
        <f t="array" ref="Q61">_xlfn.LET(
    _xlpm.v, P61,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7-14x/lifetime</v>
      </c>
      <c r="S61" s="272" t="str" cm="1">
        <f t="array" ref="S61">IF(
   ISNUMBER(SEARCH("year",Q61)),
   _xlfn.LET(
      _xlpm.t,Q61,
      _xlpm.g,I61,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61" s="272" t="str" cm="1">
        <f t="array" ref="T61">IF(
   ISNUMBER(SEARCH("year",Q61)),
   _xlfn.LET(
      _xlpm.t,Q61,
      _xlpm.h,J61,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61" s="272">
        <f t="shared" si="5"/>
        <v>82215</v>
      </c>
      <c r="V61" s="272">
        <f t="shared" si="6"/>
        <v>164430</v>
      </c>
      <c r="W61" s="272"/>
      <c r="X61" s="272"/>
      <c r="Y61" s="272"/>
      <c r="Z61" s="272"/>
    </row>
    <row r="62" spans="1:26" x14ac:dyDescent="0.25">
      <c r="A62" t="str">
        <v>MISCELLANEOUS</v>
      </c>
      <c r="B62" s="288" t="str">
        <v>Handyman Services</v>
      </c>
      <c r="C62">
        <f ca="1">_xlfn.LET(
    _xlpm.base,'Master Data'!$B$6,
    _xlpm.txt,P62,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62" s="73">
        <f t="shared" ca="1" si="0"/>
        <v>2026</v>
      </c>
      <c r="E62">
        <f t="shared" ca="1" si="1"/>
        <v>127.3</v>
      </c>
      <c r="F62" s="73">
        <f t="shared" ca="1" si="2"/>
        <v>2027</v>
      </c>
      <c r="G62">
        <f t="shared" ca="1" si="3"/>
        <v>127.3</v>
      </c>
      <c r="H62" s="73">
        <f t="shared" ca="1" si="4"/>
        <v>2027</v>
      </c>
      <c r="I62" s="272">
        <v>50</v>
      </c>
      <c r="J62" s="272">
        <v>75</v>
      </c>
      <c r="K62" s="73">
        <v>12</v>
      </c>
      <c r="L62" t="str">
        <v/>
      </c>
      <c r="M62" t="str">
        <v/>
      </c>
      <c r="N62" t="str">
        <v/>
      </c>
      <c r="O62" t="str">
        <v>lifetime</v>
      </c>
      <c r="P62" s="317" t="str">
        <v>12x/lifetime</v>
      </c>
      <c r="Q62" s="317" t="str" cm="1">
        <f t="array" ref="Q62">_xlfn.LET(
    _xlpm.v, P62,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12x/lifetime</v>
      </c>
      <c r="S62" s="272" t="str" cm="1">
        <f t="array" ref="S62">IF(
   ISNUMBER(SEARCH("year",Q62)),
   _xlfn.LET(
      _xlpm.t,Q62,
      _xlpm.g,I62,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62" s="272" t="str" cm="1">
        <f t="array" ref="T62">IF(
   ISNUMBER(SEARCH("year",Q62)),
   _xlfn.LET(
      _xlpm.t,Q62,
      _xlpm.h,J62,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62" s="272">
        <f t="shared" si="5"/>
        <v>600</v>
      </c>
      <c r="V62" s="272">
        <f t="shared" si="6"/>
        <v>900</v>
      </c>
      <c r="W62" s="272"/>
      <c r="X62" s="272"/>
      <c r="Y62" s="272"/>
      <c r="Z62" s="272"/>
    </row>
    <row r="63" spans="1:26" x14ac:dyDescent="0.25">
      <c r="A63" t="str">
        <v>MISCELLANEOUS</v>
      </c>
      <c r="B63" s="288" t="str">
        <v>Housekeeping Services</v>
      </c>
      <c r="C63">
        <f ca="1">_xlfn.LET(
    _xlpm.base,'Master Data'!$B$6,
    _xlpm.txt,P63,
    IF(_xlpm.txt="",
       "",
       _xlfn.LET(
           _xlpm.firstPart,LEFT(_xlpm.txt,FIND("x",_xlpm.txt)-1),
           _xlpm.dashPos,IFERROR(FIND("-",_xlpm.firstPart),0),
           _xlpm.firstNum,IF(_xlpm.dashPos=0,
                       VALUE(_xlpm.firstPart),
                       VALUE(LEFT(_xlpm.firstPart,_xlpm.dashPos-1))
                      ),
           _xlpm.secondNum,IF(_xlpm.dashPos=0,
                        "",
                        VALUE(MID(_xlpm.firstPart,_xlpm.dashPos+1,99))
                       ),
           IF(AND(_xlpm.firstNum=16,_xlpm.secondNum=36),
              _xlpm.base+1,
              _xlpm.base
           )
       )
    )
)</f>
        <v>126.3</v>
      </c>
      <c r="D63" s="73">
        <f t="shared" ca="1" si="0"/>
        <v>2026</v>
      </c>
      <c r="E63">
        <f t="shared" ca="1" si="1"/>
        <v>127.3</v>
      </c>
      <c r="F63" s="73">
        <f t="shared" ca="1" si="2"/>
        <v>2027</v>
      </c>
      <c r="G63">
        <f t="shared" ca="1" si="3"/>
        <v>127.3</v>
      </c>
      <c r="H63" s="73">
        <f t="shared" ca="1" si="4"/>
        <v>2027</v>
      </c>
      <c r="I63" s="272">
        <v>130</v>
      </c>
      <c r="J63" s="272">
        <v>180</v>
      </c>
      <c r="K63" s="73">
        <v>24</v>
      </c>
      <c r="L63" t="str">
        <v/>
      </c>
      <c r="M63" t="str">
        <v/>
      </c>
      <c r="N63" t="str">
        <v/>
      </c>
      <c r="O63" t="str">
        <v>lifetime</v>
      </c>
      <c r="P63" s="317" t="str">
        <v>24x/lifetime</v>
      </c>
      <c r="Q63" s="317" t="str" cm="1">
        <f t="array" ref="Q63">_xlfn.LET(
    _xlpm.v, P63,
    _xlfn.SWITCH(
        _xlpm.v,
        "7x/lifetime", "1x/month, for 7 months",
        "16-36x/lifetime", "4x/year, for 4 to 9 years, beginning in 1 year",
        "5-10x/lifetime", "1x/year, for 5 to 10 years",
        "10-20x/lifetime", "2x/year, for 5 to 10 years",
        "20-40x/lifetime", "4x/year, for 5 to 10 years",
        "3650-7300x/lifetime", "2x/day, for 5 to 10 years",
        "1825-3650x/lifetime", "1x/day, for 5 to 10 years",
        "780-1560x/lifetime", "3x/week, for 5 to 10 years",
        "5475-10950x/lifetime", "3x/day, for 5 to 10 years",
        "2-5x/lifetime", "1x/2 to 3 years, for 5 to 10 years",
        "1-3x/lifetime", "1x/3 to 5 years, for 5 to 10 years",
        "5-20x/lifetime", "1-2x/year, for 5 to 10 years",
        _xlpm.v
    )
)</f>
        <v>24x/lifetime</v>
      </c>
      <c r="S63" s="272" t="str" cm="1">
        <f t="array" ref="S63">IF(
   ISNUMBER(SEARCH("year",Q63)),
   _xlfn.LET(
      _xlpm.t,Q63,
      _xlpm.g,I63,
      _xlfn.SWITCH(TRUE,
         ISNUMBER(SEARCH("1-2x/year",_xlpm.t)), _xlpm.g*1,
         ISNUMBER(SEARCH("4x/year",_xlpm.t)), _xlpm.g*4,
         ISNUMBER(SEARCH("3x/year",_xlpm.t)), _xlpm.g*3,
         ISNUMBER(SEARCH("2x/year",_xlpm.t)), _xlpm.g*2,
         ISNUMBER(SEARCH("1x/year",_xlpm.t)), _xlpm.g,
         ISNUMBER(SEARCH("3x/week",_xlpm.t)), _xlpm.g*3*52,
         ISNUMBER(SEARCH("2x/day",_xlpm.t)), _xlpm.g*365*2,
         ISNUMBER(SEARCH("1x/day",_xlpm.t)), _xlpm.g*365,
         ISNUMBER(SEARCH("1x/2 to 3 years",_xlpm.t)), _xlpm.g/3,
         ISNUMBER(SEARCH("1x/3 to 5 years",_xlpm.t)), _xlpm.g/5,
         0
      )
   ),
   ""
)</f>
        <v/>
      </c>
      <c r="T63" s="272" t="str" cm="1">
        <f t="array" ref="T63">IF(
   ISNUMBER(SEARCH("year",Q63)),
   _xlfn.LET(
      _xlpm.t,Q63,
      _xlpm.h,J63,
      _xlfn.SWITCH(TRUE,
         ISNUMBER(SEARCH("1-2x/year",_xlpm.t)), _xlpm.h*1,
         ISNUMBER(SEARCH("4x/year",_xlpm.t)), _xlpm.h*4,
         ISNUMBER(SEARCH("3x/year",_xlpm.t)), _xlpm.h*3,
         ISNUMBER(SEARCH("2x/year",_xlpm.t)), _xlpm.h*2,
         ISNUMBER(SEARCH("1x/year",_xlpm.t)), _xlpm.h,
         ISNUMBER(SEARCH("3x/week",_xlpm.t)), _xlpm.h*3*52,
         ISNUMBER(SEARCH("2x/day",_xlpm.t)), _xlpm.h*365*2,
         ISNUMBER(SEARCH("1x/day",_xlpm.t)), _xlpm.h*365,
         ISNUMBER(SEARCH("1x/2 to 3 years",_xlpm.t)), _xlpm.h/3,
         ISNUMBER(SEARCH("1x/3 to 5 years",_xlpm.t)), _xlpm.h/5,
         0
      )
   ),
   ""
)</f>
        <v/>
      </c>
      <c r="U63" s="272">
        <f t="shared" si="5"/>
        <v>3120</v>
      </c>
      <c r="V63" s="272">
        <f t="shared" si="6"/>
        <v>4320</v>
      </c>
      <c r="W63" s="272"/>
      <c r="X63" s="272"/>
      <c r="Y63" s="272"/>
      <c r="Z63" s="272"/>
    </row>
    <row r="64" spans="1:26" x14ac:dyDescent="0.25">
      <c r="D64" s="73"/>
      <c r="F64" s="73"/>
      <c r="G64" s="73"/>
      <c r="H64" s="73"/>
      <c r="I64" s="272"/>
      <c r="J64" s="272"/>
      <c r="S64" s="272"/>
      <c r="T64" s="272"/>
      <c r="U64" s="272"/>
      <c r="V64" s="272"/>
      <c r="W64" s="272"/>
      <c r="X64" s="272"/>
      <c r="Y64" s="272"/>
      <c r="Z64" s="272"/>
    </row>
    <row r="65" spans="9:26" x14ac:dyDescent="0.25">
      <c r="I65" s="272"/>
      <c r="J65" s="272"/>
      <c r="Q65" s="325"/>
      <c r="R65" s="325" t="s">
        <v>341</v>
      </c>
      <c r="S65" s="316">
        <f>SUM(S7:S14,S31:S59)*5</f>
        <v>438822.61833333323</v>
      </c>
      <c r="T65" s="316">
        <f>SUM(T7:T14,T31:T59)*10</f>
        <v>1843521.7200000002</v>
      </c>
      <c r="U65" s="272"/>
      <c r="V65" s="272"/>
      <c r="W65" s="272"/>
      <c r="X65" s="272"/>
      <c r="Y65" s="272"/>
      <c r="Z65" s="272"/>
    </row>
    <row r="66" spans="9:26" x14ac:dyDescent="0.25">
      <c r="I66" s="272"/>
      <c r="J66" s="272"/>
      <c r="Q66" s="325"/>
      <c r="R66" s="325" t="s">
        <v>342</v>
      </c>
      <c r="S66" s="316">
        <f>SUM(S6,S20,S22,S24,S26,S28,S30)*4</f>
        <v>25088</v>
      </c>
      <c r="T66" s="316">
        <f>SUM(T6,T20,T22,T24,T26,T28,T30)*9</f>
        <v>392220</v>
      </c>
      <c r="U66" s="272"/>
      <c r="V66" s="272"/>
      <c r="W66" s="272"/>
      <c r="X66" s="272"/>
      <c r="Y66" s="272"/>
      <c r="Z66" s="272"/>
    </row>
    <row r="67" spans="9:26" x14ac:dyDescent="0.25">
      <c r="I67" s="272"/>
      <c r="J67" s="272"/>
      <c r="Q67" s="325"/>
      <c r="R67" s="325"/>
      <c r="S67" s="272"/>
      <c r="T67" s="272"/>
      <c r="U67" s="272"/>
      <c r="V67" s="272"/>
      <c r="W67" s="272"/>
      <c r="X67" s="272"/>
      <c r="Y67" s="272"/>
      <c r="Z67" s="272"/>
    </row>
    <row r="68" spans="9:26" x14ac:dyDescent="0.25">
      <c r="I68" s="272"/>
      <c r="J68" s="272"/>
      <c r="Q68" s="325"/>
      <c r="R68" s="325" t="s">
        <v>343</v>
      </c>
      <c r="S68" s="316">
        <f>SUM(S65:S67)</f>
        <v>463910.61833333323</v>
      </c>
      <c r="T68" s="316">
        <f>SUM(T65:T67)</f>
        <v>2235741.7200000002</v>
      </c>
      <c r="U68" s="316">
        <f>SUM(U2:U14,U16:U63)</f>
        <v>2551190</v>
      </c>
      <c r="V68" s="316">
        <f>SUM(V2:V14,V16:V63)</f>
        <v>2868810</v>
      </c>
      <c r="W68" s="316"/>
      <c r="X68" s="272"/>
      <c r="Y68" s="272"/>
      <c r="Z68" s="272"/>
    </row>
    <row r="69" spans="9:26" x14ac:dyDescent="0.25">
      <c r="I69" s="272"/>
      <c r="J69" s="272"/>
      <c r="Q69" s="325"/>
      <c r="S69" s="272"/>
      <c r="T69" s="272"/>
      <c r="U69" s="272"/>
      <c r="V69" s="272"/>
      <c r="W69" s="272"/>
      <c r="X69" s="272"/>
      <c r="Y69" s="272"/>
      <c r="Z69" s="272"/>
    </row>
    <row r="70" spans="9:26" x14ac:dyDescent="0.25">
      <c r="I70" s="272"/>
      <c r="J70" s="272"/>
      <c r="Q70" s="325"/>
      <c r="S70" s="272"/>
      <c r="T70" s="272"/>
      <c r="U70" s="272"/>
      <c r="V70" s="272"/>
      <c r="W70" s="272"/>
      <c r="X70" s="272"/>
      <c r="Y70" s="272"/>
      <c r="Z70" s="272"/>
    </row>
    <row r="71" spans="9:26" x14ac:dyDescent="0.25">
      <c r="I71" s="272"/>
      <c r="J71" s="272"/>
      <c r="Q71" s="325"/>
      <c r="S71" s="272"/>
      <c r="T71" s="272"/>
      <c r="U71" s="272"/>
      <c r="V71" s="272"/>
      <c r="W71" s="272"/>
      <c r="X71" s="272"/>
      <c r="Y71" s="272"/>
      <c r="Z71" s="272"/>
    </row>
    <row r="72" spans="9:26" x14ac:dyDescent="0.25">
      <c r="I72" s="272"/>
      <c r="J72" s="272"/>
      <c r="Q72" s="325"/>
      <c r="S72" s="272"/>
      <c r="T72" s="316" t="s">
        <v>344</v>
      </c>
      <c r="U72" s="316">
        <f>SUM(S68,U68)</f>
        <v>3015100.6183333332</v>
      </c>
      <c r="V72" s="316">
        <f>SUM(T68,V68)</f>
        <v>5104551.7200000007</v>
      </c>
      <c r="W72" s="272"/>
      <c r="X72" s="272"/>
      <c r="Y72" s="272"/>
      <c r="Z72" s="272"/>
    </row>
    <row r="73" spans="9:26" x14ac:dyDescent="0.25">
      <c r="I73" s="272"/>
      <c r="J73" s="272"/>
      <c r="S73" s="272"/>
      <c r="T73" s="272"/>
      <c r="U73" s="272"/>
      <c r="V73" s="272"/>
      <c r="W73" s="272"/>
      <c r="X73" s="272"/>
      <c r="Y73" s="272"/>
      <c r="Z73" s="272"/>
    </row>
    <row r="74" spans="9:26" x14ac:dyDescent="0.25">
      <c r="I74" s="272"/>
      <c r="J74" s="272"/>
      <c r="S74" s="272"/>
      <c r="T74" s="272"/>
      <c r="U74" s="272"/>
      <c r="V74" s="272"/>
      <c r="W74" s="272"/>
      <c r="X74" s="272"/>
      <c r="Y74" s="272"/>
      <c r="Z74" s="272"/>
    </row>
    <row r="75" spans="9:26" x14ac:dyDescent="0.25">
      <c r="I75" s="272"/>
      <c r="J75" s="272"/>
      <c r="S75" s="272"/>
      <c r="T75" s="272"/>
      <c r="U75" s="272"/>
      <c r="V75" s="272"/>
      <c r="W75" s="272"/>
      <c r="X75" s="272"/>
      <c r="Y75" s="272"/>
      <c r="Z75" s="272"/>
    </row>
    <row r="76" spans="9:26" x14ac:dyDescent="0.25">
      <c r="I76" s="272"/>
      <c r="J76" s="272"/>
      <c r="S76" s="272"/>
      <c r="T76" s="272"/>
      <c r="U76" s="272"/>
      <c r="V76" s="272"/>
      <c r="W76" s="272"/>
      <c r="X76" s="272"/>
      <c r="Y76" s="272"/>
      <c r="Z76" s="272"/>
    </row>
    <row r="77" spans="9:26" x14ac:dyDescent="0.25">
      <c r="I77" s="272"/>
      <c r="J77" s="272"/>
      <c r="S77" s="272"/>
      <c r="T77" s="272"/>
      <c r="U77" s="272"/>
      <c r="V77" s="272"/>
      <c r="W77" s="272"/>
      <c r="X77" s="272"/>
      <c r="Y77" s="272"/>
      <c r="Z77" s="272"/>
    </row>
    <row r="78" spans="9:26" x14ac:dyDescent="0.25">
      <c r="I78" s="272"/>
      <c r="J78" s="272"/>
      <c r="S78" s="272"/>
      <c r="T78" s="272"/>
      <c r="U78" s="272"/>
      <c r="V78" s="272"/>
      <c r="W78" s="272"/>
      <c r="X78" s="272"/>
      <c r="Y78" s="272"/>
      <c r="Z78" s="272"/>
    </row>
    <row r="79" spans="9:26" x14ac:dyDescent="0.25">
      <c r="I79" s="272"/>
      <c r="J79" s="272"/>
      <c r="S79" s="272"/>
      <c r="T79" s="272"/>
      <c r="U79" s="272"/>
      <c r="V79" s="272"/>
      <c r="W79" s="272"/>
      <c r="X79" s="272"/>
      <c r="Y79" s="272"/>
      <c r="Z79" s="272"/>
    </row>
    <row r="80" spans="9:26" x14ac:dyDescent="0.25">
      <c r="I80" s="272"/>
      <c r="J80" s="272"/>
      <c r="S80" s="272"/>
      <c r="T80" s="272"/>
      <c r="U80" s="272"/>
      <c r="V80" s="272"/>
      <c r="W80" s="272"/>
      <c r="X80" s="272"/>
      <c r="Y80" s="272"/>
      <c r="Z80" s="272"/>
    </row>
    <row r="81" spans="9:26" x14ac:dyDescent="0.25">
      <c r="I81" s="272"/>
      <c r="J81" s="272"/>
      <c r="S81" s="272"/>
      <c r="T81" s="272"/>
      <c r="U81" s="272"/>
      <c r="V81" s="272"/>
      <c r="W81" s="272"/>
      <c r="X81" s="272"/>
      <c r="Y81" s="272"/>
      <c r="Z81" s="272"/>
    </row>
    <row r="82" spans="9:26" x14ac:dyDescent="0.25">
      <c r="I82" s="272"/>
      <c r="J82" s="272"/>
      <c r="S82" s="272"/>
      <c r="T82" s="272"/>
      <c r="U82" s="272"/>
      <c r="V82" s="272"/>
      <c r="W82" s="272"/>
      <c r="X82" s="272"/>
      <c r="Y82" s="272"/>
      <c r="Z82" s="272"/>
    </row>
    <row r="83" spans="9:26" x14ac:dyDescent="0.25">
      <c r="I83" s="272"/>
      <c r="J83" s="272"/>
      <c r="S83" s="272"/>
      <c r="T83" s="272"/>
      <c r="U83" s="272"/>
      <c r="V83" s="272"/>
      <c r="W83" s="272"/>
      <c r="X83" s="272"/>
      <c r="Y83" s="272"/>
      <c r="Z83" s="272"/>
    </row>
    <row r="84" spans="9:26" x14ac:dyDescent="0.25">
      <c r="I84" s="272"/>
      <c r="J84" s="272"/>
      <c r="S84" s="272"/>
      <c r="T84" s="272"/>
      <c r="U84" s="272"/>
      <c r="V84" s="272"/>
      <c r="W84" s="272"/>
      <c r="X84" s="272"/>
      <c r="Y84" s="272"/>
      <c r="Z84" s="272"/>
    </row>
    <row r="85" spans="9:26" x14ac:dyDescent="0.25">
      <c r="I85" s="272"/>
      <c r="J85" s="272"/>
      <c r="S85" s="272"/>
      <c r="T85" s="272"/>
      <c r="U85" s="272"/>
      <c r="V85" s="272"/>
      <c r="W85" s="272"/>
      <c r="X85" s="272"/>
      <c r="Y85" s="272"/>
      <c r="Z85" s="272"/>
    </row>
    <row r="86" spans="9:26" x14ac:dyDescent="0.25">
      <c r="I86" s="272"/>
      <c r="J86" s="272"/>
      <c r="S86" s="272"/>
      <c r="T86" s="272"/>
      <c r="U86" s="272"/>
      <c r="V86" s="272"/>
      <c r="W86" s="272"/>
      <c r="X86" s="272"/>
      <c r="Y86" s="272"/>
      <c r="Z86" s="272"/>
    </row>
    <row r="87" spans="9:26" x14ac:dyDescent="0.25">
      <c r="I87" s="272"/>
      <c r="J87" s="272"/>
      <c r="S87" s="272"/>
      <c r="T87" s="272"/>
      <c r="U87" s="272"/>
      <c r="V87" s="272"/>
      <c r="W87" s="272"/>
      <c r="X87" s="272"/>
      <c r="Y87" s="272"/>
      <c r="Z87" s="272"/>
    </row>
    <row r="88" spans="9:26" x14ac:dyDescent="0.25">
      <c r="I88" s="272"/>
      <c r="J88" s="272"/>
      <c r="S88" s="272"/>
      <c r="T88" s="272"/>
      <c r="U88" s="272"/>
      <c r="V88" s="272"/>
      <c r="W88" s="272"/>
      <c r="X88" s="272"/>
      <c r="Y88" s="272"/>
      <c r="Z88" s="272"/>
    </row>
    <row r="89" spans="9:26" x14ac:dyDescent="0.25">
      <c r="I89" s="272"/>
      <c r="J89" s="272"/>
      <c r="S89" s="272"/>
      <c r="T89" s="272"/>
      <c r="U89" s="272"/>
      <c r="V89" s="272"/>
      <c r="W89" s="272"/>
      <c r="X89" s="272"/>
      <c r="Y89" s="272"/>
      <c r="Z89" s="272"/>
    </row>
    <row r="90" spans="9:26" x14ac:dyDescent="0.25">
      <c r="I90" s="272"/>
      <c r="J90" s="272"/>
      <c r="S90" s="272"/>
      <c r="T90" s="272"/>
      <c r="W90" s="272"/>
      <c r="X90" s="272"/>
      <c r="Y90" s="272"/>
      <c r="Z90" s="272"/>
    </row>
    <row r="91" spans="9:26" x14ac:dyDescent="0.25">
      <c r="I91" s="272"/>
      <c r="J91" s="272"/>
      <c r="S91" s="272"/>
      <c r="T91" s="272"/>
      <c r="W91" s="272"/>
      <c r="X91" s="272"/>
      <c r="Y91" s="272"/>
      <c r="Z91" s="272"/>
    </row>
    <row r="92" spans="9:26" x14ac:dyDescent="0.25">
      <c r="I92" s="272"/>
      <c r="J92" s="272"/>
      <c r="S92" s="272"/>
      <c r="T92" s="272"/>
      <c r="W92" s="272"/>
      <c r="X92" s="272"/>
      <c r="Y92" s="272"/>
      <c r="Z92" s="272"/>
    </row>
    <row r="93" spans="9:26" x14ac:dyDescent="0.25">
      <c r="I93" s="272"/>
      <c r="J93" s="272"/>
      <c r="S93" s="272"/>
      <c r="T93" s="272"/>
      <c r="W93" s="272"/>
      <c r="X93" s="272"/>
      <c r="Y93" s="272"/>
      <c r="Z93" s="272"/>
    </row>
    <row r="94" spans="9:26" x14ac:dyDescent="0.25">
      <c r="I94" s="272"/>
      <c r="J94" s="272"/>
      <c r="S94" s="272"/>
      <c r="T94" s="272"/>
      <c r="W94" s="272"/>
      <c r="X94" s="272"/>
      <c r="Y94" s="272"/>
      <c r="Z94" s="272"/>
    </row>
    <row r="95" spans="9:26" x14ac:dyDescent="0.25">
      <c r="I95" s="272"/>
      <c r="J95" s="272"/>
      <c r="S95" s="272"/>
      <c r="T95" s="272"/>
      <c r="W95" s="272"/>
      <c r="X95" s="272"/>
      <c r="Y95" s="272"/>
      <c r="Z95" s="272"/>
    </row>
    <row r="96" spans="9:26" x14ac:dyDescent="0.25">
      <c r="I96" s="272"/>
      <c r="J96" s="272"/>
      <c r="S96" s="272"/>
      <c r="T96" s="272"/>
      <c r="W96" s="272"/>
      <c r="X96" s="272"/>
      <c r="Y96" s="272"/>
      <c r="Z96" s="272"/>
    </row>
    <row r="97" spans="9:26" x14ac:dyDescent="0.25">
      <c r="I97" s="272"/>
      <c r="J97" s="272"/>
      <c r="S97" s="272"/>
      <c r="T97" s="272"/>
      <c r="W97" s="272"/>
      <c r="X97" s="272"/>
      <c r="Y97" s="272"/>
      <c r="Z97" s="272"/>
    </row>
    <row r="98" spans="9:26" x14ac:dyDescent="0.25">
      <c r="I98" s="272"/>
      <c r="J98" s="272"/>
      <c r="S98" s="272"/>
      <c r="T98" s="272"/>
      <c r="W98" s="272"/>
      <c r="X98" s="272"/>
      <c r="Y98" s="272"/>
      <c r="Z98" s="272"/>
    </row>
    <row r="99" spans="9:26" x14ac:dyDescent="0.25">
      <c r="I99" s="272"/>
      <c r="J99" s="272"/>
      <c r="S99" s="272"/>
      <c r="T99" s="272"/>
      <c r="W99" s="272"/>
      <c r="X99" s="272"/>
      <c r="Y99" s="272"/>
      <c r="Z99" s="272"/>
    </row>
    <row r="100" spans="9:26" x14ac:dyDescent="0.25">
      <c r="I100" s="272"/>
      <c r="J100" s="272"/>
      <c r="S100" s="272"/>
      <c r="T100" s="272"/>
      <c r="W100" s="272"/>
      <c r="X100" s="272"/>
      <c r="Y100" s="272"/>
      <c r="Z100" s="272"/>
    </row>
    <row r="101" spans="9:26" x14ac:dyDescent="0.25">
      <c r="I101" s="272"/>
      <c r="J101" s="272"/>
      <c r="S101" s="272"/>
      <c r="T101" s="272"/>
      <c r="W101" s="272"/>
      <c r="X101" s="272"/>
      <c r="Y101" s="272"/>
      <c r="Z101" s="272"/>
    </row>
    <row r="102" spans="9:26" x14ac:dyDescent="0.25">
      <c r="I102" s="272"/>
      <c r="J102" s="272"/>
      <c r="S102" s="272"/>
      <c r="T102" s="272"/>
      <c r="W102" s="272"/>
      <c r="X102" s="272"/>
      <c r="Y102" s="272"/>
      <c r="Z102" s="272"/>
    </row>
    <row r="103" spans="9:26" x14ac:dyDescent="0.25">
      <c r="I103" s="272"/>
      <c r="J103" s="272"/>
      <c r="S103" s="272"/>
      <c r="T103" s="272"/>
      <c r="W103" s="272"/>
      <c r="X103" s="272"/>
      <c r="Y103" s="272"/>
      <c r="Z103" s="272"/>
    </row>
    <row r="104" spans="9:26" x14ac:dyDescent="0.25">
      <c r="I104" s="272"/>
      <c r="J104" s="272"/>
      <c r="S104" s="272"/>
      <c r="T104" s="272"/>
      <c r="W104" s="272"/>
      <c r="X104" s="272"/>
      <c r="Y104" s="272"/>
      <c r="Z104" s="272"/>
    </row>
    <row r="105" spans="9:26" x14ac:dyDescent="0.25">
      <c r="I105" s="272"/>
      <c r="J105" s="272"/>
      <c r="S105" s="272"/>
      <c r="T105" s="272"/>
      <c r="W105" s="272"/>
      <c r="X105" s="272"/>
      <c r="Y105" s="272"/>
      <c r="Z105" s="272"/>
    </row>
    <row r="106" spans="9:26" x14ac:dyDescent="0.25">
      <c r="I106" s="272"/>
      <c r="J106" s="272"/>
      <c r="S106" s="272"/>
      <c r="T106" s="272"/>
      <c r="W106" s="272"/>
      <c r="X106" s="272"/>
      <c r="Y106" s="272"/>
      <c r="Z106" s="272"/>
    </row>
    <row r="107" spans="9:26" x14ac:dyDescent="0.25">
      <c r="I107" s="272"/>
      <c r="J107" s="272"/>
      <c r="S107" s="272"/>
      <c r="T107" s="272"/>
      <c r="W107" s="272"/>
      <c r="X107" s="272"/>
      <c r="Y107" s="272"/>
      <c r="Z107" s="272"/>
    </row>
    <row r="108" spans="9:26" x14ac:dyDescent="0.25">
      <c r="I108" s="272"/>
      <c r="J108" s="272"/>
      <c r="S108" s="272"/>
      <c r="T108" s="272"/>
      <c r="W108" s="272"/>
      <c r="X108" s="272"/>
      <c r="Y108" s="272"/>
      <c r="Z108" s="272"/>
    </row>
    <row r="109" spans="9:26" x14ac:dyDescent="0.25">
      <c r="I109" s="272"/>
      <c r="J109" s="272"/>
      <c r="S109" s="272"/>
      <c r="T109" s="272"/>
      <c r="W109" s="272"/>
      <c r="X109" s="272"/>
      <c r="Y109" s="272"/>
      <c r="Z109" s="272"/>
    </row>
    <row r="110" spans="9:26" x14ac:dyDescent="0.25">
      <c r="I110" s="272"/>
      <c r="J110" s="272"/>
      <c r="S110" s="272"/>
      <c r="T110" s="272"/>
      <c r="W110" s="272"/>
      <c r="X110" s="272"/>
      <c r="Y110" s="272"/>
      <c r="Z110" s="272"/>
    </row>
    <row r="111" spans="9:26" x14ac:dyDescent="0.25">
      <c r="I111" s="272"/>
      <c r="J111" s="272"/>
      <c r="S111" s="272"/>
      <c r="T111" s="272"/>
      <c r="W111" s="272"/>
      <c r="X111" s="272"/>
      <c r="Y111" s="272"/>
      <c r="Z111" s="272"/>
    </row>
    <row r="112" spans="9:26" x14ac:dyDescent="0.25">
      <c r="I112" s="272"/>
      <c r="J112" s="272"/>
      <c r="S112" s="272"/>
      <c r="T112" s="272"/>
      <c r="W112" s="272"/>
      <c r="X112" s="272"/>
      <c r="Y112" s="272"/>
      <c r="Z112" s="272"/>
    </row>
    <row r="113" spans="9:26" x14ac:dyDescent="0.25">
      <c r="I113" s="272"/>
      <c r="J113" s="272"/>
      <c r="S113" s="272"/>
      <c r="T113" s="272"/>
      <c r="W113" s="272"/>
      <c r="X113" s="272"/>
      <c r="Y113" s="272"/>
      <c r="Z113" s="272"/>
    </row>
    <row r="114" spans="9:26" x14ac:dyDescent="0.25">
      <c r="I114" s="272"/>
      <c r="J114" s="272"/>
      <c r="S114" s="272"/>
      <c r="T114" s="272"/>
      <c r="W114" s="272"/>
      <c r="X114" s="272"/>
      <c r="Y114" s="272"/>
      <c r="Z114" s="272"/>
    </row>
    <row r="115" spans="9:26" x14ac:dyDescent="0.25">
      <c r="I115" s="272"/>
      <c r="J115" s="272"/>
      <c r="S115" s="272"/>
      <c r="T115" s="272"/>
      <c r="W115" s="272"/>
      <c r="X115" s="272"/>
      <c r="Y115" s="272"/>
      <c r="Z115" s="272"/>
    </row>
    <row r="116" spans="9:26" x14ac:dyDescent="0.25">
      <c r="I116" s="272"/>
      <c r="J116" s="272"/>
      <c r="S116" s="272"/>
      <c r="T116" s="272"/>
      <c r="W116" s="272"/>
      <c r="X116" s="272"/>
      <c r="Y116" s="272"/>
      <c r="Z116" s="272"/>
    </row>
    <row r="117" spans="9:26" x14ac:dyDescent="0.25">
      <c r="I117" s="272"/>
      <c r="J117" s="272"/>
      <c r="S117" s="272"/>
      <c r="T117" s="272"/>
      <c r="W117" s="272"/>
      <c r="X117" s="272"/>
      <c r="Y117" s="272"/>
      <c r="Z117" s="272"/>
    </row>
    <row r="118" spans="9:26" x14ac:dyDescent="0.25">
      <c r="I118" s="272"/>
      <c r="J118" s="272"/>
      <c r="S118" s="272"/>
      <c r="T118" s="272"/>
      <c r="W118" s="272"/>
      <c r="X118" s="272"/>
      <c r="Y118" s="272"/>
      <c r="Z118" s="272"/>
    </row>
    <row r="119" spans="9:26" x14ac:dyDescent="0.25">
      <c r="I119" s="272"/>
      <c r="J119" s="272"/>
      <c r="S119" s="272"/>
      <c r="T119" s="272"/>
      <c r="W119" s="272"/>
      <c r="X119" s="272"/>
      <c r="Y119" s="272"/>
      <c r="Z119" s="272"/>
    </row>
    <row r="120" spans="9:26" x14ac:dyDescent="0.25">
      <c r="I120" s="272"/>
      <c r="J120" s="272"/>
      <c r="S120" s="272"/>
      <c r="T120" s="272"/>
      <c r="W120" s="272"/>
      <c r="X120" s="272"/>
      <c r="Y120" s="272"/>
      <c r="Z120" s="272"/>
    </row>
    <row r="121" spans="9:26" x14ac:dyDescent="0.25">
      <c r="I121" s="272"/>
      <c r="J121" s="272"/>
      <c r="S121" s="272"/>
      <c r="T121" s="272"/>
      <c r="W121" s="272"/>
      <c r="X121" s="272"/>
      <c r="Y121" s="272"/>
      <c r="Z121" s="272"/>
    </row>
    <row r="122" spans="9:26" x14ac:dyDescent="0.25">
      <c r="I122" s="272"/>
      <c r="J122" s="272"/>
      <c r="S122" s="272"/>
      <c r="T122" s="272"/>
      <c r="W122" s="272"/>
      <c r="X122" s="272"/>
      <c r="Y122" s="272"/>
      <c r="Z122" s="272"/>
    </row>
    <row r="123" spans="9:26" x14ac:dyDescent="0.25">
      <c r="I123" s="272"/>
      <c r="J123" s="272"/>
      <c r="S123" s="272"/>
      <c r="T123" s="272"/>
      <c r="W123" s="272"/>
      <c r="X123" s="272"/>
      <c r="Y123" s="272"/>
      <c r="Z123" s="272"/>
    </row>
    <row r="124" spans="9:26" x14ac:dyDescent="0.25">
      <c r="I124" s="272"/>
      <c r="J124" s="272"/>
      <c r="S124" s="272"/>
      <c r="T124" s="272"/>
      <c r="W124" s="272"/>
      <c r="X124" s="272"/>
      <c r="Y124" s="272"/>
      <c r="Z124" s="272"/>
    </row>
    <row r="125" spans="9:26" x14ac:dyDescent="0.25">
      <c r="I125" s="272"/>
      <c r="J125" s="272"/>
      <c r="S125" s="272"/>
      <c r="T125" s="272"/>
      <c r="W125" s="272"/>
      <c r="X125" s="272"/>
      <c r="Y125" s="272"/>
      <c r="Z125" s="272"/>
    </row>
    <row r="126" spans="9:26" x14ac:dyDescent="0.25">
      <c r="I126" s="272"/>
      <c r="J126" s="272"/>
      <c r="S126" s="272"/>
      <c r="T126" s="272"/>
      <c r="W126" s="272"/>
      <c r="X126" s="272"/>
      <c r="Y126" s="272"/>
      <c r="Z126" s="272"/>
    </row>
    <row r="127" spans="9:26" x14ac:dyDescent="0.25">
      <c r="I127" s="272"/>
      <c r="J127" s="272"/>
      <c r="S127" s="272"/>
      <c r="T127" s="272"/>
      <c r="W127" s="272"/>
      <c r="X127" s="272"/>
      <c r="Y127" s="272"/>
      <c r="Z127" s="272"/>
    </row>
    <row r="128" spans="9:26" x14ac:dyDescent="0.25">
      <c r="I128" s="272"/>
      <c r="J128" s="272"/>
      <c r="S128" s="272"/>
      <c r="T128" s="272"/>
      <c r="W128" s="272"/>
      <c r="X128" s="272"/>
      <c r="Y128" s="272"/>
      <c r="Z128" s="272"/>
    </row>
    <row r="129" spans="9:26" x14ac:dyDescent="0.25">
      <c r="I129" s="272"/>
      <c r="J129" s="272"/>
      <c r="S129" s="272"/>
      <c r="T129" s="272"/>
      <c r="W129" s="272"/>
      <c r="X129" s="272"/>
      <c r="Y129" s="272"/>
      <c r="Z129" s="272"/>
    </row>
    <row r="130" spans="9:26" x14ac:dyDescent="0.25">
      <c r="I130" s="272"/>
      <c r="J130" s="272"/>
      <c r="S130" s="272"/>
      <c r="T130" s="272"/>
      <c r="W130" s="272"/>
      <c r="X130" s="272"/>
      <c r="Y130" s="272"/>
      <c r="Z130" s="272"/>
    </row>
    <row r="131" spans="9:26" x14ac:dyDescent="0.25">
      <c r="I131" s="272"/>
      <c r="J131" s="272"/>
      <c r="S131" s="272"/>
      <c r="T131" s="272"/>
      <c r="W131" s="272"/>
      <c r="X131" s="272"/>
      <c r="Y131" s="272"/>
      <c r="Z131" s="272"/>
    </row>
    <row r="132" spans="9:26" x14ac:dyDescent="0.25">
      <c r="I132" s="272"/>
      <c r="J132" s="272"/>
      <c r="S132" s="272"/>
      <c r="T132" s="272"/>
      <c r="W132" s="272"/>
      <c r="X132" s="272"/>
      <c r="Y132" s="272"/>
      <c r="Z132" s="272"/>
    </row>
    <row r="133" spans="9:26" x14ac:dyDescent="0.25">
      <c r="I133" s="272"/>
      <c r="J133" s="272"/>
      <c r="S133" s="272"/>
      <c r="T133" s="272"/>
      <c r="W133" s="272"/>
      <c r="X133" s="272"/>
      <c r="Y133" s="272"/>
      <c r="Z133" s="272"/>
    </row>
    <row r="134" spans="9:26" x14ac:dyDescent="0.25">
      <c r="I134" s="272"/>
      <c r="J134" s="272"/>
      <c r="S134" s="272"/>
      <c r="T134" s="272"/>
      <c r="W134" s="272"/>
      <c r="X134" s="272"/>
      <c r="Y134" s="272"/>
      <c r="Z134" s="272"/>
    </row>
    <row r="135" spans="9:26" x14ac:dyDescent="0.25">
      <c r="I135" s="272"/>
      <c r="J135" s="272"/>
      <c r="S135" s="272"/>
      <c r="T135" s="272"/>
      <c r="W135" s="272"/>
      <c r="X135" s="272"/>
      <c r="Y135" s="272"/>
      <c r="Z135" s="272"/>
    </row>
    <row r="136" spans="9:26" x14ac:dyDescent="0.25">
      <c r="I136" s="272"/>
      <c r="J136" s="272"/>
      <c r="S136" s="272"/>
      <c r="T136" s="272"/>
      <c r="W136" s="272"/>
      <c r="X136" s="272"/>
      <c r="Y136" s="272"/>
      <c r="Z136" s="272"/>
    </row>
    <row r="137" spans="9:26" x14ac:dyDescent="0.25">
      <c r="I137" s="272"/>
      <c r="J137" s="272"/>
      <c r="S137" s="272"/>
      <c r="T137" s="272"/>
      <c r="W137" s="272"/>
      <c r="X137" s="272"/>
      <c r="Y137" s="272"/>
      <c r="Z137" s="272"/>
    </row>
    <row r="138" spans="9:26" x14ac:dyDescent="0.25">
      <c r="I138" s="272"/>
      <c r="J138" s="272"/>
      <c r="S138" s="272"/>
      <c r="T138" s="272"/>
      <c r="W138" s="272"/>
      <c r="X138" s="272"/>
      <c r="Y138" s="272"/>
      <c r="Z138" s="272"/>
    </row>
    <row r="139" spans="9:26" x14ac:dyDescent="0.25">
      <c r="I139" s="272"/>
      <c r="J139" s="272"/>
      <c r="S139" s="272"/>
      <c r="T139" s="272"/>
      <c r="W139" s="272"/>
      <c r="X139" s="272"/>
      <c r="Y139" s="272"/>
      <c r="Z139" s="272"/>
    </row>
    <row r="140" spans="9:26" x14ac:dyDescent="0.25">
      <c r="I140" s="272"/>
      <c r="J140" s="272"/>
      <c r="S140" s="272"/>
      <c r="T140" s="272"/>
      <c r="W140" s="272"/>
      <c r="X140" s="272"/>
      <c r="Y140" s="272"/>
      <c r="Z140" s="272"/>
    </row>
    <row r="141" spans="9:26" x14ac:dyDescent="0.25">
      <c r="I141" s="272"/>
      <c r="J141" s="272"/>
      <c r="S141" s="272"/>
      <c r="T141" s="272"/>
      <c r="W141" s="272"/>
      <c r="X141" s="272"/>
      <c r="Y141" s="272"/>
      <c r="Z141" s="272"/>
    </row>
    <row r="142" spans="9:26" x14ac:dyDescent="0.25">
      <c r="I142" s="272"/>
      <c r="J142" s="272"/>
      <c r="S142" s="272"/>
      <c r="T142" s="272"/>
      <c r="W142" s="272"/>
      <c r="X142" s="272"/>
      <c r="Y142" s="272"/>
      <c r="Z142" s="272"/>
    </row>
  </sheetData>
  <mergeCells count="6">
    <mergeCell ref="W7:W14"/>
    <mergeCell ref="X7:X14"/>
    <mergeCell ref="W31:W35"/>
    <mergeCell ref="X31:X35"/>
    <mergeCell ref="W36:W51"/>
    <mergeCell ref="X36:X51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C128"/>
  <sheetViews>
    <sheetView workbookViewId="0">
      <selection activeCell="AC1" sqref="AC1"/>
    </sheetView>
  </sheetViews>
  <sheetFormatPr defaultRowHeight="15" x14ac:dyDescent="0.25"/>
  <cols>
    <col min="1" max="1" width="38.85546875" customWidth="1"/>
    <col min="2" max="2" width="11.28515625" customWidth="1"/>
    <col min="3" max="7" width="11.28515625" hidden="1" customWidth="1"/>
    <col min="8" max="9" width="11.28515625" customWidth="1"/>
    <col min="10" max="10" width="11.140625" customWidth="1"/>
    <col min="11" max="16" width="11.140625" hidden="1" customWidth="1"/>
    <col min="17" max="17" width="11.140625" customWidth="1"/>
    <col min="19" max="19" width="18.42578125" customWidth="1"/>
    <col min="29" max="29" width="17.42578125" customWidth="1"/>
  </cols>
  <sheetData>
    <row r="1" spans="1:29" ht="51.75" customHeight="1" x14ac:dyDescent="0.3">
      <c r="A1" s="4"/>
      <c r="B1" s="4"/>
      <c r="G1" s="357" t="s">
        <v>154</v>
      </c>
      <c r="H1" s="357"/>
      <c r="I1" s="357"/>
      <c r="J1" s="357"/>
      <c r="K1" s="357"/>
      <c r="L1" s="357"/>
      <c r="M1" s="357"/>
      <c r="N1" s="357"/>
      <c r="O1" s="357"/>
      <c r="P1" s="357"/>
      <c r="AB1" t="s">
        <v>67</v>
      </c>
      <c r="AC1" t="e">
        <f>LEFT('Master Data'!B2,SEARCH(" ",'Master Data'!B2,1))</f>
        <v>#VALUE!</v>
      </c>
    </row>
    <row r="2" spans="1:29" x14ac:dyDescent="0.25">
      <c r="A2" t="s">
        <v>9</v>
      </c>
      <c r="B2" t="s">
        <v>8</v>
      </c>
      <c r="I2" t="s">
        <v>155</v>
      </c>
      <c r="AB2" t="s">
        <v>68</v>
      </c>
      <c r="AC2" t="e">
        <f>RIGHT('Master Data'!B2,LEN('Master Data'!B2)-FIND(" ",'Master Data'!B2))</f>
        <v>#VALUE!</v>
      </c>
    </row>
    <row r="3" spans="1:29" x14ac:dyDescent="0.25">
      <c r="A3" t="s">
        <v>7</v>
      </c>
      <c r="B3" t="s">
        <v>10</v>
      </c>
    </row>
    <row r="4" spans="1:29" x14ac:dyDescent="0.25">
      <c r="B4" t="s">
        <v>11</v>
      </c>
    </row>
    <row r="5" spans="1:29" x14ac:dyDescent="0.25">
      <c r="B5" t="s">
        <v>107</v>
      </c>
    </row>
    <row r="6" spans="1:29" x14ac:dyDescent="0.25">
      <c r="B6" t="s">
        <v>12</v>
      </c>
    </row>
    <row r="7" spans="1:29" x14ac:dyDescent="0.25">
      <c r="B7" t="s">
        <v>13</v>
      </c>
    </row>
    <row r="8" spans="1:29" x14ac:dyDescent="0.25">
      <c r="B8" t="s">
        <v>56</v>
      </c>
    </row>
    <row r="10" spans="1:29" x14ac:dyDescent="0.25">
      <c r="A10" s="359" t="s">
        <v>109</v>
      </c>
      <c r="B10" s="359"/>
      <c r="C10" s="359"/>
      <c r="D10" s="359"/>
      <c r="E10" s="359"/>
      <c r="F10" s="359"/>
      <c r="G10" s="359"/>
      <c r="H10" s="359"/>
      <c r="I10" s="4"/>
      <c r="J10" s="359" t="s">
        <v>110</v>
      </c>
      <c r="K10" s="359"/>
      <c r="L10" s="359"/>
      <c r="M10" s="359"/>
      <c r="N10" s="359"/>
      <c r="O10" s="359"/>
      <c r="P10" s="359"/>
      <c r="Q10" s="359"/>
      <c r="S10" s="356" t="s">
        <v>37</v>
      </c>
      <c r="T10" s="356"/>
      <c r="U10" s="356"/>
      <c r="W10" t="s">
        <v>51</v>
      </c>
    </row>
    <row r="11" spans="1:29" s="5" customFormat="1" ht="45" x14ac:dyDescent="0.25">
      <c r="A11" s="5" t="s">
        <v>14</v>
      </c>
      <c r="B11" s="5" t="s">
        <v>8</v>
      </c>
      <c r="C11" s="5" t="s">
        <v>10</v>
      </c>
      <c r="D11" s="5" t="s">
        <v>11</v>
      </c>
      <c r="E11" s="5" t="s">
        <v>107</v>
      </c>
      <c r="F11" s="5" t="s">
        <v>12</v>
      </c>
      <c r="G11" s="5" t="s">
        <v>13</v>
      </c>
      <c r="H11" s="5" t="s">
        <v>56</v>
      </c>
      <c r="J11" s="5" t="s">
        <v>14</v>
      </c>
      <c r="K11" s="5" t="s">
        <v>8</v>
      </c>
      <c r="L11" s="5" t="s">
        <v>10</v>
      </c>
      <c r="M11" s="5" t="s">
        <v>11</v>
      </c>
      <c r="N11" s="5" t="s">
        <v>107</v>
      </c>
      <c r="O11" s="5" t="s">
        <v>12</v>
      </c>
      <c r="P11" s="5" t="s">
        <v>13</v>
      </c>
      <c r="Q11" s="5" t="s">
        <v>56</v>
      </c>
      <c r="S11" s="5" t="s">
        <v>38</v>
      </c>
      <c r="T11" s="5" t="s">
        <v>39</v>
      </c>
    </row>
    <row r="12" spans="1:29" x14ac:dyDescent="0.25">
      <c r="A12">
        <v>0</v>
      </c>
      <c r="B12" s="6"/>
      <c r="C12" s="6"/>
      <c r="H12">
        <v>75.8</v>
      </c>
      <c r="I12" s="6"/>
      <c r="J12" s="73">
        <v>0</v>
      </c>
      <c r="K12" s="6"/>
      <c r="L12" s="6"/>
      <c r="Q12">
        <v>81.099999999999994</v>
      </c>
      <c r="S12" t="s">
        <v>57</v>
      </c>
      <c r="T12" s="73">
        <v>2</v>
      </c>
      <c r="U12" s="73"/>
      <c r="W12" t="s">
        <v>49</v>
      </c>
    </row>
    <row r="13" spans="1:29" x14ac:dyDescent="0.25">
      <c r="A13">
        <v>1</v>
      </c>
      <c r="B13" s="6"/>
      <c r="C13" s="6"/>
      <c r="H13">
        <v>75.3</v>
      </c>
      <c r="I13" s="6"/>
      <c r="J13" s="73">
        <v>1</v>
      </c>
      <c r="K13" s="6"/>
      <c r="L13" s="6"/>
      <c r="Q13">
        <v>80.5</v>
      </c>
      <c r="S13" t="s">
        <v>58</v>
      </c>
      <c r="T13" s="73">
        <v>3</v>
      </c>
      <c r="U13" s="73"/>
      <c r="W13" t="s">
        <v>50</v>
      </c>
    </row>
    <row r="14" spans="1:29" x14ac:dyDescent="0.25">
      <c r="A14">
        <v>2</v>
      </c>
      <c r="B14" s="6"/>
      <c r="C14" s="6"/>
      <c r="H14">
        <v>74.3</v>
      </c>
      <c r="I14" s="6"/>
      <c r="J14" s="73">
        <v>2</v>
      </c>
      <c r="K14" s="6"/>
      <c r="L14" s="6"/>
      <c r="Q14">
        <v>79.5</v>
      </c>
      <c r="S14" t="s">
        <v>40</v>
      </c>
      <c r="T14" s="73">
        <v>5</v>
      </c>
      <c r="U14" s="73"/>
      <c r="W14" t="s">
        <v>35</v>
      </c>
    </row>
    <row r="15" spans="1:29" x14ac:dyDescent="0.25">
      <c r="A15">
        <v>3</v>
      </c>
      <c r="B15" s="6"/>
      <c r="C15" s="6"/>
      <c r="H15">
        <v>73.3</v>
      </c>
      <c r="I15" s="6"/>
      <c r="J15" s="73">
        <v>3</v>
      </c>
      <c r="K15" s="6"/>
      <c r="L15" s="6"/>
      <c r="Q15">
        <v>78.5</v>
      </c>
      <c r="S15" t="s">
        <v>41</v>
      </c>
      <c r="T15" s="73">
        <v>6</v>
      </c>
      <c r="U15" s="73"/>
      <c r="W15" t="s">
        <v>52</v>
      </c>
    </row>
    <row r="16" spans="1:29" x14ac:dyDescent="0.25">
      <c r="A16">
        <v>4</v>
      </c>
      <c r="B16" s="6"/>
      <c r="C16" s="6"/>
      <c r="H16">
        <v>72.400000000000006</v>
      </c>
      <c r="I16" s="6"/>
      <c r="J16" s="73">
        <v>4</v>
      </c>
      <c r="K16" s="6"/>
      <c r="L16" s="6"/>
      <c r="Q16">
        <v>77.599999999999994</v>
      </c>
      <c r="S16" t="s">
        <v>105</v>
      </c>
      <c r="T16" s="73">
        <v>11</v>
      </c>
      <c r="U16" s="73"/>
      <c r="W16" t="s">
        <v>36</v>
      </c>
    </row>
    <row r="17" spans="1:20" x14ac:dyDescent="0.25">
      <c r="A17">
        <v>5</v>
      </c>
      <c r="B17" s="6"/>
      <c r="C17" s="6"/>
      <c r="H17">
        <v>71.400000000000006</v>
      </c>
      <c r="I17" s="6"/>
      <c r="J17" s="73">
        <v>5</v>
      </c>
      <c r="K17" s="6"/>
      <c r="L17" s="6"/>
      <c r="Q17">
        <v>76.599999999999994</v>
      </c>
      <c r="S17" t="s">
        <v>106</v>
      </c>
      <c r="T17" s="73">
        <v>12</v>
      </c>
    </row>
    <row r="18" spans="1:20" x14ac:dyDescent="0.25">
      <c r="A18">
        <v>6</v>
      </c>
      <c r="B18" s="6"/>
      <c r="C18" s="6"/>
      <c r="H18">
        <v>70.400000000000006</v>
      </c>
      <c r="I18" s="6"/>
      <c r="J18" s="73">
        <v>6</v>
      </c>
      <c r="K18" s="6"/>
      <c r="L18" s="6"/>
      <c r="Q18">
        <v>75.599999999999994</v>
      </c>
      <c r="S18" t="s">
        <v>44</v>
      </c>
      <c r="T18" s="73">
        <v>14</v>
      </c>
    </row>
    <row r="19" spans="1:20" x14ac:dyDescent="0.25">
      <c r="A19">
        <v>7</v>
      </c>
      <c r="B19" s="6"/>
      <c r="C19" s="6"/>
      <c r="H19">
        <v>69.400000000000006</v>
      </c>
      <c r="I19" s="6"/>
      <c r="J19" s="73">
        <v>7</v>
      </c>
      <c r="K19" s="6"/>
      <c r="L19" s="6"/>
      <c r="Q19">
        <v>74.599999999999994</v>
      </c>
      <c r="S19" t="s">
        <v>45</v>
      </c>
      <c r="T19" s="73">
        <v>15</v>
      </c>
    </row>
    <row r="20" spans="1:20" x14ac:dyDescent="0.25">
      <c r="A20">
        <v>8</v>
      </c>
      <c r="B20" s="6"/>
      <c r="C20" s="6"/>
      <c r="H20">
        <v>68.400000000000006</v>
      </c>
      <c r="I20" s="6"/>
      <c r="J20" s="73">
        <v>8</v>
      </c>
      <c r="K20" s="6"/>
      <c r="L20" s="6"/>
      <c r="Q20">
        <v>73.599999999999994</v>
      </c>
      <c r="S20" t="s">
        <v>42</v>
      </c>
      <c r="T20" s="73">
        <v>17</v>
      </c>
    </row>
    <row r="21" spans="1:20" x14ac:dyDescent="0.25">
      <c r="A21">
        <v>9</v>
      </c>
      <c r="B21" s="6"/>
      <c r="C21" s="6"/>
      <c r="H21">
        <v>67.400000000000006</v>
      </c>
      <c r="I21" s="6"/>
      <c r="J21" s="73">
        <v>9</v>
      </c>
      <c r="K21" s="6"/>
      <c r="L21" s="6"/>
      <c r="Q21">
        <v>72.599999999999994</v>
      </c>
      <c r="S21" t="s">
        <v>43</v>
      </c>
      <c r="T21" s="73">
        <v>18</v>
      </c>
    </row>
    <row r="22" spans="1:20" x14ac:dyDescent="0.25">
      <c r="A22">
        <v>10</v>
      </c>
      <c r="B22" s="6"/>
      <c r="C22" s="6"/>
      <c r="H22">
        <v>66.400000000000006</v>
      </c>
      <c r="I22" s="6"/>
      <c r="J22" s="73">
        <v>10</v>
      </c>
      <c r="K22" s="6"/>
      <c r="L22" s="6"/>
      <c r="Q22">
        <v>71.599999999999994</v>
      </c>
    </row>
    <row r="23" spans="1:20" x14ac:dyDescent="0.25">
      <c r="A23">
        <v>11</v>
      </c>
      <c r="B23" s="6"/>
      <c r="C23" s="6"/>
      <c r="H23">
        <v>65.400000000000006</v>
      </c>
      <c r="I23" s="6"/>
      <c r="J23" s="73">
        <v>11</v>
      </c>
      <c r="K23" s="6"/>
      <c r="L23" s="6"/>
      <c r="Q23">
        <v>70.599999999999994</v>
      </c>
    </row>
    <row r="24" spans="1:20" x14ac:dyDescent="0.25">
      <c r="A24">
        <v>12</v>
      </c>
      <c r="B24" s="6"/>
      <c r="C24" s="6"/>
      <c r="H24">
        <v>64.400000000000006</v>
      </c>
      <c r="I24" s="6"/>
      <c r="J24" s="73">
        <v>12</v>
      </c>
      <c r="K24" s="6"/>
      <c r="L24" s="6"/>
      <c r="Q24">
        <v>69.599999999999994</v>
      </c>
    </row>
    <row r="25" spans="1:20" x14ac:dyDescent="0.25">
      <c r="A25">
        <v>13</v>
      </c>
      <c r="B25" s="6"/>
      <c r="C25" s="6"/>
      <c r="H25">
        <v>63.4</v>
      </c>
      <c r="I25" s="6"/>
      <c r="J25" s="73">
        <v>13</v>
      </c>
      <c r="K25" s="6"/>
      <c r="L25" s="6"/>
      <c r="Q25">
        <v>68.599999999999994</v>
      </c>
    </row>
    <row r="26" spans="1:20" x14ac:dyDescent="0.25">
      <c r="A26">
        <v>14</v>
      </c>
      <c r="B26" s="6"/>
      <c r="C26" s="6"/>
      <c r="H26">
        <v>62.5</v>
      </c>
      <c r="I26" s="6"/>
      <c r="J26" s="73">
        <v>14</v>
      </c>
      <c r="K26" s="6"/>
      <c r="L26" s="6"/>
      <c r="Q26">
        <v>67.599999999999994</v>
      </c>
    </row>
    <row r="27" spans="1:20" x14ac:dyDescent="0.25">
      <c r="A27">
        <v>15</v>
      </c>
      <c r="B27" s="6"/>
      <c r="C27" s="6"/>
      <c r="H27">
        <v>61.5</v>
      </c>
      <c r="I27" s="6"/>
      <c r="J27" s="73">
        <v>15</v>
      </c>
      <c r="K27" s="6"/>
      <c r="L27" s="6"/>
      <c r="Q27">
        <v>66.7</v>
      </c>
    </row>
    <row r="28" spans="1:20" x14ac:dyDescent="0.25">
      <c r="A28">
        <v>16</v>
      </c>
      <c r="B28" s="6"/>
      <c r="C28" s="6"/>
      <c r="H28">
        <v>60.5</v>
      </c>
      <c r="I28" s="6"/>
      <c r="J28" s="73">
        <v>16</v>
      </c>
      <c r="K28" s="6"/>
      <c r="L28" s="6"/>
      <c r="Q28">
        <v>65.7</v>
      </c>
    </row>
    <row r="29" spans="1:20" x14ac:dyDescent="0.25">
      <c r="A29">
        <v>17</v>
      </c>
      <c r="B29" s="6"/>
      <c r="C29" s="6"/>
      <c r="H29">
        <v>59.6</v>
      </c>
      <c r="I29" s="6"/>
      <c r="J29" s="73">
        <v>17</v>
      </c>
      <c r="K29" s="6"/>
      <c r="L29" s="6"/>
      <c r="Q29">
        <v>64.7</v>
      </c>
    </row>
    <row r="30" spans="1:20" x14ac:dyDescent="0.25">
      <c r="A30">
        <v>18</v>
      </c>
      <c r="B30" s="6"/>
      <c r="C30" s="6"/>
      <c r="H30">
        <v>58.6</v>
      </c>
      <c r="I30" s="6"/>
      <c r="J30" s="73">
        <v>18</v>
      </c>
      <c r="K30" s="6"/>
      <c r="L30" s="6"/>
      <c r="Q30">
        <v>63.7</v>
      </c>
    </row>
    <row r="31" spans="1:20" x14ac:dyDescent="0.25">
      <c r="A31">
        <v>19</v>
      </c>
      <c r="B31" s="6"/>
      <c r="C31" s="6"/>
      <c r="H31">
        <v>57.7</v>
      </c>
      <c r="I31" s="6"/>
      <c r="J31" s="73">
        <v>19</v>
      </c>
      <c r="K31" s="6"/>
      <c r="L31" s="6"/>
      <c r="Q31">
        <v>62.7</v>
      </c>
    </row>
    <row r="32" spans="1:20" x14ac:dyDescent="0.25">
      <c r="A32">
        <v>20</v>
      </c>
      <c r="B32" s="6"/>
      <c r="C32" s="6"/>
      <c r="H32">
        <v>56.7</v>
      </c>
      <c r="I32" s="6"/>
      <c r="J32" s="73">
        <v>20</v>
      </c>
      <c r="K32" s="6"/>
      <c r="L32" s="6"/>
      <c r="Q32">
        <v>61.8</v>
      </c>
    </row>
    <row r="33" spans="1:17" x14ac:dyDescent="0.25">
      <c r="A33">
        <v>21</v>
      </c>
      <c r="B33" s="6"/>
      <c r="C33" s="6"/>
      <c r="H33">
        <v>55.8</v>
      </c>
      <c r="I33" s="6"/>
      <c r="J33" s="73">
        <v>21</v>
      </c>
      <c r="K33" s="6"/>
      <c r="L33" s="6"/>
      <c r="Q33">
        <v>60.8</v>
      </c>
    </row>
    <row r="34" spans="1:17" x14ac:dyDescent="0.25">
      <c r="A34">
        <v>22</v>
      </c>
      <c r="B34" s="6"/>
      <c r="C34" s="6"/>
      <c r="H34">
        <v>54.9</v>
      </c>
      <c r="I34" s="6"/>
      <c r="J34" s="73">
        <v>22</v>
      </c>
      <c r="K34" s="6"/>
      <c r="L34" s="6"/>
      <c r="Q34">
        <v>59.8</v>
      </c>
    </row>
    <row r="35" spans="1:17" x14ac:dyDescent="0.25">
      <c r="A35">
        <v>23</v>
      </c>
      <c r="B35" s="6"/>
      <c r="C35" s="6"/>
      <c r="H35">
        <v>53.9</v>
      </c>
      <c r="I35" s="6"/>
      <c r="J35" s="73">
        <v>23</v>
      </c>
      <c r="K35" s="6"/>
      <c r="L35" s="6"/>
      <c r="Q35">
        <v>58.9</v>
      </c>
    </row>
    <row r="36" spans="1:17" x14ac:dyDescent="0.25">
      <c r="A36">
        <v>24</v>
      </c>
      <c r="B36" s="6"/>
      <c r="C36" s="6"/>
      <c r="H36">
        <v>53</v>
      </c>
      <c r="I36" s="6"/>
      <c r="J36" s="73">
        <v>24</v>
      </c>
      <c r="K36" s="6"/>
      <c r="L36" s="6"/>
      <c r="Q36">
        <v>57.9</v>
      </c>
    </row>
    <row r="37" spans="1:17" x14ac:dyDescent="0.25">
      <c r="A37">
        <v>25</v>
      </c>
      <c r="B37" s="6"/>
      <c r="C37" s="6"/>
      <c r="H37">
        <v>52.1</v>
      </c>
      <c r="I37" s="6"/>
      <c r="J37" s="73">
        <v>25</v>
      </c>
      <c r="K37" s="6"/>
      <c r="L37" s="6"/>
      <c r="Q37">
        <v>56.9</v>
      </c>
    </row>
    <row r="38" spans="1:17" x14ac:dyDescent="0.25">
      <c r="A38">
        <v>26</v>
      </c>
      <c r="B38" s="6"/>
      <c r="C38" s="6"/>
      <c r="H38">
        <v>51.2</v>
      </c>
      <c r="I38" s="6"/>
      <c r="J38" s="73">
        <v>26</v>
      </c>
      <c r="K38" s="6"/>
      <c r="L38" s="6"/>
      <c r="Q38">
        <v>56</v>
      </c>
    </row>
    <row r="39" spans="1:17" x14ac:dyDescent="0.25">
      <c r="A39">
        <v>27</v>
      </c>
      <c r="B39" s="6"/>
      <c r="C39" s="6"/>
      <c r="H39">
        <v>50.3</v>
      </c>
      <c r="I39" s="6"/>
      <c r="J39" s="73">
        <v>27</v>
      </c>
      <c r="K39" s="6"/>
      <c r="L39" s="6"/>
      <c r="Q39">
        <v>55</v>
      </c>
    </row>
    <row r="40" spans="1:17" x14ac:dyDescent="0.25">
      <c r="A40">
        <v>28</v>
      </c>
      <c r="B40" s="6"/>
      <c r="C40" s="6"/>
      <c r="H40">
        <v>49.4</v>
      </c>
      <c r="I40" s="6"/>
      <c r="J40" s="73">
        <v>28</v>
      </c>
      <c r="K40" s="6"/>
      <c r="L40" s="6"/>
      <c r="Q40">
        <v>54</v>
      </c>
    </row>
    <row r="41" spans="1:17" x14ac:dyDescent="0.25">
      <c r="A41">
        <v>29</v>
      </c>
      <c r="B41" s="6"/>
      <c r="C41" s="6"/>
      <c r="H41">
        <v>48.4</v>
      </c>
      <c r="I41" s="6"/>
      <c r="J41" s="73">
        <v>29</v>
      </c>
      <c r="K41" s="6"/>
      <c r="L41" s="6"/>
      <c r="Q41">
        <v>53.1</v>
      </c>
    </row>
    <row r="42" spans="1:17" x14ac:dyDescent="0.25">
      <c r="A42">
        <v>30</v>
      </c>
      <c r="B42" s="6"/>
      <c r="C42" s="6"/>
      <c r="H42">
        <v>47.5</v>
      </c>
      <c r="I42" s="6"/>
      <c r="J42" s="73">
        <v>30</v>
      </c>
      <c r="K42" s="6"/>
      <c r="L42" s="6"/>
      <c r="Q42">
        <v>52.1</v>
      </c>
    </row>
    <row r="43" spans="1:17" x14ac:dyDescent="0.25">
      <c r="A43">
        <v>31</v>
      </c>
      <c r="B43" s="6"/>
      <c r="C43" s="6"/>
      <c r="H43">
        <v>46.6</v>
      </c>
      <c r="I43" s="6"/>
      <c r="J43" s="73">
        <v>31</v>
      </c>
      <c r="K43" s="6"/>
      <c r="L43" s="6"/>
      <c r="Q43">
        <v>51.2</v>
      </c>
    </row>
    <row r="44" spans="1:17" x14ac:dyDescent="0.25">
      <c r="A44">
        <v>32</v>
      </c>
      <c r="B44" s="6"/>
      <c r="C44" s="6"/>
      <c r="H44">
        <v>45.7</v>
      </c>
      <c r="I44" s="6"/>
      <c r="J44" s="73">
        <v>32</v>
      </c>
      <c r="K44" s="6"/>
      <c r="L44" s="6"/>
      <c r="Q44">
        <v>50.2</v>
      </c>
    </row>
    <row r="45" spans="1:17" x14ac:dyDescent="0.25">
      <c r="A45">
        <v>33</v>
      </c>
      <c r="B45" s="6"/>
      <c r="C45" s="6"/>
      <c r="H45">
        <v>44.9</v>
      </c>
      <c r="I45" s="6"/>
      <c r="J45" s="73">
        <v>33</v>
      </c>
      <c r="K45" s="6"/>
      <c r="L45" s="6"/>
      <c r="Q45">
        <v>49.3</v>
      </c>
    </row>
    <row r="46" spans="1:17" x14ac:dyDescent="0.25">
      <c r="A46">
        <v>34</v>
      </c>
      <c r="B46" s="6"/>
      <c r="C46" s="6"/>
      <c r="H46">
        <v>44</v>
      </c>
      <c r="I46" s="6"/>
      <c r="J46" s="73">
        <v>34</v>
      </c>
      <c r="K46" s="6"/>
      <c r="L46" s="6"/>
      <c r="Q46">
        <v>48.3</v>
      </c>
    </row>
    <row r="47" spans="1:17" x14ac:dyDescent="0.25">
      <c r="A47">
        <v>35</v>
      </c>
      <c r="B47" s="6"/>
      <c r="C47" s="6"/>
      <c r="H47">
        <v>43.1</v>
      </c>
      <c r="I47" s="6"/>
      <c r="J47" s="73">
        <v>35</v>
      </c>
      <c r="K47" s="6"/>
      <c r="L47" s="6"/>
      <c r="Q47">
        <v>47.4</v>
      </c>
    </row>
    <row r="48" spans="1:17" x14ac:dyDescent="0.25">
      <c r="A48">
        <v>36</v>
      </c>
      <c r="B48" s="6"/>
      <c r="C48" s="6"/>
      <c r="H48">
        <v>42.2</v>
      </c>
      <c r="I48" s="6"/>
      <c r="J48" s="73">
        <v>36</v>
      </c>
      <c r="K48" s="6"/>
      <c r="L48" s="6"/>
      <c r="Q48">
        <v>46.4</v>
      </c>
    </row>
    <row r="49" spans="1:17" x14ac:dyDescent="0.25">
      <c r="A49">
        <v>37</v>
      </c>
      <c r="B49" s="6"/>
      <c r="C49" s="6"/>
      <c r="H49">
        <v>41.3</v>
      </c>
      <c r="I49" s="6"/>
      <c r="J49" s="73">
        <v>37</v>
      </c>
      <c r="K49" s="6"/>
      <c r="L49" s="6"/>
      <c r="Q49">
        <v>45.5</v>
      </c>
    </row>
    <row r="50" spans="1:17" x14ac:dyDescent="0.25">
      <c r="A50">
        <v>38</v>
      </c>
      <c r="B50" s="6"/>
      <c r="C50" s="6"/>
      <c r="H50">
        <v>40.4</v>
      </c>
      <c r="I50" s="6"/>
      <c r="J50" s="73">
        <v>38</v>
      </c>
      <c r="K50" s="6"/>
      <c r="L50" s="6"/>
      <c r="Q50">
        <v>44.5</v>
      </c>
    </row>
    <row r="51" spans="1:17" x14ac:dyDescent="0.25">
      <c r="A51">
        <v>39</v>
      </c>
      <c r="B51" s="6"/>
      <c r="C51" s="6"/>
      <c r="H51">
        <v>39.5</v>
      </c>
      <c r="I51" s="6"/>
      <c r="J51" s="73">
        <v>39</v>
      </c>
      <c r="K51" s="6"/>
      <c r="L51" s="6"/>
      <c r="Q51">
        <v>43.6</v>
      </c>
    </row>
    <row r="52" spans="1:17" x14ac:dyDescent="0.25">
      <c r="A52">
        <v>40</v>
      </c>
      <c r="B52" s="6"/>
      <c r="C52" s="6"/>
      <c r="H52">
        <v>38.6</v>
      </c>
      <c r="I52" s="6"/>
      <c r="J52" s="73">
        <v>40</v>
      </c>
      <c r="K52" s="6"/>
      <c r="L52" s="6"/>
      <c r="Q52">
        <v>42.7</v>
      </c>
    </row>
    <row r="53" spans="1:17" x14ac:dyDescent="0.25">
      <c r="A53">
        <v>41</v>
      </c>
      <c r="B53" s="6"/>
      <c r="C53" s="6"/>
      <c r="H53">
        <v>37.799999999999997</v>
      </c>
      <c r="I53" s="6"/>
      <c r="J53" s="73">
        <v>41</v>
      </c>
      <c r="K53" s="6"/>
      <c r="L53" s="6"/>
      <c r="Q53">
        <v>41.7</v>
      </c>
    </row>
    <row r="54" spans="1:17" x14ac:dyDescent="0.25">
      <c r="A54">
        <v>42</v>
      </c>
      <c r="B54" s="6"/>
      <c r="C54" s="6"/>
      <c r="H54">
        <v>36.9</v>
      </c>
      <c r="I54" s="6"/>
      <c r="J54" s="73">
        <v>42</v>
      </c>
      <c r="K54" s="6"/>
      <c r="L54" s="6"/>
      <c r="Q54">
        <v>40.799999999999997</v>
      </c>
    </row>
    <row r="55" spans="1:17" x14ac:dyDescent="0.25">
      <c r="A55">
        <v>43</v>
      </c>
      <c r="B55" s="6"/>
      <c r="C55" s="6"/>
      <c r="H55">
        <v>36</v>
      </c>
      <c r="I55" s="6"/>
      <c r="J55" s="73">
        <v>43</v>
      </c>
      <c r="K55" s="6"/>
      <c r="L55" s="6"/>
      <c r="Q55">
        <v>39.9</v>
      </c>
    </row>
    <row r="56" spans="1:17" x14ac:dyDescent="0.25">
      <c r="A56">
        <v>44</v>
      </c>
      <c r="B56" s="6"/>
      <c r="C56" s="6"/>
      <c r="H56">
        <v>35.1</v>
      </c>
      <c r="I56" s="6"/>
      <c r="J56" s="73">
        <v>44</v>
      </c>
      <c r="K56" s="6"/>
      <c r="L56" s="6"/>
      <c r="Q56">
        <v>39</v>
      </c>
    </row>
    <row r="57" spans="1:17" x14ac:dyDescent="0.25">
      <c r="A57">
        <v>45</v>
      </c>
      <c r="B57" s="6"/>
      <c r="C57" s="6"/>
      <c r="H57">
        <v>34.299999999999997</v>
      </c>
      <c r="I57" s="6"/>
      <c r="J57" s="73">
        <v>45</v>
      </c>
      <c r="K57" s="6"/>
      <c r="L57" s="6"/>
      <c r="Q57">
        <v>38</v>
      </c>
    </row>
    <row r="58" spans="1:17" x14ac:dyDescent="0.25">
      <c r="A58">
        <v>46</v>
      </c>
      <c r="B58" s="6"/>
      <c r="C58" s="6"/>
      <c r="H58">
        <v>33.4</v>
      </c>
      <c r="I58" s="6"/>
      <c r="J58" s="73">
        <v>46</v>
      </c>
      <c r="K58" s="6"/>
      <c r="L58" s="6"/>
      <c r="Q58">
        <v>37.1</v>
      </c>
    </row>
    <row r="59" spans="1:17" x14ac:dyDescent="0.25">
      <c r="A59">
        <v>47</v>
      </c>
      <c r="B59" s="6"/>
      <c r="C59" s="6"/>
      <c r="H59">
        <v>32.5</v>
      </c>
      <c r="I59" s="6"/>
      <c r="J59" s="73">
        <v>47</v>
      </c>
      <c r="K59" s="6"/>
      <c r="L59" s="6"/>
      <c r="Q59">
        <v>36.200000000000003</v>
      </c>
    </row>
    <row r="60" spans="1:17" x14ac:dyDescent="0.25">
      <c r="A60">
        <v>48</v>
      </c>
      <c r="B60" s="6"/>
      <c r="C60" s="6"/>
      <c r="H60">
        <v>31.7</v>
      </c>
      <c r="I60" s="6"/>
      <c r="J60" s="73">
        <v>48</v>
      </c>
      <c r="K60" s="6"/>
      <c r="L60" s="6"/>
      <c r="Q60">
        <v>35.299999999999997</v>
      </c>
    </row>
    <row r="61" spans="1:17" x14ac:dyDescent="0.25">
      <c r="A61">
        <v>49</v>
      </c>
      <c r="B61" s="6"/>
      <c r="C61" s="6"/>
      <c r="H61">
        <v>30.8</v>
      </c>
      <c r="I61" s="6"/>
      <c r="J61" s="73">
        <v>49</v>
      </c>
      <c r="K61" s="6"/>
      <c r="L61" s="6"/>
      <c r="Q61">
        <v>34.4</v>
      </c>
    </row>
    <row r="62" spans="1:17" x14ac:dyDescent="0.25">
      <c r="A62">
        <v>50</v>
      </c>
      <c r="B62" s="6"/>
      <c r="C62" s="6"/>
      <c r="H62">
        <v>30</v>
      </c>
      <c r="I62" s="6"/>
      <c r="J62" s="73">
        <v>50</v>
      </c>
      <c r="K62" s="6"/>
      <c r="L62" s="6"/>
      <c r="Q62">
        <v>33.5</v>
      </c>
    </row>
    <row r="63" spans="1:17" x14ac:dyDescent="0.25">
      <c r="A63">
        <v>51</v>
      </c>
      <c r="B63" s="6"/>
      <c r="C63" s="6"/>
      <c r="H63">
        <v>29.1</v>
      </c>
      <c r="I63" s="6"/>
      <c r="J63" s="73">
        <v>51</v>
      </c>
      <c r="K63" s="6"/>
      <c r="L63" s="6"/>
      <c r="Q63">
        <v>32.6</v>
      </c>
    </row>
    <row r="64" spans="1:17" x14ac:dyDescent="0.25">
      <c r="A64">
        <v>52</v>
      </c>
      <c r="B64" s="6"/>
      <c r="C64" s="6"/>
      <c r="H64">
        <v>28.3</v>
      </c>
      <c r="I64" s="6"/>
      <c r="J64" s="73">
        <v>52</v>
      </c>
      <c r="K64" s="6"/>
      <c r="L64" s="6"/>
      <c r="Q64">
        <v>31.7</v>
      </c>
    </row>
    <row r="65" spans="1:17" x14ac:dyDescent="0.25">
      <c r="A65">
        <v>53</v>
      </c>
      <c r="B65" s="6"/>
      <c r="C65" s="6"/>
      <c r="H65">
        <v>27.4</v>
      </c>
      <c r="I65" s="6"/>
      <c r="J65" s="73">
        <v>53</v>
      </c>
      <c r="K65" s="6"/>
      <c r="L65" s="6"/>
      <c r="Q65">
        <v>30.8</v>
      </c>
    </row>
    <row r="66" spans="1:17" x14ac:dyDescent="0.25">
      <c r="A66">
        <v>54</v>
      </c>
      <c r="B66" s="6"/>
      <c r="C66" s="6"/>
      <c r="H66">
        <v>26.6</v>
      </c>
      <c r="I66" s="6"/>
      <c r="J66" s="73">
        <v>54</v>
      </c>
      <c r="K66" s="6"/>
      <c r="L66" s="6"/>
      <c r="Q66">
        <v>29.9</v>
      </c>
    </row>
    <row r="67" spans="1:17" x14ac:dyDescent="0.25">
      <c r="A67">
        <v>55</v>
      </c>
      <c r="B67" s="6"/>
      <c r="C67" s="6"/>
      <c r="H67">
        <v>25.8</v>
      </c>
      <c r="I67" s="6"/>
      <c r="J67" s="73">
        <v>55</v>
      </c>
      <c r="K67" s="6"/>
      <c r="L67" s="6"/>
      <c r="Q67">
        <v>29</v>
      </c>
    </row>
    <row r="68" spans="1:17" x14ac:dyDescent="0.25">
      <c r="A68">
        <v>56</v>
      </c>
      <c r="B68" s="6"/>
      <c r="C68" s="6"/>
      <c r="H68">
        <v>25</v>
      </c>
      <c r="I68" s="6"/>
      <c r="J68" s="73">
        <v>56</v>
      </c>
      <c r="K68" s="6"/>
      <c r="L68" s="6"/>
      <c r="Q68">
        <v>28.2</v>
      </c>
    </row>
    <row r="69" spans="1:17" x14ac:dyDescent="0.25">
      <c r="A69">
        <v>57</v>
      </c>
      <c r="B69" s="6"/>
      <c r="C69" s="6"/>
      <c r="H69">
        <v>24.2</v>
      </c>
      <c r="I69" s="6"/>
      <c r="J69" s="73">
        <v>57</v>
      </c>
      <c r="K69" s="6"/>
      <c r="L69" s="6"/>
      <c r="Q69">
        <v>27.3</v>
      </c>
    </row>
    <row r="70" spans="1:17" x14ac:dyDescent="0.25">
      <c r="A70">
        <v>58</v>
      </c>
      <c r="B70" s="6"/>
      <c r="C70" s="6"/>
      <c r="H70">
        <v>23.4</v>
      </c>
      <c r="I70" s="6"/>
      <c r="J70" s="73">
        <v>58</v>
      </c>
      <c r="K70" s="6"/>
      <c r="L70" s="6"/>
      <c r="Q70">
        <v>26.5</v>
      </c>
    </row>
    <row r="71" spans="1:17" x14ac:dyDescent="0.25">
      <c r="A71">
        <v>59</v>
      </c>
      <c r="B71" s="6"/>
      <c r="C71" s="6"/>
      <c r="H71">
        <v>22.6</v>
      </c>
      <c r="I71" s="6"/>
      <c r="J71" s="73">
        <v>59</v>
      </c>
      <c r="K71" s="6"/>
      <c r="L71" s="6"/>
      <c r="Q71">
        <v>25.6</v>
      </c>
    </row>
    <row r="72" spans="1:17" x14ac:dyDescent="0.25">
      <c r="A72">
        <v>60</v>
      </c>
      <c r="B72" s="6"/>
      <c r="C72" s="6"/>
      <c r="H72">
        <v>21.9</v>
      </c>
      <c r="I72" s="6"/>
      <c r="J72" s="73">
        <v>60</v>
      </c>
      <c r="K72" s="6"/>
      <c r="L72" s="6"/>
      <c r="Q72">
        <v>24.8</v>
      </c>
    </row>
    <row r="73" spans="1:17" x14ac:dyDescent="0.25">
      <c r="A73">
        <v>61</v>
      </c>
      <c r="B73" s="6"/>
      <c r="C73" s="6"/>
      <c r="H73">
        <v>21.1</v>
      </c>
      <c r="I73" s="6"/>
      <c r="J73" s="73">
        <v>61</v>
      </c>
      <c r="K73" s="6"/>
      <c r="L73" s="6"/>
      <c r="Q73">
        <v>23.9</v>
      </c>
    </row>
    <row r="74" spans="1:17" x14ac:dyDescent="0.25">
      <c r="A74">
        <v>62</v>
      </c>
      <c r="B74" s="6"/>
      <c r="C74" s="6"/>
      <c r="H74">
        <v>20.399999999999999</v>
      </c>
      <c r="I74" s="6"/>
      <c r="J74" s="73">
        <v>62</v>
      </c>
      <c r="K74" s="6"/>
      <c r="L74" s="6"/>
      <c r="Q74">
        <v>23.1</v>
      </c>
    </row>
    <row r="75" spans="1:17" x14ac:dyDescent="0.25">
      <c r="A75">
        <v>63</v>
      </c>
      <c r="B75" s="6"/>
      <c r="C75" s="6"/>
      <c r="H75">
        <v>19.600000000000001</v>
      </c>
      <c r="I75" s="6"/>
      <c r="J75" s="73">
        <v>63</v>
      </c>
      <c r="K75" s="6"/>
      <c r="L75" s="6"/>
      <c r="Q75">
        <v>22.3</v>
      </c>
    </row>
    <row r="76" spans="1:17" x14ac:dyDescent="0.25">
      <c r="A76">
        <v>64</v>
      </c>
      <c r="B76" s="6"/>
      <c r="C76" s="6"/>
      <c r="H76">
        <v>18.899999999999999</v>
      </c>
      <c r="I76" s="6"/>
      <c r="J76" s="73">
        <v>64</v>
      </c>
      <c r="K76" s="6"/>
      <c r="L76" s="6"/>
      <c r="Q76">
        <v>21.5</v>
      </c>
    </row>
    <row r="77" spans="1:17" x14ac:dyDescent="0.25">
      <c r="A77">
        <v>65</v>
      </c>
      <c r="B77" s="6"/>
      <c r="C77" s="6"/>
      <c r="H77">
        <v>18.2</v>
      </c>
      <c r="I77" s="6"/>
      <c r="J77" s="73">
        <v>65</v>
      </c>
      <c r="K77" s="6"/>
      <c r="L77" s="6"/>
      <c r="Q77">
        <v>20.7</v>
      </c>
    </row>
    <row r="78" spans="1:17" x14ac:dyDescent="0.25">
      <c r="A78">
        <v>66</v>
      </c>
      <c r="B78" s="6"/>
      <c r="C78" s="6"/>
      <c r="H78">
        <v>17.5</v>
      </c>
      <c r="I78" s="6"/>
      <c r="J78" s="73">
        <v>66</v>
      </c>
      <c r="K78" s="6"/>
      <c r="L78" s="6"/>
      <c r="Q78">
        <v>19.899999999999999</v>
      </c>
    </row>
    <row r="79" spans="1:17" x14ac:dyDescent="0.25">
      <c r="A79">
        <v>67</v>
      </c>
      <c r="B79" s="6"/>
      <c r="C79" s="6"/>
      <c r="H79">
        <v>16.8</v>
      </c>
      <c r="I79" s="6"/>
      <c r="J79" s="73">
        <v>67</v>
      </c>
      <c r="K79" s="6"/>
      <c r="L79" s="6"/>
      <c r="Q79">
        <v>19.100000000000001</v>
      </c>
    </row>
    <row r="80" spans="1:17" x14ac:dyDescent="0.25">
      <c r="A80">
        <v>68</v>
      </c>
      <c r="B80" s="6"/>
      <c r="C80" s="6"/>
      <c r="H80">
        <v>16.100000000000001</v>
      </c>
      <c r="I80" s="6"/>
      <c r="J80" s="73">
        <v>68</v>
      </c>
      <c r="K80" s="6"/>
      <c r="L80" s="6"/>
      <c r="Q80">
        <v>18.399999999999999</v>
      </c>
    </row>
    <row r="81" spans="1:17" x14ac:dyDescent="0.25">
      <c r="A81">
        <v>69</v>
      </c>
      <c r="B81" s="6"/>
      <c r="C81" s="6"/>
      <c r="H81">
        <v>15.4</v>
      </c>
      <c r="I81" s="6"/>
      <c r="J81" s="73">
        <v>69</v>
      </c>
      <c r="K81" s="6"/>
      <c r="L81" s="6"/>
      <c r="Q81">
        <v>17.600000000000001</v>
      </c>
    </row>
    <row r="82" spans="1:17" x14ac:dyDescent="0.25">
      <c r="A82">
        <v>70</v>
      </c>
      <c r="B82" s="6"/>
      <c r="C82" s="6"/>
      <c r="H82">
        <v>14.7</v>
      </c>
      <c r="I82" s="6"/>
      <c r="J82" s="73">
        <v>70</v>
      </c>
      <c r="K82" s="6"/>
      <c r="L82" s="6"/>
      <c r="Q82">
        <v>16.8</v>
      </c>
    </row>
    <row r="83" spans="1:17" x14ac:dyDescent="0.25">
      <c r="A83">
        <v>71</v>
      </c>
      <c r="B83" s="6"/>
      <c r="C83" s="6"/>
      <c r="H83">
        <v>14.1</v>
      </c>
      <c r="I83" s="6"/>
      <c r="J83" s="73">
        <v>71</v>
      </c>
      <c r="K83" s="6"/>
      <c r="L83" s="6"/>
      <c r="Q83">
        <v>16.100000000000001</v>
      </c>
    </row>
    <row r="84" spans="1:17" x14ac:dyDescent="0.25">
      <c r="A84">
        <v>72</v>
      </c>
      <c r="B84" s="6"/>
      <c r="C84" s="6"/>
      <c r="H84">
        <v>13.4</v>
      </c>
      <c r="I84" s="6"/>
      <c r="J84" s="73">
        <v>72</v>
      </c>
      <c r="K84" s="6"/>
      <c r="L84" s="6"/>
      <c r="Q84">
        <v>15.3</v>
      </c>
    </row>
    <row r="85" spans="1:17" x14ac:dyDescent="0.25">
      <c r="A85">
        <v>73</v>
      </c>
      <c r="B85" s="6"/>
      <c r="C85" s="6"/>
      <c r="H85">
        <v>12.8</v>
      </c>
      <c r="I85" s="6"/>
      <c r="J85" s="73">
        <v>73</v>
      </c>
      <c r="K85" s="6"/>
      <c r="L85" s="6"/>
      <c r="Q85">
        <v>14.6</v>
      </c>
    </row>
    <row r="86" spans="1:17" x14ac:dyDescent="0.25">
      <c r="A86">
        <v>74</v>
      </c>
      <c r="B86" s="6"/>
      <c r="C86" s="6"/>
      <c r="H86">
        <v>12.1</v>
      </c>
      <c r="I86" s="6"/>
      <c r="J86" s="73">
        <v>74</v>
      </c>
      <c r="K86" s="6"/>
      <c r="L86" s="6"/>
      <c r="Q86">
        <v>13.9</v>
      </c>
    </row>
    <row r="87" spans="1:17" x14ac:dyDescent="0.25">
      <c r="A87">
        <v>75</v>
      </c>
      <c r="B87" s="6"/>
      <c r="C87" s="6"/>
      <c r="H87">
        <v>11.5</v>
      </c>
      <c r="I87" s="6"/>
      <c r="J87" s="73">
        <v>75</v>
      </c>
      <c r="K87" s="6"/>
      <c r="L87" s="6"/>
      <c r="Q87">
        <v>13.2</v>
      </c>
    </row>
    <row r="88" spans="1:17" x14ac:dyDescent="0.25">
      <c r="A88">
        <v>76</v>
      </c>
      <c r="B88" s="6"/>
      <c r="C88" s="6"/>
      <c r="H88">
        <v>10.9</v>
      </c>
      <c r="I88" s="6"/>
      <c r="J88" s="73">
        <v>76</v>
      </c>
      <c r="K88" s="6"/>
      <c r="L88" s="6"/>
      <c r="Q88">
        <v>12.5</v>
      </c>
    </row>
    <row r="89" spans="1:17" x14ac:dyDescent="0.25">
      <c r="A89">
        <v>77</v>
      </c>
      <c r="B89" s="6"/>
      <c r="C89" s="6"/>
      <c r="H89">
        <v>10.3</v>
      </c>
      <c r="I89" s="6"/>
      <c r="J89" s="73">
        <v>77</v>
      </c>
      <c r="K89" s="6"/>
      <c r="L89" s="6"/>
      <c r="Q89">
        <v>11.8</v>
      </c>
    </row>
    <row r="90" spans="1:17" x14ac:dyDescent="0.25">
      <c r="A90">
        <v>78</v>
      </c>
      <c r="B90" s="6"/>
      <c r="C90" s="6"/>
      <c r="H90">
        <v>9.6999999999999993</v>
      </c>
      <c r="I90" s="6"/>
      <c r="J90" s="73">
        <v>78</v>
      </c>
      <c r="K90" s="6"/>
      <c r="L90" s="6"/>
      <c r="Q90">
        <v>11.1</v>
      </c>
    </row>
    <row r="91" spans="1:17" x14ac:dyDescent="0.25">
      <c r="A91">
        <v>79</v>
      </c>
      <c r="B91" s="6"/>
      <c r="C91" s="6"/>
      <c r="H91">
        <v>9.1</v>
      </c>
      <c r="I91" s="6"/>
      <c r="J91" s="73">
        <v>79</v>
      </c>
      <c r="K91" s="6"/>
      <c r="L91" s="6"/>
      <c r="Q91">
        <v>10.5</v>
      </c>
    </row>
    <row r="92" spans="1:17" x14ac:dyDescent="0.25">
      <c r="A92">
        <v>80</v>
      </c>
      <c r="B92" s="6"/>
      <c r="C92" s="6"/>
      <c r="H92">
        <v>8.5</v>
      </c>
      <c r="I92" s="6"/>
      <c r="J92" s="73">
        <v>80</v>
      </c>
      <c r="K92" s="6"/>
      <c r="L92" s="6"/>
      <c r="Q92">
        <v>9.9</v>
      </c>
    </row>
    <row r="93" spans="1:17" x14ac:dyDescent="0.25">
      <c r="B93" s="6"/>
    </row>
    <row r="94" spans="1:17" x14ac:dyDescent="0.25">
      <c r="B94" s="6"/>
    </row>
    <row r="95" spans="1:17" x14ac:dyDescent="0.25">
      <c r="B95" s="6"/>
    </row>
    <row r="96" spans="1:17" x14ac:dyDescent="0.25">
      <c r="B96" s="6"/>
    </row>
    <row r="97" spans="1:17" x14ac:dyDescent="0.25">
      <c r="B97" s="6"/>
    </row>
    <row r="98" spans="1:17" s="5" customFormat="1" x14ac:dyDescent="0.25">
      <c r="B98" s="6"/>
      <c r="D98"/>
      <c r="E98"/>
      <c r="F98"/>
      <c r="G98"/>
      <c r="H98"/>
      <c r="M98"/>
      <c r="N98"/>
      <c r="O98"/>
      <c r="P98"/>
      <c r="Q98"/>
    </row>
    <row r="99" spans="1:17" x14ac:dyDescent="0.25">
      <c r="B99" s="6"/>
    </row>
    <row r="100" spans="1:17" x14ac:dyDescent="0.25">
      <c r="B100" s="6"/>
    </row>
    <row r="103" spans="1:17" ht="63" customHeight="1" x14ac:dyDescent="0.25">
      <c r="A103" s="97"/>
      <c r="B103" s="358" t="s">
        <v>108</v>
      </c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</row>
    <row r="104" spans="1:17" x14ac:dyDescent="0.25">
      <c r="A104" s="97"/>
      <c r="B104" s="97" t="s">
        <v>39</v>
      </c>
      <c r="C104" s="97" t="s">
        <v>71</v>
      </c>
      <c r="D104" s="97" t="s">
        <v>72</v>
      </c>
      <c r="E104" s="97" t="s">
        <v>73</v>
      </c>
      <c r="F104" s="97" t="s">
        <v>74</v>
      </c>
      <c r="G104" s="97" t="s">
        <v>75</v>
      </c>
      <c r="H104" s="97" t="s">
        <v>76</v>
      </c>
      <c r="I104" s="97" t="s">
        <v>77</v>
      </c>
      <c r="J104" s="97" t="s">
        <v>65</v>
      </c>
      <c r="K104" s="97" t="s">
        <v>78</v>
      </c>
      <c r="L104" s="97" t="s">
        <v>79</v>
      </c>
    </row>
    <row r="105" spans="1:17" x14ac:dyDescent="0.25">
      <c r="A105" s="97" t="s">
        <v>94</v>
      </c>
      <c r="B105" s="97">
        <v>1</v>
      </c>
      <c r="C105" s="101">
        <v>1.81</v>
      </c>
      <c r="D105" s="101">
        <v>2.54</v>
      </c>
      <c r="E105" s="101">
        <v>3.12</v>
      </c>
      <c r="F105" s="101">
        <v>0.83</v>
      </c>
      <c r="G105" s="101">
        <v>2.0499999999999998</v>
      </c>
      <c r="H105" s="101">
        <v>0.09</v>
      </c>
      <c r="I105" s="101">
        <v>1.9</v>
      </c>
      <c r="J105" s="101">
        <v>10.34</v>
      </c>
      <c r="K105" s="101">
        <v>0.26</v>
      </c>
      <c r="L105" s="101">
        <v>3.73</v>
      </c>
    </row>
    <row r="106" spans="1:17" x14ac:dyDescent="0.25">
      <c r="A106" s="97" t="s">
        <v>95</v>
      </c>
      <c r="B106" s="97">
        <v>2</v>
      </c>
      <c r="C106" s="101">
        <v>1.69</v>
      </c>
      <c r="D106" s="101">
        <v>2.37</v>
      </c>
      <c r="E106" s="101">
        <v>3.65</v>
      </c>
      <c r="F106" s="101">
        <v>0.79</v>
      </c>
      <c r="G106" s="101">
        <v>2.11</v>
      </c>
      <c r="H106" s="101">
        <v>0.11</v>
      </c>
      <c r="I106" s="101">
        <v>1.86</v>
      </c>
      <c r="J106" s="101">
        <v>7.62</v>
      </c>
      <c r="K106" s="101">
        <v>0.32</v>
      </c>
      <c r="L106" s="101">
        <v>3.89</v>
      </c>
    </row>
    <row r="107" spans="1:17" x14ac:dyDescent="0.25">
      <c r="A107" s="97" t="s">
        <v>96</v>
      </c>
      <c r="B107" s="97">
        <v>3</v>
      </c>
      <c r="C107" s="101">
        <v>1.66</v>
      </c>
      <c r="D107" s="101">
        <v>2.48</v>
      </c>
      <c r="E107" s="101">
        <v>4.16</v>
      </c>
      <c r="F107" s="101">
        <v>0.81</v>
      </c>
      <c r="G107" s="101">
        <v>2.0099999999999998</v>
      </c>
      <c r="H107" s="101">
        <v>0.12</v>
      </c>
      <c r="I107" s="101">
        <v>1.97</v>
      </c>
      <c r="J107" s="101">
        <v>4.2699999999999996</v>
      </c>
      <c r="K107" s="101">
        <v>0.38</v>
      </c>
      <c r="L107" s="101">
        <v>4.01</v>
      </c>
    </row>
    <row r="108" spans="1:17" x14ac:dyDescent="0.25">
      <c r="A108" s="97" t="s">
        <v>97</v>
      </c>
      <c r="B108" s="97">
        <v>4</v>
      </c>
      <c r="C108" s="101">
        <v>1.56</v>
      </c>
      <c r="D108" s="101">
        <v>2.21</v>
      </c>
      <c r="E108" s="101">
        <v>5.19</v>
      </c>
      <c r="F108" s="101">
        <v>1.02</v>
      </c>
      <c r="G108" s="101">
        <v>1.95</v>
      </c>
      <c r="H108" s="101">
        <v>0.13</v>
      </c>
      <c r="I108" s="101">
        <v>2.08</v>
      </c>
      <c r="J108" s="101">
        <v>1.53</v>
      </c>
      <c r="K108" s="101">
        <v>0.5</v>
      </c>
      <c r="L108" s="101">
        <v>4.1900000000000004</v>
      </c>
    </row>
    <row r="109" spans="1:17" x14ac:dyDescent="0.25">
      <c r="A109" s="97" t="s">
        <v>98</v>
      </c>
      <c r="B109" s="97">
        <v>9</v>
      </c>
      <c r="C109" s="101">
        <v>1.39</v>
      </c>
      <c r="D109" s="101">
        <v>1.96</v>
      </c>
      <c r="E109" s="101">
        <v>5.26</v>
      </c>
      <c r="F109" s="101">
        <v>1.03</v>
      </c>
      <c r="G109" s="101">
        <v>0.19900000000000001</v>
      </c>
      <c r="H109" s="101">
        <v>0.13</v>
      </c>
      <c r="I109" s="101">
        <v>2.08</v>
      </c>
      <c r="J109" s="101"/>
      <c r="K109" s="101">
        <v>0.56000000000000005</v>
      </c>
      <c r="L109" s="101">
        <v>4.13</v>
      </c>
    </row>
    <row r="110" spans="1:17" x14ac:dyDescent="0.25">
      <c r="A110" s="97" t="s">
        <v>80</v>
      </c>
      <c r="B110" s="97">
        <v>92</v>
      </c>
      <c r="C110" s="101">
        <v>1.87</v>
      </c>
      <c r="D110" s="101">
        <v>2.88</v>
      </c>
      <c r="E110" s="101">
        <v>9.48</v>
      </c>
      <c r="F110" s="101">
        <v>1.91</v>
      </c>
      <c r="G110" s="101">
        <v>2.7</v>
      </c>
      <c r="H110" s="101">
        <v>0.38</v>
      </c>
      <c r="I110" s="101">
        <v>2.36</v>
      </c>
      <c r="J110" s="101"/>
      <c r="K110" s="101">
        <v>1.54</v>
      </c>
      <c r="L110" s="101">
        <v>3.32</v>
      </c>
    </row>
    <row r="111" spans="1:17" x14ac:dyDescent="0.25">
      <c r="A111" s="97" t="s">
        <v>99</v>
      </c>
      <c r="B111" s="97">
        <v>116</v>
      </c>
      <c r="C111" s="101">
        <v>4.83</v>
      </c>
      <c r="D111" s="101">
        <v>5.69</v>
      </c>
      <c r="E111" s="101">
        <v>0.95</v>
      </c>
      <c r="F111" s="101">
        <v>1.1000000000000001</v>
      </c>
      <c r="G111" s="101">
        <v>2.84</v>
      </c>
      <c r="H111" s="101">
        <v>0.1</v>
      </c>
      <c r="I111" s="101">
        <v>1.94</v>
      </c>
      <c r="J111" s="101">
        <v>19.88</v>
      </c>
      <c r="K111" s="101">
        <v>0.5</v>
      </c>
      <c r="L111" s="101">
        <v>4.76</v>
      </c>
    </row>
    <row r="112" spans="1:17" x14ac:dyDescent="0.25">
      <c r="A112" s="97" t="s">
        <v>100</v>
      </c>
      <c r="B112" s="97">
        <v>117</v>
      </c>
      <c r="C112" s="101">
        <v>5.95</v>
      </c>
      <c r="D112" s="101">
        <v>5.82</v>
      </c>
      <c r="E112" s="101">
        <v>1.27</v>
      </c>
      <c r="F112" s="101">
        <v>0.97</v>
      </c>
      <c r="G112" s="101">
        <v>2.89</v>
      </c>
      <c r="H112" s="101">
        <v>7.0000000000000007E-2</v>
      </c>
      <c r="I112" s="101">
        <v>1.98</v>
      </c>
      <c r="J112" s="101">
        <v>10.86</v>
      </c>
      <c r="K112" s="101">
        <v>0.72</v>
      </c>
      <c r="L112" s="101">
        <v>5.15</v>
      </c>
    </row>
    <row r="113" spans="1:12" x14ac:dyDescent="0.25">
      <c r="A113" s="97" t="s">
        <v>101</v>
      </c>
      <c r="B113" s="97">
        <v>118</v>
      </c>
      <c r="C113" s="101">
        <v>6.05</v>
      </c>
      <c r="D113" s="101">
        <v>5.91</v>
      </c>
      <c r="E113" s="101">
        <v>1.65</v>
      </c>
      <c r="F113" s="101">
        <v>1.06</v>
      </c>
      <c r="G113" s="101">
        <v>3.32</v>
      </c>
      <c r="H113" s="101">
        <v>0.1</v>
      </c>
      <c r="I113" s="101">
        <v>2.2200000000000002</v>
      </c>
      <c r="J113" s="101">
        <v>6.81</v>
      </c>
      <c r="K113" s="101">
        <v>0.74</v>
      </c>
      <c r="L113" s="101">
        <v>5.48</v>
      </c>
    </row>
    <row r="114" spans="1:12" x14ac:dyDescent="0.25">
      <c r="A114" s="97" t="s">
        <v>102</v>
      </c>
      <c r="B114" s="97">
        <v>119</v>
      </c>
      <c r="C114" s="101">
        <v>5.74</v>
      </c>
      <c r="D114" s="101">
        <v>5.92</v>
      </c>
      <c r="E114" s="101">
        <v>2.12</v>
      </c>
      <c r="F114" s="101">
        <v>1.1599999999999999</v>
      </c>
      <c r="G114" s="101">
        <v>3.31</v>
      </c>
      <c r="H114" s="101">
        <v>0.09</v>
      </c>
      <c r="I114" s="101">
        <v>2.4700000000000002</v>
      </c>
      <c r="J114" s="101">
        <v>2.5099999999999998</v>
      </c>
      <c r="K114" s="101">
        <v>0.83</v>
      </c>
      <c r="L114" s="101">
        <v>5.96</v>
      </c>
    </row>
    <row r="115" spans="1:12" x14ac:dyDescent="0.25">
      <c r="A115" s="97" t="s">
        <v>103</v>
      </c>
      <c r="B115" s="97">
        <v>124</v>
      </c>
      <c r="C115" s="101">
        <v>4.72</v>
      </c>
      <c r="D115" s="101">
        <v>4.3499999999999996</v>
      </c>
      <c r="E115" s="101">
        <v>2.77</v>
      </c>
      <c r="F115" s="101">
        <v>1.22</v>
      </c>
      <c r="G115" s="101">
        <v>3.01</v>
      </c>
      <c r="H115" s="101">
        <v>0.12</v>
      </c>
      <c r="I115" s="101">
        <v>2.3199999999999998</v>
      </c>
      <c r="J115" s="101"/>
      <c r="K115" s="101">
        <v>0.94</v>
      </c>
      <c r="L115" s="101">
        <v>5.95</v>
      </c>
    </row>
    <row r="116" spans="1:12" x14ac:dyDescent="0.25">
      <c r="A116" s="97" t="s">
        <v>104</v>
      </c>
      <c r="B116" s="97">
        <v>235</v>
      </c>
      <c r="C116" s="101">
        <v>8.9700000000000006</v>
      </c>
      <c r="D116" s="101">
        <v>7.11</v>
      </c>
      <c r="E116" s="101">
        <v>4.78</v>
      </c>
      <c r="F116" s="101">
        <v>2.42</v>
      </c>
      <c r="G116" s="101">
        <v>4.16</v>
      </c>
      <c r="H116" s="101">
        <v>0.2</v>
      </c>
      <c r="I116" s="101">
        <v>2.89</v>
      </c>
      <c r="J116" s="101"/>
      <c r="K116" s="101">
        <v>1.53</v>
      </c>
      <c r="L116" s="101">
        <v>5.16</v>
      </c>
    </row>
    <row r="117" spans="1:12" x14ac:dyDescent="0.25">
      <c r="A117" s="97" t="s">
        <v>81</v>
      </c>
      <c r="B117" s="97" t="s">
        <v>66</v>
      </c>
      <c r="C117" s="101" t="s">
        <v>66</v>
      </c>
      <c r="D117" s="101" t="s">
        <v>66</v>
      </c>
      <c r="E117" s="97" t="s">
        <v>66</v>
      </c>
      <c r="F117" s="97" t="s">
        <v>66</v>
      </c>
      <c r="G117" s="97" t="s">
        <v>66</v>
      </c>
      <c r="H117" s="97" t="s">
        <v>66</v>
      </c>
      <c r="I117" s="97" t="s">
        <v>66</v>
      </c>
      <c r="J117" s="97" t="s">
        <v>66</v>
      </c>
      <c r="K117" s="97" t="s">
        <v>66</v>
      </c>
      <c r="L117" s="97" t="s">
        <v>66</v>
      </c>
    </row>
    <row r="118" spans="1:12" x14ac:dyDescent="0.25">
      <c r="A118" s="97" t="s">
        <v>82</v>
      </c>
      <c r="B118" s="97">
        <v>258</v>
      </c>
      <c r="C118" s="101">
        <v>2.82</v>
      </c>
      <c r="D118" s="101">
        <v>2.71</v>
      </c>
      <c r="E118" s="101">
        <v>2.5299999999999998</v>
      </c>
      <c r="F118" s="101">
        <v>0.87</v>
      </c>
      <c r="G118" s="101">
        <v>2.08</v>
      </c>
      <c r="H118" s="101">
        <v>0.1</v>
      </c>
      <c r="I118" s="101">
        <v>1.82</v>
      </c>
      <c r="J118" s="101">
        <v>4.33</v>
      </c>
      <c r="K118" s="101">
        <v>0.39</v>
      </c>
      <c r="L118" s="101">
        <v>3.67</v>
      </c>
    </row>
    <row r="119" spans="1:12" x14ac:dyDescent="0.25">
      <c r="A119" s="97" t="s">
        <v>83</v>
      </c>
      <c r="B119" s="97">
        <v>259</v>
      </c>
      <c r="C119" s="101">
        <v>2.1</v>
      </c>
      <c r="D119" s="101">
        <v>2.2599999999999998</v>
      </c>
      <c r="E119" s="101">
        <v>2.95</v>
      </c>
      <c r="F119" s="101">
        <v>0.75</v>
      </c>
      <c r="G119" s="101">
        <v>2.1</v>
      </c>
      <c r="H119" s="101">
        <v>7.0000000000000007E-2</v>
      </c>
      <c r="I119" s="101">
        <v>1.77</v>
      </c>
      <c r="J119" s="101">
        <v>3.09</v>
      </c>
      <c r="K119" s="101">
        <v>0.33</v>
      </c>
      <c r="L119" s="101">
        <v>4.1399999999999997</v>
      </c>
    </row>
    <row r="120" spans="1:12" x14ac:dyDescent="0.25">
      <c r="A120" s="97" t="s">
        <v>84</v>
      </c>
      <c r="B120" s="97">
        <v>260</v>
      </c>
      <c r="C120" s="101">
        <v>1.69</v>
      </c>
      <c r="D120" s="101">
        <v>1.91</v>
      </c>
      <c r="E120" s="101">
        <v>2.4900000000000002</v>
      </c>
      <c r="F120" s="101">
        <v>0.8</v>
      </c>
      <c r="G120" s="101">
        <v>1.74</v>
      </c>
      <c r="H120" s="101">
        <v>0.1</v>
      </c>
      <c r="I120" s="101">
        <v>1.94</v>
      </c>
      <c r="J120" s="101">
        <v>0.84</v>
      </c>
      <c r="K120" s="101">
        <v>0.35</v>
      </c>
      <c r="L120" s="101">
        <v>4.29</v>
      </c>
    </row>
    <row r="121" spans="1:12" x14ac:dyDescent="0.25">
      <c r="A121" s="97" t="s">
        <v>85</v>
      </c>
      <c r="B121" s="97">
        <v>262</v>
      </c>
      <c r="C121" s="101">
        <v>1.97</v>
      </c>
      <c r="D121" s="101">
        <v>2</v>
      </c>
      <c r="E121" s="101">
        <v>2.75</v>
      </c>
      <c r="F121" s="101">
        <v>0.76</v>
      </c>
      <c r="G121" s="101">
        <v>1.79</v>
      </c>
      <c r="H121" s="101">
        <v>0.08</v>
      </c>
      <c r="I121" s="101">
        <v>1.92</v>
      </c>
      <c r="J121" s="101"/>
      <c r="K121" s="101">
        <v>0.41</v>
      </c>
      <c r="L121" s="101">
        <v>4.1399999999999997</v>
      </c>
    </row>
    <row r="122" spans="1:12" x14ac:dyDescent="0.25">
      <c r="A122" s="97" t="s">
        <v>86</v>
      </c>
      <c r="B122" s="97">
        <v>300</v>
      </c>
      <c r="C122" s="101">
        <v>2.77</v>
      </c>
      <c r="D122" s="101">
        <v>3.59</v>
      </c>
      <c r="E122" s="101">
        <v>5.74</v>
      </c>
      <c r="F122" s="101">
        <v>1.76</v>
      </c>
      <c r="G122" s="101">
        <v>2.35</v>
      </c>
      <c r="H122" s="101">
        <v>0.26</v>
      </c>
      <c r="I122" s="101">
        <v>2.0699999999999998</v>
      </c>
      <c r="J122" s="101"/>
      <c r="K122" s="101">
        <v>1.55</v>
      </c>
      <c r="L122" s="101">
        <v>3.2</v>
      </c>
    </row>
    <row r="123" spans="1:12" x14ac:dyDescent="0.25">
      <c r="A123" s="97" t="s">
        <v>87</v>
      </c>
      <c r="B123" s="97">
        <v>308</v>
      </c>
      <c r="C123" s="101">
        <v>4.68</v>
      </c>
      <c r="D123" s="101">
        <v>4.13</v>
      </c>
      <c r="E123" s="101">
        <v>0.6</v>
      </c>
      <c r="F123" s="101">
        <v>0.73</v>
      </c>
      <c r="G123" s="101">
        <v>2.83</v>
      </c>
      <c r="H123" s="101">
        <v>0.1</v>
      </c>
      <c r="I123" s="101">
        <v>1.71</v>
      </c>
      <c r="J123" s="101">
        <v>12.45</v>
      </c>
      <c r="K123" s="101">
        <v>0.68</v>
      </c>
      <c r="L123" s="101">
        <v>5.84</v>
      </c>
    </row>
    <row r="124" spans="1:12" x14ac:dyDescent="0.25">
      <c r="A124" s="97" t="s">
        <v>88</v>
      </c>
      <c r="B124" s="97">
        <v>309</v>
      </c>
      <c r="C124" s="101">
        <v>4.97</v>
      </c>
      <c r="D124" s="101">
        <v>4.57</v>
      </c>
      <c r="E124" s="101">
        <v>1.01</v>
      </c>
      <c r="F124" s="101">
        <v>0.75</v>
      </c>
      <c r="G124" s="101">
        <v>2.83</v>
      </c>
      <c r="H124" s="101">
        <v>0.15</v>
      </c>
      <c r="I124" s="101">
        <v>2.13</v>
      </c>
      <c r="J124" s="101">
        <v>8.81</v>
      </c>
      <c r="K124" s="101">
        <v>0.65</v>
      </c>
      <c r="L124" s="101">
        <v>5.63</v>
      </c>
    </row>
    <row r="125" spans="1:12" x14ac:dyDescent="0.25">
      <c r="A125" s="97" t="s">
        <v>89</v>
      </c>
      <c r="B125" s="97">
        <v>310</v>
      </c>
      <c r="C125" s="101">
        <v>4.87</v>
      </c>
      <c r="D125" s="101">
        <v>4.6100000000000003</v>
      </c>
      <c r="E125" s="101">
        <v>1.21</v>
      </c>
      <c r="F125" s="101">
        <v>1.1599999999999999</v>
      </c>
      <c r="G125" s="101">
        <v>2.86</v>
      </c>
      <c r="H125" s="101">
        <v>0.17</v>
      </c>
      <c r="I125" s="101">
        <v>2.31</v>
      </c>
      <c r="J125" s="101">
        <v>5.69</v>
      </c>
      <c r="K125" s="101">
        <v>0.84</v>
      </c>
      <c r="L125" s="101">
        <v>6.13</v>
      </c>
    </row>
    <row r="126" spans="1:12" x14ac:dyDescent="0.25">
      <c r="A126" s="97" t="s">
        <v>90</v>
      </c>
      <c r="B126" s="97">
        <v>311</v>
      </c>
      <c r="C126" s="101">
        <v>5.42</v>
      </c>
      <c r="D126" s="101">
        <v>4.08</v>
      </c>
      <c r="E126" s="101">
        <v>1.69</v>
      </c>
      <c r="F126" s="101">
        <v>1.0900000000000001</v>
      </c>
      <c r="G126" s="101">
        <v>2.99</v>
      </c>
      <c r="H126" s="101">
        <v>0.17</v>
      </c>
      <c r="I126" s="101">
        <v>2.23</v>
      </c>
      <c r="J126" s="101">
        <v>2.09</v>
      </c>
      <c r="K126" s="101">
        <v>0.78</v>
      </c>
      <c r="L126" s="101">
        <v>6.42</v>
      </c>
    </row>
    <row r="127" spans="1:12" x14ac:dyDescent="0.25">
      <c r="A127" s="97" t="s">
        <v>91</v>
      </c>
      <c r="B127" s="97">
        <v>312</v>
      </c>
      <c r="C127" s="101">
        <v>3.96</v>
      </c>
      <c r="D127" s="101">
        <v>2.9</v>
      </c>
      <c r="E127" s="101">
        <v>2.0499999999999998</v>
      </c>
      <c r="F127" s="101">
        <v>1.06</v>
      </c>
      <c r="G127" s="101">
        <v>2.83</v>
      </c>
      <c r="H127" s="101">
        <v>0.15</v>
      </c>
      <c r="I127" s="101">
        <v>2.14</v>
      </c>
      <c r="J127" s="101"/>
      <c r="K127" s="101">
        <v>0.91</v>
      </c>
      <c r="L127" s="101">
        <v>6.36</v>
      </c>
    </row>
    <row r="128" spans="1:12" x14ac:dyDescent="0.25">
      <c r="A128" s="97" t="s">
        <v>92</v>
      </c>
      <c r="B128" s="97">
        <v>358</v>
      </c>
      <c r="C128" s="101">
        <v>7.09</v>
      </c>
      <c r="D128" s="101">
        <v>5.35</v>
      </c>
      <c r="E128" s="101">
        <v>3.42</v>
      </c>
      <c r="F128" s="101">
        <v>2.4</v>
      </c>
      <c r="G128" s="101">
        <v>2.88</v>
      </c>
      <c r="H128" s="101">
        <v>0.22</v>
      </c>
      <c r="I128" s="101">
        <v>1.88</v>
      </c>
      <c r="J128" s="101"/>
      <c r="K128" s="101">
        <v>2.46</v>
      </c>
      <c r="L128" s="101">
        <v>5.22</v>
      </c>
    </row>
  </sheetData>
  <mergeCells count="5">
    <mergeCell ref="S10:U10"/>
    <mergeCell ref="G1:P1"/>
    <mergeCell ref="B103:L103"/>
    <mergeCell ref="A10:H10"/>
    <mergeCell ref="J10:Q10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296</vt:i4>
      </vt:variant>
    </vt:vector>
  </HeadingPairs>
  <TitlesOfParts>
    <vt:vector size="334" baseType="lpstr">
      <vt:lpstr>Master Data</vt:lpstr>
      <vt:lpstr>1st Procedure</vt:lpstr>
      <vt:lpstr>2nd</vt:lpstr>
      <vt:lpstr>3rd</vt:lpstr>
      <vt:lpstr>4th</vt:lpstr>
      <vt:lpstr>Routine Care</vt:lpstr>
      <vt:lpstr>Evaluations</vt:lpstr>
      <vt:lpstr>Therapeutic</vt:lpstr>
      <vt:lpstr>Diagnostic</vt:lpstr>
      <vt:lpstr>Medications</vt:lpstr>
      <vt:lpstr>Injections</vt:lpstr>
      <vt:lpstr>Prostheses</vt:lpstr>
      <vt:lpstr>Equipment</vt:lpstr>
      <vt:lpstr>Home Services</vt:lpstr>
      <vt:lpstr>Home Maintenance</vt:lpstr>
      <vt:lpstr>Transportation</vt:lpstr>
      <vt:lpstr>PASTE TABLES TO RIGHT --&gt;</vt:lpstr>
      <vt:lpstr>Procedure1</vt:lpstr>
      <vt:lpstr>Procedure2</vt:lpstr>
      <vt:lpstr>Procedure3</vt:lpstr>
      <vt:lpstr>Procedure4</vt:lpstr>
      <vt:lpstr>Med Care</vt:lpstr>
      <vt:lpstr>Proj Evals</vt:lpstr>
      <vt:lpstr>Therapies</vt:lpstr>
      <vt:lpstr>Diagnotics</vt:lpstr>
      <vt:lpstr>Meds</vt:lpstr>
      <vt:lpstr>Interventional</vt:lpstr>
      <vt:lpstr>Prosthetics</vt:lpstr>
      <vt:lpstr>Equip &amp; Supply</vt:lpstr>
      <vt:lpstr>Long Term Care</vt:lpstr>
      <vt:lpstr>Maintenance</vt:lpstr>
      <vt:lpstr>Transport</vt:lpstr>
      <vt:lpstr>Stokes Final Tables</vt:lpstr>
      <vt:lpstr>Cost Data Sheet</vt:lpstr>
      <vt:lpstr>Service to CPT Map</vt:lpstr>
      <vt:lpstr>Meds Sheet</vt:lpstr>
      <vt:lpstr>Econ Sheet</vt:lpstr>
      <vt:lpstr>Drop Downs</vt:lpstr>
      <vt:lpstr>'1st Procedure'!Age_Initiated</vt:lpstr>
      <vt:lpstr>'2nd'!Age_Initiated</vt:lpstr>
      <vt:lpstr>'3rd'!Age_Initiated</vt:lpstr>
      <vt:lpstr>'4th'!Age_Initiated</vt:lpstr>
      <vt:lpstr>Diagnostic!Age_Initiated</vt:lpstr>
      <vt:lpstr>Equipment!Age_Initiated</vt:lpstr>
      <vt:lpstr>Evaluations!Age_Initiated</vt:lpstr>
      <vt:lpstr>'Home Maintenance'!Age_Initiated</vt:lpstr>
      <vt:lpstr>'Home Services'!Age_Initiated</vt:lpstr>
      <vt:lpstr>Injections!Age_Initiated</vt:lpstr>
      <vt:lpstr>Medications!Age_Initiated</vt:lpstr>
      <vt:lpstr>Prostheses!Age_Initiated</vt:lpstr>
      <vt:lpstr>'Routine Care'!Age_Initiated</vt:lpstr>
      <vt:lpstr>Therapeutic!Age_Initiated</vt:lpstr>
      <vt:lpstr>Transportation!Age_Initiated</vt:lpstr>
      <vt:lpstr>'1st Procedure'!AnnMax</vt:lpstr>
      <vt:lpstr>'2nd'!AnnMax</vt:lpstr>
      <vt:lpstr>'3rd'!AnnMax</vt:lpstr>
      <vt:lpstr>'4th'!AnnMax</vt:lpstr>
      <vt:lpstr>Diagnostic!AnnMax</vt:lpstr>
      <vt:lpstr>Equipment!AnnMax</vt:lpstr>
      <vt:lpstr>Evaluations!AnnMax</vt:lpstr>
      <vt:lpstr>'Home Maintenance'!AnnMax</vt:lpstr>
      <vt:lpstr>'Home Services'!AnnMax</vt:lpstr>
      <vt:lpstr>Injections!AnnMax</vt:lpstr>
      <vt:lpstr>Medications!AnnMax</vt:lpstr>
      <vt:lpstr>Prostheses!AnnMax</vt:lpstr>
      <vt:lpstr>'Routine Care'!AnnMax</vt:lpstr>
      <vt:lpstr>Therapeutic!AnnMax</vt:lpstr>
      <vt:lpstr>Transportation!AnnMax</vt:lpstr>
      <vt:lpstr>'1st Procedure'!AnnMin</vt:lpstr>
      <vt:lpstr>'2nd'!AnnMin</vt:lpstr>
      <vt:lpstr>'3rd'!AnnMin</vt:lpstr>
      <vt:lpstr>'4th'!AnnMin</vt:lpstr>
      <vt:lpstr>Diagnostic!AnnMin</vt:lpstr>
      <vt:lpstr>Equipment!AnnMin</vt:lpstr>
      <vt:lpstr>Evaluations!AnnMin</vt:lpstr>
      <vt:lpstr>'Home Maintenance'!AnnMin</vt:lpstr>
      <vt:lpstr>'Home Services'!AnnMin</vt:lpstr>
      <vt:lpstr>Injections!AnnMin</vt:lpstr>
      <vt:lpstr>Medications!AnnMin</vt:lpstr>
      <vt:lpstr>Prostheses!AnnMin</vt:lpstr>
      <vt:lpstr>'Routine Care'!AnnMin</vt:lpstr>
      <vt:lpstr>Therapeutic!AnnMin</vt:lpstr>
      <vt:lpstr>Transportation!AnnMin</vt:lpstr>
      <vt:lpstr>'1st Procedure'!Duration</vt:lpstr>
      <vt:lpstr>'2nd'!Duration</vt:lpstr>
      <vt:lpstr>'3rd'!Duration</vt:lpstr>
      <vt:lpstr>'4th'!Duration</vt:lpstr>
      <vt:lpstr>Diagnostic!Duration</vt:lpstr>
      <vt:lpstr>Equipment!Duration</vt:lpstr>
      <vt:lpstr>Evaluations!Duration</vt:lpstr>
      <vt:lpstr>'Home Maintenance'!Duration</vt:lpstr>
      <vt:lpstr>'Home Services'!Duration</vt:lpstr>
      <vt:lpstr>Injections!Duration</vt:lpstr>
      <vt:lpstr>Medications!Duration</vt:lpstr>
      <vt:lpstr>Prostheses!Duration</vt:lpstr>
      <vt:lpstr>'Routine Care'!Duration</vt:lpstr>
      <vt:lpstr>Transportation!Duration</vt:lpstr>
      <vt:lpstr>durations</vt:lpstr>
      <vt:lpstr>Ethnicity</vt:lpstr>
      <vt:lpstr>Female</vt:lpstr>
      <vt:lpstr>Female_Age</vt:lpstr>
      <vt:lpstr>Female_Ethnicity</vt:lpstr>
      <vt:lpstr>Gender</vt:lpstr>
      <vt:lpstr>Male</vt:lpstr>
      <vt:lpstr>Male_Age</vt:lpstr>
      <vt:lpstr>Male_Ethnicity</vt:lpstr>
      <vt:lpstr>MaleExpectancy</vt:lpstr>
      <vt:lpstr>'1st Procedure'!MaxCost</vt:lpstr>
      <vt:lpstr>'2nd'!MaxCost</vt:lpstr>
      <vt:lpstr>'3rd'!MaxCost</vt:lpstr>
      <vt:lpstr>'4th'!MaxCost</vt:lpstr>
      <vt:lpstr>Diagnostic!MaxCost</vt:lpstr>
      <vt:lpstr>Equipment!MaxCost</vt:lpstr>
      <vt:lpstr>Evaluations!MaxCost</vt:lpstr>
      <vt:lpstr>'Home Maintenance'!MaxCost</vt:lpstr>
      <vt:lpstr>'Home Services'!MaxCost</vt:lpstr>
      <vt:lpstr>Injections!MaxCost</vt:lpstr>
      <vt:lpstr>Medications!MaxCost</vt:lpstr>
      <vt:lpstr>Prostheses!MaxCost</vt:lpstr>
      <vt:lpstr>'Routine Care'!MaxCost</vt:lpstr>
      <vt:lpstr>Therapeutic!MaxCost</vt:lpstr>
      <vt:lpstr>Transportation!MaxCost</vt:lpstr>
      <vt:lpstr>'1st Procedure'!MaxFreq</vt:lpstr>
      <vt:lpstr>'2nd'!MaxFreq</vt:lpstr>
      <vt:lpstr>'3rd'!MaxFreq</vt:lpstr>
      <vt:lpstr>'4th'!MaxFreq</vt:lpstr>
      <vt:lpstr>Diagnostic!MaxFreq</vt:lpstr>
      <vt:lpstr>Equipment!MaxFreq</vt:lpstr>
      <vt:lpstr>Evaluations!MaxFreq</vt:lpstr>
      <vt:lpstr>'Home Maintenance'!MaxFreq</vt:lpstr>
      <vt:lpstr>'Home Services'!MaxFreq</vt:lpstr>
      <vt:lpstr>Injections!MaxFreq</vt:lpstr>
      <vt:lpstr>Medications!MaxFreq</vt:lpstr>
      <vt:lpstr>Prostheses!MaxFreq</vt:lpstr>
      <vt:lpstr>'Routine Care'!MaxFreq</vt:lpstr>
      <vt:lpstr>Therapeutic!MaxFreq</vt:lpstr>
      <vt:lpstr>Transportation!MaxFreq</vt:lpstr>
      <vt:lpstr>'1st Procedure'!MaxTimePeriod</vt:lpstr>
      <vt:lpstr>'2nd'!MaxTimePeriod</vt:lpstr>
      <vt:lpstr>'3rd'!MaxTimePeriod</vt:lpstr>
      <vt:lpstr>'4th'!MaxTimePeriod</vt:lpstr>
      <vt:lpstr>Diagnostic!MaxTimePeriod</vt:lpstr>
      <vt:lpstr>Equipment!MaxTimePeriod</vt:lpstr>
      <vt:lpstr>Evaluations!MaxTimePeriod</vt:lpstr>
      <vt:lpstr>'Home Maintenance'!MaxTimePeriod</vt:lpstr>
      <vt:lpstr>'Home Services'!MaxTimePeriod</vt:lpstr>
      <vt:lpstr>Injections!MaxTimePeriod</vt:lpstr>
      <vt:lpstr>Medications!MaxTimePeriod</vt:lpstr>
      <vt:lpstr>Prostheses!MaxTimePeriod</vt:lpstr>
      <vt:lpstr>'Routine Care'!MaxTimePeriod</vt:lpstr>
      <vt:lpstr>Therapeutic!MaxTimePeriod</vt:lpstr>
      <vt:lpstr>Transportation!MaxTimePeriod</vt:lpstr>
      <vt:lpstr>'1st Procedure'!MinCost</vt:lpstr>
      <vt:lpstr>'2nd'!MinCost</vt:lpstr>
      <vt:lpstr>'3rd'!MinCost</vt:lpstr>
      <vt:lpstr>'4th'!MinCost</vt:lpstr>
      <vt:lpstr>Diagnostic!MinCost</vt:lpstr>
      <vt:lpstr>Equipment!MinCost</vt:lpstr>
      <vt:lpstr>Evaluations!MinCost</vt:lpstr>
      <vt:lpstr>'Home Maintenance'!MinCost</vt:lpstr>
      <vt:lpstr>'Home Services'!MinCost</vt:lpstr>
      <vt:lpstr>Injections!MinCost</vt:lpstr>
      <vt:lpstr>Medications!MinCost</vt:lpstr>
      <vt:lpstr>Prostheses!MinCost</vt:lpstr>
      <vt:lpstr>'Routine Care'!MinCost</vt:lpstr>
      <vt:lpstr>Therapeutic!MinCost</vt:lpstr>
      <vt:lpstr>Transportation!MinCost</vt:lpstr>
      <vt:lpstr>'1st Procedure'!MinFreq</vt:lpstr>
      <vt:lpstr>'2nd'!MinFreq</vt:lpstr>
      <vt:lpstr>'3rd'!MinFreq</vt:lpstr>
      <vt:lpstr>'4th'!MinFreq</vt:lpstr>
      <vt:lpstr>Diagnostic!MinFreq</vt:lpstr>
      <vt:lpstr>Equipment!MinFreq</vt:lpstr>
      <vt:lpstr>Evaluations!MinFreq</vt:lpstr>
      <vt:lpstr>'Home Maintenance'!MinFreq</vt:lpstr>
      <vt:lpstr>'Home Services'!MinFreq</vt:lpstr>
      <vt:lpstr>Injections!MinFreq</vt:lpstr>
      <vt:lpstr>Medications!MinFreq</vt:lpstr>
      <vt:lpstr>Prostheses!MinFreq</vt:lpstr>
      <vt:lpstr>'Routine Care'!MinFreq</vt:lpstr>
      <vt:lpstr>Therapeutic!MinFreq</vt:lpstr>
      <vt:lpstr>Transportation!MinFreq</vt:lpstr>
      <vt:lpstr>'1st Procedure'!MinTimePeriod</vt:lpstr>
      <vt:lpstr>'2nd'!MinTimePeriod</vt:lpstr>
      <vt:lpstr>'3rd'!MinTimePeriod</vt:lpstr>
      <vt:lpstr>'4th'!MinTimePeriod</vt:lpstr>
      <vt:lpstr>Diagnostic!MinTimePeriod</vt:lpstr>
      <vt:lpstr>Equipment!MinTimePeriod</vt:lpstr>
      <vt:lpstr>Evaluations!MinTimePeriod</vt:lpstr>
      <vt:lpstr>'Home Maintenance'!MinTimePeriod</vt:lpstr>
      <vt:lpstr>'Home Services'!MinTimePeriod</vt:lpstr>
      <vt:lpstr>Injections!MinTimePeriod</vt:lpstr>
      <vt:lpstr>Medications!MinTimePeriod</vt:lpstr>
      <vt:lpstr>Prostheses!MinTimePeriod</vt:lpstr>
      <vt:lpstr>'Routine Care'!MinTimePeriod</vt:lpstr>
      <vt:lpstr>Therapeutic!MinTimePeriod</vt:lpstr>
      <vt:lpstr>Transportation!MinTimePeriod</vt:lpstr>
      <vt:lpstr>'1st Procedure'!OneTimeMax</vt:lpstr>
      <vt:lpstr>'2nd'!OneTimeMax</vt:lpstr>
      <vt:lpstr>'3rd'!OneTimeMax</vt:lpstr>
      <vt:lpstr>'4th'!OneTimeMax</vt:lpstr>
      <vt:lpstr>Diagnostic!OneTimeMax</vt:lpstr>
      <vt:lpstr>Equipment!OneTimeMax</vt:lpstr>
      <vt:lpstr>Evaluations!OneTimeMax</vt:lpstr>
      <vt:lpstr>'Home Maintenance'!OneTimeMax</vt:lpstr>
      <vt:lpstr>'Home Services'!OneTimeMax</vt:lpstr>
      <vt:lpstr>Injections!OneTimeMax</vt:lpstr>
      <vt:lpstr>Medications!OneTimeMax</vt:lpstr>
      <vt:lpstr>Prostheses!OneTimeMax</vt:lpstr>
      <vt:lpstr>'Routine Care'!OneTimeMax</vt:lpstr>
      <vt:lpstr>Therapeutic!OneTimeMax</vt:lpstr>
      <vt:lpstr>Transportation!OneTimeMax</vt:lpstr>
      <vt:lpstr>'1st Procedure'!OneTimeMin</vt:lpstr>
      <vt:lpstr>'2nd'!OneTimeMin</vt:lpstr>
      <vt:lpstr>'3rd'!OneTimeMin</vt:lpstr>
      <vt:lpstr>'4th'!OneTimeMin</vt:lpstr>
      <vt:lpstr>Diagnostic!OneTimeMin</vt:lpstr>
      <vt:lpstr>Equipment!OneTimeMin</vt:lpstr>
      <vt:lpstr>Evaluations!OneTimeMin</vt:lpstr>
      <vt:lpstr>'Home Maintenance'!OneTimeMin</vt:lpstr>
      <vt:lpstr>'Home Services'!OneTimeMin</vt:lpstr>
      <vt:lpstr>Injections!OneTimeMin</vt:lpstr>
      <vt:lpstr>Medications!OneTimeMin</vt:lpstr>
      <vt:lpstr>Prostheses!OneTimeMin</vt:lpstr>
      <vt:lpstr>'Routine Care'!OneTimeMin</vt:lpstr>
      <vt:lpstr>Therapeutic!OneTimeMin</vt:lpstr>
      <vt:lpstr>Transportation!OneTimeMin</vt:lpstr>
      <vt:lpstr>Race</vt:lpstr>
      <vt:lpstr>'1st Procedure'!Service</vt:lpstr>
      <vt:lpstr>'2nd'!Service</vt:lpstr>
      <vt:lpstr>'3rd'!Service</vt:lpstr>
      <vt:lpstr>'4th'!Service</vt:lpstr>
      <vt:lpstr>Diagnostic!Service</vt:lpstr>
      <vt:lpstr>Equipment!Service</vt:lpstr>
      <vt:lpstr>Evaluations!Service</vt:lpstr>
      <vt:lpstr>'Home Maintenance'!Service</vt:lpstr>
      <vt:lpstr>'Home Services'!Service</vt:lpstr>
      <vt:lpstr>Injections!Service</vt:lpstr>
      <vt:lpstr>Medications!Service</vt:lpstr>
      <vt:lpstr>Prostheses!Service</vt:lpstr>
      <vt:lpstr>'Routine Care'!Service</vt:lpstr>
      <vt:lpstr>Therapeutic!Service</vt:lpstr>
      <vt:lpstr>Transportation!Service</vt:lpstr>
      <vt:lpstr>Sex</vt:lpstr>
      <vt:lpstr>'1st Procedure'!TextAnn</vt:lpstr>
      <vt:lpstr>'2nd'!TextAnn</vt:lpstr>
      <vt:lpstr>'3rd'!TextAnn</vt:lpstr>
      <vt:lpstr>'4th'!TextAnn</vt:lpstr>
      <vt:lpstr>Diagnostic!TextAnn</vt:lpstr>
      <vt:lpstr>Equipment!TextAnn</vt:lpstr>
      <vt:lpstr>Evaluations!TextAnn</vt:lpstr>
      <vt:lpstr>'Home Maintenance'!TextAnn</vt:lpstr>
      <vt:lpstr>'Home Services'!TextAnn</vt:lpstr>
      <vt:lpstr>Injections!TextAnn</vt:lpstr>
      <vt:lpstr>Medications!TextAnn</vt:lpstr>
      <vt:lpstr>Prostheses!TextAnn</vt:lpstr>
      <vt:lpstr>'Routine Care'!TextAnn</vt:lpstr>
      <vt:lpstr>Therapeutic!TextAnn</vt:lpstr>
      <vt:lpstr>Transportation!TextAnn</vt:lpstr>
      <vt:lpstr>'1st Procedure'!TextCost</vt:lpstr>
      <vt:lpstr>'2nd'!TextCost</vt:lpstr>
      <vt:lpstr>'3rd'!TextCost</vt:lpstr>
      <vt:lpstr>'4th'!TextCost</vt:lpstr>
      <vt:lpstr>Diagnostic!TextCost</vt:lpstr>
      <vt:lpstr>Equipment!TextCost</vt:lpstr>
      <vt:lpstr>Evaluations!TextCost</vt:lpstr>
      <vt:lpstr>'Home Maintenance'!TextCost</vt:lpstr>
      <vt:lpstr>'Home Services'!TextCost</vt:lpstr>
      <vt:lpstr>Injections!TextCost</vt:lpstr>
      <vt:lpstr>Medications!TextCost</vt:lpstr>
      <vt:lpstr>Prostheses!TextCost</vt:lpstr>
      <vt:lpstr>'Routine Care'!TextCost</vt:lpstr>
      <vt:lpstr>Therapeutic!TextCost</vt:lpstr>
      <vt:lpstr>Transportation!TextCost</vt:lpstr>
      <vt:lpstr>'1st Procedure'!TextFreq</vt:lpstr>
      <vt:lpstr>'2nd'!TextFreq</vt:lpstr>
      <vt:lpstr>'3rd'!TextFreq</vt:lpstr>
      <vt:lpstr>'4th'!TextFreq</vt:lpstr>
      <vt:lpstr>Diagnostic!TextFreq</vt:lpstr>
      <vt:lpstr>Equipment!TextFreq</vt:lpstr>
      <vt:lpstr>Evaluations!TextFreq</vt:lpstr>
      <vt:lpstr>'Home Maintenance'!TextFreq</vt:lpstr>
      <vt:lpstr>'Home Services'!TextFreq</vt:lpstr>
      <vt:lpstr>Injections!TextFreq</vt:lpstr>
      <vt:lpstr>Medications!TextFreq</vt:lpstr>
      <vt:lpstr>Prostheses!TextFreq</vt:lpstr>
      <vt:lpstr>'Routine Care'!TextFreq</vt:lpstr>
      <vt:lpstr>Therapeutic!TextFreq</vt:lpstr>
      <vt:lpstr>Transportation!TextFreq</vt:lpstr>
      <vt:lpstr>'1st Procedure'!TextOneTime</vt:lpstr>
      <vt:lpstr>'2nd'!TextOneTime</vt:lpstr>
      <vt:lpstr>'3rd'!TextOneTime</vt:lpstr>
      <vt:lpstr>'4th'!TextOneTime</vt:lpstr>
      <vt:lpstr>Diagnostic!TextOneTime</vt:lpstr>
      <vt:lpstr>Equipment!TextOneTime</vt:lpstr>
      <vt:lpstr>Evaluations!TextOneTime</vt:lpstr>
      <vt:lpstr>'Home Maintenance'!TextOneTime</vt:lpstr>
      <vt:lpstr>'Home Services'!TextOneTime</vt:lpstr>
      <vt:lpstr>Injections!TextOneTime</vt:lpstr>
      <vt:lpstr>Medications!TextOneTime</vt:lpstr>
      <vt:lpstr>Prostheses!TextOneTime</vt:lpstr>
      <vt:lpstr>'Routine Care'!TextOneTime</vt:lpstr>
      <vt:lpstr>Therapeutic!TextOneTime</vt:lpstr>
      <vt:lpstr>Transportation!TextOneTime</vt:lpstr>
      <vt:lpstr>'1st Procedure'!Through_Age</vt:lpstr>
      <vt:lpstr>'2nd'!Through_Age</vt:lpstr>
      <vt:lpstr>'3rd'!Through_Age</vt:lpstr>
      <vt:lpstr>'4th'!Through_Age</vt:lpstr>
      <vt:lpstr>Diagnostic!Through_Age</vt:lpstr>
      <vt:lpstr>Equipment!Through_Age</vt:lpstr>
      <vt:lpstr>Evaluations!Through_Age</vt:lpstr>
      <vt:lpstr>'Home Maintenance'!Through_Age</vt:lpstr>
      <vt:lpstr>'Home Services'!Through_Age</vt:lpstr>
      <vt:lpstr>Injections!Through_Age</vt:lpstr>
      <vt:lpstr>Medications!Through_Age</vt:lpstr>
      <vt:lpstr>Prostheses!Through_Age</vt:lpstr>
      <vt:lpstr>'Routine Care'!Through_Age</vt:lpstr>
      <vt:lpstr>Therapeutic!Through_Age</vt:lpstr>
      <vt:lpstr>Transportation!Through_Age</vt:lpstr>
      <vt:lpstr>'1st Procedure'!TimeValue</vt:lpstr>
      <vt:lpstr>'2nd'!TimeValue</vt:lpstr>
      <vt:lpstr>'3rd'!TimeValue</vt:lpstr>
      <vt:lpstr>'4th'!TimeValue</vt:lpstr>
      <vt:lpstr>Diagnostic!TimeValue</vt:lpstr>
      <vt:lpstr>Equipment!TimeValue</vt:lpstr>
      <vt:lpstr>Evaluations!TimeValue</vt:lpstr>
      <vt:lpstr>'Home Maintenance'!TimeValue</vt:lpstr>
      <vt:lpstr>'Home Services'!TimeValue</vt:lpstr>
      <vt:lpstr>Injections!TimeValue</vt:lpstr>
      <vt:lpstr>Medications!TimeValue</vt:lpstr>
      <vt:lpstr>Prostheses!TimeValue</vt:lpstr>
      <vt:lpstr>'Routine Care'!TimeValue</vt:lpstr>
      <vt:lpstr>Therapeutic!TimeValue</vt:lpstr>
      <vt:lpstr>Transportation!TimeValue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Mark</dc:creator>
  <cp:lastModifiedBy>Eric Bussey</cp:lastModifiedBy>
  <cp:lastPrinted>2024-10-19T16:52:13Z</cp:lastPrinted>
  <dcterms:created xsi:type="dcterms:W3CDTF">2014-02-11T12:14:29Z</dcterms:created>
  <dcterms:modified xsi:type="dcterms:W3CDTF">2026-04-17T21:32:22Z</dcterms:modified>
</cp:coreProperties>
</file>

<file path=userCustomization/customUI.xml><?xml version="1.0" encoding="utf-8"?>
<mso:customUI xmlns:mso="http://schemas.microsoft.com/office/2006/01/customui">
  <mso:ribbon>
    <mso:qat>
      <mso:documentControls>
        <mso:control idQ="mso:DataFormExcel" visible="true"/>
      </mso:documentControls>
    </mso:qat>
  </mso:ribbon>
</mso:customUI>
</file>