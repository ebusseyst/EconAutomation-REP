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8_{5FFE6F5C-450D-4611-AF89-06C9F991CA2F}" xr6:coauthVersionLast="47" xr6:coauthVersionMax="47" xr10:uidLastSave="{00000000-0000-0000-0000-000000000000}"/>
  <bookViews>
    <workbookView xWindow="28680" yWindow="-60" windowWidth="29040" windowHeight="15720" xr2:uid="{25EC3B8A-402B-47FF-80A9-5B0690A475CD}"/>
  </bookViews>
  <sheets>
    <sheet name="Case Inputs" sheetId="3" r:id="rId1"/>
    <sheet name="Inputs" sheetId="31" r:id="rId2"/>
    <sheet name="ReportSections" sheetId="32" r:id="rId3"/>
    <sheet name="Base 1 PV Loss WLE" sheetId="1" r:id="rId4"/>
    <sheet name="Base 1 PV Loss To Age" sheetId="21" r:id="rId5"/>
    <sheet name="Base 2 PV Loss WLE" sheetId="23" r:id="rId6"/>
    <sheet name="Base 2 PV Loss To Age" sheetId="24" r:id="rId7"/>
    <sheet name="Base 3 PV Loss WLE" sheetId="25" r:id="rId8"/>
    <sheet name="Base 3 PV Loss To Age" sheetId="26" r:id="rId9"/>
    <sheet name="Base 4 PV Loss WLE" sheetId="27" r:id="rId10"/>
    <sheet name="Base 4 PV Loss To Age" sheetId="28" r:id="rId11"/>
    <sheet name="Base 5 PV Loss WLE" sheetId="29" r:id="rId12"/>
    <sheet name="Base 5 PV Loss To Age" sheetId="30" r:id="rId13"/>
    <sheet name="Discount Rates" sheetId="6" r:id="rId14"/>
    <sheet name="LE_F" sheetId="11" r:id="rId15"/>
    <sheet name="LE_M" sheetId="12" r:id="rId16"/>
    <sheet name="WLE" sheetId="13" r:id="rId17"/>
    <sheet name="CPI Data" sheetId="22" r:id="rId18"/>
  </sheets>
  <definedNames>
    <definedName name="ExternalData_1" localSheetId="13"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2" l="1" a="1"/>
  <c r="B5" i="32" s="1"/>
  <c r="F23" i="31" a="1"/>
  <c r="F23" i="31" s="1"/>
  <c r="E23" i="31" a="1"/>
  <c r="E23" i="31" s="1"/>
  <c r="E6" i="30"/>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E6" i="29"/>
  <c r="E6" i="28"/>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E6" i="27"/>
  <c r="E6" i="26"/>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E6" i="25"/>
  <c r="E6" i="24"/>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E6" i="23"/>
  <c r="E6" i="21"/>
  <c r="E6" i="1"/>
  <c r="E15" i="2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70" i="30"/>
  <c r="D51" i="29"/>
  <c r="D52" i="29"/>
  <c r="D53" i="29"/>
  <c r="D54" i="29"/>
  <c r="D55" i="29"/>
  <c r="D56" i="29"/>
  <c r="D57" i="29"/>
  <c r="D58" i="29"/>
  <c r="D59" i="29"/>
  <c r="D60" i="29"/>
  <c r="D61" i="29"/>
  <c r="D62" i="29"/>
  <c r="D63" i="29"/>
  <c r="D64" i="29"/>
  <c r="D65" i="29"/>
  <c r="D66" i="29"/>
  <c r="D67" i="29"/>
  <c r="D68" i="29"/>
  <c r="D69" i="29"/>
  <c r="D70" i="29"/>
  <c r="D70" i="28"/>
  <c r="D51" i="27"/>
  <c r="D52" i="27"/>
  <c r="D53" i="27"/>
  <c r="D54" i="27"/>
  <c r="D55" i="27"/>
  <c r="D56" i="27"/>
  <c r="D57" i="27"/>
  <c r="D58" i="27"/>
  <c r="D59" i="27"/>
  <c r="D60" i="27"/>
  <c r="D61" i="27"/>
  <c r="D62" i="27"/>
  <c r="D63" i="27"/>
  <c r="D64" i="27"/>
  <c r="D65" i="27"/>
  <c r="D66" i="27"/>
  <c r="D67" i="27"/>
  <c r="D68" i="27"/>
  <c r="D69" i="27"/>
  <c r="D70" i="27"/>
  <c r="D70" i="26"/>
  <c r="D51" i="25"/>
  <c r="D52" i="25"/>
  <c r="D53" i="25"/>
  <c r="D54" i="25"/>
  <c r="D55" i="25"/>
  <c r="D56" i="25"/>
  <c r="D57" i="25"/>
  <c r="D58" i="25"/>
  <c r="D59" i="25"/>
  <c r="D60" i="25"/>
  <c r="D61" i="25"/>
  <c r="D62" i="25"/>
  <c r="D63" i="25"/>
  <c r="D64" i="25"/>
  <c r="D65" i="25"/>
  <c r="D66" i="25"/>
  <c r="D67" i="25"/>
  <c r="D68" i="25"/>
  <c r="D69" i="25"/>
  <c r="D70" i="25"/>
  <c r="D70" i="24"/>
  <c r="D51" i="23"/>
  <c r="D52" i="23"/>
  <c r="D53" i="23"/>
  <c r="D54" i="23"/>
  <c r="D55" i="23"/>
  <c r="D56" i="23"/>
  <c r="D57" i="23"/>
  <c r="D58" i="23"/>
  <c r="D59" i="23"/>
  <c r="D60" i="23"/>
  <c r="D61" i="23"/>
  <c r="D62" i="23"/>
  <c r="D63" i="23"/>
  <c r="D64" i="23"/>
  <c r="D65" i="23"/>
  <c r="D66" i="23"/>
  <c r="D67" i="23"/>
  <c r="D68" i="23"/>
  <c r="D69" i="23"/>
  <c r="D70" i="23"/>
  <c r="D70" i="21"/>
  <c r="D51" i="1"/>
  <c r="D52" i="1"/>
  <c r="D53" i="1"/>
  <c r="D54" i="1"/>
  <c r="D55" i="1"/>
  <c r="D56" i="1"/>
  <c r="D57" i="1"/>
  <c r="D58" i="1"/>
  <c r="D59" i="1"/>
  <c r="D60" i="1"/>
  <c r="D61" i="1"/>
  <c r="D62" i="1"/>
  <c r="D63" i="1"/>
  <c r="D64" i="1"/>
  <c r="D65" i="1"/>
  <c r="D66" i="1"/>
  <c r="D67" i="1"/>
  <c r="D68" i="1"/>
  <c r="D69" i="1"/>
  <c r="D70" i="1"/>
  <c r="B22" i="32"/>
  <c r="B20" i="32"/>
  <c r="B19" i="32"/>
  <c r="B18" i="32"/>
  <c r="B17" i="32"/>
  <c r="B14" i="32"/>
  <c r="D14" i="32" s="1"/>
  <c r="D13" i="32"/>
  <c r="B15" i="32"/>
  <c r="B13" i="32"/>
  <c r="H8" i="32"/>
  <c r="H7" i="32"/>
  <c r="E8" i="32"/>
  <c r="E9" i="32"/>
  <c r="E7" i="32"/>
  <c r="H87" i="31"/>
  <c r="H88" i="31"/>
  <c r="H89" i="31"/>
  <c r="H90" i="31"/>
  <c r="H91" i="31"/>
  <c r="H92" i="31"/>
  <c r="H93" i="31"/>
  <c r="H94" i="31"/>
  <c r="H95" i="31"/>
  <c r="H96" i="31"/>
  <c r="G70" i="30"/>
  <c r="G15" i="30"/>
  <c r="G13" i="30"/>
  <c r="G12" i="30"/>
  <c r="G11" i="30"/>
  <c r="G10" i="30"/>
  <c r="G9" i="30"/>
  <c r="G70" i="29"/>
  <c r="G69" i="29"/>
  <c r="G68" i="29"/>
  <c r="G67" i="29"/>
  <c r="G66" i="29"/>
  <c r="G65" i="29"/>
  <c r="G64" i="29"/>
  <c r="G63" i="29"/>
  <c r="G62" i="29"/>
  <c r="G61" i="29"/>
  <c r="G60" i="29"/>
  <c r="G59" i="29"/>
  <c r="G58" i="29"/>
  <c r="G57" i="29"/>
  <c r="G56" i="29"/>
  <c r="G55" i="29"/>
  <c r="G54" i="29"/>
  <c r="G53" i="29"/>
  <c r="G52" i="29"/>
  <c r="G51" i="29"/>
  <c r="G50" i="29"/>
  <c r="G49" i="29"/>
  <c r="G48" i="29"/>
  <c r="G47" i="29"/>
  <c r="G46" i="29"/>
  <c r="G45" i="29"/>
  <c r="G44" i="29"/>
  <c r="G43" i="29"/>
  <c r="G42" i="29"/>
  <c r="G41" i="29"/>
  <c r="G40" i="29"/>
  <c r="G39" i="29"/>
  <c r="G38" i="29"/>
  <c r="G37" i="29"/>
  <c r="G36" i="29"/>
  <c r="G35" i="29"/>
  <c r="G15" i="29"/>
  <c r="G13" i="29"/>
  <c r="G12" i="29"/>
  <c r="G11" i="29"/>
  <c r="G10" i="29"/>
  <c r="G9" i="29"/>
  <c r="G70" i="28"/>
  <c r="G15" i="28"/>
  <c r="G13" i="28"/>
  <c r="G12" i="28"/>
  <c r="G11" i="28"/>
  <c r="G10" i="28"/>
  <c r="G9" i="28"/>
  <c r="G70" i="27"/>
  <c r="G69" i="27"/>
  <c r="G68" i="27"/>
  <c r="G67" i="27"/>
  <c r="G66" i="27"/>
  <c r="G65" i="27"/>
  <c r="G64" i="27"/>
  <c r="G63" i="27"/>
  <c r="G62" i="27"/>
  <c r="G61" i="27"/>
  <c r="G60" i="27"/>
  <c r="G59" i="27"/>
  <c r="G58" i="27"/>
  <c r="G57" i="27"/>
  <c r="G56" i="27"/>
  <c r="G55" i="27"/>
  <c r="G54" i="27"/>
  <c r="G53" i="27"/>
  <c r="G52" i="27"/>
  <c r="G51" i="27"/>
  <c r="G50" i="27"/>
  <c r="G49" i="27"/>
  <c r="G48" i="27"/>
  <c r="G47" i="27"/>
  <c r="G46" i="27"/>
  <c r="G45" i="27"/>
  <c r="G44" i="27"/>
  <c r="G43" i="27"/>
  <c r="G42" i="27"/>
  <c r="G41" i="27"/>
  <c r="G40" i="27"/>
  <c r="G39" i="27"/>
  <c r="G38" i="27"/>
  <c r="G37" i="27"/>
  <c r="G36" i="27"/>
  <c r="G35" i="27"/>
  <c r="G15" i="27"/>
  <c r="G13" i="27"/>
  <c r="G12" i="27"/>
  <c r="G11" i="27"/>
  <c r="G10" i="27"/>
  <c r="G9" i="27"/>
  <c r="G70" i="26"/>
  <c r="G15" i="26"/>
  <c r="G13" i="26"/>
  <c r="G12" i="26"/>
  <c r="G11" i="26"/>
  <c r="G10" i="26"/>
  <c r="G9" i="26"/>
  <c r="G70" i="25"/>
  <c r="G69" i="25"/>
  <c r="G68" i="25"/>
  <c r="G67" i="25"/>
  <c r="G66" i="25"/>
  <c r="G65" i="25"/>
  <c r="G64" i="25"/>
  <c r="G63" i="25"/>
  <c r="G62" i="25"/>
  <c r="G61" i="25"/>
  <c r="G60" i="25"/>
  <c r="G59" i="25"/>
  <c r="G58" i="25"/>
  <c r="G57" i="25"/>
  <c r="G56" i="25"/>
  <c r="G55" i="25"/>
  <c r="G54" i="25"/>
  <c r="G53" i="25"/>
  <c r="G52" i="25"/>
  <c r="G51" i="25"/>
  <c r="G50" i="25"/>
  <c r="G49" i="25"/>
  <c r="G48" i="25"/>
  <c r="G47" i="25"/>
  <c r="G46" i="25"/>
  <c r="G45" i="25"/>
  <c r="G44" i="25"/>
  <c r="G43" i="25"/>
  <c r="G42" i="25"/>
  <c r="G41" i="25"/>
  <c r="G40" i="25"/>
  <c r="G39" i="25"/>
  <c r="G38" i="25"/>
  <c r="G37" i="25"/>
  <c r="G36" i="25"/>
  <c r="G35" i="25"/>
  <c r="G15" i="25"/>
  <c r="G13" i="25"/>
  <c r="G12" i="25"/>
  <c r="G11" i="25"/>
  <c r="G10" i="25"/>
  <c r="G9" i="25"/>
  <c r="G70" i="24"/>
  <c r="G15" i="24"/>
  <c r="G13" i="24"/>
  <c r="G12" i="24"/>
  <c r="G11" i="24"/>
  <c r="G10" i="24"/>
  <c r="G9" i="24"/>
  <c r="G70" i="23"/>
  <c r="G69" i="23"/>
  <c r="G68" i="23"/>
  <c r="G67" i="23"/>
  <c r="G66" i="23"/>
  <c r="G65" i="23"/>
  <c r="G64" i="23"/>
  <c r="G63" i="23"/>
  <c r="G62" i="23"/>
  <c r="G61" i="23"/>
  <c r="G60" i="23"/>
  <c r="G59" i="23"/>
  <c r="G58" i="23"/>
  <c r="G57" i="23"/>
  <c r="G56" i="23"/>
  <c r="G55" i="23"/>
  <c r="G54" i="23"/>
  <c r="G53" i="23"/>
  <c r="G52" i="23"/>
  <c r="G51" i="23"/>
  <c r="G50" i="23"/>
  <c r="G49" i="23"/>
  <c r="G48" i="23"/>
  <c r="G47" i="23"/>
  <c r="G46" i="23"/>
  <c r="G45" i="23"/>
  <c r="G44" i="23"/>
  <c r="G43" i="23"/>
  <c r="G42" i="23"/>
  <c r="G41" i="23"/>
  <c r="G40" i="23"/>
  <c r="G39" i="23"/>
  <c r="G38" i="23"/>
  <c r="G37" i="23"/>
  <c r="G36" i="23"/>
  <c r="G35" i="23"/>
  <c r="G15" i="23"/>
  <c r="G13" i="23"/>
  <c r="G12" i="23"/>
  <c r="G11" i="23"/>
  <c r="G10" i="23"/>
  <c r="G9" i="23"/>
  <c r="G70" i="21"/>
  <c r="G15" i="21"/>
  <c r="G13" i="21"/>
  <c r="G12" i="21"/>
  <c r="G11" i="21"/>
  <c r="G10" i="21"/>
  <c r="G9" i="2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15" i="1"/>
  <c r="G13" i="1"/>
  <c r="G12" i="1"/>
  <c r="G11" i="1"/>
  <c r="G10" i="1"/>
  <c r="G9" i="1"/>
  <c r="E15" i="30"/>
  <c r="C15" i="30" s="1"/>
  <c r="E15" i="29"/>
  <c r="C15" i="29" s="1"/>
  <c r="E15" i="28"/>
  <c r="C15" i="28"/>
  <c r="E15" i="27"/>
  <c r="C15" i="27"/>
  <c r="E15" i="26"/>
  <c r="C15" i="26" s="1"/>
  <c r="E15" i="25"/>
  <c r="C15" i="25"/>
  <c r="E15" i="24"/>
  <c r="C15" i="24"/>
  <c r="E15" i="23"/>
  <c r="C15" i="23"/>
  <c r="C15" i="21"/>
  <c r="E15" i="1"/>
  <c r="C15" i="1"/>
  <c r="F13" i="30"/>
  <c r="E13" i="30"/>
  <c r="C13" i="30" s="1"/>
  <c r="D13" i="30"/>
  <c r="F12" i="30"/>
  <c r="E12" i="30"/>
  <c r="D12" i="30"/>
  <c r="C12" i="30"/>
  <c r="F13" i="29"/>
  <c r="E13" i="29"/>
  <c r="C13" i="29" s="1"/>
  <c r="D13" i="29"/>
  <c r="F12" i="29"/>
  <c r="E12" i="29"/>
  <c r="D12" i="29"/>
  <c r="C12" i="29"/>
  <c r="F13" i="28"/>
  <c r="E13" i="28"/>
  <c r="D13" i="28"/>
  <c r="C13" i="28"/>
  <c r="F12" i="28"/>
  <c r="E12" i="28"/>
  <c r="D12" i="28"/>
  <c r="C12" i="28"/>
  <c r="F13" i="27"/>
  <c r="E13" i="27"/>
  <c r="D13" i="27"/>
  <c r="C13" i="27"/>
  <c r="F12" i="27"/>
  <c r="E12" i="27"/>
  <c r="D12" i="27"/>
  <c r="C12" i="27"/>
  <c r="F13" i="26"/>
  <c r="E13" i="26"/>
  <c r="D13" i="26"/>
  <c r="C13" i="26"/>
  <c r="F12" i="26"/>
  <c r="E12" i="26"/>
  <c r="D12" i="26"/>
  <c r="C12" i="26"/>
  <c r="F13" i="25"/>
  <c r="E13" i="25"/>
  <c r="D13" i="25"/>
  <c r="C13" i="25"/>
  <c r="F12" i="25"/>
  <c r="E12" i="25"/>
  <c r="C12" i="25" s="1"/>
  <c r="D12" i="25"/>
  <c r="F13" i="24"/>
  <c r="E13" i="24"/>
  <c r="D13" i="24"/>
  <c r="C13" i="24"/>
  <c r="F12" i="24"/>
  <c r="E12" i="24"/>
  <c r="C12" i="24" s="1"/>
  <c r="D12" i="24"/>
  <c r="F13" i="23"/>
  <c r="E13" i="23"/>
  <c r="D13" i="23"/>
  <c r="C13" i="23"/>
  <c r="F12" i="23"/>
  <c r="E12" i="23"/>
  <c r="D12" i="23"/>
  <c r="C12" i="23"/>
  <c r="F13" i="21"/>
  <c r="E13" i="21"/>
  <c r="D13" i="21"/>
  <c r="C13" i="21"/>
  <c r="F12" i="21"/>
  <c r="E12" i="21"/>
  <c r="D12" i="21"/>
  <c r="C12" i="21"/>
  <c r="F13" i="1"/>
  <c r="E13" i="1"/>
  <c r="D13" i="1"/>
  <c r="C13" i="1"/>
  <c r="F12" i="1"/>
  <c r="E12" i="1"/>
  <c r="D12" i="1"/>
  <c r="C12" i="1"/>
  <c r="B13" i="30"/>
  <c r="A13" i="30"/>
  <c r="B12" i="30"/>
  <c r="A12" i="30"/>
  <c r="B11" i="30"/>
  <c r="A11" i="30"/>
  <c r="B10" i="30"/>
  <c r="A10" i="30"/>
  <c r="B9" i="30"/>
  <c r="A9" i="30"/>
  <c r="B13" i="29"/>
  <c r="A13" i="29"/>
  <c r="B12" i="29"/>
  <c r="A12" i="29"/>
  <c r="B11" i="29"/>
  <c r="A11" i="29"/>
  <c r="B10" i="29"/>
  <c r="A10" i="29"/>
  <c r="B9" i="29"/>
  <c r="A9" i="29"/>
  <c r="B13" i="28"/>
  <c r="A13" i="28"/>
  <c r="B12" i="28"/>
  <c r="A12" i="28"/>
  <c r="B11" i="28"/>
  <c r="A11" i="28"/>
  <c r="B10" i="28"/>
  <c r="A10" i="28"/>
  <c r="B9" i="28"/>
  <c r="A9" i="28"/>
  <c r="B13" i="27"/>
  <c r="A13" i="27"/>
  <c r="B12" i="27"/>
  <c r="A12" i="27"/>
  <c r="B11" i="27"/>
  <c r="A11" i="27"/>
  <c r="B10" i="27"/>
  <c r="A10" i="27"/>
  <c r="B9" i="27"/>
  <c r="A9" i="27"/>
  <c r="B13" i="26"/>
  <c r="A13" i="26"/>
  <c r="B12" i="26"/>
  <c r="A12" i="26"/>
  <c r="B11" i="26"/>
  <c r="A11" i="26"/>
  <c r="B10" i="26"/>
  <c r="A10" i="26"/>
  <c r="B9" i="26"/>
  <c r="A9" i="26"/>
  <c r="B13" i="25"/>
  <c r="A13" i="25"/>
  <c r="B12" i="25"/>
  <c r="A12" i="25"/>
  <c r="B11" i="25"/>
  <c r="A11" i="25"/>
  <c r="B10" i="25"/>
  <c r="A10" i="25"/>
  <c r="B9" i="25"/>
  <c r="A9" i="25"/>
  <c r="B13" i="24"/>
  <c r="A13" i="24"/>
  <c r="B12" i="24"/>
  <c r="A12" i="24"/>
  <c r="B11" i="24"/>
  <c r="A11" i="24"/>
  <c r="B10" i="24"/>
  <c r="A10" i="24"/>
  <c r="B9" i="24"/>
  <c r="A9" i="24"/>
  <c r="B13" i="23"/>
  <c r="A13" i="23"/>
  <c r="B12" i="23"/>
  <c r="A12" i="23"/>
  <c r="B11" i="23"/>
  <c r="A11" i="23"/>
  <c r="B10" i="23"/>
  <c r="A10" i="23"/>
  <c r="B9" i="23"/>
  <c r="A9" i="23"/>
  <c r="B13" i="21"/>
  <c r="A13" i="21"/>
  <c r="B12" i="21"/>
  <c r="A12" i="21"/>
  <c r="B11" i="21"/>
  <c r="A11" i="21"/>
  <c r="B10" i="21"/>
  <c r="A10" i="21"/>
  <c r="B9" i="21"/>
  <c r="A9" i="21"/>
  <c r="B13" i="1"/>
  <c r="A13" i="1"/>
  <c r="B12" i="1"/>
  <c r="A12" i="1"/>
  <c r="B11" i="1"/>
  <c r="A11" i="1"/>
  <c r="B10" i="1"/>
  <c r="A10" i="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E9" i="30"/>
  <c r="C9" i="30"/>
  <c r="F15" i="29"/>
  <c r="F9" i="29"/>
  <c r="E9" i="29"/>
  <c r="C9" i="29"/>
  <c r="F15" i="28"/>
  <c r="F9" i="28"/>
  <c r="E9" i="28"/>
  <c r="C9" i="28"/>
  <c r="F15" i="27"/>
  <c r="F9" i="27"/>
  <c r="E9" i="27"/>
  <c r="C9" i="27"/>
  <c r="F15" i="26"/>
  <c r="B15" i="26"/>
  <c r="A15" i="26"/>
  <c r="E11" i="26"/>
  <c r="E10" i="26"/>
  <c r="F9" i="26"/>
  <c r="E9" i="26"/>
  <c r="C9" i="26"/>
  <c r="F15" i="25"/>
  <c r="B15" i="25"/>
  <c r="A15" i="25"/>
  <c r="E11" i="25"/>
  <c r="E10" i="25"/>
  <c r="F9" i="25"/>
  <c r="E9" i="25"/>
  <c r="C9" i="25"/>
  <c r="F15" i="24"/>
  <c r="B15" i="24"/>
  <c r="A15" i="24"/>
  <c r="E11" i="24"/>
  <c r="E10" i="24"/>
  <c r="F9" i="24"/>
  <c r="E9" i="24"/>
  <c r="C9" i="24"/>
  <c r="F15" i="23"/>
  <c r="B15" i="23"/>
  <c r="A15" i="23"/>
  <c r="E11" i="23"/>
  <c r="E10" i="23"/>
  <c r="C10" i="23" s="1"/>
  <c r="F9" i="23"/>
  <c r="E9" i="23"/>
  <c r="C9" i="23"/>
  <c r="C9" i="21"/>
  <c r="E11" i="21"/>
  <c r="E10" i="21"/>
  <c r="E9" i="21"/>
  <c r="C9" i="1"/>
  <c r="E11" i="1"/>
  <c r="E10" i="1"/>
  <c r="E9" i="1"/>
  <c r="F15" i="21"/>
  <c r="F9" i="21"/>
  <c r="F15" i="1"/>
  <c r="F9" i="1"/>
  <c r="F6" i="22" a="1"/>
  <c r="F6" i="22" s="1"/>
  <c r="F5" i="22"/>
  <c r="F4" i="22"/>
  <c r="F2" i="22"/>
  <c r="B6" i="3"/>
  <c r="B26" i="32" l="1"/>
  <c r="F22" i="31" a="1"/>
  <c r="F22" i="31" s="1"/>
  <c r="E22" i="31" a="1"/>
  <c r="E22" i="31" s="1"/>
  <c r="B12" i="32"/>
  <c r="D12" i="32" s="1"/>
  <c r="C10" i="21"/>
  <c r="C10" i="30"/>
  <c r="C10" i="25"/>
  <c r="C11" i="25" s="1"/>
  <c r="E10" i="27"/>
  <c r="C10" i="27" s="1"/>
  <c r="E10" i="28"/>
  <c r="C10" i="28" s="1"/>
  <c r="E11" i="29"/>
  <c r="E11" i="27"/>
  <c r="E11" i="28"/>
  <c r="E11" i="30"/>
  <c r="E10" i="29"/>
  <c r="C10" i="29" s="1"/>
  <c r="C10" i="24"/>
  <c r="C10" i="26"/>
  <c r="C11" i="23"/>
  <c r="C11" i="21"/>
  <c r="C10" i="1"/>
  <c r="C11" i="1" s="1"/>
  <c r="A15" i="1"/>
  <c r="B15" i="1"/>
  <c r="B15" i="21"/>
  <c r="B24" i="3"/>
  <c r="B25" i="3" s="1"/>
  <c r="A15" i="21"/>
  <c r="B13" i="3"/>
  <c r="B17" i="3" s="1" a="1"/>
  <c r="B17" i="3" s="1"/>
  <c r="B14" i="3"/>
  <c r="B21" i="3" s="1"/>
  <c r="E2" i="13" a="1"/>
  <c r="E2" i="13" s="1"/>
  <c r="B4" i="28" l="1"/>
  <c r="B4" i="30"/>
  <c r="B4" i="24"/>
  <c r="B4" i="26"/>
  <c r="B25" i="32"/>
  <c r="B24" i="32"/>
  <c r="C11" i="30"/>
  <c r="C11" i="28"/>
  <c r="C11" i="27"/>
  <c r="C11" i="24"/>
  <c r="C11" i="29"/>
  <c r="C11" i="26"/>
  <c r="B4" i="21"/>
  <c r="B22" i="3"/>
  <c r="B18" i="3"/>
  <c r="B15" i="3"/>
  <c r="B16" i="3" s="1"/>
  <c r="E4" i="21" l="1"/>
  <c r="A65" i="21" s="1"/>
  <c r="E4" i="28"/>
  <c r="E4" i="30"/>
  <c r="E4" i="24"/>
  <c r="E4" i="26"/>
  <c r="B20" i="3"/>
  <c r="B4" i="29"/>
  <c r="B4" i="27"/>
  <c r="B4" i="25"/>
  <c r="B4" i="23"/>
  <c r="G17" i="28"/>
  <c r="B69" i="3" s="1"/>
  <c r="G17" i="25"/>
  <c r="B55" i="3" s="1"/>
  <c r="G17" i="21"/>
  <c r="B39" i="3" s="1"/>
  <c r="G17" i="23"/>
  <c r="B45" i="3" s="1"/>
  <c r="G17" i="30"/>
  <c r="G17" i="29"/>
  <c r="G17" i="27"/>
  <c r="G17" i="24"/>
  <c r="B49" i="3" s="1"/>
  <c r="G17" i="1"/>
  <c r="B35" i="3" s="1"/>
  <c r="B23" i="3"/>
  <c r="A45" i="21"/>
  <c r="A44" i="21"/>
  <c r="A51" i="21"/>
  <c r="A23" i="21"/>
  <c r="A21" i="21"/>
  <c r="A20" i="21"/>
  <c r="A40" i="21"/>
  <c r="A68" i="21"/>
  <c r="A64" i="21"/>
  <c r="A35" i="21"/>
  <c r="A63" i="21"/>
  <c r="A33" i="21"/>
  <c r="A59" i="21"/>
  <c r="A32" i="21"/>
  <c r="A56" i="21"/>
  <c r="A52" i="21"/>
  <c r="A27" i="21"/>
  <c r="A47" i="21"/>
  <c r="A36" i="21"/>
  <c r="A50" i="21"/>
  <c r="A42" i="21"/>
  <c r="A34" i="21"/>
  <c r="A55" i="21"/>
  <c r="A46" i="21"/>
  <c r="A62" i="21"/>
  <c r="A49" i="21"/>
  <c r="A58" i="21"/>
  <c r="A60" i="21"/>
  <c r="A54" i="21"/>
  <c r="A29" i="21"/>
  <c r="A57" i="21"/>
  <c r="A61" i="21"/>
  <c r="A41" i="21"/>
  <c r="A26" i="21"/>
  <c r="A66" i="21"/>
  <c r="A53" i="21"/>
  <c r="A69" i="21"/>
  <c r="A43" i="21"/>
  <c r="A25" i="21"/>
  <c r="A38" i="21"/>
  <c r="A37" i="21"/>
  <c r="A22" i="21"/>
  <c r="A24" i="21"/>
  <c r="B19" i="3"/>
  <c r="B4" i="1"/>
  <c r="C65" i="21" l="1"/>
  <c r="D65" i="21"/>
  <c r="G65" i="21"/>
  <c r="C60" i="21"/>
  <c r="D60" i="21"/>
  <c r="G60" i="21"/>
  <c r="B5" i="21"/>
  <c r="B5" i="30"/>
  <c r="B5" i="24"/>
  <c r="B5" i="26"/>
  <c r="B5" i="28"/>
  <c r="C37" i="21"/>
  <c r="C26" i="21"/>
  <c r="D26" i="21"/>
  <c r="C50" i="21"/>
  <c r="G50" i="21"/>
  <c r="D50" i="21"/>
  <c r="C59" i="21"/>
  <c r="D59" i="21"/>
  <c r="G59" i="21"/>
  <c r="C38" i="21"/>
  <c r="D38" i="21"/>
  <c r="E38" i="21" s="1"/>
  <c r="G38" i="21" s="1"/>
  <c r="C41" i="21"/>
  <c r="G41" i="21"/>
  <c r="D41" i="21"/>
  <c r="C49" i="21"/>
  <c r="G49" i="21"/>
  <c r="D49" i="21"/>
  <c r="C36" i="21"/>
  <c r="C33" i="21"/>
  <c r="C21" i="21"/>
  <c r="C61" i="21"/>
  <c r="D61" i="21"/>
  <c r="G61" i="21"/>
  <c r="C62" i="21"/>
  <c r="G62" i="21"/>
  <c r="D62" i="21"/>
  <c r="C47" i="21"/>
  <c r="G47" i="21"/>
  <c r="D47" i="21"/>
  <c r="C23" i="21"/>
  <c r="C43" i="21"/>
  <c r="D43" i="21"/>
  <c r="G43" i="21"/>
  <c r="C57" i="21"/>
  <c r="D57" i="21"/>
  <c r="G57" i="21"/>
  <c r="C46" i="21"/>
  <c r="D46" i="21"/>
  <c r="G46" i="21"/>
  <c r="C27" i="21"/>
  <c r="C35" i="21"/>
  <c r="C51" i="21"/>
  <c r="D51" i="21"/>
  <c r="G51" i="21"/>
  <c r="C25" i="21"/>
  <c r="C63" i="21"/>
  <c r="G63" i="21"/>
  <c r="D63" i="21"/>
  <c r="C69" i="21"/>
  <c r="D69" i="21"/>
  <c r="G69" i="21"/>
  <c r="C55" i="21"/>
  <c r="G55" i="21"/>
  <c r="D55" i="21"/>
  <c r="C64" i="21"/>
  <c r="G64" i="21"/>
  <c r="D64" i="21"/>
  <c r="A69" i="26"/>
  <c r="A52" i="26"/>
  <c r="A23" i="26"/>
  <c r="A50" i="26"/>
  <c r="A26" i="26"/>
  <c r="A47" i="26"/>
  <c r="A43" i="26"/>
  <c r="A40" i="26"/>
  <c r="A33" i="26"/>
  <c r="A31" i="26"/>
  <c r="A30" i="26"/>
  <c r="A64" i="26"/>
  <c r="A57" i="26"/>
  <c r="A34" i="26"/>
  <c r="A42" i="26"/>
  <c r="A55" i="26"/>
  <c r="A24" i="26"/>
  <c r="A22" i="26"/>
  <c r="A32" i="26"/>
  <c r="A25" i="26"/>
  <c r="A65" i="26"/>
  <c r="A63" i="26"/>
  <c r="A20" i="26"/>
  <c r="A45" i="26"/>
  <c r="A54" i="26"/>
  <c r="A38" i="26"/>
  <c r="A53" i="26"/>
  <c r="A51" i="26"/>
  <c r="A61" i="26"/>
  <c r="A66" i="26"/>
  <c r="A21" i="26"/>
  <c r="C21" i="26" s="1"/>
  <c r="A62" i="26"/>
  <c r="A41" i="26"/>
  <c r="A39" i="26"/>
  <c r="A49" i="26"/>
  <c r="A59" i="26"/>
  <c r="A60" i="26"/>
  <c r="A58" i="26"/>
  <c r="A68" i="26"/>
  <c r="A35" i="26"/>
  <c r="A29" i="26"/>
  <c r="A27" i="26"/>
  <c r="A37" i="26"/>
  <c r="A67" i="26"/>
  <c r="A28" i="26"/>
  <c r="A48" i="26"/>
  <c r="A46" i="26"/>
  <c r="A56" i="26"/>
  <c r="A36" i="26"/>
  <c r="A44" i="26"/>
  <c r="C29" i="21"/>
  <c r="C52" i="21"/>
  <c r="D52" i="21"/>
  <c r="G52" i="21"/>
  <c r="C44" i="21"/>
  <c r="D44" i="21"/>
  <c r="G44" i="21"/>
  <c r="A30" i="21"/>
  <c r="A31" i="21"/>
  <c r="A67" i="21"/>
  <c r="A48" i="21"/>
  <c r="F48" i="21" s="1"/>
  <c r="A28" i="21"/>
  <c r="B28" i="21" s="1"/>
  <c r="A39" i="21"/>
  <c r="A52" i="24"/>
  <c r="A41" i="24"/>
  <c r="A21" i="24"/>
  <c r="A59" i="24"/>
  <c r="A57" i="24"/>
  <c r="A43" i="24"/>
  <c r="A48" i="24"/>
  <c r="A67" i="24"/>
  <c r="A23" i="24"/>
  <c r="A50" i="24"/>
  <c r="A27" i="24"/>
  <c r="A30" i="24"/>
  <c r="A65" i="24"/>
  <c r="A36" i="24"/>
  <c r="A47" i="24"/>
  <c r="A58" i="24"/>
  <c r="A68" i="24"/>
  <c r="A53" i="24"/>
  <c r="A60" i="24"/>
  <c r="A33" i="24"/>
  <c r="A45" i="24"/>
  <c r="A55" i="24"/>
  <c r="A49" i="24"/>
  <c r="A61" i="24"/>
  <c r="A46" i="24"/>
  <c r="A56" i="24"/>
  <c r="A69" i="24"/>
  <c r="A42" i="24"/>
  <c r="A54" i="24"/>
  <c r="A63" i="24"/>
  <c r="A25" i="24"/>
  <c r="A34" i="24"/>
  <c r="A44" i="24"/>
  <c r="A62" i="24"/>
  <c r="A37" i="24"/>
  <c r="A31" i="24"/>
  <c r="A24" i="24"/>
  <c r="A66" i="24"/>
  <c r="A22" i="24"/>
  <c r="A32" i="24"/>
  <c r="A40" i="24"/>
  <c r="A29" i="24"/>
  <c r="A38" i="24"/>
  <c r="A51" i="24"/>
  <c r="A26" i="24"/>
  <c r="A20" i="24"/>
  <c r="A39" i="24"/>
  <c r="A64" i="24"/>
  <c r="A28" i="24"/>
  <c r="A35" i="24"/>
  <c r="C56" i="21"/>
  <c r="G56" i="21"/>
  <c r="D56" i="21"/>
  <c r="A68" i="30"/>
  <c r="A66" i="30"/>
  <c r="A58" i="30"/>
  <c r="A48" i="30"/>
  <c r="A29" i="30"/>
  <c r="A25" i="30"/>
  <c r="A65" i="30"/>
  <c r="A57" i="30"/>
  <c r="A46" i="30"/>
  <c r="A40" i="30"/>
  <c r="A27" i="30"/>
  <c r="A43" i="30"/>
  <c r="A51" i="30"/>
  <c r="A23" i="30"/>
  <c r="A62" i="30"/>
  <c r="A56" i="30"/>
  <c r="A50" i="30"/>
  <c r="A38" i="30"/>
  <c r="A21" i="30"/>
  <c r="A49" i="30"/>
  <c r="A42" i="30"/>
  <c r="A35" i="30"/>
  <c r="A33" i="30"/>
  <c r="A59" i="30"/>
  <c r="A31" i="30"/>
  <c r="A41" i="30"/>
  <c r="A54" i="30"/>
  <c r="A67" i="30"/>
  <c r="A20" i="30"/>
  <c r="A39" i="30"/>
  <c r="A37" i="30"/>
  <c r="A52" i="30"/>
  <c r="A22" i="30"/>
  <c r="A45" i="30"/>
  <c r="A60" i="30"/>
  <c r="A24" i="30"/>
  <c r="A47" i="30"/>
  <c r="A53" i="30"/>
  <c r="A26" i="30"/>
  <c r="A36" i="30"/>
  <c r="A28" i="30"/>
  <c r="A55" i="30"/>
  <c r="A61" i="30"/>
  <c r="A63" i="30"/>
  <c r="A30" i="30"/>
  <c r="A32" i="30"/>
  <c r="A64" i="30"/>
  <c r="A34" i="30"/>
  <c r="A69" i="30"/>
  <c r="A44" i="30"/>
  <c r="C24" i="21"/>
  <c r="C54" i="21"/>
  <c r="G54" i="21"/>
  <c r="D54" i="21"/>
  <c r="C34" i="21"/>
  <c r="D34" i="21"/>
  <c r="C68" i="21"/>
  <c r="D68" i="21"/>
  <c r="G68" i="21"/>
  <c r="C45" i="21"/>
  <c r="D45" i="21"/>
  <c r="G45" i="21"/>
  <c r="C40" i="21"/>
  <c r="G40" i="21"/>
  <c r="D40" i="21"/>
  <c r="A64" i="28"/>
  <c r="A63" i="28"/>
  <c r="A38" i="28"/>
  <c r="A24" i="28"/>
  <c r="A34" i="28"/>
  <c r="A62" i="28"/>
  <c r="A22" i="28"/>
  <c r="A55" i="28"/>
  <c r="A20" i="28"/>
  <c r="A54" i="28"/>
  <c r="A32" i="28"/>
  <c r="A47" i="28"/>
  <c r="A30" i="28"/>
  <c r="A46" i="28"/>
  <c r="A28" i="28"/>
  <c r="A39" i="28"/>
  <c r="A26" i="28"/>
  <c r="A36" i="28"/>
  <c r="A51" i="28"/>
  <c r="A27" i="28"/>
  <c r="A65" i="28"/>
  <c r="A40" i="28"/>
  <c r="A59" i="28"/>
  <c r="A66" i="28"/>
  <c r="A33" i="28"/>
  <c r="A48" i="28"/>
  <c r="A67" i="28"/>
  <c r="A37" i="28"/>
  <c r="A41" i="28"/>
  <c r="A56" i="28"/>
  <c r="A68" i="28"/>
  <c r="A42" i="28"/>
  <c r="A45" i="28"/>
  <c r="A52" i="28"/>
  <c r="A23" i="28"/>
  <c r="A49" i="28"/>
  <c r="A60" i="28"/>
  <c r="A29" i="28"/>
  <c r="A50" i="28"/>
  <c r="A61" i="28"/>
  <c r="A53" i="28"/>
  <c r="A35" i="28"/>
  <c r="A44" i="28"/>
  <c r="A57" i="28"/>
  <c r="A25" i="28"/>
  <c r="A69" i="28"/>
  <c r="A43" i="28"/>
  <c r="A58" i="28"/>
  <c r="A21" i="28"/>
  <c r="A31" i="28"/>
  <c r="C53" i="21"/>
  <c r="D53" i="21"/>
  <c r="G53" i="21"/>
  <c r="C22" i="21"/>
  <c r="D22" i="21"/>
  <c r="C66" i="21"/>
  <c r="G66" i="21"/>
  <c r="D66" i="21"/>
  <c r="C42" i="21"/>
  <c r="G42" i="21"/>
  <c r="D42" i="21"/>
  <c r="C32" i="21"/>
  <c r="D32" i="21"/>
  <c r="C58" i="21"/>
  <c r="G58" i="21"/>
  <c r="D58" i="21"/>
  <c r="C20" i="21"/>
  <c r="B5" i="1"/>
  <c r="B5" i="27"/>
  <c r="B5" i="29"/>
  <c r="B5" i="23"/>
  <c r="B5" i="25"/>
  <c r="E4" i="1"/>
  <c r="A24" i="1" s="1"/>
  <c r="C24" i="1" s="1"/>
  <c r="E4" i="27"/>
  <c r="E4" i="23"/>
  <c r="E4" i="25"/>
  <c r="E4" i="29"/>
  <c r="B79" i="3"/>
  <c r="B75" i="3"/>
  <c r="B65" i="3"/>
  <c r="G17" i="26"/>
  <c r="B59" i="3" s="1"/>
  <c r="C23" i="26"/>
  <c r="C30" i="26"/>
  <c r="C33" i="26"/>
  <c r="C26" i="26"/>
  <c r="C31" i="26"/>
  <c r="C28" i="26"/>
  <c r="C22" i="26"/>
  <c r="C24" i="26"/>
  <c r="C34" i="26"/>
  <c r="C29" i="26"/>
  <c r="C27" i="26"/>
  <c r="C32" i="26"/>
  <c r="C25" i="26"/>
  <c r="E42" i="21"/>
  <c r="F42" i="21"/>
  <c r="B42" i="21"/>
  <c r="E54" i="21"/>
  <c r="B54" i="21"/>
  <c r="F54" i="21"/>
  <c r="E57" i="21"/>
  <c r="B57" i="21"/>
  <c r="F57" i="21"/>
  <c r="F50" i="21"/>
  <c r="E50" i="21"/>
  <c r="B50" i="21"/>
  <c r="F37" i="21"/>
  <c r="B37" i="21"/>
  <c r="D37" i="21" s="1"/>
  <c r="E37" i="21" s="1"/>
  <c r="G37" i="21" s="1"/>
  <c r="B36" i="21"/>
  <c r="D36" i="21" s="1"/>
  <c r="E36" i="21" s="1"/>
  <c r="G36" i="21" s="1"/>
  <c r="F36" i="21"/>
  <c r="B25" i="21"/>
  <c r="D25" i="21" s="1"/>
  <c r="F25" i="21"/>
  <c r="F43" i="21"/>
  <c r="E43" i="21"/>
  <c r="B43" i="21"/>
  <c r="B69" i="21"/>
  <c r="F69" i="21"/>
  <c r="E69" i="21"/>
  <c r="E49" i="21"/>
  <c r="B49" i="21"/>
  <c r="F49" i="21"/>
  <c r="B22" i="21"/>
  <c r="F22" i="21"/>
  <c r="F29" i="21"/>
  <c r="B29" i="21"/>
  <c r="D29" i="21" s="1"/>
  <c r="B38" i="21"/>
  <c r="F38" i="21"/>
  <c r="F62" i="21"/>
  <c r="E62" i="21"/>
  <c r="B62" i="21"/>
  <c r="F67" i="21"/>
  <c r="E67" i="21"/>
  <c r="B67" i="21"/>
  <c r="B60" i="21"/>
  <c r="F60" i="21"/>
  <c r="E60" i="21"/>
  <c r="F58" i="21"/>
  <c r="E58" i="21"/>
  <c r="B58" i="21"/>
  <c r="F31" i="21"/>
  <c r="B31" i="21"/>
  <c r="B53" i="21"/>
  <c r="E53" i="21"/>
  <c r="F53" i="21"/>
  <c r="E66" i="21"/>
  <c r="F66" i="21"/>
  <c r="B66" i="21"/>
  <c r="B46" i="21"/>
  <c r="F46" i="21"/>
  <c r="E46" i="21"/>
  <c r="F26" i="21"/>
  <c r="B26" i="21"/>
  <c r="F55" i="21"/>
  <c r="E55" i="21"/>
  <c r="B55" i="21"/>
  <c r="F30" i="21"/>
  <c r="B30" i="21"/>
  <c r="F41" i="21"/>
  <c r="E41" i="21"/>
  <c r="B41" i="21"/>
  <c r="B48" i="21"/>
  <c r="B24" i="21"/>
  <c r="D24" i="21" s="1"/>
  <c r="F24" i="21"/>
  <c r="B61" i="21"/>
  <c r="E61" i="21"/>
  <c r="F61" i="21"/>
  <c r="B34" i="21"/>
  <c r="F34" i="21"/>
  <c r="F47" i="21"/>
  <c r="B47" i="21"/>
  <c r="E47" i="21"/>
  <c r="F27" i="21"/>
  <c r="B27" i="21"/>
  <c r="D27" i="21" s="1"/>
  <c r="F52" i="21"/>
  <c r="E52" i="21"/>
  <c r="B52" i="21"/>
  <c r="F28" i="21"/>
  <c r="E56" i="21"/>
  <c r="F56" i="21"/>
  <c r="B56" i="21"/>
  <c r="B32" i="21"/>
  <c r="F32" i="21"/>
  <c r="B59" i="21"/>
  <c r="E59" i="21"/>
  <c r="F59" i="21"/>
  <c r="F33" i="21"/>
  <c r="B33" i="21"/>
  <c r="D33" i="21" s="1"/>
  <c r="E63" i="21"/>
  <c r="F63" i="21"/>
  <c r="B63" i="21"/>
  <c r="B35" i="21"/>
  <c r="D35" i="21" s="1"/>
  <c r="E35" i="21" s="1"/>
  <c r="G35" i="21" s="1"/>
  <c r="F35" i="21"/>
  <c r="F64" i="21"/>
  <c r="B64" i="21"/>
  <c r="E64" i="21"/>
  <c r="E68" i="21"/>
  <c r="F68" i="21"/>
  <c r="B68" i="21"/>
  <c r="F40" i="21"/>
  <c r="E40" i="21"/>
  <c r="B40" i="21"/>
  <c r="B20" i="21"/>
  <c r="D20" i="21" s="1"/>
  <c r="F20" i="21"/>
  <c r="F21" i="21"/>
  <c r="B21" i="21"/>
  <c r="D21" i="21" s="1"/>
  <c r="B23" i="21"/>
  <c r="D23" i="21" s="1"/>
  <c r="F23" i="21"/>
  <c r="E51" i="21"/>
  <c r="F51" i="21"/>
  <c r="B51" i="21"/>
  <c r="E44" i="21"/>
  <c r="F44" i="21"/>
  <c r="B44" i="21"/>
  <c r="F65" i="21"/>
  <c r="E65" i="21"/>
  <c r="B65" i="21"/>
  <c r="E45" i="21"/>
  <c r="B45" i="21"/>
  <c r="F45" i="21"/>
  <c r="A33" i="1"/>
  <c r="C33" i="1" s="1"/>
  <c r="F20" i="28" l="1"/>
  <c r="B20" i="28"/>
  <c r="D20" i="28" s="1"/>
  <c r="C20" i="28"/>
  <c r="G60" i="30"/>
  <c r="D60" i="30"/>
  <c r="F60" i="30"/>
  <c r="E60" i="30"/>
  <c r="C60" i="30"/>
  <c r="B60" i="30"/>
  <c r="G64" i="24"/>
  <c r="D64" i="24"/>
  <c r="E64" i="24"/>
  <c r="C64" i="24"/>
  <c r="F64" i="24"/>
  <c r="B64" i="24"/>
  <c r="G40" i="26"/>
  <c r="D40" i="26"/>
  <c r="F40" i="26"/>
  <c r="E40" i="26"/>
  <c r="B40" i="26"/>
  <c r="C40" i="26"/>
  <c r="G64" i="28"/>
  <c r="D64" i="28"/>
  <c r="F64" i="28"/>
  <c r="E64" i="28"/>
  <c r="C64" i="28"/>
  <c r="B64" i="28"/>
  <c r="F27" i="30"/>
  <c r="D27" i="30"/>
  <c r="B27" i="30"/>
  <c r="C27" i="30"/>
  <c r="D66" i="28"/>
  <c r="G66" i="28"/>
  <c r="C66" i="28"/>
  <c r="B66" i="28"/>
  <c r="F66" i="28"/>
  <c r="E66" i="28"/>
  <c r="D43" i="28"/>
  <c r="G43" i="28"/>
  <c r="C43" i="28"/>
  <c r="B43" i="28"/>
  <c r="F43" i="28"/>
  <c r="E43" i="28"/>
  <c r="B28" i="28"/>
  <c r="D28" i="28"/>
  <c r="F28" i="28"/>
  <c r="C28" i="28"/>
  <c r="D69" i="30"/>
  <c r="G69" i="30"/>
  <c r="B69" i="30"/>
  <c r="F69" i="30"/>
  <c r="E69" i="30"/>
  <c r="C69" i="30"/>
  <c r="F31" i="30"/>
  <c r="B31" i="30"/>
  <c r="D31" i="30" s="1"/>
  <c r="C31" i="30"/>
  <c r="G50" i="30"/>
  <c r="D50" i="30"/>
  <c r="B50" i="30"/>
  <c r="F50" i="30"/>
  <c r="E50" i="30"/>
  <c r="C50" i="30"/>
  <c r="D68" i="30"/>
  <c r="G68" i="30"/>
  <c r="B68" i="30"/>
  <c r="F68" i="30"/>
  <c r="C68" i="30"/>
  <c r="E68" i="30"/>
  <c r="D20" i="24"/>
  <c r="B20" i="24"/>
  <c r="F20" i="24"/>
  <c r="C20" i="24"/>
  <c r="D66" i="24"/>
  <c r="G66" i="24"/>
  <c r="B66" i="24"/>
  <c r="F66" i="24"/>
  <c r="E66" i="24"/>
  <c r="C66" i="24"/>
  <c r="D55" i="24"/>
  <c r="G55" i="24"/>
  <c r="F55" i="24"/>
  <c r="E55" i="24"/>
  <c r="B55" i="24"/>
  <c r="C55" i="24"/>
  <c r="G48" i="26"/>
  <c r="D48" i="26"/>
  <c r="C48" i="26"/>
  <c r="B48" i="26"/>
  <c r="E48" i="26"/>
  <c r="F48" i="26"/>
  <c r="G58" i="26"/>
  <c r="D58" i="26"/>
  <c r="F58" i="26"/>
  <c r="C58" i="26"/>
  <c r="B58" i="26"/>
  <c r="E58" i="26"/>
  <c r="G66" i="26"/>
  <c r="D66" i="26"/>
  <c r="F66" i="26"/>
  <c r="E66" i="26"/>
  <c r="C66" i="26"/>
  <c r="B66" i="26"/>
  <c r="G63" i="26"/>
  <c r="D63" i="26"/>
  <c r="C63" i="26"/>
  <c r="B63" i="26"/>
  <c r="F63" i="26"/>
  <c r="E63" i="26"/>
  <c r="D34" i="26"/>
  <c r="E34" i="26" s="1"/>
  <c r="G34" i="26" s="1"/>
  <c r="F34" i="26"/>
  <c r="B34" i="26"/>
  <c r="G47" i="26"/>
  <c r="D47" i="26"/>
  <c r="F47" i="26"/>
  <c r="B47" i="26"/>
  <c r="E47" i="26"/>
  <c r="C47" i="26"/>
  <c r="E48" i="21"/>
  <c r="G69" i="28"/>
  <c r="D69" i="28"/>
  <c r="E69" i="28"/>
  <c r="C69" i="28"/>
  <c r="B69" i="28"/>
  <c r="F69" i="28"/>
  <c r="F29" i="28"/>
  <c r="B29" i="28"/>
  <c r="D29" i="28" s="1"/>
  <c r="C29" i="28"/>
  <c r="E29" i="28" s="1"/>
  <c r="G29" i="28" s="1"/>
  <c r="G56" i="28"/>
  <c r="D56" i="28"/>
  <c r="C56" i="28"/>
  <c r="E56" i="28"/>
  <c r="F56" i="28"/>
  <c r="B56" i="28"/>
  <c r="D40" i="28"/>
  <c r="G40" i="28"/>
  <c r="C40" i="28"/>
  <c r="B40" i="28"/>
  <c r="E40" i="28"/>
  <c r="F40" i="28"/>
  <c r="G46" i="28"/>
  <c r="D46" i="28"/>
  <c r="C46" i="28"/>
  <c r="B46" i="28"/>
  <c r="F46" i="28"/>
  <c r="E46" i="28"/>
  <c r="G62" i="28"/>
  <c r="D62" i="28"/>
  <c r="E62" i="28"/>
  <c r="B62" i="28"/>
  <c r="C62" i="28"/>
  <c r="F62" i="28"/>
  <c r="D34" i="30"/>
  <c r="B34" i="30"/>
  <c r="F34" i="30"/>
  <c r="C34" i="30"/>
  <c r="F36" i="30"/>
  <c r="B36" i="30"/>
  <c r="D36" i="30" s="1"/>
  <c r="E36" i="30" s="1"/>
  <c r="G36" i="30" s="1"/>
  <c r="C36" i="30"/>
  <c r="D52" i="30"/>
  <c r="G52" i="30"/>
  <c r="C52" i="30"/>
  <c r="B52" i="30"/>
  <c r="F52" i="30"/>
  <c r="E52" i="30"/>
  <c r="D59" i="30"/>
  <c r="C59" i="30"/>
  <c r="G59" i="30"/>
  <c r="B59" i="30"/>
  <c r="F59" i="30"/>
  <c r="E59" i="30"/>
  <c r="E56" i="30"/>
  <c r="G56" i="30"/>
  <c r="F56" i="30"/>
  <c r="C56" i="30"/>
  <c r="D56" i="30"/>
  <c r="B56" i="30"/>
  <c r="D57" i="30"/>
  <c r="G57" i="30"/>
  <c r="F57" i="30"/>
  <c r="E57" i="30"/>
  <c r="C57" i="30"/>
  <c r="B57" i="30"/>
  <c r="B26" i="24"/>
  <c r="D26" i="24" s="1"/>
  <c r="F26" i="24"/>
  <c r="C26" i="24"/>
  <c r="F24" i="24"/>
  <c r="B24" i="24"/>
  <c r="D24" i="24" s="1"/>
  <c r="C24" i="24"/>
  <c r="G54" i="24"/>
  <c r="D54" i="24"/>
  <c r="C54" i="24"/>
  <c r="F54" i="24"/>
  <c r="B54" i="24"/>
  <c r="E54" i="24"/>
  <c r="G45" i="24"/>
  <c r="D45" i="24"/>
  <c r="F45" i="24"/>
  <c r="E45" i="24"/>
  <c r="C45" i="24"/>
  <c r="B45" i="24"/>
  <c r="D65" i="24"/>
  <c r="G65" i="24"/>
  <c r="C65" i="24"/>
  <c r="E65" i="24"/>
  <c r="B65" i="24"/>
  <c r="F65" i="24"/>
  <c r="D57" i="24"/>
  <c r="G57" i="24"/>
  <c r="F57" i="24"/>
  <c r="C57" i="24"/>
  <c r="E57" i="24"/>
  <c r="B57" i="24"/>
  <c r="C67" i="21"/>
  <c r="D67" i="21"/>
  <c r="G67" i="21"/>
  <c r="F28" i="26"/>
  <c r="B28" i="26"/>
  <c r="D28" i="26" s="1"/>
  <c r="E28" i="26" s="1"/>
  <c r="G28" i="26" s="1"/>
  <c r="D60" i="26"/>
  <c r="G60" i="26"/>
  <c r="C60" i="26"/>
  <c r="B60" i="26"/>
  <c r="E60" i="26"/>
  <c r="F60" i="26"/>
  <c r="D61" i="26"/>
  <c r="G61" i="26"/>
  <c r="F61" i="26"/>
  <c r="E61" i="26"/>
  <c r="C61" i="26"/>
  <c r="B61" i="26"/>
  <c r="D65" i="26"/>
  <c r="G65" i="26"/>
  <c r="E65" i="26"/>
  <c r="B65" i="26"/>
  <c r="C65" i="26"/>
  <c r="F65" i="26"/>
  <c r="D57" i="26"/>
  <c r="G57" i="26"/>
  <c r="F57" i="26"/>
  <c r="B57" i="26"/>
  <c r="E57" i="26"/>
  <c r="C57" i="26"/>
  <c r="F26" i="26"/>
  <c r="D26" i="26"/>
  <c r="B26" i="26"/>
  <c r="F33" i="28"/>
  <c r="B33" i="28"/>
  <c r="D33" i="28" s="1"/>
  <c r="C33" i="28"/>
  <c r="F21" i="30"/>
  <c r="D21" i="30"/>
  <c r="B21" i="30"/>
  <c r="C21" i="30"/>
  <c r="F61" i="24"/>
  <c r="G61" i="24"/>
  <c r="D61" i="24"/>
  <c r="B61" i="24"/>
  <c r="E61" i="24"/>
  <c r="C61" i="24"/>
  <c r="C39" i="21"/>
  <c r="D45" i="26"/>
  <c r="G45" i="26"/>
  <c r="E45" i="26"/>
  <c r="C45" i="26"/>
  <c r="F45" i="26"/>
  <c r="B45" i="26"/>
  <c r="D55" i="28"/>
  <c r="G55" i="28"/>
  <c r="C55" i="28"/>
  <c r="B55" i="28"/>
  <c r="F55" i="28"/>
  <c r="E55" i="28"/>
  <c r="G50" i="28"/>
  <c r="D50" i="28"/>
  <c r="C50" i="28"/>
  <c r="B50" i="28"/>
  <c r="F50" i="28"/>
  <c r="E50" i="28"/>
  <c r="G68" i="28"/>
  <c r="D68" i="28"/>
  <c r="E68" i="28"/>
  <c r="B68" i="28"/>
  <c r="C68" i="28"/>
  <c r="F68" i="28"/>
  <c r="D22" i="28"/>
  <c r="B22" i="28"/>
  <c r="F22" i="28"/>
  <c r="C22" i="28"/>
  <c r="E22" i="28" s="1"/>
  <c r="G22" i="28" s="1"/>
  <c r="D63" i="24"/>
  <c r="G63" i="24"/>
  <c r="B63" i="24"/>
  <c r="C63" i="24"/>
  <c r="F63" i="24"/>
  <c r="E63" i="24"/>
  <c r="E32" i="26"/>
  <c r="G32" i="26" s="1"/>
  <c r="D25" i="28"/>
  <c r="F25" i="28"/>
  <c r="B25" i="28"/>
  <c r="C25" i="28"/>
  <c r="G60" i="28"/>
  <c r="D60" i="28"/>
  <c r="E60" i="28"/>
  <c r="C60" i="28"/>
  <c r="B60" i="28"/>
  <c r="F60" i="28"/>
  <c r="D41" i="28"/>
  <c r="G41" i="28"/>
  <c r="B41" i="28"/>
  <c r="F41" i="28"/>
  <c r="E41" i="28"/>
  <c r="C41" i="28"/>
  <c r="D65" i="28"/>
  <c r="G65" i="28"/>
  <c r="B65" i="28"/>
  <c r="F65" i="28"/>
  <c r="E65" i="28"/>
  <c r="C65" i="28"/>
  <c r="B30" i="28"/>
  <c r="D30" i="28" s="1"/>
  <c r="F30" i="28"/>
  <c r="C30" i="28"/>
  <c r="B34" i="28"/>
  <c r="D34" i="28"/>
  <c r="F34" i="28"/>
  <c r="C34" i="28"/>
  <c r="E34" i="28" s="1"/>
  <c r="G34" i="28" s="1"/>
  <c r="G64" i="30"/>
  <c r="D64" i="30"/>
  <c r="E64" i="30"/>
  <c r="C64" i="30"/>
  <c r="B64" i="30"/>
  <c r="F64" i="30"/>
  <c r="D26" i="30"/>
  <c r="F26" i="30"/>
  <c r="B26" i="30"/>
  <c r="C26" i="30"/>
  <c r="E26" i="30" s="1"/>
  <c r="G26" i="30" s="1"/>
  <c r="D37" i="30"/>
  <c r="B37" i="30"/>
  <c r="F37" i="30"/>
  <c r="C37" i="30"/>
  <c r="E37" i="30" s="1"/>
  <c r="G37" i="30" s="1"/>
  <c r="F33" i="30"/>
  <c r="B33" i="30"/>
  <c r="D33" i="30" s="1"/>
  <c r="C33" i="30"/>
  <c r="C62" i="30"/>
  <c r="F62" i="30"/>
  <c r="E62" i="30"/>
  <c r="G62" i="30"/>
  <c r="D62" i="30"/>
  <c r="B62" i="30"/>
  <c r="D65" i="30"/>
  <c r="G65" i="30"/>
  <c r="F65" i="30"/>
  <c r="E65" i="30"/>
  <c r="C65" i="30"/>
  <c r="B65" i="30"/>
  <c r="D51" i="24"/>
  <c r="G51" i="24"/>
  <c r="C51" i="24"/>
  <c r="B51" i="24"/>
  <c r="F51" i="24"/>
  <c r="E51" i="24"/>
  <c r="B31" i="24"/>
  <c r="D31" i="24" s="1"/>
  <c r="F31" i="24"/>
  <c r="C31" i="24"/>
  <c r="G42" i="24"/>
  <c r="D42" i="24"/>
  <c r="C42" i="24"/>
  <c r="F42" i="24"/>
  <c r="B42" i="24"/>
  <c r="E42" i="24"/>
  <c r="B33" i="24"/>
  <c r="D33" i="24" s="1"/>
  <c r="C33" i="24"/>
  <c r="E33" i="24" s="1"/>
  <c r="G33" i="24" s="1"/>
  <c r="F33" i="24"/>
  <c r="F30" i="24"/>
  <c r="B30" i="24"/>
  <c r="D30" i="24" s="1"/>
  <c r="C30" i="24"/>
  <c r="D59" i="24"/>
  <c r="G59" i="24"/>
  <c r="C59" i="24"/>
  <c r="B59" i="24"/>
  <c r="F59" i="24"/>
  <c r="E59" i="24"/>
  <c r="C31" i="21"/>
  <c r="D31" i="21"/>
  <c r="D67" i="26"/>
  <c r="G67" i="26"/>
  <c r="B67" i="26"/>
  <c r="C67" i="26"/>
  <c r="F67" i="26"/>
  <c r="E67" i="26"/>
  <c r="D59" i="26"/>
  <c r="G59" i="26"/>
  <c r="B59" i="26"/>
  <c r="F59" i="26"/>
  <c r="E59" i="26"/>
  <c r="C59" i="26"/>
  <c r="D51" i="26"/>
  <c r="G51" i="26"/>
  <c r="C51" i="26"/>
  <c r="B51" i="26"/>
  <c r="F51" i="26"/>
  <c r="E51" i="26"/>
  <c r="D25" i="26"/>
  <c r="E25" i="26" s="1"/>
  <c r="G25" i="26" s="1"/>
  <c r="F25" i="26"/>
  <c r="B25" i="26"/>
  <c r="G64" i="26"/>
  <c r="D64" i="26"/>
  <c r="E64" i="26"/>
  <c r="B64" i="26"/>
  <c r="F64" i="26"/>
  <c r="C64" i="26"/>
  <c r="E50" i="26"/>
  <c r="G50" i="26"/>
  <c r="D50" i="26"/>
  <c r="B50" i="26"/>
  <c r="C50" i="26"/>
  <c r="F50" i="26"/>
  <c r="D21" i="28"/>
  <c r="F21" i="28"/>
  <c r="B21" i="28"/>
  <c r="C21" i="28"/>
  <c r="G53" i="28"/>
  <c r="D53" i="28"/>
  <c r="F53" i="28"/>
  <c r="E53" i="28"/>
  <c r="B53" i="28"/>
  <c r="C53" i="28"/>
  <c r="B26" i="28"/>
  <c r="D26" i="28"/>
  <c r="F26" i="28"/>
  <c r="C26" i="28"/>
  <c r="E26" i="28" s="1"/>
  <c r="G26" i="28" s="1"/>
  <c r="C54" i="30"/>
  <c r="G54" i="30"/>
  <c r="D54" i="30"/>
  <c r="F54" i="30"/>
  <c r="E54" i="30"/>
  <c r="B54" i="30"/>
  <c r="G58" i="30"/>
  <c r="D58" i="30"/>
  <c r="C58" i="30"/>
  <c r="F58" i="30"/>
  <c r="B58" i="30"/>
  <c r="E58" i="30"/>
  <c r="B32" i="24"/>
  <c r="D32" i="24" s="1"/>
  <c r="F32" i="24"/>
  <c r="C32" i="24"/>
  <c r="B34" i="24"/>
  <c r="D34" i="24" s="1"/>
  <c r="F34" i="24"/>
  <c r="C34" i="24"/>
  <c r="D58" i="24"/>
  <c r="G58" i="24"/>
  <c r="E58" i="24"/>
  <c r="C58" i="24"/>
  <c r="B58" i="24"/>
  <c r="F58" i="24"/>
  <c r="D67" i="24"/>
  <c r="G67" i="24"/>
  <c r="E67" i="24"/>
  <c r="C67" i="24"/>
  <c r="B67" i="24"/>
  <c r="F67" i="24"/>
  <c r="G56" i="26"/>
  <c r="D56" i="26"/>
  <c r="F56" i="26"/>
  <c r="E56" i="26"/>
  <c r="B56" i="26"/>
  <c r="C56" i="26"/>
  <c r="G62" i="26"/>
  <c r="D62" i="26"/>
  <c r="E62" i="26"/>
  <c r="F62" i="26"/>
  <c r="C62" i="26"/>
  <c r="B62" i="26"/>
  <c r="G55" i="26"/>
  <c r="D55" i="26"/>
  <c r="F55" i="26"/>
  <c r="E55" i="26"/>
  <c r="C55" i="26"/>
  <c r="B55" i="26"/>
  <c r="G61" i="28"/>
  <c r="D61" i="28"/>
  <c r="E61" i="28"/>
  <c r="B61" i="28"/>
  <c r="F61" i="28"/>
  <c r="C61" i="28"/>
  <c r="D45" i="30"/>
  <c r="G45" i="30"/>
  <c r="B45" i="30"/>
  <c r="F45" i="30"/>
  <c r="E45" i="30"/>
  <c r="C45" i="30"/>
  <c r="F38" i="30"/>
  <c r="D38" i="30"/>
  <c r="E38" i="30"/>
  <c r="G38" i="30"/>
  <c r="C38" i="30"/>
  <c r="B38" i="30"/>
  <c r="G66" i="30"/>
  <c r="D66" i="30"/>
  <c r="B66" i="30"/>
  <c r="F66" i="30"/>
  <c r="C66" i="30"/>
  <c r="E66" i="30"/>
  <c r="F25" i="24"/>
  <c r="B25" i="24"/>
  <c r="D25" i="24" s="1"/>
  <c r="C25" i="24"/>
  <c r="G48" i="24"/>
  <c r="D48" i="24"/>
  <c r="E48" i="24"/>
  <c r="F48" i="24"/>
  <c r="C48" i="24"/>
  <c r="B48" i="24"/>
  <c r="D46" i="26"/>
  <c r="G46" i="26"/>
  <c r="F46" i="26"/>
  <c r="E46" i="26"/>
  <c r="C46" i="26"/>
  <c r="B46" i="26"/>
  <c r="D59" i="28"/>
  <c r="G59" i="28"/>
  <c r="F59" i="28"/>
  <c r="C59" i="28"/>
  <c r="B59" i="28"/>
  <c r="E59" i="28"/>
  <c r="D22" i="30"/>
  <c r="F22" i="30"/>
  <c r="B22" i="30"/>
  <c r="C22" i="30"/>
  <c r="C48" i="21"/>
  <c r="G48" i="21"/>
  <c r="D48" i="21"/>
  <c r="D57" i="28"/>
  <c r="G57" i="28"/>
  <c r="B57" i="28"/>
  <c r="E57" i="28"/>
  <c r="F57" i="28"/>
  <c r="C57" i="28"/>
  <c r="D49" i="28"/>
  <c r="G49" i="28"/>
  <c r="B49" i="28"/>
  <c r="E49" i="28"/>
  <c r="F49" i="28"/>
  <c r="C49" i="28"/>
  <c r="C37" i="28"/>
  <c r="F37" i="28"/>
  <c r="B37" i="28"/>
  <c r="D37" i="28" s="1"/>
  <c r="E37" i="28" s="1"/>
  <c r="G37" i="28" s="1"/>
  <c r="D27" i="28"/>
  <c r="B27" i="28"/>
  <c r="F27" i="28"/>
  <c r="C27" i="28"/>
  <c r="D47" i="28"/>
  <c r="G47" i="28"/>
  <c r="F47" i="28"/>
  <c r="E47" i="28"/>
  <c r="C47" i="28"/>
  <c r="B47" i="28"/>
  <c r="B24" i="28"/>
  <c r="D24" i="28" s="1"/>
  <c r="F24" i="28"/>
  <c r="C24" i="28"/>
  <c r="D32" i="30"/>
  <c r="F32" i="30"/>
  <c r="B32" i="30"/>
  <c r="C32" i="30"/>
  <c r="D53" i="30"/>
  <c r="G53" i="30"/>
  <c r="B53" i="30"/>
  <c r="F53" i="30"/>
  <c r="E53" i="30"/>
  <c r="C53" i="30"/>
  <c r="B39" i="30"/>
  <c r="D39" i="30" s="1"/>
  <c r="C39" i="30"/>
  <c r="E39" i="30" s="1"/>
  <c r="G39" i="30" s="1"/>
  <c r="F39" i="30"/>
  <c r="D35" i="30"/>
  <c r="E35" i="30" s="1"/>
  <c r="G35" i="30" s="1"/>
  <c r="F35" i="30"/>
  <c r="C35" i="30"/>
  <c r="B35" i="30"/>
  <c r="F23" i="30"/>
  <c r="B23" i="30"/>
  <c r="D23" i="30" s="1"/>
  <c r="C23" i="30"/>
  <c r="F25" i="30"/>
  <c r="B25" i="30"/>
  <c r="D25" i="30" s="1"/>
  <c r="C25" i="30"/>
  <c r="B38" i="24"/>
  <c r="D38" i="24"/>
  <c r="C38" i="24"/>
  <c r="E38" i="24" s="1"/>
  <c r="G38" i="24" s="1"/>
  <c r="F38" i="24"/>
  <c r="D37" i="24"/>
  <c r="B37" i="24"/>
  <c r="C37" i="24"/>
  <c r="F37" i="24"/>
  <c r="E37" i="24"/>
  <c r="G37" i="24" s="1"/>
  <c r="G69" i="24"/>
  <c r="D69" i="24"/>
  <c r="C69" i="24"/>
  <c r="B69" i="24"/>
  <c r="E69" i="24"/>
  <c r="F69" i="24"/>
  <c r="G60" i="24"/>
  <c r="D60" i="24"/>
  <c r="F60" i="24"/>
  <c r="E60" i="24"/>
  <c r="C60" i="24"/>
  <c r="B60" i="24"/>
  <c r="D27" i="24"/>
  <c r="B27" i="24"/>
  <c r="F27" i="24"/>
  <c r="C27" i="24"/>
  <c r="E27" i="24" s="1"/>
  <c r="G27" i="24" s="1"/>
  <c r="D21" i="24"/>
  <c r="B21" i="24"/>
  <c r="F21" i="24"/>
  <c r="C21" i="24"/>
  <c r="C30" i="21"/>
  <c r="D30" i="21"/>
  <c r="D37" i="26"/>
  <c r="F37" i="26"/>
  <c r="B37" i="26"/>
  <c r="C37" i="26"/>
  <c r="E37" i="26" s="1"/>
  <c r="G37" i="26" s="1"/>
  <c r="G49" i="26"/>
  <c r="D49" i="26"/>
  <c r="B49" i="26"/>
  <c r="F49" i="26"/>
  <c r="E49" i="26"/>
  <c r="C49" i="26"/>
  <c r="D53" i="26"/>
  <c r="G53" i="26"/>
  <c r="B53" i="26"/>
  <c r="C53" i="26"/>
  <c r="F53" i="26"/>
  <c r="E53" i="26"/>
  <c r="D32" i="26"/>
  <c r="B32" i="26"/>
  <c r="F32" i="26"/>
  <c r="D30" i="26"/>
  <c r="F30" i="26"/>
  <c r="B30" i="26"/>
  <c r="B23" i="26"/>
  <c r="D23" i="26" s="1"/>
  <c r="E23" i="26" s="1"/>
  <c r="G23" i="26" s="1"/>
  <c r="F23" i="26"/>
  <c r="D58" i="28"/>
  <c r="G58" i="28"/>
  <c r="C58" i="28"/>
  <c r="F58" i="28"/>
  <c r="E58" i="28"/>
  <c r="B58" i="28"/>
  <c r="G42" i="28"/>
  <c r="D42" i="28"/>
  <c r="C42" i="28"/>
  <c r="B42" i="28"/>
  <c r="F42" i="28"/>
  <c r="E42" i="28"/>
  <c r="B39" i="28"/>
  <c r="D39" i="28" s="1"/>
  <c r="E39" i="28" s="1"/>
  <c r="G39" i="28" s="1"/>
  <c r="C39" i="28"/>
  <c r="F39" i="28"/>
  <c r="G55" i="30"/>
  <c r="D55" i="30"/>
  <c r="C55" i="30"/>
  <c r="B55" i="30"/>
  <c r="F55" i="30"/>
  <c r="E55" i="30"/>
  <c r="G41" i="30"/>
  <c r="D41" i="30"/>
  <c r="C41" i="30"/>
  <c r="B41" i="30"/>
  <c r="F41" i="30"/>
  <c r="E41" i="30"/>
  <c r="E40" i="30"/>
  <c r="C40" i="30"/>
  <c r="G40" i="30"/>
  <c r="D40" i="30"/>
  <c r="F40" i="30"/>
  <c r="B40" i="30"/>
  <c r="B39" i="24"/>
  <c r="D39" i="24" s="1"/>
  <c r="E39" i="24" s="1"/>
  <c r="G39" i="24" s="1"/>
  <c r="F39" i="24"/>
  <c r="C39" i="24"/>
  <c r="D22" i="24"/>
  <c r="B22" i="24"/>
  <c r="F22" i="24"/>
  <c r="C22" i="24"/>
  <c r="E22" i="24" s="1"/>
  <c r="G22" i="24" s="1"/>
  <c r="D49" i="24"/>
  <c r="G49" i="24"/>
  <c r="C49" i="24"/>
  <c r="B49" i="24"/>
  <c r="F49" i="24"/>
  <c r="E49" i="24"/>
  <c r="D47" i="24"/>
  <c r="G47" i="24"/>
  <c r="E47" i="24"/>
  <c r="B47" i="24"/>
  <c r="F47" i="24"/>
  <c r="C47" i="24"/>
  <c r="C28" i="21"/>
  <c r="D28" i="21"/>
  <c r="G68" i="26"/>
  <c r="D68" i="26"/>
  <c r="E68" i="26"/>
  <c r="C68" i="26"/>
  <c r="B68" i="26"/>
  <c r="F68" i="26"/>
  <c r="D21" i="26"/>
  <c r="E21" i="26" s="1"/>
  <c r="G21" i="26" s="1"/>
  <c r="F21" i="26"/>
  <c r="B21" i="26"/>
  <c r="B20" i="26"/>
  <c r="D20" i="26" s="1"/>
  <c r="F20" i="26"/>
  <c r="G42" i="26"/>
  <c r="D42" i="26"/>
  <c r="C42" i="26"/>
  <c r="B42" i="26"/>
  <c r="E42" i="26"/>
  <c r="F42" i="26"/>
  <c r="D43" i="26"/>
  <c r="G43" i="26"/>
  <c r="E43" i="26"/>
  <c r="F43" i="26"/>
  <c r="C43" i="26"/>
  <c r="B43" i="26"/>
  <c r="C43" i="24"/>
  <c r="D43" i="24"/>
  <c r="G43" i="24"/>
  <c r="F43" i="24"/>
  <c r="B43" i="24"/>
  <c r="E43" i="24"/>
  <c r="B39" i="21"/>
  <c r="D39" i="21" s="1"/>
  <c r="F39" i="21"/>
  <c r="E27" i="26"/>
  <c r="E26" i="26"/>
  <c r="G26" i="26" s="1"/>
  <c r="D44" i="28"/>
  <c r="G44" i="28"/>
  <c r="C44" i="28"/>
  <c r="F44" i="28"/>
  <c r="E44" i="28"/>
  <c r="B44" i="28"/>
  <c r="D23" i="28"/>
  <c r="F23" i="28"/>
  <c r="B23" i="28"/>
  <c r="C23" i="28"/>
  <c r="D67" i="28"/>
  <c r="G67" i="28"/>
  <c r="B67" i="28"/>
  <c r="E67" i="28"/>
  <c r="F67" i="28"/>
  <c r="C67" i="28"/>
  <c r="D51" i="28"/>
  <c r="G51" i="28"/>
  <c r="B51" i="28"/>
  <c r="E51" i="28"/>
  <c r="C51" i="28"/>
  <c r="F51" i="28"/>
  <c r="B32" i="28"/>
  <c r="D32" i="28" s="1"/>
  <c r="F32" i="28"/>
  <c r="C32" i="28"/>
  <c r="F38" i="28"/>
  <c r="C38" i="28"/>
  <c r="B38" i="28"/>
  <c r="D38" i="28" s="1"/>
  <c r="E38" i="28" s="1"/>
  <c r="G38" i="28" s="1"/>
  <c r="D30" i="30"/>
  <c r="F30" i="30"/>
  <c r="B30" i="30"/>
  <c r="C30" i="30"/>
  <c r="E30" i="30" s="1"/>
  <c r="G30" i="30" s="1"/>
  <c r="G47" i="30"/>
  <c r="D47" i="30"/>
  <c r="E47" i="30"/>
  <c r="C47" i="30"/>
  <c r="F47" i="30"/>
  <c r="B47" i="30"/>
  <c r="F20" i="30"/>
  <c r="B20" i="30"/>
  <c r="D20" i="30" s="1"/>
  <c r="C20" i="30"/>
  <c r="G42" i="30"/>
  <c r="E42" i="30"/>
  <c r="B42" i="30"/>
  <c r="D42" i="30"/>
  <c r="F42" i="30"/>
  <c r="C42" i="30"/>
  <c r="F51" i="30"/>
  <c r="C51" i="30"/>
  <c r="D51" i="30"/>
  <c r="B51" i="30"/>
  <c r="G51" i="30"/>
  <c r="E51" i="30"/>
  <c r="F29" i="30"/>
  <c r="D29" i="30"/>
  <c r="B29" i="30"/>
  <c r="C29" i="30"/>
  <c r="D35" i="24"/>
  <c r="F35" i="24"/>
  <c r="C35" i="24"/>
  <c r="E35" i="24" s="1"/>
  <c r="G35" i="24" s="1"/>
  <c r="B35" i="24"/>
  <c r="D29" i="24"/>
  <c r="B29" i="24"/>
  <c r="F29" i="24"/>
  <c r="C29" i="24"/>
  <c r="E29" i="24" s="1"/>
  <c r="G29" i="24" s="1"/>
  <c r="G62" i="24"/>
  <c r="D62" i="24"/>
  <c r="F62" i="24"/>
  <c r="E62" i="24"/>
  <c r="B62" i="24"/>
  <c r="C62" i="24"/>
  <c r="G56" i="24"/>
  <c r="D56" i="24"/>
  <c r="E56" i="24"/>
  <c r="F56" i="24"/>
  <c r="C56" i="24"/>
  <c r="B56" i="24"/>
  <c r="G53" i="24"/>
  <c r="D53" i="24"/>
  <c r="E53" i="24"/>
  <c r="C53" i="24"/>
  <c r="F53" i="24"/>
  <c r="B53" i="24"/>
  <c r="G50" i="24"/>
  <c r="D50" i="24"/>
  <c r="F50" i="24"/>
  <c r="E50" i="24"/>
  <c r="C50" i="24"/>
  <c r="B50" i="24"/>
  <c r="B41" i="24"/>
  <c r="D41" i="24"/>
  <c r="G41" i="24"/>
  <c r="C41" i="24"/>
  <c r="F41" i="24"/>
  <c r="E41" i="24"/>
  <c r="D44" i="26"/>
  <c r="G44" i="26"/>
  <c r="C44" i="26"/>
  <c r="E44" i="26"/>
  <c r="F44" i="26"/>
  <c r="B44" i="26"/>
  <c r="D27" i="26"/>
  <c r="B27" i="26"/>
  <c r="F27" i="26"/>
  <c r="G39" i="26"/>
  <c r="D39" i="26"/>
  <c r="C39" i="26"/>
  <c r="B39" i="26"/>
  <c r="E39" i="26"/>
  <c r="F39" i="26"/>
  <c r="C38" i="26"/>
  <c r="B38" i="26"/>
  <c r="D38" i="26" s="1"/>
  <c r="F38" i="26"/>
  <c r="B22" i="26"/>
  <c r="D22" i="26" s="1"/>
  <c r="E22" i="26" s="1"/>
  <c r="G22" i="26" s="1"/>
  <c r="F22" i="26"/>
  <c r="F31" i="26"/>
  <c r="D31" i="26"/>
  <c r="E31" i="26" s="1"/>
  <c r="G31" i="26" s="1"/>
  <c r="B31" i="26"/>
  <c r="G52" i="26"/>
  <c r="D52" i="26"/>
  <c r="E52" i="26"/>
  <c r="C52" i="26"/>
  <c r="B52" i="26"/>
  <c r="F52" i="26"/>
  <c r="E30" i="26"/>
  <c r="G30" i="26" s="1"/>
  <c r="G45" i="28"/>
  <c r="D45" i="28"/>
  <c r="F45" i="28"/>
  <c r="B45" i="28"/>
  <c r="E45" i="28"/>
  <c r="C45" i="28"/>
  <c r="D61" i="30"/>
  <c r="G61" i="30"/>
  <c r="E61" i="30"/>
  <c r="C61" i="30"/>
  <c r="B61" i="30"/>
  <c r="F61" i="30"/>
  <c r="D35" i="26"/>
  <c r="F35" i="26"/>
  <c r="C35" i="26"/>
  <c r="E35" i="26" s="1"/>
  <c r="G35" i="26" s="1"/>
  <c r="B35" i="26"/>
  <c r="D44" i="30"/>
  <c r="G44" i="30"/>
  <c r="B44" i="30"/>
  <c r="F44" i="30"/>
  <c r="E44" i="30"/>
  <c r="C44" i="30"/>
  <c r="F28" i="30"/>
  <c r="B28" i="30"/>
  <c r="D28" i="30" s="1"/>
  <c r="C28" i="30"/>
  <c r="D46" i="30"/>
  <c r="G46" i="30"/>
  <c r="C46" i="30"/>
  <c r="B46" i="30"/>
  <c r="F46" i="30"/>
  <c r="E46" i="30"/>
  <c r="B36" i="24"/>
  <c r="D36" i="24" s="1"/>
  <c r="F36" i="24"/>
  <c r="C36" i="24"/>
  <c r="E36" i="24" s="1"/>
  <c r="G36" i="24" s="1"/>
  <c r="C20" i="26"/>
  <c r="C31" i="28"/>
  <c r="F31" i="28"/>
  <c r="B31" i="28"/>
  <c r="D31" i="28" s="1"/>
  <c r="E31" i="28" s="1"/>
  <c r="G31" i="28" s="1"/>
  <c r="F35" i="28"/>
  <c r="B35" i="28"/>
  <c r="D35" i="28" s="1"/>
  <c r="C35" i="28"/>
  <c r="E35" i="28" s="1"/>
  <c r="G35" i="28" s="1"/>
  <c r="G52" i="28"/>
  <c r="D52" i="28"/>
  <c r="E52" i="28"/>
  <c r="B52" i="28"/>
  <c r="C52" i="28"/>
  <c r="F52" i="28"/>
  <c r="G48" i="28"/>
  <c r="D48" i="28"/>
  <c r="E48" i="28"/>
  <c r="F48" i="28"/>
  <c r="C48" i="28"/>
  <c r="B48" i="28"/>
  <c r="B36" i="28"/>
  <c r="D36" i="28" s="1"/>
  <c r="C36" i="28"/>
  <c r="F36" i="28"/>
  <c r="G54" i="28"/>
  <c r="D54" i="28"/>
  <c r="C54" i="28"/>
  <c r="B54" i="28"/>
  <c r="F54" i="28"/>
  <c r="E54" i="28"/>
  <c r="D63" i="28"/>
  <c r="G63" i="28"/>
  <c r="E63" i="28"/>
  <c r="B63" i="28"/>
  <c r="F63" i="28"/>
  <c r="C63" i="28"/>
  <c r="D63" i="30"/>
  <c r="G63" i="30"/>
  <c r="C63" i="30"/>
  <c r="B63" i="30"/>
  <c r="F63" i="30"/>
  <c r="E63" i="30"/>
  <c r="D24" i="30"/>
  <c r="F24" i="30"/>
  <c r="B24" i="30"/>
  <c r="C24" i="30"/>
  <c r="E24" i="30" s="1"/>
  <c r="G24" i="30" s="1"/>
  <c r="B67" i="30"/>
  <c r="D67" i="30"/>
  <c r="G67" i="30"/>
  <c r="C67" i="30"/>
  <c r="F67" i="30"/>
  <c r="E67" i="30"/>
  <c r="G49" i="30"/>
  <c r="D49" i="30"/>
  <c r="E49" i="30"/>
  <c r="C49" i="30"/>
  <c r="B49" i="30"/>
  <c r="F49" i="30"/>
  <c r="C43" i="30"/>
  <c r="D43" i="30"/>
  <c r="G43" i="30"/>
  <c r="F43" i="30"/>
  <c r="B43" i="30"/>
  <c r="E43" i="30"/>
  <c r="E48" i="30"/>
  <c r="G48" i="30"/>
  <c r="D48" i="30"/>
  <c r="F48" i="30"/>
  <c r="C48" i="30"/>
  <c r="B48" i="30"/>
  <c r="D28" i="24"/>
  <c r="B28" i="24"/>
  <c r="F28" i="24"/>
  <c r="C28" i="24"/>
  <c r="D40" i="24"/>
  <c r="G40" i="24"/>
  <c r="F40" i="24"/>
  <c r="B40" i="24"/>
  <c r="E40" i="24"/>
  <c r="C40" i="24"/>
  <c r="D44" i="24"/>
  <c r="G44" i="24"/>
  <c r="B44" i="24"/>
  <c r="C44" i="24"/>
  <c r="F44" i="24"/>
  <c r="E44" i="24"/>
  <c r="G46" i="24"/>
  <c r="D46" i="24"/>
  <c r="C46" i="24"/>
  <c r="B46" i="24"/>
  <c r="F46" i="24"/>
  <c r="E46" i="24"/>
  <c r="G68" i="24"/>
  <c r="D68" i="24"/>
  <c r="C68" i="24"/>
  <c r="E68" i="24"/>
  <c r="B68" i="24"/>
  <c r="F68" i="24"/>
  <c r="D23" i="24"/>
  <c r="F23" i="24"/>
  <c r="B23" i="24"/>
  <c r="C23" i="24"/>
  <c r="E23" i="24" s="1"/>
  <c r="G23" i="24" s="1"/>
  <c r="G52" i="24"/>
  <c r="D52" i="24"/>
  <c r="E52" i="24"/>
  <c r="C52" i="24"/>
  <c r="B52" i="24"/>
  <c r="F52" i="24"/>
  <c r="F36" i="26"/>
  <c r="B36" i="26"/>
  <c r="D36" i="26" s="1"/>
  <c r="C36" i="26"/>
  <c r="D29" i="26"/>
  <c r="E29" i="26" s="1"/>
  <c r="G29" i="26" s="1"/>
  <c r="F29" i="26"/>
  <c r="B29" i="26"/>
  <c r="G41" i="26"/>
  <c r="D41" i="26"/>
  <c r="B41" i="26"/>
  <c r="F41" i="26"/>
  <c r="E41" i="26"/>
  <c r="C41" i="26"/>
  <c r="F54" i="26"/>
  <c r="G54" i="26"/>
  <c r="D54" i="26"/>
  <c r="E54" i="26"/>
  <c r="C54" i="26"/>
  <c r="B54" i="26"/>
  <c r="B24" i="26"/>
  <c r="D24" i="26" s="1"/>
  <c r="E24" i="26" s="1"/>
  <c r="G24" i="26" s="1"/>
  <c r="F24" i="26"/>
  <c r="F33" i="26"/>
  <c r="B33" i="26"/>
  <c r="D33" i="26" s="1"/>
  <c r="E33" i="26" s="1"/>
  <c r="G33" i="26" s="1"/>
  <c r="D69" i="26"/>
  <c r="G69" i="26"/>
  <c r="B69" i="26"/>
  <c r="F69" i="26"/>
  <c r="C69" i="26"/>
  <c r="E69" i="26"/>
  <c r="A41" i="1"/>
  <c r="C41" i="1" s="1"/>
  <c r="A29" i="1"/>
  <c r="C29" i="1" s="1"/>
  <c r="A69" i="1"/>
  <c r="C69" i="1" s="1"/>
  <c r="A62" i="1"/>
  <c r="C62" i="1" s="1"/>
  <c r="A43" i="1"/>
  <c r="A39" i="1"/>
  <c r="C39" i="1" s="1"/>
  <c r="E43" i="1"/>
  <c r="A48" i="1"/>
  <c r="C48" i="1" s="1"/>
  <c r="A53" i="1"/>
  <c r="C53" i="1" s="1"/>
  <c r="A59" i="1"/>
  <c r="C59" i="1" s="1"/>
  <c r="A27" i="1"/>
  <c r="C27" i="1" s="1"/>
  <c r="A46" i="1"/>
  <c r="F46" i="1" s="1"/>
  <c r="A56" i="1"/>
  <c r="C56" i="1" s="1"/>
  <c r="A61" i="1"/>
  <c r="C61" i="1" s="1"/>
  <c r="A32" i="1"/>
  <c r="A38" i="1"/>
  <c r="A37" i="1"/>
  <c r="C37" i="1" s="1"/>
  <c r="A66" i="1"/>
  <c r="A47" i="1"/>
  <c r="F47" i="1" s="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C26" i="1" s="1"/>
  <c r="A54" i="1"/>
  <c r="E54" i="1" s="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C25" i="1" s="1"/>
  <c r="A60" i="1"/>
  <c r="E60" i="1" s="1"/>
  <c r="A28" i="1"/>
  <c r="C28" i="1" s="1"/>
  <c r="A57" i="1"/>
  <c r="C57" i="1" s="1"/>
  <c r="A63" i="1"/>
  <c r="C63" i="1" s="1"/>
  <c r="A68" i="1"/>
  <c r="F68" i="1" s="1"/>
  <c r="A42" i="1"/>
  <c r="C42" i="1" s="1"/>
  <c r="A55" i="1"/>
  <c r="C55" i="1" s="1"/>
  <c r="A36" i="1"/>
  <c r="A20" i="1"/>
  <c r="C20" i="1" s="1"/>
  <c r="A65" i="1"/>
  <c r="A31" i="1"/>
  <c r="B31" i="1" s="1"/>
  <c r="A35" i="1"/>
  <c r="F35" i="1" s="1"/>
  <c r="A45" i="1"/>
  <c r="A23" i="1"/>
  <c r="F23" i="1" s="1"/>
  <c r="A52" i="1"/>
  <c r="C52" i="1" s="1"/>
  <c r="A64" i="1"/>
  <c r="C64" i="1" s="1"/>
  <c r="A30" i="1"/>
  <c r="C30" i="1" s="1"/>
  <c r="A67" i="1"/>
  <c r="B67" i="1" s="1"/>
  <c r="A51" i="1"/>
  <c r="A58" i="1"/>
  <c r="A50" i="1"/>
  <c r="B50" i="1" s="1"/>
  <c r="A22" i="1"/>
  <c r="C22" i="1" s="1"/>
  <c r="A40" i="1"/>
  <c r="C40" i="1" s="1"/>
  <c r="A49" i="1"/>
  <c r="C49" i="1" s="1"/>
  <c r="A21" i="1"/>
  <c r="C21" i="1" s="1"/>
  <c r="A44" i="1"/>
  <c r="B44" i="1" s="1"/>
  <c r="A34" i="1"/>
  <c r="B34" i="1" s="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B46" i="1"/>
  <c r="C58" i="1"/>
  <c r="B24" i="1"/>
  <c r="E24" i="1" s="1"/>
  <c r="G24" i="1" s="1"/>
  <c r="C35" i="1"/>
  <c r="F24" i="1"/>
  <c r="F36" i="1"/>
  <c r="C36" i="1"/>
  <c r="F21" i="1"/>
  <c r="F60" i="1"/>
  <c r="C60" i="1"/>
  <c r="C43" i="1"/>
  <c r="E25" i="21"/>
  <c r="G25" i="21" s="1"/>
  <c r="E32" i="21"/>
  <c r="G32" i="21" s="1"/>
  <c r="E22" i="21"/>
  <c r="G22" i="21" s="1"/>
  <c r="E30" i="21"/>
  <c r="G30" i="21" s="1"/>
  <c r="E28" i="21"/>
  <c r="G28" i="21" s="1"/>
  <c r="E21" i="21"/>
  <c r="G21" i="21" s="1"/>
  <c r="E29" i="21"/>
  <c r="G29" i="21" s="1"/>
  <c r="E33" i="21"/>
  <c r="G33" i="21" s="1"/>
  <c r="E23" i="21"/>
  <c r="G23" i="21" s="1"/>
  <c r="E27" i="21"/>
  <c r="G27" i="21" s="1"/>
  <c r="E26" i="21"/>
  <c r="G26" i="21" s="1"/>
  <c r="E31" i="21"/>
  <c r="G31" i="21" s="1"/>
  <c r="E20" i="21"/>
  <c r="G20" i="21" s="1"/>
  <c r="E34" i="21"/>
  <c r="G34" i="21" s="1"/>
  <c r="E24" i="21"/>
  <c r="G24" i="21" s="1"/>
  <c r="F56" i="1"/>
  <c r="B56" i="1"/>
  <c r="B33" i="1"/>
  <c r="E33" i="1" s="1"/>
  <c r="G33" i="1" s="1"/>
  <c r="E62" i="1"/>
  <c r="E41" i="1"/>
  <c r="B41" i="1"/>
  <c r="F37" i="1"/>
  <c r="B37" i="1"/>
  <c r="E37" i="1"/>
  <c r="B30" i="1"/>
  <c r="B49" i="1"/>
  <c r="B48" i="1"/>
  <c r="E48" i="1"/>
  <c r="B27" i="1"/>
  <c r="E53" i="1"/>
  <c r="B53" i="1"/>
  <c r="E39" i="1"/>
  <c r="E59" i="1"/>
  <c r="B58" i="1"/>
  <c r="E58" i="1"/>
  <c r="B36" i="1"/>
  <c r="E36" i="1"/>
  <c r="F29" i="1"/>
  <c r="F63" i="1"/>
  <c r="E63" i="1"/>
  <c r="B63" i="1"/>
  <c r="B57" i="1"/>
  <c r="F58" i="1"/>
  <c r="F64" i="1"/>
  <c r="E64" i="1"/>
  <c r="B69" i="1"/>
  <c r="E69" i="1"/>
  <c r="F62" i="1"/>
  <c r="F49" i="1"/>
  <c r="F67" i="1"/>
  <c r="F41" i="1"/>
  <c r="F48" i="1"/>
  <c r="F53" i="1"/>
  <c r="F22" i="1"/>
  <c r="F69" i="1"/>
  <c r="F33" i="1"/>
  <c r="E38" i="26" l="1"/>
  <c r="G38" i="26" s="1"/>
  <c r="E36" i="26"/>
  <c r="G36" i="26" s="1"/>
  <c r="E36" i="28"/>
  <c r="G36" i="28" s="1"/>
  <c r="E39" i="21"/>
  <c r="G39" i="21" s="1"/>
  <c r="G71" i="21" s="1"/>
  <c r="B40" i="3" s="1"/>
  <c r="E29" i="30"/>
  <c r="G29" i="30" s="1"/>
  <c r="E20" i="30"/>
  <c r="E24" i="28"/>
  <c r="G24" i="28" s="1"/>
  <c r="E30" i="24"/>
  <c r="G30" i="24" s="1"/>
  <c r="E20" i="28"/>
  <c r="E28" i="30"/>
  <c r="G28" i="30" s="1"/>
  <c r="E32" i="24"/>
  <c r="G32" i="24" s="1"/>
  <c r="E26" i="24"/>
  <c r="G26" i="24" s="1"/>
  <c r="E31" i="24"/>
  <c r="G31" i="24" s="1"/>
  <c r="E21" i="24"/>
  <c r="G21" i="24" s="1"/>
  <c r="E25" i="30"/>
  <c r="G25" i="30" s="1"/>
  <c r="E27" i="28"/>
  <c r="G27" i="28" s="1"/>
  <c r="E25" i="24"/>
  <c r="G25" i="24" s="1"/>
  <c r="E20" i="24"/>
  <c r="E31" i="30"/>
  <c r="G31" i="30" s="1"/>
  <c r="E28" i="24"/>
  <c r="G28" i="24" s="1"/>
  <c r="E21" i="28"/>
  <c r="G21" i="28" s="1"/>
  <c r="E25" i="28"/>
  <c r="G25" i="28" s="1"/>
  <c r="E21" i="30"/>
  <c r="G21" i="30" s="1"/>
  <c r="E34" i="30"/>
  <c r="G34" i="30" s="1"/>
  <c r="E23" i="30"/>
  <c r="G23" i="30" s="1"/>
  <c r="E20" i="26"/>
  <c r="E32" i="28"/>
  <c r="G32" i="28" s="1"/>
  <c r="E23" i="28"/>
  <c r="G23" i="28" s="1"/>
  <c r="E32" i="30"/>
  <c r="G32" i="30" s="1"/>
  <c r="E22" i="30"/>
  <c r="G22" i="30" s="1"/>
  <c r="E28" i="28"/>
  <c r="G28" i="28" s="1"/>
  <c r="E27" i="30"/>
  <c r="G27" i="30" s="1"/>
  <c r="G27" i="26"/>
  <c r="E33" i="28"/>
  <c r="G33" i="28" s="1"/>
  <c r="E34" i="24"/>
  <c r="G34" i="24" s="1"/>
  <c r="E33" i="30"/>
  <c r="G33" i="30" s="1"/>
  <c r="E30" i="28"/>
  <c r="G30" i="28" s="1"/>
  <c r="E24" i="24"/>
  <c r="G24" i="24" s="1"/>
  <c r="B59" i="1"/>
  <c r="F66" i="1"/>
  <c r="E46" i="1"/>
  <c r="F27" i="1"/>
  <c r="B29" i="1"/>
  <c r="E66" i="1"/>
  <c r="C68" i="1"/>
  <c r="B62" i="1"/>
  <c r="E45" i="1"/>
  <c r="C66" i="1"/>
  <c r="C45" i="1"/>
  <c r="F59" i="1"/>
  <c r="B21" i="1"/>
  <c r="F45" i="1"/>
  <c r="C67" i="1"/>
  <c r="E50" i="1"/>
  <c r="E68" i="1"/>
  <c r="B68" i="1"/>
  <c r="F20" i="1"/>
  <c r="B54" i="1"/>
  <c r="E67" i="1"/>
  <c r="F39" i="1"/>
  <c r="F44" i="1"/>
  <c r="B60" i="1"/>
  <c r="C31" i="1"/>
  <c r="E31" i="1" s="1"/>
  <c r="G31" i="1" s="1"/>
  <c r="E44" i="1"/>
  <c r="B65" i="1"/>
  <c r="B20" i="1"/>
  <c r="F28" i="1"/>
  <c r="F30" i="1"/>
  <c r="F43" i="1"/>
  <c r="F57" i="1"/>
  <c r="E65" i="1"/>
  <c r="E51" i="1"/>
  <c r="B61" i="1"/>
  <c r="B26" i="1"/>
  <c r="B43" i="1"/>
  <c r="F31" i="1"/>
  <c r="C65" i="1"/>
  <c r="B39" i="1"/>
  <c r="B28" i="1"/>
  <c r="B64" i="1"/>
  <c r="E57" i="1"/>
  <c r="F26" i="1"/>
  <c r="E49" i="1"/>
  <c r="E56" i="1"/>
  <c r="F65" i="1"/>
  <c r="F61" i="1"/>
  <c r="B25" i="1"/>
  <c r="B51" i="1"/>
  <c r="F51" i="1"/>
  <c r="C46" i="1"/>
  <c r="C44" i="1"/>
  <c r="E61" i="1"/>
  <c r="C51" i="1"/>
  <c r="E40" i="1"/>
  <c r="F33" i="25"/>
  <c r="B33" i="25"/>
  <c r="C33" i="25"/>
  <c r="C46" i="25"/>
  <c r="B46" i="25"/>
  <c r="E46" i="25"/>
  <c r="F46" i="25"/>
  <c r="E55" i="25"/>
  <c r="F55" i="25"/>
  <c r="B55" i="25"/>
  <c r="C55" i="25"/>
  <c r="B20" i="27"/>
  <c r="F20" i="27"/>
  <c r="C20" i="27"/>
  <c r="F33" i="27"/>
  <c r="B33" i="27"/>
  <c r="C33" i="27"/>
  <c r="E47" i="27"/>
  <c r="C47" i="27"/>
  <c r="B47" i="27"/>
  <c r="F47" i="27"/>
  <c r="F30" i="29"/>
  <c r="B30" i="29"/>
  <c r="C30" i="29"/>
  <c r="B21" i="29"/>
  <c r="F21" i="29"/>
  <c r="C21" i="29"/>
  <c r="F36" i="29"/>
  <c r="E36" i="29"/>
  <c r="C36" i="29"/>
  <c r="B36" i="29"/>
  <c r="B29" i="23"/>
  <c r="F29" i="23"/>
  <c r="C29" i="23"/>
  <c r="F41" i="23"/>
  <c r="C41" i="23"/>
  <c r="E41" i="23"/>
  <c r="B41" i="23"/>
  <c r="F37" i="23"/>
  <c r="C37" i="23"/>
  <c r="E37" i="23"/>
  <c r="B37" i="23"/>
  <c r="E48" i="25"/>
  <c r="C48" i="25"/>
  <c r="B48" i="25"/>
  <c r="F48" i="25"/>
  <c r="B28" i="27"/>
  <c r="F28" i="27"/>
  <c r="C28" i="27"/>
  <c r="B22" i="27"/>
  <c r="F22" i="27"/>
  <c r="C22" i="27"/>
  <c r="F69" i="27"/>
  <c r="E69" i="27"/>
  <c r="C69" i="27"/>
  <c r="B69" i="27"/>
  <c r="E55" i="27"/>
  <c r="C55" i="27"/>
  <c r="B55" i="27"/>
  <c r="F55" i="27"/>
  <c r="E48" i="29"/>
  <c r="C48" i="29"/>
  <c r="B48" i="29"/>
  <c r="F48" i="29"/>
  <c r="F44" i="29"/>
  <c r="E44" i="29"/>
  <c r="C44" i="29"/>
  <c r="B44" i="29"/>
  <c r="E40" i="23"/>
  <c r="F40" i="23"/>
  <c r="C40" i="23"/>
  <c r="B40" i="23"/>
  <c r="C34" i="23"/>
  <c r="B34" i="23"/>
  <c r="F34" i="23"/>
  <c r="B39" i="23"/>
  <c r="C39" i="23"/>
  <c r="E39" i="23"/>
  <c r="F39" i="23"/>
  <c r="C37" i="25"/>
  <c r="B37" i="25"/>
  <c r="E37" i="25"/>
  <c r="F37" i="25"/>
  <c r="C51" i="25"/>
  <c r="F51" i="25"/>
  <c r="E51" i="25"/>
  <c r="B51" i="25"/>
  <c r="F25" i="25"/>
  <c r="B25" i="25"/>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C21" i="27"/>
  <c r="C35" i="27"/>
  <c r="F35" i="27"/>
  <c r="E35" i="27"/>
  <c r="B35" i="27"/>
  <c r="F63" i="27"/>
  <c r="E63" i="27"/>
  <c r="C63" i="27"/>
  <c r="B63" i="27"/>
  <c r="F34" i="29"/>
  <c r="C34" i="29"/>
  <c r="B34" i="29"/>
  <c r="E56" i="29"/>
  <c r="C56" i="29"/>
  <c r="B56" i="29"/>
  <c r="F56" i="29"/>
  <c r="F52" i="29"/>
  <c r="E52" i="29"/>
  <c r="C52" i="29"/>
  <c r="B52" i="29"/>
  <c r="B43" i="23"/>
  <c r="E43" i="23"/>
  <c r="C43" i="23"/>
  <c r="F43" i="23"/>
  <c r="B31" i="23"/>
  <c r="F31" i="23"/>
  <c r="C31" i="23"/>
  <c r="F66" i="23"/>
  <c r="C66" i="23"/>
  <c r="B66" i="23"/>
  <c r="E66" i="23"/>
  <c r="E69" i="23"/>
  <c r="F69" i="23"/>
  <c r="C69" i="23"/>
  <c r="B69" i="23"/>
  <c r="B26" i="23"/>
  <c r="F26" i="23"/>
  <c r="C26" i="23"/>
  <c r="E52" i="1"/>
  <c r="B42" i="1"/>
  <c r="C23" i="1"/>
  <c r="B44" i="25"/>
  <c r="F44" i="25"/>
  <c r="C44" i="25"/>
  <c r="E44" i="25"/>
  <c r="C34" i="25"/>
  <c r="B34" i="25"/>
  <c r="F34" i="25"/>
  <c r="F39" i="25"/>
  <c r="E39" i="25"/>
  <c r="B39" i="25"/>
  <c r="C39" i="25"/>
  <c r="B20" i="25"/>
  <c r="F20" i="25"/>
  <c r="C20" i="25"/>
  <c r="B32" i="25"/>
  <c r="F32" i="25"/>
  <c r="C32" i="25"/>
  <c r="F59" i="25"/>
  <c r="E59" i="25"/>
  <c r="C59" i="25"/>
  <c r="B59" i="25"/>
  <c r="C34" i="1"/>
  <c r="F34" i="1"/>
  <c r="B35" i="1"/>
  <c r="E35" i="1"/>
  <c r="B30" i="27"/>
  <c r="F30" i="27"/>
  <c r="C30" i="27"/>
  <c r="B32" i="27"/>
  <c r="F32" i="27"/>
  <c r="C32" i="27"/>
  <c r="F23" i="27"/>
  <c r="B23" i="27"/>
  <c r="C23" i="27"/>
  <c r="F54" i="27"/>
  <c r="B54" i="27"/>
  <c r="E54" i="27"/>
  <c r="C54" i="27"/>
  <c r="E43" i="27"/>
  <c r="C43" i="27"/>
  <c r="F43" i="27"/>
  <c r="B43" i="27"/>
  <c r="C65" i="27"/>
  <c r="B65" i="27"/>
  <c r="E65" i="27"/>
  <c r="F65" i="27"/>
  <c r="F57" i="29"/>
  <c r="E57" i="29"/>
  <c r="C57" i="29"/>
  <c r="B57" i="29"/>
  <c r="F20" i="29"/>
  <c r="B20" i="29"/>
  <c r="C20" i="29"/>
  <c r="F42" i="29"/>
  <c r="E42" i="29"/>
  <c r="C42" i="29"/>
  <c r="B42" i="29"/>
  <c r="E64" i="29"/>
  <c r="C64" i="29"/>
  <c r="B64" i="29"/>
  <c r="F64" i="29"/>
  <c r="B27" i="29"/>
  <c r="F27" i="29"/>
  <c r="C27" i="29"/>
  <c r="B37" i="29"/>
  <c r="F37" i="29"/>
  <c r="C37" i="29"/>
  <c r="E37" i="29"/>
  <c r="F60" i="29"/>
  <c r="E60" i="29"/>
  <c r="C60" i="29"/>
  <c r="B60" i="29"/>
  <c r="B59" i="23"/>
  <c r="F59" i="23"/>
  <c r="E59" i="23"/>
  <c r="C59" i="23"/>
  <c r="E64" i="23"/>
  <c r="B64" i="23"/>
  <c r="C64" i="23"/>
  <c r="F64" i="23"/>
  <c r="C53" i="23"/>
  <c r="E53" i="23"/>
  <c r="B53" i="23"/>
  <c r="F53" i="23"/>
  <c r="B21" i="23"/>
  <c r="F21" i="23"/>
  <c r="C21" i="23"/>
  <c r="B68" i="23"/>
  <c r="C68" i="23"/>
  <c r="F68" i="23"/>
  <c r="E68" i="23"/>
  <c r="C42" i="23"/>
  <c r="B42" i="23"/>
  <c r="E42" i="23"/>
  <c r="F42" i="23"/>
  <c r="F43" i="25"/>
  <c r="E43" i="25"/>
  <c r="B43" i="25"/>
  <c r="C43" i="25"/>
  <c r="F27" i="25"/>
  <c r="B27" i="25"/>
  <c r="C27" i="25"/>
  <c r="F54" i="25"/>
  <c r="C54" i="25"/>
  <c r="B54" i="25"/>
  <c r="E54" i="25"/>
  <c r="B35" i="25"/>
  <c r="F35" i="25"/>
  <c r="E35" i="25"/>
  <c r="C35" i="25"/>
  <c r="C64" i="25"/>
  <c r="E64" i="25"/>
  <c r="B64" i="25"/>
  <c r="F64" i="25"/>
  <c r="B26" i="27"/>
  <c r="F26" i="27"/>
  <c r="C26" i="27"/>
  <c r="F38" i="27"/>
  <c r="B38" i="27"/>
  <c r="E38" i="27"/>
  <c r="C38" i="27"/>
  <c r="C49" i="27"/>
  <c r="B49" i="27"/>
  <c r="E49" i="27"/>
  <c r="F49" i="27"/>
  <c r="F59" i="29"/>
  <c r="E59" i="29"/>
  <c r="B59" i="29"/>
  <c r="C59" i="29"/>
  <c r="F32" i="29"/>
  <c r="B32" i="29"/>
  <c r="C32" i="29"/>
  <c r="B23" i="29"/>
  <c r="F23" i="29"/>
  <c r="C23" i="29"/>
  <c r="C54" i="29"/>
  <c r="B54" i="29"/>
  <c r="E54" i="29"/>
  <c r="F54" i="29"/>
  <c r="F25" i="23"/>
  <c r="B25" i="23"/>
  <c r="C25" i="23"/>
  <c r="F62" i="23"/>
  <c r="E62" i="23"/>
  <c r="C62" i="23"/>
  <c r="B62" i="23"/>
  <c r="F28" i="23"/>
  <c r="B28" i="23"/>
  <c r="C28" i="23"/>
  <c r="B52" i="1"/>
  <c r="F57" i="25"/>
  <c r="E57" i="25"/>
  <c r="C57" i="25"/>
  <c r="B57" i="25"/>
  <c r="F49" i="25"/>
  <c r="E49" i="25"/>
  <c r="C49" i="25"/>
  <c r="B49" i="25"/>
  <c r="C26" i="25"/>
  <c r="B26" i="25"/>
  <c r="F26" i="25"/>
  <c r="B47" i="25"/>
  <c r="E47" i="25"/>
  <c r="C47" i="25"/>
  <c r="F47" i="25"/>
  <c r="F46" i="27"/>
  <c r="B46" i="27"/>
  <c r="E46" i="27"/>
  <c r="C46" i="27"/>
  <c r="C57" i="27"/>
  <c r="B57" i="27"/>
  <c r="E57" i="27"/>
  <c r="F57" i="27"/>
  <c r="F67" i="29"/>
  <c r="E67" i="29"/>
  <c r="C67" i="29"/>
  <c r="B67" i="29"/>
  <c r="B25" i="29"/>
  <c r="F25" i="29"/>
  <c r="C25" i="29"/>
  <c r="E36" i="23"/>
  <c r="C36" i="23"/>
  <c r="B36" i="23"/>
  <c r="F36" i="23"/>
  <c r="F55" i="1"/>
  <c r="E42" i="1"/>
  <c r="B47" i="1"/>
  <c r="B23" i="1"/>
  <c r="C50" i="1"/>
  <c r="F41" i="25"/>
  <c r="C41" i="25"/>
  <c r="B41" i="25"/>
  <c r="E41" i="25"/>
  <c r="F42" i="25"/>
  <c r="C42" i="25"/>
  <c r="B42" i="25"/>
  <c r="E42" i="25"/>
  <c r="C36" i="25"/>
  <c r="B36" i="25"/>
  <c r="F36" i="25"/>
  <c r="E36" i="25"/>
  <c r="F63" i="25"/>
  <c r="E63" i="25"/>
  <c r="B63" i="25"/>
  <c r="C63" i="25"/>
  <c r="F29" i="25"/>
  <c r="B29" i="25"/>
  <c r="C29" i="25"/>
  <c r="B50" i="25"/>
  <c r="F50" i="25"/>
  <c r="E50" i="25"/>
  <c r="C50" i="25"/>
  <c r="C34" i="27"/>
  <c r="B34" i="27"/>
  <c r="F34" i="27"/>
  <c r="E36" i="27"/>
  <c r="B36" i="27"/>
  <c r="C36" i="27"/>
  <c r="F36" i="27"/>
  <c r="F25" i="27"/>
  <c r="B25" i="27"/>
  <c r="C25" i="27"/>
  <c r="F62" i="27"/>
  <c r="E62" i="27"/>
  <c r="B62" i="27"/>
  <c r="C62" i="27"/>
  <c r="E51" i="27"/>
  <c r="C51" i="27"/>
  <c r="F51" i="27"/>
  <c r="B51" i="27"/>
  <c r="F40" i="27"/>
  <c r="C40" i="27"/>
  <c r="B40" i="27"/>
  <c r="E40" i="27"/>
  <c r="F49" i="29"/>
  <c r="E49" i="29"/>
  <c r="C49" i="29"/>
  <c r="B49" i="29"/>
  <c r="F22" i="29"/>
  <c r="B22" i="29"/>
  <c r="C22" i="29"/>
  <c r="F50" i="29"/>
  <c r="E50" i="29"/>
  <c r="C50" i="29"/>
  <c r="B50" i="29"/>
  <c r="C39" i="29"/>
  <c r="B39" i="29"/>
  <c r="F39" i="29"/>
  <c r="E39" i="29"/>
  <c r="B29" i="29"/>
  <c r="F29" i="29"/>
  <c r="C29" i="29"/>
  <c r="B45" i="29"/>
  <c r="F45" i="29"/>
  <c r="C45" i="29"/>
  <c r="E45" i="29"/>
  <c r="F68" i="29"/>
  <c r="E68" i="29"/>
  <c r="C68" i="29"/>
  <c r="B68" i="29"/>
  <c r="B51" i="23"/>
  <c r="C51" i="23"/>
  <c r="F51" i="23"/>
  <c r="E51" i="23"/>
  <c r="F32" i="23"/>
  <c r="B32" i="23"/>
  <c r="C32" i="23"/>
  <c r="E46" i="23"/>
  <c r="F46" i="23"/>
  <c r="C46" i="23"/>
  <c r="B46" i="23"/>
  <c r="E54" i="23"/>
  <c r="F54" i="23"/>
  <c r="C54" i="23"/>
  <c r="B54" i="23"/>
  <c r="B27" i="23"/>
  <c r="F27" i="23"/>
  <c r="C27" i="23"/>
  <c r="B45" i="23"/>
  <c r="C45" i="23"/>
  <c r="F45" i="23"/>
  <c r="E45" i="23"/>
  <c r="B66" i="1"/>
  <c r="F50" i="1"/>
  <c r="C47" i="1"/>
  <c r="C31" i="25"/>
  <c r="F31" i="25"/>
  <c r="B31" i="25"/>
  <c r="F28" i="25"/>
  <c r="C28" i="25"/>
  <c r="B28" i="25"/>
  <c r="B69" i="25"/>
  <c r="C69" i="25"/>
  <c r="F69" i="25"/>
  <c r="E69" i="25"/>
  <c r="F60" i="25"/>
  <c r="E60" i="25"/>
  <c r="B60" i="25"/>
  <c r="C60" i="25"/>
  <c r="B22" i="25"/>
  <c r="F22" i="25"/>
  <c r="C22" i="25"/>
  <c r="E67" i="25"/>
  <c r="B67" i="25"/>
  <c r="F67" i="25"/>
  <c r="C67" i="25"/>
  <c r="F44" i="27"/>
  <c r="E44" i="27"/>
  <c r="B44" i="27"/>
  <c r="C44" i="27"/>
  <c r="E39" i="27"/>
  <c r="C39" i="27"/>
  <c r="B39" i="27"/>
  <c r="F39" i="27"/>
  <c r="F27" i="27"/>
  <c r="B27" i="27"/>
  <c r="C27" i="27"/>
  <c r="F37" i="27"/>
  <c r="E37" i="27"/>
  <c r="C37" i="27"/>
  <c r="B37" i="27"/>
  <c r="E59" i="27"/>
  <c r="C59" i="27"/>
  <c r="F59" i="27"/>
  <c r="B59" i="27"/>
  <c r="B48" i="27"/>
  <c r="F48" i="27"/>
  <c r="C48" i="27"/>
  <c r="E48" i="27"/>
  <c r="F41" i="29"/>
  <c r="E41" i="29"/>
  <c r="C41" i="29"/>
  <c r="B41" i="29"/>
  <c r="F24" i="29"/>
  <c r="B24" i="29"/>
  <c r="C24" i="29"/>
  <c r="F58" i="29"/>
  <c r="E58" i="29"/>
  <c r="C58" i="29"/>
  <c r="B58" i="29"/>
  <c r="C47" i="29"/>
  <c r="B47" i="29"/>
  <c r="F47" i="29"/>
  <c r="E47" i="29"/>
  <c r="B31" i="29"/>
  <c r="F31" i="29"/>
  <c r="C31" i="29"/>
  <c r="B53" i="29"/>
  <c r="F53" i="29"/>
  <c r="C53" i="29"/>
  <c r="E53" i="29"/>
  <c r="C54" i="1"/>
  <c r="F54" i="1"/>
  <c r="B48" i="23"/>
  <c r="C48" i="23"/>
  <c r="F48" i="23"/>
  <c r="E48" i="23"/>
  <c r="E63" i="23"/>
  <c r="F63" i="23"/>
  <c r="B63" i="23"/>
  <c r="C63" i="23"/>
  <c r="B22" i="23"/>
  <c r="F22" i="23"/>
  <c r="C22" i="23"/>
  <c r="F30" i="23"/>
  <c r="B30" i="23"/>
  <c r="C30" i="23"/>
  <c r="B24" i="23"/>
  <c r="F24" i="23"/>
  <c r="C24" i="23"/>
  <c r="F47" i="23"/>
  <c r="C47" i="23"/>
  <c r="E47" i="23"/>
  <c r="B47" i="23"/>
  <c r="E47" i="1"/>
  <c r="F68" i="25"/>
  <c r="C68" i="25"/>
  <c r="E68" i="25"/>
  <c r="B68" i="25"/>
  <c r="B56" i="25"/>
  <c r="C56" i="25"/>
  <c r="F56" i="25"/>
  <c r="E56" i="25"/>
  <c r="C40" i="25"/>
  <c r="F40" i="25"/>
  <c r="E40" i="25"/>
  <c r="B40" i="25"/>
  <c r="F21" i="25"/>
  <c r="B21" i="25"/>
  <c r="C21" i="25"/>
  <c r="C52" i="25"/>
  <c r="B52" i="25"/>
  <c r="F52" i="25"/>
  <c r="E52" i="25"/>
  <c r="F62" i="25"/>
  <c r="C62" i="25"/>
  <c r="E62" i="25"/>
  <c r="B62" i="25"/>
  <c r="B24" i="27"/>
  <c r="F24" i="27"/>
  <c r="C24" i="27"/>
  <c r="C42" i="27"/>
  <c r="B42" i="27"/>
  <c r="F42" i="27"/>
  <c r="E42" i="27"/>
  <c r="F29" i="27"/>
  <c r="B29" i="27"/>
  <c r="C29" i="27"/>
  <c r="F45" i="27"/>
  <c r="E45" i="27"/>
  <c r="C45" i="27"/>
  <c r="B45" i="27"/>
  <c r="E67" i="27"/>
  <c r="C67" i="27"/>
  <c r="B67" i="27"/>
  <c r="F67" i="27"/>
  <c r="B56" i="27"/>
  <c r="F56" i="27"/>
  <c r="C56" i="27"/>
  <c r="E56" i="27"/>
  <c r="F35" i="29"/>
  <c r="E35" i="29"/>
  <c r="B35" i="29"/>
  <c r="C35" i="29"/>
  <c r="F26" i="29"/>
  <c r="B26" i="29"/>
  <c r="C26" i="29"/>
  <c r="F66" i="29"/>
  <c r="E66" i="29"/>
  <c r="C66" i="29"/>
  <c r="B66" i="29"/>
  <c r="C55" i="29"/>
  <c r="B55" i="29"/>
  <c r="F55" i="29"/>
  <c r="E55" i="29"/>
  <c r="B33" i="29"/>
  <c r="F33" i="29"/>
  <c r="C33" i="29"/>
  <c r="B61" i="29"/>
  <c r="F61" i="29"/>
  <c r="E61" i="29"/>
  <c r="C61" i="29"/>
  <c r="F23" i="23"/>
  <c r="B23" i="23"/>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F24" i="25"/>
  <c r="B45" i="25"/>
  <c r="F45" i="25"/>
  <c r="E45" i="25"/>
  <c r="C45" i="25"/>
  <c r="C50" i="27"/>
  <c r="B50" i="27"/>
  <c r="F50" i="27"/>
  <c r="E50" i="27"/>
  <c r="C62" i="29"/>
  <c r="B62" i="29"/>
  <c r="F62" i="29"/>
  <c r="E62" i="29"/>
  <c r="F52" i="1"/>
  <c r="F40" i="1"/>
  <c r="E55" i="1"/>
  <c r="F25" i="1"/>
  <c r="B55" i="1"/>
  <c r="F42" i="1"/>
  <c r="B22" i="1"/>
  <c r="E22" i="1" s="1"/>
  <c r="G22" i="1" s="1"/>
  <c r="B40" i="1"/>
  <c r="B45" i="1"/>
  <c r="F23" i="25"/>
  <c r="B23" i="25"/>
  <c r="C23" i="25"/>
  <c r="F53" i="25"/>
  <c r="E53" i="25"/>
  <c r="C53" i="25"/>
  <c r="B53" i="25"/>
  <c r="F61" i="25"/>
  <c r="E61" i="25"/>
  <c r="C61" i="25"/>
  <c r="B61" i="25"/>
  <c r="F65" i="25"/>
  <c r="E65" i="25"/>
  <c r="B65" i="25"/>
  <c r="C65" i="25"/>
  <c r="F58" i="25"/>
  <c r="E58" i="25"/>
  <c r="B58" i="25"/>
  <c r="C58" i="25"/>
  <c r="F30" i="25"/>
  <c r="B30" i="25"/>
  <c r="C30" i="25"/>
  <c r="C58" i="27"/>
  <c r="B58" i="27"/>
  <c r="F58" i="27"/>
  <c r="E58" i="27"/>
  <c r="F60" i="27"/>
  <c r="E60" i="27"/>
  <c r="B60" i="27"/>
  <c r="C60" i="27"/>
  <c r="F31" i="27"/>
  <c r="B31" i="27"/>
  <c r="C31" i="27"/>
  <c r="F53" i="27"/>
  <c r="E53" i="27"/>
  <c r="C53" i="27"/>
  <c r="B53" i="27"/>
  <c r="C66" i="27"/>
  <c r="B66" i="27"/>
  <c r="F66" i="27"/>
  <c r="E66" i="27"/>
  <c r="F64" i="27"/>
  <c r="B64" i="27"/>
  <c r="C64" i="27"/>
  <c r="E64" i="27"/>
  <c r="F43" i="29"/>
  <c r="E43" i="29"/>
  <c r="B43" i="29"/>
  <c r="C43" i="29"/>
  <c r="F28" i="29"/>
  <c r="B28" i="29"/>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F20" i="23"/>
  <c r="C20" i="23"/>
  <c r="B58" i="23"/>
  <c r="E58" i="23"/>
  <c r="C58" i="23"/>
  <c r="F58" i="23"/>
  <c r="F33" i="23"/>
  <c r="B33" i="23"/>
  <c r="C33" i="23"/>
  <c r="E33" i="23" s="1"/>
  <c r="G33" i="23" s="1"/>
  <c r="F55" i="23"/>
  <c r="E55" i="23"/>
  <c r="C55" i="23"/>
  <c r="B55" i="23"/>
  <c r="C32" i="1"/>
  <c r="B32" i="1"/>
  <c r="F32" i="1"/>
  <c r="E28" i="1"/>
  <c r="G28" i="1" s="1"/>
  <c r="E25" i="1"/>
  <c r="G25" i="1" s="1"/>
  <c r="E27" i="1"/>
  <c r="G27" i="1" s="1"/>
  <c r="E29" i="1"/>
  <c r="G29" i="1" s="1"/>
  <c r="E30" i="1"/>
  <c r="G30" i="1" s="1"/>
  <c r="E71" i="21"/>
  <c r="E21" i="1"/>
  <c r="G21" i="1" s="1"/>
  <c r="E26" i="1"/>
  <c r="G26" i="1" s="1"/>
  <c r="E20" i="1"/>
  <c r="G20" i="1" s="1"/>
  <c r="G20" i="30" l="1"/>
  <c r="G71" i="30" s="1"/>
  <c r="E71" i="30"/>
  <c r="G20" i="26"/>
  <c r="G71" i="26" s="1"/>
  <c r="E71" i="26"/>
  <c r="G20" i="24"/>
  <c r="G71" i="24" s="1"/>
  <c r="E71" i="24"/>
  <c r="G20" i="28"/>
  <c r="G71" i="28" s="1"/>
  <c r="E71"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G73" i="21"/>
  <c r="B41" i="3" s="1"/>
  <c r="B50" i="3" l="1"/>
  <c r="G73" i="24"/>
  <c r="B51" i="3" s="1"/>
  <c r="B60" i="3"/>
  <c r="G73" i="26"/>
  <c r="B61" i="3" s="1"/>
  <c r="G73" i="28"/>
  <c r="B71" i="3" s="1"/>
  <c r="B70" i="3"/>
  <c r="B80" i="3"/>
  <c r="G73" i="30"/>
  <c r="B81" i="3" s="1"/>
  <c r="G71" i="25"/>
  <c r="G73" i="25" s="1"/>
  <c r="B57" i="3" s="1"/>
  <c r="G71" i="1"/>
  <c r="G71" i="29"/>
  <c r="G71" i="27"/>
  <c r="G71" i="23"/>
  <c r="G73" i="23" s="1"/>
  <c r="B47" i="3" s="1"/>
  <c r="E71" i="23"/>
  <c r="B76" i="3"/>
  <c r="G73" i="29"/>
  <c r="B77" i="3" s="1"/>
  <c r="E71" i="27"/>
  <c r="E71" i="29"/>
  <c r="E71" i="25"/>
  <c r="B46" i="3" l="1"/>
  <c r="B56" i="3"/>
  <c r="B66" i="3"/>
  <c r="G73" i="27"/>
  <c r="B67" i="3" s="1"/>
  <c r="B36" i="3" l="1"/>
  <c r="E71" i="1"/>
  <c r="G73" i="1" l="1"/>
  <c r="B37"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<sst xmlns="http://schemas.openxmlformats.org/spreadsheetml/2006/main" count="3325" uniqueCount="291">
  <si>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</si>
  <si>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</si>
  <si>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</si>
  <si>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</si>
  <si>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</si>
  <si>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</si>
  <si>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</si>
  <si>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</si>
  <si>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</si>
  <si>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</si>
  <si>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</si>
  <si>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</si>
  <si>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</si>
  <si>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</si>
  <si>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</si>
  <si>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</si>
  <si>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</si>
  <si>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</si>
  <si>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</si>
  <si>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</si>
  <si>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</si>
  <si>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</si>
  <si>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</si>
  <si>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</si>
  <si>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</si>
  <si>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</si>
  <si>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</si>
  <si>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</si>
  <si>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</si>
  <si>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</si>
  <si>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</si>
  <si>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</si>
  <si>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</si>
  <si>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</si>
  <si>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</si>
  <si>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</si>
  <si>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</si>
  <si>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</si>
  <si>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</si>
  <si>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</si>
  <si>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</si>
  <si>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</si>
  <si>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</si>
  <si>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</si>
  <si>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</si>
  <si>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</si>
  <si>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</si>
  <si>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</si>
  <si>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</si>
  <si>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</si>
  <si>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</si>
  <si>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</si>
  <si>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</si>
  <si>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</si>
  <si>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</si>
  <si>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</si>
  <si>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</si>
  <si>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</si>
  <si>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</si>
  <si>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</si>
  <si>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</si>
  <si>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</si>
  <si>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</si>
  <si>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</si>
  <si>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</si>
  <si>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</si>
  <si>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</si>
  <si>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</si>
  <si>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</si>
  <si>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</si>
  <si>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</si>
  <si>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</si>
  <si>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</si>
  <si>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</si>
  <si>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</si>
  <si>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</si>
  <si>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</si>
  <si>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</si>
  <si>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</si>
  <si>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</si>
  <si>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</si>
  <si>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</si>
  <si>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</si>
  <si>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</si>
  <si>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</si>
  <si>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</si>
  <si>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</si>
  <si>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</si>
  <si>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</si>
  <si>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</si>
  <si>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</si>
  <si>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</si>
  <si>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</si>
  <si>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</si>
  <si>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</si>
  <si>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</si>
  <si>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</si>
  <si>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</si>
  <si>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</si>
  <si>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</si>
  <si>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</si>
  <si>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</si>
  <si>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</si>
  <si>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</si>
  <si>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</si>
  <si>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</si>
  <si>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</si>
  <si>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2.269</t>
  </si>
  <si>
    <t>2.290</t>
  </si>
  <si>
    <t>2.319</t>
  </si>
  <si>
    <t>2.390</t>
  </si>
  <si>
    <t>2.454</t>
  </si>
  <si>
    <t>2.550</t>
  </si>
  <si>
    <t>2.662</t>
  </si>
  <si>
    <t>2.737</t>
  </si>
  <si>
    <t>2.837</t>
  </si>
  <si>
    <t>2.955</t>
  </si>
  <si>
    <t>3.073</t>
  </si>
  <si>
    <t>3.185</t>
  </si>
  <si>
    <t>3.264</t>
  </si>
  <si>
    <t>3.378</t>
  </si>
  <si>
    <t>3.439</t>
  </si>
  <si>
    <t>3.548</t>
  </si>
  <si>
    <t>3.680</t>
  </si>
  <si>
    <t>3.812</t>
  </si>
  <si>
    <t>3.948</t>
  </si>
  <si>
    <t>4.072</t>
  </si>
  <si>
    <t>4.147</t>
  </si>
  <si>
    <t>4.207</t>
  </si>
  <si>
    <t>4.247</t>
  </si>
  <si>
    <t>4.292</t>
  </si>
  <si>
    <t>4.309</t>
  </si>
  <si>
    <t>4.329</t>
  </si>
  <si>
    <t>4.343</t>
  </si>
  <si>
    <t>4.365</t>
  </si>
  <si>
    <t>4.368</t>
  </si>
  <si>
    <t>4.387</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</si>
  <si>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</si>
  <si>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</si>
  <si>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</si>
  <si>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</si>
  <si>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</si>
  <si>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</si>
  <si>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</si>
  <si>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</si>
  <si>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</si>
  <si>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</si>
  <si>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</si>
  <si>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</si>
  <si>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</si>
  <si>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</si>
  <si>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</si>
  <si>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</si>
  <si>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</si>
  <si>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</si>
  <si>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</si>
  <si>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</si>
  <si>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</si>
  <si>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</si>
  <si>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</si>
  <si>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</si>
  <si>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</si>
  <si>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WLE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</si>
  <si>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</si>
  <si>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</si>
  <si>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</si>
  <si>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</si>
  <si>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</si>
  <si>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</si>
  <si>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</si>
  <si>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</si>
  <si>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</si>
  <si>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</si>
  <si>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</si>
  <si>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4 WLE SCENARIO</t>
  </si>
  <si>
    <t>PRESENT VALUE LOSS - BASE 4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</si>
  <si>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</si>
  <si>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</si>
  <si>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</si>
  <si>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</si>
  <si>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</si>
  <si>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</si>
  <si>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</si>
  <si>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</si>
  <si>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</si>
  <si>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</si>
  <si>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</si>
  <si>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</si>
  <si>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</si>
  <si>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</si>
  <si>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</si>
  <si>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</si>
  <si>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</si>
  <si>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</si>
  <si>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</si>
  <si>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</si>
  <si>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</si>
  <si>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</si>
  <si>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</si>
  <si>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</si>
  <si>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</si>
  <si>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</si>
  <si>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</si>
  <si>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</si>
  <si>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</si>
  <si>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</si>
  <si>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</si>
  <si>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</si>
  <si>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</si>
  <si>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</si>
  <si>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</si>
  <si>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</si>
  <si>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</si>
  <si>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</si>
  <si>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</si>
  <si>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</si>
  <si>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</si>
  <si>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</si>
  <si>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</si>
  <si>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</si>
  <si>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</si>
  <si>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</si>
  <si>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</si>
  <si>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</si>
  <si>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</si>
  <si>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</si>
  <si>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</si>
  <si>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</si>
  <si>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</si>
  <si>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</si>
  <si>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</si>
  <si>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</si>
  <si>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</si>
  <si>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</si>
  <si>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</si>
  <si>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</si>
  <si>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</si>
  <si>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</si>
  <si>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</si>
  <si>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</si>
  <si>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</si>
  <si>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Mr.</t>
  </si>
  <si>
    <t>John</t>
  </si>
  <si>
    <t>Smith</t>
  </si>
  <si>
    <t>Smith &amp; Associates LLP</t>
  </si>
  <si>
    <t>123 Main Street</t>
  </si>
  <si>
    <t>Miami</t>
  </si>
  <si>
    <t>FL</t>
  </si>
  <si>
    <t>jsmith@smithlaw.com</t>
  </si>
  <si>
    <t>Ms.</t>
  </si>
  <si>
    <t>Jane</t>
  </si>
  <si>
    <t>Doe</t>
  </si>
  <si>
    <t>Miami-Dade County</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</si>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</sst>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26"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s>
  <fills count="23">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s>
  <cellStyleXfs count="5">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cellStyleXfs>
  <cellXfs count="92">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cellXfs>
  <cellStyles count="5">
    <cellStyle name="Currency 2" xfId="3" xr:uid="{EBD6B286-6E81-4CD7-A2A5-ECC54C9325BF}"/>
    <cellStyle name="Good" xfId="1" builtinId="26"/>
    <cellStyle name="Neutral" xfId="2" builtinId="28"/>
    <cellStyle name="Normal" xfId="0" builtinId="0"/>
    <cellStyle name="Percent" xfId="4" builtinId="5"/>
  </cellStyles>
  <dxfs count="2">
    <dxf>
      <numFmt numFmtId="2" formatCode="0.00"/>
    </dxf>
    <dxf>
      <font>
        <b/>
        <color rgb="FFFFFFFF"/>
      </font>
      <fill>
        <patternFill patternType="solid">
          <fgColor indexed="64"/>
          <bgColor rgb="FF4472C4"/>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409576</xdr:colOff>
      <xdr:row>11</xdr:row>
      <xdr:rowOff>90485</xdr:rowOff>
    </xdr:from>
    <xdr:to>
      <xdr:col>16</xdr:col>
      <xdr:colOff>285750</xdr:colOff>
      <xdr:row>31</xdr:row>
      <xdr:rowOff>47624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1"/>
  <sheetViews>
    <sheetView showGridLines="0" tabSelected="1" topLeftCell="A20" zoomScale="125" zoomScaleNormal="125" workbookViewId="0">
      <selection activeCell="B35" sqref="B35"/>
    </sheetView>
  </sheetViews>
  <sheetFormatPr defaultColWidth="8.85546875" defaultRowHeight="12.75" x14ac:dyDescent="0.2"/>
  <cols>
    <col min="1" max="1" width="35.42578125" customWidth="1"/>
    <col min="2" max="2" width="21.285156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80" t="s">
        <v>79</v>
      </c>
      <c r="B1" s="80"/>
      <c r="C1" s="80"/>
      <c r="D1" s="80"/>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137</v>
      </c>
      <c r="B7" s="35">
        <v>70</v>
      </c>
      <c r="O7" s="11"/>
      <c r="Q7" s="9"/>
    </row>
    <row r="8" spans="1:19" ht="15.75" x14ac:dyDescent="0.25">
      <c r="A8" t="s">
        <v>84</v>
      </c>
      <c r="B8" s="20" t="s">
        <v>159</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81" t="s">
        <v>87</v>
      </c>
      <c r="B12" s="81"/>
      <c r="C12" s="81"/>
      <c r="D12" s="81"/>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138</v>
      </c>
      <c r="B21" s="23">
        <f>MAX(0, B7 - B14)</f>
        <v>19.037645448323069</v>
      </c>
      <c r="O21" s="9"/>
    </row>
    <row r="22" spans="1:15" x14ac:dyDescent="0.2">
      <c r="A22" t="s">
        <v>139</v>
      </c>
      <c r="B22" s="24">
        <f>INT(B21)</f>
        <v>19</v>
      </c>
    </row>
    <row r="23" spans="1:15" ht="15.75" x14ac:dyDescent="0.25">
      <c r="A23" t="s">
        <v>140</v>
      </c>
      <c r="B23" s="25">
        <f>B21-B22</f>
        <v>3.764544832306882E-2</v>
      </c>
      <c r="O23" s="9"/>
    </row>
    <row r="24" spans="1:15" ht="15.75" x14ac:dyDescent="0.25">
      <c r="A24" t="s">
        <v>142</v>
      </c>
      <c r="B24" s="25">
        <f>(B6-B5)/365.25</f>
        <v>4.7474332648870634</v>
      </c>
      <c r="O24" s="9"/>
    </row>
    <row r="25" spans="1:15" x14ac:dyDescent="0.2">
      <c r="A25" t="s">
        <v>143</v>
      </c>
      <c r="B25">
        <f>INT(B24)</f>
        <v>4</v>
      </c>
    </row>
    <row r="26" spans="1:15" x14ac:dyDescent="0.2">
      <c r="A26" s="82" t="s">
        <v>96</v>
      </c>
      <c r="B26" s="79"/>
      <c r="C26" s="79"/>
      <c r="D26" s="79"/>
    </row>
    <row r="27" spans="1:15" x14ac:dyDescent="0.2">
      <c r="A27" t="s">
        <v>97</v>
      </c>
      <c r="B27" s="39">
        <v>3.1E-2</v>
      </c>
    </row>
    <row r="28" spans="1:15" x14ac:dyDescent="0.2">
      <c r="A28" t="s">
        <v>153</v>
      </c>
      <c r="B28" s="40" t="s">
        <v>182</v>
      </c>
      <c r="C28" s="41" t="s">
        <v>157</v>
      </c>
    </row>
    <row r="29" spans="1:15" x14ac:dyDescent="0.2">
      <c r="A29" t="s">
        <v>156</v>
      </c>
      <c r="B29" s="39">
        <v>0</v>
      </c>
    </row>
    <row r="30" spans="1:15" x14ac:dyDescent="0.2">
      <c r="B30" s="7"/>
      <c r="F30" s="7"/>
    </row>
    <row r="31" spans="1:15" x14ac:dyDescent="0.2">
      <c r="A31" s="77"/>
      <c r="B31" s="78"/>
      <c r="C31" s="79"/>
      <c r="D31" s="79"/>
      <c r="F31" s="7"/>
    </row>
    <row r="32" spans="1:15" ht="13.35" customHeight="1" x14ac:dyDescent="0.2">
      <c r="B32" s="7"/>
      <c r="F32" s="7"/>
    </row>
    <row r="33" spans="1:10" x14ac:dyDescent="0.2">
      <c r="A33" s="74" t="s">
        <v>289</v>
      </c>
      <c r="B33" s="50"/>
    </row>
    <row r="34" spans="1:10" x14ac:dyDescent="0.2">
      <c r="A34" t="s">
        <v>164</v>
      </c>
      <c r="B34" s="7"/>
    </row>
    <row r="35" spans="1:10" x14ac:dyDescent="0.2">
      <c r="A35" t="s">
        <v>165</v>
      </c>
      <c r="B35" s="7">
        <f>'Base 1 PV Loss WLE'!G17</f>
        <v>320301.36986301368</v>
      </c>
    </row>
    <row r="36" spans="1:10" x14ac:dyDescent="0.2">
      <c r="A36" t="s">
        <v>166</v>
      </c>
      <c r="B36" s="7">
        <f>'Base 1 PV Loss WLE'!G71</f>
        <v>975379.69238230144</v>
      </c>
    </row>
    <row r="37" spans="1:10" x14ac:dyDescent="0.2">
      <c r="A37" s="19" t="s">
        <v>167</v>
      </c>
      <c r="B37" s="7">
        <f>'Base 1 PV Loss WLE'!G73</f>
        <v>1295681.0622453152</v>
      </c>
    </row>
    <row r="38" spans="1:10" x14ac:dyDescent="0.2">
      <c r="A38" t="s">
        <v>168</v>
      </c>
      <c r="B38" s="7"/>
    </row>
    <row r="39" spans="1:10" x14ac:dyDescent="0.2">
      <c r="A39" t="s">
        <v>165</v>
      </c>
      <c r="B39" s="7">
        <f>'Base 1 PV Loss To Age'!G17</f>
        <v>671047.97808219178</v>
      </c>
    </row>
    <row r="40" spans="1:10" x14ac:dyDescent="0.2">
      <c r="A40" t="s">
        <v>166</v>
      </c>
      <c r="B40" s="7">
        <f>'Base 1 PV Loss To Age'!G71</f>
        <v>2768102.058921312</v>
      </c>
      <c r="G40" s="8"/>
    </row>
    <row r="41" spans="1:10" x14ac:dyDescent="0.2">
      <c r="A41" s="19" t="s">
        <v>169</v>
      </c>
      <c r="B41" s="7">
        <f>'Base 1 PV Loss To Age'!G73</f>
        <v>3439150.0370035036</v>
      </c>
    </row>
    <row r="43" spans="1:10" x14ac:dyDescent="0.2">
      <c r="A43" s="31" t="s">
        <v>170</v>
      </c>
      <c r="B43" s="47"/>
    </row>
    <row r="44" spans="1:10" x14ac:dyDescent="0.2">
      <c r="A44" t="s">
        <v>164</v>
      </c>
    </row>
    <row r="45" spans="1:10" x14ac:dyDescent="0.2">
      <c r="A45" t="s">
        <v>165</v>
      </c>
      <c r="B45" s="7">
        <f>'Base 2 PV Loss WLE'!G17</f>
        <v>671047.97808219178</v>
      </c>
    </row>
    <row r="46" spans="1:10" x14ac:dyDescent="0.2">
      <c r="A46" t="s">
        <v>166</v>
      </c>
      <c r="B46" s="7">
        <f>'Base 2 PV Loss WLE'!G71</f>
        <v>2043471.0307842309</v>
      </c>
      <c r="J46" s="8"/>
    </row>
    <row r="47" spans="1:10" x14ac:dyDescent="0.2">
      <c r="A47" s="19" t="s">
        <v>167</v>
      </c>
      <c r="B47" s="7">
        <f>'Base 2 PV Loss WLE'!G73</f>
        <v>2714519.0088664228</v>
      </c>
      <c r="J47" s="8"/>
    </row>
    <row r="48" spans="1:10" x14ac:dyDescent="0.2">
      <c r="A48" t="s">
        <v>168</v>
      </c>
      <c r="B48" s="7"/>
      <c r="J48" s="8"/>
    </row>
    <row r="49" spans="1:10" x14ac:dyDescent="0.2">
      <c r="A49" t="s">
        <v>165</v>
      </c>
      <c r="B49" s="7">
        <f>'Base 2 PV Loss To Age'!G17</f>
        <v>1008356.1643835616</v>
      </c>
    </row>
    <row r="50" spans="1:10" x14ac:dyDescent="0.2">
      <c r="A50" t="s">
        <v>166</v>
      </c>
      <c r="B50" s="7">
        <f>'Base 2 PV Loss To Age'!G71</f>
        <v>5434268.4397432711</v>
      </c>
    </row>
    <row r="51" spans="1:10" x14ac:dyDescent="0.2">
      <c r="A51" s="19" t="s">
        <v>169</v>
      </c>
      <c r="B51" s="7">
        <f>'Base 2 PV Loss To Age'!G73</f>
        <v>6442624.6041268324</v>
      </c>
    </row>
    <row r="53" spans="1:10" x14ac:dyDescent="0.2">
      <c r="A53" s="43" t="s">
        <v>171</v>
      </c>
      <c r="B53" s="47"/>
      <c r="C53" s="8"/>
      <c r="J53" s="8"/>
    </row>
    <row r="54" spans="1:10" x14ac:dyDescent="0.2">
      <c r="A54" t="s">
        <v>164</v>
      </c>
      <c r="C54" s="8"/>
    </row>
    <row r="55" spans="1:10" x14ac:dyDescent="0.2">
      <c r="A55" t="s">
        <v>165</v>
      </c>
      <c r="B55" s="7">
        <f>'Base 3 PV Loss WLE'!G17</f>
        <v>322142.50958904106</v>
      </c>
      <c r="C55" s="8"/>
    </row>
    <row r="56" spans="1:10" x14ac:dyDescent="0.2">
      <c r="A56" t="s">
        <v>166</v>
      </c>
      <c r="B56" s="7">
        <f>'Base 3 PV Loss WLE'!G71</f>
        <v>1246865.1549018756</v>
      </c>
    </row>
    <row r="57" spans="1:10" x14ac:dyDescent="0.2">
      <c r="A57" s="19" t="s">
        <v>167</v>
      </c>
      <c r="B57" s="7">
        <f>'Base 3 PV Loss WLE'!G73</f>
        <v>1569007.6644909168</v>
      </c>
    </row>
    <row r="58" spans="1:10" x14ac:dyDescent="0.2">
      <c r="A58" t="s">
        <v>168</v>
      </c>
      <c r="B58" s="7"/>
      <c r="C58" s="8"/>
    </row>
    <row r="59" spans="1:10" x14ac:dyDescent="0.2">
      <c r="A59" t="s">
        <v>165</v>
      </c>
      <c r="B59" s="7">
        <f>'Base 3 PV Loss To Age'!G17</f>
        <v>320078.34520547948</v>
      </c>
      <c r="C59" s="8"/>
    </row>
    <row r="60" spans="1:10" x14ac:dyDescent="0.2">
      <c r="A60" t="s">
        <v>166</v>
      </c>
      <c r="B60" s="7">
        <f>'Base 3 PV Loss To Age'!G71</f>
        <v>1724977.4544282483</v>
      </c>
    </row>
    <row r="61" spans="1:10" x14ac:dyDescent="0.2">
      <c r="A61" s="19" t="s">
        <v>169</v>
      </c>
      <c r="B61" s="7">
        <f>'Base 3 PV Loss To Age'!G73</f>
        <v>2045055.7996337279</v>
      </c>
      <c r="C61" s="8"/>
    </row>
    <row r="62" spans="1:10" x14ac:dyDescent="0.2">
      <c r="C62" s="8"/>
    </row>
    <row r="63" spans="1:10" x14ac:dyDescent="0.2">
      <c r="A63" s="44" t="s">
        <v>178</v>
      </c>
      <c r="B63" s="47"/>
    </row>
    <row r="64" spans="1:10" x14ac:dyDescent="0.2">
      <c r="A64" t="s">
        <v>164</v>
      </c>
      <c r="C64" s="8"/>
    </row>
    <row r="65" spans="1:2" x14ac:dyDescent="0.2">
      <c r="A65" s="19" t="s">
        <v>165</v>
      </c>
      <c r="B65" s="7">
        <f>'Base 4 PV Loss WLE'!G17</f>
        <v>374866.48767123284</v>
      </c>
    </row>
    <row r="66" spans="1:2" x14ac:dyDescent="0.2">
      <c r="A66" t="s">
        <v>166</v>
      </c>
      <c r="B66" s="7">
        <f>'Base 4 PV Loss WLE'!G71</f>
        <v>1450935.3696101415</v>
      </c>
    </row>
    <row r="67" spans="1:2" x14ac:dyDescent="0.2">
      <c r="A67" s="19" t="s">
        <v>167</v>
      </c>
      <c r="B67" s="30">
        <f>'Base 4 PV Loss WLE'!G73</f>
        <v>1825801.8572813743</v>
      </c>
    </row>
    <row r="68" spans="1:2" x14ac:dyDescent="0.2">
      <c r="A68" t="s">
        <v>168</v>
      </c>
    </row>
    <row r="69" spans="1:2" x14ac:dyDescent="0.2">
      <c r="A69" s="19" t="s">
        <v>165</v>
      </c>
      <c r="B69" s="7">
        <f>'Base 4 PV Loss To Age'!G17</f>
        <v>312125.38082191779</v>
      </c>
    </row>
    <row r="70" spans="1:2" x14ac:dyDescent="0.2">
      <c r="A70" t="s">
        <v>166</v>
      </c>
      <c r="B70" s="7">
        <f>'Base 4 PV Loss To Age'!G71</f>
        <v>1682117.0595811442</v>
      </c>
    </row>
    <row r="71" spans="1:2" x14ac:dyDescent="0.2">
      <c r="A71" s="19" t="s">
        <v>169</v>
      </c>
      <c r="B71" s="30">
        <f>'Base 4 PV Loss To Age'!G73</f>
        <v>1994242.4404030619</v>
      </c>
    </row>
    <row r="73" spans="1:2" x14ac:dyDescent="0.2">
      <c r="A73" s="45" t="s">
        <v>179</v>
      </c>
      <c r="B73" s="47"/>
    </row>
    <row r="74" spans="1:2" x14ac:dyDescent="0.2">
      <c r="A74" t="s">
        <v>164</v>
      </c>
    </row>
    <row r="75" spans="1:2" x14ac:dyDescent="0.2">
      <c r="A75" s="19" t="s">
        <v>165</v>
      </c>
      <c r="B75" s="7">
        <f>'Base 5 PV Loss WLE'!G17</f>
        <v>415993.18356164382</v>
      </c>
    </row>
    <row r="76" spans="1:2" x14ac:dyDescent="0.2">
      <c r="A76" t="s">
        <v>166</v>
      </c>
      <c r="B76" s="7">
        <f>'Base 5 PV Loss WLE'!G71</f>
        <v>1610117.8510138437</v>
      </c>
    </row>
    <row r="77" spans="1:2" x14ac:dyDescent="0.2">
      <c r="A77" s="19" t="s">
        <v>167</v>
      </c>
      <c r="B77" s="30">
        <f>'Base 5 PV Loss WLE'!G73</f>
        <v>2026111.0345754875</v>
      </c>
    </row>
    <row r="78" spans="1:2" x14ac:dyDescent="0.2">
      <c r="A78" t="s">
        <v>168</v>
      </c>
    </row>
    <row r="79" spans="1:2" x14ac:dyDescent="0.2">
      <c r="A79" s="19" t="s">
        <v>165</v>
      </c>
      <c r="B79" s="7">
        <f>'Base 5 PV Loss To Age'!G17</f>
        <v>98700.27397260275</v>
      </c>
    </row>
    <row r="80" spans="1:2" x14ac:dyDescent="0.2">
      <c r="A80" t="s">
        <v>166</v>
      </c>
      <c r="B80" s="7">
        <f>'Base 5 PV Loss To Age'!G71</f>
        <v>531918.98139604717</v>
      </c>
    </row>
    <row r="81" spans="1:2" x14ac:dyDescent="0.2">
      <c r="A81" s="19" t="s">
        <v>169</v>
      </c>
      <c r="B81" s="30">
        <f>'Base 5 PV Loss To Age'!G73</f>
        <v>630619.25536864996</v>
      </c>
    </row>
  </sheetData>
  <mergeCells count="4">
    <mergeCell ref="A31:D31"/>
    <mergeCell ref="A1:D1"/>
    <mergeCell ref="A12:D12"/>
    <mergeCell ref="A26:D26"/>
  </mergeCells>
  <phoneticPr fontId="0" type="noConversion"/>
  <dataValidations disablePrompts="1"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H106"/>
  <sheetViews>
    <sheetView topLeftCell="A11" workbookViewId="0">
      <selection activeCell="D20" sqref="D20"/>
    </sheetView>
  </sheetViews>
  <sheetFormatPr defaultColWidth="8.85546875" defaultRowHeight="12.75" x14ac:dyDescent="0.2"/>
  <cols>
    <col min="1" max="1" width="32.42578125" customWidth="1"/>
    <col min="2" max="2" width="64.85546875" customWidth="1"/>
    <col min="3" max="3" width="26.28515625" customWidth="1"/>
    <col min="4" max="4" width="17.85546875" customWidth="1"/>
  </cols>
  <sheetData>
    <row r="1" spans="1:5" x14ac:dyDescent="0.2">
      <c r="E1" s="8" t="s">
        <v>275</v>
      </c>
    </row>
    <row r="2" spans="1:5" x14ac:dyDescent="0.2">
      <c r="A2" s="75" t="s">
        <v>183</v>
      </c>
      <c r="B2" s="52">
        <v>46106</v>
      </c>
    </row>
    <row r="3" spans="1:5" x14ac:dyDescent="0.2">
      <c r="A3" s="75" t="s">
        <v>184</v>
      </c>
      <c r="B3" t="s">
        <v>241</v>
      </c>
      <c r="C3" s="8" t="s">
        <v>0</v>
      </c>
      <c r="D3" s="8" t="s">
        <v>270</v>
      </c>
    </row>
    <row r="4" spans="1:5" x14ac:dyDescent="0.2">
      <c r="A4" s="75" t="s">
        <v>185</v>
      </c>
      <c r="B4" t="s">
        <v>242</v>
      </c>
    </row>
    <row r="5" spans="1:5" x14ac:dyDescent="0.2">
      <c r="A5" s="75" t="s">
        <v>186</v>
      </c>
      <c r="B5" t="s">
        <v>243</v>
      </c>
    </row>
    <row r="6" spans="1:5" x14ac:dyDescent="0.2">
      <c r="A6" s="75" t="s">
        <v>187</v>
      </c>
      <c r="B6" t="s">
        <v>244</v>
      </c>
    </row>
    <row r="7" spans="1:5" x14ac:dyDescent="0.2">
      <c r="A7" s="75" t="s">
        <v>188</v>
      </c>
      <c r="B7" t="s">
        <v>245</v>
      </c>
    </row>
    <row r="8" spans="1:5" x14ac:dyDescent="0.2">
      <c r="A8" s="75" t="s">
        <v>189</v>
      </c>
      <c r="B8" t="s">
        <v>246</v>
      </c>
    </row>
    <row r="9" spans="1:5" x14ac:dyDescent="0.2">
      <c r="A9" s="75" t="s">
        <v>190</v>
      </c>
      <c r="B9" t="s">
        <v>247</v>
      </c>
    </row>
    <row r="10" spans="1:5" x14ac:dyDescent="0.2">
      <c r="A10" s="75" t="s">
        <v>191</v>
      </c>
      <c r="B10">
        <v>33101</v>
      </c>
    </row>
    <row r="11" spans="1:5" x14ac:dyDescent="0.2">
      <c r="A11" s="75" t="s">
        <v>192</v>
      </c>
      <c r="B11" t="s">
        <v>248</v>
      </c>
    </row>
    <row r="12" spans="1:5" x14ac:dyDescent="0.2">
      <c r="A12" s="75" t="s">
        <v>225</v>
      </c>
      <c r="B12" t="s">
        <v>249</v>
      </c>
    </row>
    <row r="13" spans="1:5" x14ac:dyDescent="0.2">
      <c r="A13" s="75" t="s">
        <v>193</v>
      </c>
      <c r="B13" t="s">
        <v>250</v>
      </c>
    </row>
    <row r="14" spans="1:5" x14ac:dyDescent="0.2">
      <c r="A14" s="75" t="s">
        <v>194</v>
      </c>
      <c r="B14" t="s">
        <v>251</v>
      </c>
      <c r="C14" s="8" t="s">
        <v>266</v>
      </c>
      <c r="D14" s="8" t="s">
        <v>272</v>
      </c>
      <c r="E14" s="53" t="b">
        <v>0</v>
      </c>
    </row>
    <row r="15" spans="1:5" x14ac:dyDescent="0.2">
      <c r="A15" s="75" t="s">
        <v>195</v>
      </c>
      <c r="B15" s="52">
        <v>27956</v>
      </c>
      <c r="C15" s="8" t="s">
        <v>267</v>
      </c>
      <c r="D15" s="51">
        <v>27983</v>
      </c>
      <c r="E15" s="53" t="b">
        <v>0</v>
      </c>
    </row>
    <row r="16" spans="1:5" x14ac:dyDescent="0.2">
      <c r="A16" s="75" t="s">
        <v>196</v>
      </c>
      <c r="B16" s="52">
        <v>45170</v>
      </c>
      <c r="C16" s="8" t="s">
        <v>271</v>
      </c>
      <c r="D16" s="8" t="s">
        <v>273</v>
      </c>
      <c r="E16" s="53" t="b">
        <v>0</v>
      </c>
    </row>
    <row r="17" spans="1:6" x14ac:dyDescent="0.2">
      <c r="A17" s="75" t="str">
        <f>"Date of "&amp;B19</f>
        <v>Date of Trial</v>
      </c>
      <c r="B17" s="52">
        <v>46174</v>
      </c>
      <c r="C17" s="8" t="s">
        <v>268</v>
      </c>
      <c r="D17" s="8" t="s">
        <v>274</v>
      </c>
      <c r="E17" s="53" t="b">
        <v>0</v>
      </c>
    </row>
    <row r="18" spans="1:6" x14ac:dyDescent="0.2">
      <c r="A18" s="75" t="s">
        <v>197</v>
      </c>
      <c r="B18" t="s">
        <v>252</v>
      </c>
      <c r="C18" s="8" t="s">
        <v>269</v>
      </c>
      <c r="D18" s="51">
        <v>45145</v>
      </c>
      <c r="E18" s="53" t="b">
        <v>0</v>
      </c>
    </row>
    <row r="19" spans="1:6" x14ac:dyDescent="0.2">
      <c r="A19" s="75" t="s">
        <v>198</v>
      </c>
      <c r="B19" t="s">
        <v>199</v>
      </c>
    </row>
    <row r="20" spans="1:6" ht="99.95" customHeight="1" x14ac:dyDescent="0.2">
      <c r="A20" s="76" t="s">
        <v>200</v>
      </c>
      <c r="B20" s="54" t="s">
        <v>290</v>
      </c>
      <c r="C20" s="59" t="s">
        <v>277</v>
      </c>
      <c r="D20" s="58" t="s">
        <v>279</v>
      </c>
    </row>
    <row r="21" spans="1:6" ht="19.7" customHeight="1" x14ac:dyDescent="0.25">
      <c r="A21" s="83" t="s">
        <v>201</v>
      </c>
      <c r="B21" s="79"/>
      <c r="C21" s="79"/>
      <c r="D21" s="83" t="s">
        <v>282</v>
      </c>
      <c r="E21" s="79"/>
      <c r="F21" s="79"/>
    </row>
    <row r="22" spans="1:6" ht="15" x14ac:dyDescent="0.25">
      <c r="A22" s="49" t="s">
        <v>202</v>
      </c>
      <c r="B22" s="49"/>
      <c r="C22" t="s">
        <v>203</v>
      </c>
      <c r="D22" s="8" t="s">
        <v>283</v>
      </c>
      <c r="E22" s="73" cm="1">
        <f t="array" ref="E22">MIN(IF(ISNUMBER('Base 1 PV Loss WLE'!D20:D49),'Base 1 PV Loss WLE'!D20:D49))</f>
        <v>2.2690000000000002E-2</v>
      </c>
      <c r="F22" s="73" cm="1">
        <f t="array" ref="F22">MAX(IF(ISNUMBER('Base 1 PV Loss WLE'!D20:D49),'Base 1 PV Loss WLE'!D20:D49))</f>
        <v>3.4390000000000004E-2</v>
      </c>
    </row>
    <row r="23" spans="1:6" ht="15" x14ac:dyDescent="0.25">
      <c r="A23" s="49" t="str">
        <f>"Base 1: "&amp;TEXT(B87,"$#,##0")</f>
        <v>Base 1: $67,453</v>
      </c>
      <c r="B23" s="49"/>
      <c r="C23" s="53" t="b">
        <v>1</v>
      </c>
      <c r="D23" s="8" t="s">
        <v>284</v>
      </c>
      <c r="E23" s="73" cm="1">
        <f t="array" ref="E23">MIN(IF(ISNUMBER('Base 1 PV Loss To Age'!D20:D49),'Base 1 PV Loss To Age'!D20:D49))</f>
        <v>2.2690000000000002E-2</v>
      </c>
      <c r="F23" s="10" cm="1">
        <f t="array" ref="F23">MAX(IF(ISNUMBER('Base 1 PV Loss To Age'!D20:D49),'Base 1 PV Loss To Age'!D20:D49))</f>
        <v>4.0719999999999999E-2</v>
      </c>
    </row>
    <row r="24" spans="1:6" x14ac:dyDescent="0.2">
      <c r="A24" t="str">
        <f>"Loss To "&amp;$B$19</f>
        <v>Loss To Trial</v>
      </c>
      <c r="B24" s="2">
        <v>225000</v>
      </c>
      <c r="C24" s="53" t="b">
        <v>1</v>
      </c>
    </row>
    <row r="25" spans="1:6" x14ac:dyDescent="0.2">
      <c r="A25" t="str">
        <f>"Fringe Benefits Loss To "&amp;$B$19</f>
        <v>Fringe Benefits Loss To Trial</v>
      </c>
      <c r="B25" s="2">
        <v>25000</v>
      </c>
      <c r="C25" s="53" t="b">
        <v>1</v>
      </c>
    </row>
    <row r="26" spans="1:6" x14ac:dyDescent="0.2">
      <c r="A26" t="str">
        <f>"Meal Cost to "&amp;$B$19</f>
        <v>Meal Cost to Trial</v>
      </c>
      <c r="B26" s="2">
        <v>5000</v>
      </c>
      <c r="C26" s="53" t="b">
        <v>1</v>
      </c>
    </row>
    <row r="27" spans="1:6" x14ac:dyDescent="0.2">
      <c r="A27" t="str">
        <f>"Household Service Loss To "&amp;$B$19</f>
        <v>Household Service Loss To Trial</v>
      </c>
      <c r="B27" s="2">
        <v>35000</v>
      </c>
      <c r="C27" s="53" t="b">
        <v>1</v>
      </c>
    </row>
    <row r="28" spans="1:6" x14ac:dyDescent="0.2">
      <c r="A28" t="s">
        <v>204</v>
      </c>
      <c r="C28" s="53" t="b">
        <v>0</v>
      </c>
    </row>
    <row r="29" spans="1:6" x14ac:dyDescent="0.2">
      <c r="A29" t="str">
        <f>"After Credit 1: "&amp;TEXT(B88,"$#,##0")</f>
        <v>After Credit 1: $141,416</v>
      </c>
      <c r="C29" s="53" t="b">
        <v>0</v>
      </c>
    </row>
    <row r="30" spans="1:6" x14ac:dyDescent="0.2">
      <c r="A30" t="str">
        <f>"After Credit 2: "&amp;TEXT(B89,"$#,##0")</f>
        <v>After Credit 2: $250,000</v>
      </c>
      <c r="C30" s="53" t="b">
        <v>0</v>
      </c>
    </row>
    <row r="31" spans="1:6" x14ac:dyDescent="0.2">
      <c r="A31" t="str">
        <f>"After Credit 3: "&amp;TEXT(B90,"$#,##0")</f>
        <v>After Credit 3: $75,000</v>
      </c>
      <c r="C31" s="53" t="b">
        <v>0</v>
      </c>
    </row>
    <row r="32" spans="1:6"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83" t="s">
        <v>205</v>
      </c>
      <c r="B34" s="83"/>
      <c r="C34" s="83"/>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204</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83" t="s">
        <v>206</v>
      </c>
      <c r="B46" s="83"/>
      <c r="C46" s="83"/>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204</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84" t="s">
        <v>234</v>
      </c>
      <c r="B58" s="84"/>
      <c r="C58" s="84"/>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204</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84" t="s">
        <v>235</v>
      </c>
      <c r="B70" s="84"/>
      <c r="C70" s="84"/>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204</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207</v>
      </c>
      <c r="B82" s="7">
        <v>1500000</v>
      </c>
      <c r="C82" s="53" t="b">
        <v>0</v>
      </c>
    </row>
    <row r="83" spans="1:8" x14ac:dyDescent="0.2">
      <c r="A83" t="s">
        <v>208</v>
      </c>
      <c r="B83" s="7">
        <v>2500000</v>
      </c>
      <c r="C83" s="53" t="b">
        <v>0</v>
      </c>
    </row>
    <row r="84" spans="1:8" x14ac:dyDescent="0.2">
      <c r="A84" t="s">
        <v>209</v>
      </c>
      <c r="B84" s="7">
        <v>2000000</v>
      </c>
      <c r="C84" s="53" t="b">
        <v>0</v>
      </c>
    </row>
    <row r="85" spans="1:8" x14ac:dyDescent="0.2">
      <c r="A85" t="s">
        <v>210</v>
      </c>
      <c r="C85" s="53" t="b">
        <v>0</v>
      </c>
    </row>
    <row r="86" spans="1:8" ht="15" x14ac:dyDescent="0.25">
      <c r="A86" s="83" t="s">
        <v>211</v>
      </c>
      <c r="B86" s="83"/>
      <c r="F86" t="s">
        <v>224</v>
      </c>
      <c r="H86" s="8" t="s">
        <v>260</v>
      </c>
    </row>
    <row r="87" spans="1:8" x14ac:dyDescent="0.2">
      <c r="A87" t="s">
        <v>212</v>
      </c>
      <c r="B87" s="2">
        <v>67453</v>
      </c>
      <c r="F87">
        <f>'Base 1 PV Loss WLE'!$B$3</f>
        <v>75000</v>
      </c>
      <c r="H87" s="64">
        <f>'Base 1 PV Loss WLE'!$E$5</f>
        <v>0.1</v>
      </c>
    </row>
    <row r="88" spans="1:8" x14ac:dyDescent="0.2">
      <c r="A88" t="s">
        <v>213</v>
      </c>
      <c r="B88" s="2">
        <v>141416</v>
      </c>
      <c r="F88">
        <f>'Base 1 PV Loss To Age'!$B$3</f>
        <v>141416</v>
      </c>
      <c r="H88">
        <f>'Base 1 PV Loss To Age'!$E$5</f>
        <v>0.22</v>
      </c>
    </row>
    <row r="89" spans="1:8" x14ac:dyDescent="0.2">
      <c r="A89" t="s">
        <v>214</v>
      </c>
      <c r="B89" s="2">
        <v>250000</v>
      </c>
      <c r="F89">
        <f>'Base 2 PV Loss WLE'!$B$3</f>
        <v>141416</v>
      </c>
      <c r="H89">
        <f>'Base 2 PV Loss WLE'!$E$5</f>
        <v>0</v>
      </c>
    </row>
    <row r="90" spans="1:8" x14ac:dyDescent="0.2">
      <c r="A90" t="s">
        <v>215</v>
      </c>
      <c r="B90" s="2">
        <v>75000</v>
      </c>
      <c r="F90">
        <f>'Base 2 PV Loss To Age'!$B$3</f>
        <v>250000</v>
      </c>
      <c r="H90">
        <f>'Base 2 PV Loss To Age'!$E$5</f>
        <v>0.15</v>
      </c>
    </row>
    <row r="91" spans="1:8" x14ac:dyDescent="0.2">
      <c r="A91" t="s">
        <v>216</v>
      </c>
      <c r="B91" s="2">
        <v>75000</v>
      </c>
      <c r="F91">
        <f>'Base 3 PV Loss WLE'!$B$3</f>
        <v>67888</v>
      </c>
      <c r="H91">
        <f>'Base 3 PV Loss WLE'!$E$5</f>
        <v>0</v>
      </c>
    </row>
    <row r="92" spans="1:8" x14ac:dyDescent="0.2">
      <c r="A92" t="s">
        <v>217</v>
      </c>
      <c r="B92" s="2">
        <f>$B$88</f>
        <v>141416</v>
      </c>
      <c r="F92">
        <f>'Base 3 PV Loss To Age'!$B$3</f>
        <v>67453</v>
      </c>
      <c r="H92">
        <f>'Base 3 PV Loss To Age'!$E$5</f>
        <v>0</v>
      </c>
    </row>
    <row r="93" spans="1:8" x14ac:dyDescent="0.2">
      <c r="A93" t="s">
        <v>218</v>
      </c>
      <c r="B93" s="2">
        <f>$B$89</f>
        <v>250000</v>
      </c>
      <c r="F93">
        <f>'Base 4 PV Loss WLE'!$B$3</f>
        <v>78999</v>
      </c>
      <c r="H93">
        <f>'Base 4 PV Loss WLE'!$E$5</f>
        <v>0</v>
      </c>
    </row>
    <row r="94" spans="1:8" x14ac:dyDescent="0.2">
      <c r="A94" t="s">
        <v>219</v>
      </c>
      <c r="B94" s="2">
        <f>$B$90</f>
        <v>75000</v>
      </c>
      <c r="F94">
        <f>'Base 4 PV Loss To Age'!$B$3</f>
        <v>65777</v>
      </c>
      <c r="H94">
        <f>'Base 4 PV Loss To Age'!$E$5</f>
        <v>0</v>
      </c>
    </row>
    <row r="95" spans="1:8" x14ac:dyDescent="0.2">
      <c r="A95" t="s">
        <v>220</v>
      </c>
      <c r="B95" s="2">
        <v>65777</v>
      </c>
      <c r="F95">
        <f>'Base 5 PV Loss WLE'!$B$3</f>
        <v>87666</v>
      </c>
      <c r="H95">
        <f>'Base 5 PV Loss WLE'!$E$5</f>
        <v>0</v>
      </c>
    </row>
    <row r="96" spans="1:8" x14ac:dyDescent="0.2">
      <c r="A96" t="s">
        <v>221</v>
      </c>
      <c r="B96" s="2">
        <f>$B$88</f>
        <v>141416</v>
      </c>
      <c r="F96">
        <f>'Base 5 PV Loss To Age'!$B$3</f>
        <v>32000</v>
      </c>
      <c r="H96">
        <f>'Base 5 PV Loss To Age'!$E$5</f>
        <v>0.35</v>
      </c>
    </row>
    <row r="97" spans="1:2" x14ac:dyDescent="0.2">
      <c r="A97" t="s">
        <v>222</v>
      </c>
      <c r="B97" s="2">
        <f>$B$89</f>
        <v>250000</v>
      </c>
    </row>
    <row r="98" spans="1:2" x14ac:dyDescent="0.2">
      <c r="A98" t="s">
        <v>223</v>
      </c>
      <c r="B98" s="2">
        <f>$B$90</f>
        <v>75000</v>
      </c>
    </row>
    <row r="99" spans="1:2" x14ac:dyDescent="0.2">
      <c r="A99" t="s">
        <v>226</v>
      </c>
      <c r="B99">
        <v>65777</v>
      </c>
    </row>
    <row r="100" spans="1:2" x14ac:dyDescent="0.2">
      <c r="A100" t="s">
        <v>227</v>
      </c>
      <c r="B100">
        <f>$B$88</f>
        <v>141416</v>
      </c>
    </row>
    <row r="101" spans="1:2" x14ac:dyDescent="0.2">
      <c r="A101" t="s">
        <v>228</v>
      </c>
      <c r="B101">
        <f>$B$89</f>
        <v>250000</v>
      </c>
    </row>
    <row r="102" spans="1:2" x14ac:dyDescent="0.2">
      <c r="A102" t="s">
        <v>229</v>
      </c>
      <c r="B102">
        <f>$B$90</f>
        <v>75000</v>
      </c>
    </row>
    <row r="103" spans="1:2" x14ac:dyDescent="0.2">
      <c r="A103" t="s">
        <v>230</v>
      </c>
      <c r="B103">
        <v>67453</v>
      </c>
    </row>
    <row r="104" spans="1:2" x14ac:dyDescent="0.2">
      <c r="A104" t="s">
        <v>231</v>
      </c>
      <c r="B104">
        <f>$B$88</f>
        <v>141416</v>
      </c>
    </row>
    <row r="105" spans="1:2" x14ac:dyDescent="0.2">
      <c r="A105" t="s">
        <v>232</v>
      </c>
      <c r="B105">
        <f>$B$89</f>
        <v>250000</v>
      </c>
    </row>
    <row r="106" spans="1:2" x14ac:dyDescent="0.2">
      <c r="A106" t="s">
        <v>233</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topLeftCell="A14"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28515625" customWidth="1"/>
    <col min="5" max="5" width="19.140625" customWidth="1"/>
  </cols>
  <sheetData>
    <row r="1" spans="1:9" x14ac:dyDescent="0.2">
      <c r="A1" t="s">
        <v>236</v>
      </c>
    </row>
    <row r="2" spans="1:9" x14ac:dyDescent="0.2">
      <c r="A2" s="61" t="s">
        <v>237</v>
      </c>
      <c r="B2" s="61" t="s">
        <v>238</v>
      </c>
    </row>
    <row r="3" spans="1:9" ht="99.95" customHeight="1" x14ac:dyDescent="0.2">
      <c r="B3" s="86"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86"/>
      <c r="D3" s="86"/>
    </row>
    <row r="4" spans="1:9" x14ac:dyDescent="0.2">
      <c r="A4" s="61" t="s">
        <v>239</v>
      </c>
      <c r="B4" s="61" t="s">
        <v>240</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253</v>
      </c>
      <c r="B6" s="61" t="s">
        <v>254</v>
      </c>
      <c r="C6" s="60"/>
      <c r="D6" s="60"/>
      <c r="E6" s="60"/>
      <c r="F6" s="60"/>
      <c r="G6" s="60"/>
    </row>
    <row r="7" spans="1:9" ht="18" customHeight="1" x14ac:dyDescent="0.2">
      <c r="A7" s="55"/>
      <c r="B7" s="56" t="s">
        <v>255</v>
      </c>
      <c r="C7" s="57" t="str">
        <f>TEXT(Inputs!B15,"mmmm d, yyyy")</f>
        <v>July 15, 1976</v>
      </c>
      <c r="D7" s="8" t="s">
        <v>261</v>
      </c>
      <c r="E7" t="str">
        <f>Inputs!D14</f>
        <v>Rodney</v>
      </c>
      <c r="F7" s="53" t="b">
        <v>0</v>
      </c>
      <c r="G7" s="8" t="s">
        <v>263</v>
      </c>
      <c r="H7" t="str">
        <f>Inputs!D17</f>
        <v>Derrick</v>
      </c>
      <c r="I7" s="53" t="b">
        <v>0</v>
      </c>
    </row>
    <row r="8" spans="1:9" ht="18" customHeight="1" x14ac:dyDescent="0.2">
      <c r="A8" s="55"/>
      <c r="B8" s="58" t="s">
        <v>256</v>
      </c>
      <c r="C8" s="57" t="str">
        <f>TEXT(Inputs!B16,"mmmm d, yyyy")</f>
        <v>September 1, 2023</v>
      </c>
      <c r="D8" s="8" t="s">
        <v>255</v>
      </c>
      <c r="E8" t="str">
        <f>TEXT(Inputs!D15,"MMMM D, YYYY")</f>
        <v>August 11, 1976</v>
      </c>
      <c r="F8" s="53" t="b">
        <v>0</v>
      </c>
      <c r="G8" s="8" t="s">
        <v>264</v>
      </c>
      <c r="H8" s="51">
        <f>Inputs!D18</f>
        <v>45145</v>
      </c>
      <c r="I8" s="53" t="b">
        <v>0</v>
      </c>
    </row>
    <row r="9" spans="1:9" ht="18" customHeight="1" x14ac:dyDescent="0.2">
      <c r="A9" s="55"/>
      <c r="B9" s="56" t="str">
        <f>Inputs!A17&amp;":"</f>
        <v>Date of Trial:</v>
      </c>
      <c r="C9" s="57" t="str">
        <f>TEXT(Inputs!B17,"mmmm d, yyyy")</f>
        <v>June 1, 2026</v>
      </c>
      <c r="D9" s="8" t="s">
        <v>262</v>
      </c>
      <c r="E9" t="str">
        <f>Inputs!D16</f>
        <v>Full-Time</v>
      </c>
      <c r="F9" s="53" t="b">
        <v>0</v>
      </c>
      <c r="G9" s="8" t="s">
        <v>265</v>
      </c>
      <c r="I9" s="53" t="b">
        <v>0</v>
      </c>
    </row>
    <row r="10" spans="1:9" x14ac:dyDescent="0.2">
      <c r="B10" s="59" t="s">
        <v>257</v>
      </c>
      <c r="C10" s="57" t="str">
        <f>Inputs!B18</f>
        <v>Miami-Dade County</v>
      </c>
    </row>
    <row r="11" spans="1:9" x14ac:dyDescent="0.2">
      <c r="A11" s="62">
        <v>1</v>
      </c>
      <c r="B11" s="61" t="s">
        <v>258</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276</v>
      </c>
      <c r="C16" s="61"/>
      <c r="D16" s="61"/>
      <c r="E16" s="61"/>
      <c r="F16" s="61"/>
    </row>
    <row r="17" spans="1:7" ht="78.7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September 1, 2023, to trial. Earnings (unknown) since September 1, 2023, should be deducted. </v>
      </c>
      <c r="C17" s="70" t="b">
        <v>0</v>
      </c>
      <c r="D17" s="68"/>
      <c r="E17" s="68"/>
    </row>
    <row r="18" spans="1:7" ht="94.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September 1, 2023, to trial. Earnings (unknown) since September 1, 2023, should be deducted. </v>
      </c>
      <c r="C18" s="70" t="b">
        <v>0</v>
      </c>
      <c r="D18" s="68"/>
      <c r="E18" s="68"/>
    </row>
    <row r="19" spans="1:7" ht="110.25"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September 1, 2023, to trial. Earnings (unknown) since September 1, 2023,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September 1, 2023, to trial. Earnings (unknown) since September 1, 2023, should be deducted. </v>
      </c>
      <c r="C20" s="70" t="b">
        <v>0</v>
      </c>
      <c r="D20" s="68"/>
      <c r="E20" s="68"/>
    </row>
    <row r="21" spans="1:7" s="47" customFormat="1" ht="15.75" x14ac:dyDescent="0.2">
      <c r="A21" s="61">
        <v>3</v>
      </c>
      <c r="B21" s="72" t="s">
        <v>278</v>
      </c>
      <c r="C21" s="71"/>
      <c r="D21" s="71"/>
      <c r="E21" s="71"/>
      <c r="F21" s="60"/>
      <c r="G21" s="60"/>
    </row>
    <row r="22" spans="1:7" ht="65.45" customHeight="1" x14ac:dyDescent="0.2">
      <c r="B22" s="85" t="str">
        <f>"1.     Earnings and Employment Background indicates that your client was working as a "&amp;Inputs!$D$20&amp;" at the time of the accident."</f>
        <v>1.     Earnings and Employment Background indicates that your client was working as a Plumber for ABC, Inc at the time of the accident.</v>
      </c>
      <c r="C22" s="85"/>
      <c r="D22" s="85"/>
      <c r="E22" s="70" t="b">
        <v>0</v>
      </c>
    </row>
    <row r="23" spans="1:7" ht="15.75" x14ac:dyDescent="0.2">
      <c r="A23" s="61" t="s">
        <v>280</v>
      </c>
      <c r="B23" s="72" t="s">
        <v>281</v>
      </c>
      <c r="C23" s="71"/>
      <c r="D23" s="71"/>
      <c r="E23" s="71"/>
      <c r="F23" s="60"/>
      <c r="G23" s="60"/>
    </row>
    <row r="24" spans="1:7" ht="69" customHeight="1" x14ac:dyDescent="0.2">
      <c r="A24" s="8" t="s">
        <v>285</v>
      </c>
      <c r="B24" s="85"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3.4%.</v>
      </c>
      <c r="C24" s="85"/>
      <c r="D24" s="85"/>
      <c r="E24" s="70" t="b">
        <v>0</v>
      </c>
    </row>
    <row r="25" spans="1:7" ht="103.7" customHeight="1" x14ac:dyDescent="0.2">
      <c r="A25" s="8" t="s">
        <v>286</v>
      </c>
      <c r="B25" s="85"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3.4%.</v>
      </c>
      <c r="C25" s="85"/>
      <c r="D25" s="85"/>
      <c r="E25" s="70" t="b">
        <v>0</v>
      </c>
    </row>
    <row r="26" spans="1:7" ht="103.7" customHeight="1" x14ac:dyDescent="0.2">
      <c r="A26" s="8" t="s">
        <v>288</v>
      </c>
      <c r="B26" s="85"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4.1%.</v>
      </c>
      <c r="C26" s="85"/>
      <c r="D26" s="85"/>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theme="6" tint="0.79998168889431442"/>
  </sheetPr>
  <dimension ref="A1:AJ81"/>
  <sheetViews>
    <sheetView topLeftCell="A7" zoomScale="130" zoomScaleNormal="130" workbookViewId="0">
      <selection activeCell="F6" sqref="F6"/>
    </sheetView>
  </sheetViews>
  <sheetFormatPr defaultColWidth="8.85546875" defaultRowHeight="12.75" x14ac:dyDescent="0.2"/>
  <cols>
    <col min="1" max="1" width="14.140625" customWidth="1"/>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172</v>
      </c>
      <c r="B1" s="80"/>
      <c r="C1" s="80"/>
      <c r="D1" s="80"/>
      <c r="E1" s="80"/>
      <c r="F1" s="80"/>
      <c r="G1" s="80"/>
      <c r="AE1" s="3"/>
      <c r="AF1" s="5"/>
      <c r="AG1" s="5"/>
      <c r="AH1" s="1"/>
    </row>
    <row r="2" spans="1:36" x14ac:dyDescent="0.2">
      <c r="AE2" s="1"/>
      <c r="AF2" s="1"/>
      <c r="AG2" s="1"/>
      <c r="AI2" s="8"/>
      <c r="AJ2" s="10"/>
    </row>
    <row r="3" spans="1:36" x14ac:dyDescent="0.2">
      <c r="A3" t="s">
        <v>98</v>
      </c>
      <c r="B3" s="42">
        <v>75000</v>
      </c>
      <c r="C3" s="32" t="s">
        <v>155</v>
      </c>
      <c r="D3" t="s">
        <v>97</v>
      </c>
      <c r="E3" s="39">
        <v>3.1E-2</v>
      </c>
      <c r="F3" t="s">
        <v>155</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259</v>
      </c>
      <c r="E5" s="64">
        <v>0.1</v>
      </c>
      <c r="F5" s="53" t="b">
        <v>1</v>
      </c>
      <c r="AE5" s="7"/>
      <c r="AF5" s="7"/>
    </row>
    <row r="6" spans="1:36" x14ac:dyDescent="0.2">
      <c r="D6" s="8" t="s">
        <v>287</v>
      </c>
      <c r="E6" s="64">
        <f>E3</f>
        <v>3.1E-2</v>
      </c>
      <c r="F6" s="53" t="b">
        <v>0</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22376.712328767127</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67500</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67500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67500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67500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27924.657534246577</v>
      </c>
      <c r="AE15" s="7"/>
      <c r="AF15" s="7"/>
    </row>
    <row r="16" spans="1:36" x14ac:dyDescent="0.2">
      <c r="D16" s="38"/>
      <c r="AE16" s="7"/>
      <c r="AF16" s="7"/>
    </row>
    <row r="17" spans="1:32" x14ac:dyDescent="0.2">
      <c r="A17" s="19" t="s">
        <v>146</v>
      </c>
      <c r="D17" s="38"/>
      <c r="G17" s="30">
        <f>SUM(G9:G15)</f>
        <v>320301.36986301368</v>
      </c>
      <c r="AE17" s="7"/>
      <c r="AF17" s="7"/>
    </row>
    <row r="18" spans="1:32" x14ac:dyDescent="0.2">
      <c r="AE18" s="7"/>
      <c r="AF18" s="7"/>
    </row>
    <row r="19" spans="1:32" x14ac:dyDescent="0.2">
      <c r="A19" s="88" t="s">
        <v>147</v>
      </c>
      <c r="B19" s="88"/>
      <c r="C19" s="88"/>
      <c r="D19" s="88"/>
      <c r="E19" s="88"/>
      <c r="F19" s="88"/>
      <c r="G19" s="88"/>
      <c r="AE19" s="7"/>
      <c r="AF19" s="7"/>
    </row>
    <row r="20" spans="1:32" x14ac:dyDescent="0.2">
      <c r="A20">
        <f>IF(1&gt;$E$4+1,"",1)</f>
        <v>1</v>
      </c>
      <c r="B20">
        <f>IF(A20="","",YEAR('Case Inputs'!$B$6)+A20)</f>
        <v>2027</v>
      </c>
      <c r="C20" s="7">
        <f t="shared" ref="C20:C51" si="0">IF(A20="","",$C$15*(1+$E$3)^A20)</f>
        <v>77325</v>
      </c>
      <c r="D20" s="10">
        <f>IF(A20="","",IFERROR(INDEX('Discount Rates'!$C:$C,MATCH(TEXT(B20,"0"),'Discount Rates'!$A:$A,0))/100-IF($F$6=TRUE,$E$6,0),0))</f>
        <v>2.2690000000000002E-2</v>
      </c>
      <c r="E20" s="7">
        <f t="shared" ref="E20:E51" si="1">IF(A20="","",C20/((1+D20)^A20))</f>
        <v>75609.422210053875</v>
      </c>
      <c r="F20" s="26">
        <f t="shared" ref="F20:F51" si="2">IF(A20="","",IF(A20&lt;=$E$4,1,IF(A20=$E$4+1,$B$5,0)))</f>
        <v>1</v>
      </c>
      <c r="G20" s="7">
        <f t="shared" ref="G20:G51" si="3">IF(A20="","",E20*F20*IF($F$5,1-$E$5,1))</f>
        <v>68048.479989048486</v>
      </c>
      <c r="AE20" s="7"/>
      <c r="AF20" s="7"/>
    </row>
    <row r="21" spans="1:32" x14ac:dyDescent="0.2">
      <c r="A21">
        <f>IF(2&gt;$E$4+1,"",2)</f>
        <v>2</v>
      </c>
      <c r="B21">
        <f>IF(A21="","",YEAR('Case Inputs'!$B$6)+A21)</f>
        <v>2028</v>
      </c>
      <c r="C21" s="7">
        <f t="shared" si="0"/>
        <v>79722.074999999983</v>
      </c>
      <c r="D21" s="10">
        <f>IF(A21="","",IFERROR(INDEX('Discount Rates'!$C:$C,MATCH(TEXT(B21,"0"),'Discount Rates'!$A:$A,0))/100-IF($F$6=TRUE,$E$6,0),0))</f>
        <v>2.29E-2</v>
      </c>
      <c r="E21" s="7">
        <f t="shared" si="1"/>
        <v>76192.502285213821</v>
      </c>
      <c r="F21" s="26">
        <f t="shared" si="2"/>
        <v>1</v>
      </c>
      <c r="G21" s="7">
        <f t="shared" si="3"/>
        <v>68573.252056692436</v>
      </c>
      <c r="AE21" s="7"/>
      <c r="AF21" s="7"/>
    </row>
    <row r="22" spans="1:32" x14ac:dyDescent="0.2">
      <c r="A22">
        <f>IF(3&gt;$E$4+1,"",3)</f>
        <v>3</v>
      </c>
      <c r="B22">
        <f>IF(A22="","",YEAR('Case Inputs'!$B$6)+A22)</f>
        <v>2029</v>
      </c>
      <c r="C22" s="7">
        <f t="shared" si="0"/>
        <v>82193.459324999974</v>
      </c>
      <c r="D22" s="10">
        <f>IF(A22="","",IFERROR(INDEX('Discount Rates'!$C:$C,MATCH(TEXT(B22,"0"),'Discount Rates'!$A:$A,0))/100-IF($F$6=TRUE,$E$6,0),0))</f>
        <v>2.3189999999999999E-2</v>
      </c>
      <c r="E22" s="7">
        <f t="shared" si="1"/>
        <v>76730.565389241994</v>
      </c>
      <c r="F22" s="26">
        <f t="shared" si="2"/>
        <v>1</v>
      </c>
      <c r="G22" s="7">
        <f t="shared" si="3"/>
        <v>69057.508850317798</v>
      </c>
      <c r="AE22" s="7"/>
      <c r="AF22" s="7"/>
    </row>
    <row r="23" spans="1:32" x14ac:dyDescent="0.2">
      <c r="A23">
        <f>IF(4&gt;$E$4+1,"",4)</f>
        <v>4</v>
      </c>
      <c r="B23">
        <f>IF(A23="","",YEAR('Case Inputs'!$B$6)+A23)</f>
        <v>2030</v>
      </c>
      <c r="C23" s="7">
        <f t="shared" si="0"/>
        <v>84741.456564074979</v>
      </c>
      <c r="D23" s="10">
        <f>IF(A23="","",IFERROR(INDEX('Discount Rates'!$C:$C,MATCH(TEXT(B23,"0"),'Discount Rates'!$A:$A,0))/100-IF($F$6=TRUE,$E$6,0),0))</f>
        <v>2.3900000000000001E-2</v>
      </c>
      <c r="E23" s="7">
        <f t="shared" si="1"/>
        <v>77102.019330322117</v>
      </c>
      <c r="F23" s="26">
        <f t="shared" si="2"/>
        <v>1</v>
      </c>
      <c r="G23" s="7">
        <f t="shared" si="3"/>
        <v>69391.817397289909</v>
      </c>
      <c r="AE23" s="7"/>
      <c r="AF23" s="7"/>
    </row>
    <row r="24" spans="1:32" x14ac:dyDescent="0.2">
      <c r="A24">
        <f>IF(5&gt;$E$4+1,"",5)</f>
        <v>5</v>
      </c>
      <c r="B24">
        <f>IF(A24="","",YEAR('Case Inputs'!$B$6)+A24)</f>
        <v>2031</v>
      </c>
      <c r="C24" s="7">
        <f t="shared" si="0"/>
        <v>87368.441717561305</v>
      </c>
      <c r="D24" s="10">
        <f>IF(A24="","",IFERROR(INDEX('Discount Rates'!$C:$C,MATCH(TEXT(B24,"0"),'Discount Rates'!$A:$A,0))/100-IF($F$6=TRUE,$E$6,0),0))</f>
        <v>2.4540000000000003E-2</v>
      </c>
      <c r="E24" s="7">
        <f t="shared" si="1"/>
        <v>77394.481674438459</v>
      </c>
      <c r="F24" s="26">
        <f t="shared" si="2"/>
        <v>1</v>
      </c>
      <c r="G24" s="7">
        <f t="shared" si="3"/>
        <v>69655.033506994616</v>
      </c>
      <c r="AE24" s="7"/>
      <c r="AF24" s="7"/>
    </row>
    <row r="25" spans="1:32" x14ac:dyDescent="0.2">
      <c r="A25">
        <f>IF(6&gt;$E$4+1,"",6)</f>
        <v>6</v>
      </c>
      <c r="B25">
        <f>IF(A25="","",YEAR('Case Inputs'!$B$6)+A25)</f>
        <v>2032</v>
      </c>
      <c r="C25" s="7">
        <f t="shared" si="0"/>
        <v>90076.863410805701</v>
      </c>
      <c r="D25" s="10">
        <f>IF(A25="","",IFERROR(INDEX('Discount Rates'!$C:$C,MATCH(TEXT(B25,"0"),'Discount Rates'!$A:$A,0))/100-IF($F$6=TRUE,$E$6,0),0))</f>
        <v>2.5499999999999998E-2</v>
      </c>
      <c r="E25" s="7">
        <f t="shared" si="1"/>
        <v>77446.049043288396</v>
      </c>
      <c r="F25" s="26">
        <f t="shared" si="2"/>
        <v>1</v>
      </c>
      <c r="G25" s="7">
        <f t="shared" si="3"/>
        <v>69701.444138959559</v>
      </c>
      <c r="AE25" s="7"/>
      <c r="AF25" s="7"/>
    </row>
    <row r="26" spans="1:32" x14ac:dyDescent="0.2">
      <c r="A26">
        <f>IF(7&gt;$E$4+1,"",7)</f>
        <v>7</v>
      </c>
      <c r="B26">
        <f>IF(A26="","",YEAR('Case Inputs'!$B$6)+A26)</f>
        <v>2033</v>
      </c>
      <c r="C26" s="7">
        <f t="shared" si="0"/>
        <v>92869.246176540662</v>
      </c>
      <c r="D26" s="10">
        <f>IF(A26="","",IFERROR(INDEX('Discount Rates'!$C:$C,MATCH(TEXT(B26,"0"),'Discount Rates'!$A:$A,0))/100-IF($F$6=TRUE,$E$6,0),0))</f>
        <v>2.6619999999999998E-2</v>
      </c>
      <c r="E26" s="7">
        <f t="shared" si="1"/>
        <v>77268.748055544376</v>
      </c>
      <c r="F26" s="26">
        <f t="shared" si="2"/>
        <v>1</v>
      </c>
      <c r="G26" s="7">
        <f t="shared" si="3"/>
        <v>69541.873249989934</v>
      </c>
      <c r="AE26" s="7"/>
      <c r="AF26" s="7"/>
    </row>
    <row r="27" spans="1:32" x14ac:dyDescent="0.2">
      <c r="A27">
        <f>IF(8&gt;$E$4+1,"",8)</f>
        <v>8</v>
      </c>
      <c r="B27">
        <f>IF(A27="","",YEAR('Case Inputs'!$B$6)+A27)</f>
        <v>2034</v>
      </c>
      <c r="C27" s="7">
        <f t="shared" si="0"/>
        <v>95748.192808013424</v>
      </c>
      <c r="D27" s="10">
        <f>IF(A27="","",IFERROR(INDEX('Discount Rates'!$C:$C,MATCH(TEXT(B27,"0"),'Discount Rates'!$A:$A,0))/100-IF($F$6=TRUE,$E$6,0),0))</f>
        <v>2.7370000000000002E-2</v>
      </c>
      <c r="E27" s="7">
        <f t="shared" si="1"/>
        <v>77146.37907943879</v>
      </c>
      <c r="F27" s="26">
        <f t="shared" si="2"/>
        <v>1</v>
      </c>
      <c r="G27" s="7">
        <f t="shared" si="3"/>
        <v>69431.741171494912</v>
      </c>
      <c r="AE27" s="7"/>
      <c r="AF27" s="7"/>
    </row>
    <row r="28" spans="1:32" x14ac:dyDescent="0.2">
      <c r="A28">
        <f>IF(9&gt;$E$4+1,"",9)</f>
        <v>9</v>
      </c>
      <c r="B28">
        <f>IF(A28="","",YEAR('Case Inputs'!$B$6)+A28)</f>
        <v>2035</v>
      </c>
      <c r="C28" s="7">
        <f t="shared" si="0"/>
        <v>98716.386785061826</v>
      </c>
      <c r="D28" s="10">
        <f>IF(A28="","",IFERROR(INDEX('Discount Rates'!$C:$C,MATCH(TEXT(B28,"0"),'Discount Rates'!$A:$A,0))/100-IF($F$6=TRUE,$E$6,0),0))</f>
        <v>2.8370000000000003E-2</v>
      </c>
      <c r="E28" s="7">
        <f t="shared" si="1"/>
        <v>76744.040769068306</v>
      </c>
      <c r="F28" s="26">
        <f t="shared" si="2"/>
        <v>1</v>
      </c>
      <c r="G28" s="7">
        <f t="shared" si="3"/>
        <v>69069.636692161483</v>
      </c>
      <c r="AE28" s="7"/>
      <c r="AF28" s="7"/>
    </row>
    <row r="29" spans="1:32" x14ac:dyDescent="0.2">
      <c r="A29">
        <f>IF(10&gt;$E$4+1,"",10)</f>
        <v>10</v>
      </c>
      <c r="B29">
        <f>IF(A29="","",YEAR('Case Inputs'!$B$6)+A29)</f>
        <v>2036</v>
      </c>
      <c r="C29" s="7">
        <f t="shared" si="0"/>
        <v>101776.59477539874</v>
      </c>
      <c r="D29" s="10">
        <f>IF(A29="","",IFERROR(INDEX('Discount Rates'!$C:$C,MATCH(TEXT(B29,"0"),'Discount Rates'!$A:$A,0))/100-IF($F$6=TRUE,$E$6,0),0))</f>
        <v>2.955E-2</v>
      </c>
      <c r="E29" s="7">
        <f t="shared" si="1"/>
        <v>76063.00638143628</v>
      </c>
      <c r="F29" s="26">
        <f t="shared" si="2"/>
        <v>1</v>
      </c>
      <c r="G29" s="7">
        <f t="shared" si="3"/>
        <v>68456.705743292652</v>
      </c>
      <c r="AE29" s="7"/>
      <c r="AF29" s="7"/>
    </row>
    <row r="30" spans="1:32" x14ac:dyDescent="0.2">
      <c r="A30">
        <f>IF(11&gt;$E$4+1,"",11)</f>
        <v>11</v>
      </c>
      <c r="B30">
        <f>IF(A30="","",YEAR('Case Inputs'!$B$6)+A30)</f>
        <v>2037</v>
      </c>
      <c r="C30" s="7">
        <f t="shared" si="0"/>
        <v>104931.66921343609</v>
      </c>
      <c r="D30" s="10">
        <f>IF(A30="","",IFERROR(INDEX('Discount Rates'!$C:$C,MATCH(TEXT(B30,"0"),'Discount Rates'!$A:$A,0))/100-IF($F$6=TRUE,$E$6,0),0))</f>
        <v>3.073E-2</v>
      </c>
      <c r="E30" s="7">
        <f t="shared" si="1"/>
        <v>75216.392242877497</v>
      </c>
      <c r="F30" s="26">
        <f t="shared" si="2"/>
        <v>1</v>
      </c>
      <c r="G30" s="7">
        <f t="shared" si="3"/>
        <v>67694.753018589749</v>
      </c>
      <c r="AE30" s="7"/>
      <c r="AF30" s="7"/>
    </row>
    <row r="31" spans="1:32" x14ac:dyDescent="0.2">
      <c r="A31">
        <f>IF(12&gt;$E$4+1,"",12)</f>
        <v>12</v>
      </c>
      <c r="B31">
        <f>IF(A31="","",YEAR('Case Inputs'!$B$6)+A31)</f>
        <v>2038</v>
      </c>
      <c r="C31" s="7">
        <f t="shared" si="0"/>
        <v>108184.55095905262</v>
      </c>
      <c r="D31" s="10">
        <f>IF(A31="","",IFERROR(INDEX('Discount Rates'!$C:$C,MATCH(TEXT(B31,"0"),'Discount Rates'!$A:$A,0))/100-IF($F$6=TRUE,$E$6,0),0))</f>
        <v>3.1850000000000003E-2</v>
      </c>
      <c r="E31" s="7">
        <f t="shared" si="1"/>
        <v>74261.962963492464</v>
      </c>
      <c r="F31" s="26">
        <f t="shared" si="2"/>
        <v>1</v>
      </c>
      <c r="G31" s="7">
        <f t="shared" si="3"/>
        <v>66835.766667143223</v>
      </c>
      <c r="AE31" s="7"/>
      <c r="AF31" s="7"/>
    </row>
    <row r="32" spans="1:32" x14ac:dyDescent="0.2">
      <c r="A32">
        <f>IF(13&gt;$E$4+1,"",13)</f>
        <v>13</v>
      </c>
      <c r="B32">
        <f>IF(A32="","",YEAR('Case Inputs'!$B$6)+A32)</f>
        <v>2039</v>
      </c>
      <c r="C32" s="7">
        <f t="shared" si="0"/>
        <v>111538.27203878324</v>
      </c>
      <c r="D32" s="10">
        <f>IF(A32="","",IFERROR(INDEX('Discount Rates'!$C:$C,MATCH(TEXT(B32,"0"),'Discount Rates'!$A:$A,0))/100-IF($F$6=TRUE,$E$6,0),0))</f>
        <v>3.2639999999999995E-2</v>
      </c>
      <c r="E32" s="7">
        <f t="shared" si="1"/>
        <v>73466.211315754772</v>
      </c>
      <c r="F32" s="26">
        <f t="shared" si="2"/>
        <v>1</v>
      </c>
      <c r="G32" s="7">
        <f t="shared" si="3"/>
        <v>66119.590184179295</v>
      </c>
      <c r="AE32" s="7"/>
      <c r="AF32" s="7"/>
    </row>
    <row r="33" spans="1:32" x14ac:dyDescent="0.2">
      <c r="A33">
        <f>IF(14&gt;$E$4+1,"",14)</f>
        <v>14</v>
      </c>
      <c r="B33">
        <f>IF(A33="","",YEAR('Case Inputs'!$B$6)+A33)</f>
        <v>2040</v>
      </c>
      <c r="C33" s="7">
        <f t="shared" si="0"/>
        <v>114995.9584719855</v>
      </c>
      <c r="D33" s="10">
        <f>IF(A33="","",IFERROR(INDEX('Discount Rates'!$C:$C,MATCH(TEXT(B33,"0"),'Discount Rates'!$A:$A,0))/100-IF($F$6=TRUE,$E$6,0),0))</f>
        <v>3.3780000000000004E-2</v>
      </c>
      <c r="E33" s="7">
        <f t="shared" si="1"/>
        <v>72225.210377206022</v>
      </c>
      <c r="F33" s="26">
        <f t="shared" si="2"/>
        <v>1</v>
      </c>
      <c r="G33" s="7">
        <f t="shared" si="3"/>
        <v>65002.68933948542</v>
      </c>
      <c r="AE33" s="7"/>
      <c r="AF33" s="7"/>
    </row>
    <row r="34" spans="1:32" x14ac:dyDescent="0.2">
      <c r="A34">
        <f>IF(15&gt;$E$4+1,"",15)</f>
        <v>15</v>
      </c>
      <c r="B34">
        <f>IF(A34="","",YEAR('Case Inputs'!$B$6)+A34)</f>
        <v>2041</v>
      </c>
      <c r="C34" s="7">
        <f t="shared" si="0"/>
        <v>118560.83318461705</v>
      </c>
      <c r="D34" s="10">
        <f>IF(A34="","",IFERROR(INDEX('Discount Rates'!$C:$C,MATCH(TEXT(B34,"0"),'Discount Rates'!$A:$A,0))/100-IF($F$6=TRUE,$E$6,0),0))</f>
        <v>3.4390000000000004E-2</v>
      </c>
      <c r="E34" s="7">
        <f t="shared" si="1"/>
        <v>71396.437577473131</v>
      </c>
      <c r="F34" s="26">
        <f t="shared" si="2"/>
        <v>0.29256673511293485</v>
      </c>
      <c r="G34" s="7">
        <f t="shared" si="3"/>
        <v>18799.400376662194</v>
      </c>
      <c r="AE34" s="7"/>
      <c r="AF34" s="7"/>
    </row>
    <row r="35" spans="1:32"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1134263.4286948503</v>
      </c>
      <c r="F71" s="29"/>
      <c r="G71" s="29">
        <f>SUM(G20:G70)</f>
        <v>975379.69238230144</v>
      </c>
      <c r="AE71" s="2"/>
      <c r="AF71" s="2"/>
    </row>
    <row r="72" spans="1:32" x14ac:dyDescent="0.2">
      <c r="AE72" s="2"/>
      <c r="AF72" s="2"/>
    </row>
    <row r="73" spans="1:32" x14ac:dyDescent="0.2">
      <c r="A73" s="28" t="s">
        <v>148</v>
      </c>
      <c r="B73" s="37"/>
      <c r="C73" s="37"/>
      <c r="D73" s="37"/>
      <c r="E73" s="37"/>
      <c r="F73" s="37"/>
      <c r="G73" s="29">
        <f>G17+G71</f>
        <v>1295681.0622453152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rgb="FF70AD47"/>
  </sheetPr>
  <dimension ref="A1:AJ81"/>
  <sheetViews>
    <sheetView zoomScale="130" zoomScaleNormal="130" workbookViewId="0">
      <selection activeCell="C30" sqref="C30"/>
    </sheetView>
  </sheetViews>
  <sheetFormatPr defaultColWidth="8.85546875" defaultRowHeight="12.75" x14ac:dyDescent="0.2"/>
  <cols>
    <col min="2" max="2" width="16" customWidth="1"/>
    <col min="3" max="3" width="12.42578125" bestFit="1" customWidth="1"/>
    <col min="4" max="4" width="9.140625" customWidth="1"/>
    <col min="5" max="5" width="13" customWidth="1"/>
    <col min="6" max="6" width="11" customWidth="1"/>
    <col min="7" max="7" width="13.28515625" customWidth="1"/>
    <col min="8" max="8" width="11.140625" bestFit="1" customWidth="1"/>
    <col min="11" max="11" width="11.140625" customWidth="1"/>
  </cols>
  <sheetData>
    <row r="1" spans="1:36" ht="30" customHeight="1" x14ac:dyDescent="0.25">
      <c r="A1" s="80" t="s">
        <v>173</v>
      </c>
      <c r="B1" s="80"/>
      <c r="C1" s="80"/>
      <c r="D1" s="80"/>
      <c r="E1" s="80"/>
      <c r="F1" s="80"/>
      <c r="G1" s="80"/>
      <c r="AE1" s="3"/>
      <c r="AF1" s="5"/>
      <c r="AG1" s="5"/>
      <c r="AH1" s="1"/>
    </row>
    <row r="2" spans="1:36" x14ac:dyDescent="0.2">
      <c r="AE2" s="1"/>
      <c r="AF2" s="1"/>
      <c r="AG2" s="1"/>
      <c r="AI2" s="8"/>
      <c r="AJ2" s="10"/>
    </row>
    <row r="3" spans="1:36" x14ac:dyDescent="0.2">
      <c r="A3" t="s">
        <v>98</v>
      </c>
      <c r="B3" s="42">
        <v>141416</v>
      </c>
      <c r="C3" s="32" t="s">
        <v>155</v>
      </c>
      <c r="D3" t="s">
        <v>97</v>
      </c>
      <c r="E3" s="39">
        <v>3.56E-2</v>
      </c>
      <c r="F3" t="s">
        <v>155</v>
      </c>
      <c r="AE3" s="4"/>
      <c r="AF3" s="2"/>
      <c r="AG3" s="2"/>
    </row>
    <row r="4" spans="1:36" x14ac:dyDescent="0.2">
      <c r="A4" t="s">
        <v>141</v>
      </c>
      <c r="B4" s="26">
        <f>'Case Inputs'!B21</f>
        <v>19.037645448323069</v>
      </c>
      <c r="D4" t="s">
        <v>99</v>
      </c>
      <c r="E4" s="27">
        <f>'Case Inputs'!B22</f>
        <v>19</v>
      </c>
      <c r="AE4" s="2"/>
      <c r="AF4" s="2"/>
      <c r="AG4" s="2"/>
    </row>
    <row r="5" spans="1:36" x14ac:dyDescent="0.2">
      <c r="A5" t="s">
        <v>100</v>
      </c>
      <c r="B5" s="26">
        <f>'Case Inputs'!B23</f>
        <v>3.764544832306882E-2</v>
      </c>
      <c r="D5" t="s">
        <v>259</v>
      </c>
      <c r="E5" s="64">
        <v>0.22</v>
      </c>
      <c r="F5" s="53" t="b">
        <v>0</v>
      </c>
      <c r="AE5" s="7"/>
      <c r="AF5" s="7"/>
    </row>
    <row r="6" spans="1:36" x14ac:dyDescent="0.2">
      <c r="D6" t="s">
        <v>287</v>
      </c>
      <c r="E6" s="64">
        <f>E3</f>
        <v>3.56E-2</v>
      </c>
      <c r="F6" s="53" t="b">
        <v>0</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AE15" s="7"/>
      <c r="AF15" s="7"/>
    </row>
    <row r="16" spans="1:36" x14ac:dyDescent="0.2">
      <c r="D16" s="38"/>
      <c r="AE16" s="7"/>
      <c r="AF16" s="7"/>
    </row>
    <row r="17" spans="1:32" x14ac:dyDescent="0.2">
      <c r="A17" s="19" t="s">
        <v>146</v>
      </c>
      <c r="D17" s="38"/>
      <c r="G17" s="30">
        <f>SUM(G9:G15)</f>
        <v>671047.97808219178</v>
      </c>
      <c r="AE17" s="7"/>
      <c r="AF17" s="7"/>
    </row>
    <row r="18" spans="1:32" x14ac:dyDescent="0.2">
      <c r="AE18" s="7"/>
      <c r="AF18" s="7"/>
    </row>
    <row r="19" spans="1:32" x14ac:dyDescent="0.2">
      <c r="A19" s="88" t="s">
        <v>149</v>
      </c>
      <c r="B19" s="88"/>
      <c r="C19" s="88"/>
      <c r="D19" s="88"/>
      <c r="E19" s="88"/>
      <c r="F19" s="88"/>
      <c r="G19" s="88"/>
      <c r="AE19" s="7"/>
      <c r="AF19" s="7"/>
    </row>
    <row r="20" spans="1:32" x14ac:dyDescent="0.2">
      <c r="A20">
        <f>IF(1&gt;$E$4+1,"",1)</f>
        <v>1</v>
      </c>
      <c r="B20">
        <f>IF(A20="","",YEAR('Case Inputs'!$B$6)+A20)</f>
        <v>2027</v>
      </c>
      <c r="C20" s="7">
        <f t="shared" ref="C20:C51" si="0">IF(A20="","",$C$15*(1+$E$3)^A20)</f>
        <v>146450.40960000001</v>
      </c>
      <c r="D20" s="10">
        <f>IF(A20="","",IFERROR(INDEX('Discount Rates'!$C:$C,MATCH(TEXT(B20,"0"),'Discount Rates'!$A:$A,0))/100-IF($F$6=TRUE,$E$6,0),0))</f>
        <v>2.2690000000000002E-2</v>
      </c>
      <c r="E20" s="7">
        <f t="shared" ref="E20:E51" si="1">IF(A20="","",C20/((1+D20)^A20))</f>
        <v>143201.17494059785</v>
      </c>
      <c r="F20" s="26">
        <f t="shared" ref="F20:F51" si="2">IF(A20="","",IF(A20&lt;=$E$4,1,IF(A20=$E$4+1,$B$5,0)))</f>
        <v>1</v>
      </c>
      <c r="G20" s="7">
        <f t="shared" ref="G20:G51" si="3">IF(A20="","",E20*F20*IF($F$5,1-$E$5,1))</f>
        <v>143201.17494059785</v>
      </c>
      <c r="AE20" s="7"/>
      <c r="AF20" s="7"/>
    </row>
    <row r="21" spans="1:32" x14ac:dyDescent="0.2">
      <c r="A21">
        <f>IF(2&gt;$E$4+1,"",2)</f>
        <v>2</v>
      </c>
      <c r="B21">
        <f>IF(A21="","",YEAR('Case Inputs'!$B$6)+A21)</f>
        <v>2028</v>
      </c>
      <c r="C21" s="7">
        <f t="shared" si="0"/>
        <v>151664.04418176002</v>
      </c>
      <c r="D21" s="10">
        <f>IF(A21="","",IFERROR(INDEX('Discount Rates'!$C:$C,MATCH(TEXT(B21,"0"),'Discount Rates'!$A:$A,0))/100-IF($F$6=TRUE,$E$6,0),0))</f>
        <v>2.29E-2</v>
      </c>
      <c r="E21" s="7">
        <f t="shared" si="1"/>
        <v>144949.35101605827</v>
      </c>
      <c r="F21" s="26">
        <f t="shared" si="2"/>
        <v>1</v>
      </c>
      <c r="G21" s="7">
        <f t="shared" si="3"/>
        <v>144949.35101605827</v>
      </c>
      <c r="AE21" s="7"/>
      <c r="AF21" s="7"/>
    </row>
    <row r="22" spans="1:32" x14ac:dyDescent="0.2">
      <c r="A22">
        <f>IF(3&gt;$E$4+1,"",3)</f>
        <v>3</v>
      </c>
      <c r="B22">
        <f>IF(A22="","",YEAR('Case Inputs'!$B$6)+A22)</f>
        <v>2029</v>
      </c>
      <c r="C22" s="7">
        <f t="shared" si="0"/>
        <v>157063.28415463067</v>
      </c>
      <c r="D22" s="10">
        <f>IF(A22="","",IFERROR(INDEX('Discount Rates'!$C:$C,MATCH(TEXT(B22,"0"),'Discount Rates'!$A:$A,0))/100-IF($F$6=TRUE,$E$6,0),0))</f>
        <v>2.3189999999999999E-2</v>
      </c>
      <c r="E22" s="7">
        <f t="shared" si="1"/>
        <v>146624.25324408244</v>
      </c>
      <c r="F22" s="26">
        <f t="shared" si="2"/>
        <v>1</v>
      </c>
      <c r="G22" s="7">
        <f t="shared" si="3"/>
        <v>146624.25324408244</v>
      </c>
      <c r="AE22" s="7"/>
      <c r="AF22" s="7"/>
    </row>
    <row r="23" spans="1:32" x14ac:dyDescent="0.2">
      <c r="A23">
        <f>IF(4&gt;$E$4+1,"",4)</f>
        <v>4</v>
      </c>
      <c r="B23">
        <f>IF(A23="","",YEAR('Case Inputs'!$B$6)+A23)</f>
        <v>2030</v>
      </c>
      <c r="C23" s="7">
        <f t="shared" si="0"/>
        <v>162654.73707053554</v>
      </c>
      <c r="D23" s="10">
        <f>IF(A23="","",IFERROR(INDEX('Discount Rates'!$C:$C,MATCH(TEXT(B23,"0"),'Discount Rates'!$A:$A,0))/100-IF($F$6=TRUE,$E$6,0),0))</f>
        <v>2.3900000000000001E-2</v>
      </c>
      <c r="E23" s="7">
        <f t="shared" si="1"/>
        <v>147991.42226565751</v>
      </c>
      <c r="F23" s="26">
        <f t="shared" si="2"/>
        <v>1</v>
      </c>
      <c r="G23" s="7">
        <f t="shared" si="3"/>
        <v>147991.42226565751</v>
      </c>
      <c r="AE23" s="7"/>
      <c r="AF23" s="7"/>
    </row>
    <row r="24" spans="1:32" x14ac:dyDescent="0.2">
      <c r="A24">
        <f>IF(5&gt;$E$4+1,"",5)</f>
        <v>5</v>
      </c>
      <c r="B24">
        <f>IF(A24="","",YEAR('Case Inputs'!$B$6)+A24)</f>
        <v>2031</v>
      </c>
      <c r="C24" s="7">
        <f t="shared" si="0"/>
        <v>168445.24571024661</v>
      </c>
      <c r="D24" s="10">
        <f>IF(A24="","",IFERROR(INDEX('Discount Rates'!$C:$C,MATCH(TEXT(B24,"0"),'Discount Rates'!$A:$A,0))/100-IF($F$6=TRUE,$E$6,0),0))</f>
        <v>2.4540000000000003E-2</v>
      </c>
      <c r="E24" s="7">
        <f t="shared" si="1"/>
        <v>149215.57745544115</v>
      </c>
      <c r="F24" s="26">
        <f t="shared" si="2"/>
        <v>1</v>
      </c>
      <c r="G24" s="7">
        <f t="shared" si="3"/>
        <v>149215.57745544115</v>
      </c>
      <c r="AE24" s="7"/>
      <c r="AF24" s="7"/>
    </row>
    <row r="25" spans="1:32" x14ac:dyDescent="0.2">
      <c r="A25">
        <f>IF(6&gt;$E$4+1,"",6)</f>
        <v>6</v>
      </c>
      <c r="B25">
        <f>IF(A25="","",YEAR('Case Inputs'!$B$6)+A25)</f>
        <v>2032</v>
      </c>
      <c r="C25" s="7">
        <f t="shared" si="0"/>
        <v>174441.8964575314</v>
      </c>
      <c r="D25" s="10">
        <f>IF(A25="","",IFERROR(INDEX('Discount Rates'!$C:$C,MATCH(TEXT(B25,"0"),'Discount Rates'!$A:$A,0))/100-IF($F$6=TRUE,$E$6,0),0))</f>
        <v>2.5499999999999998E-2</v>
      </c>
      <c r="E25" s="7">
        <f t="shared" si="1"/>
        <v>149981.19557783759</v>
      </c>
      <c r="F25" s="26">
        <f t="shared" si="2"/>
        <v>1</v>
      </c>
      <c r="G25" s="7">
        <f t="shared" si="3"/>
        <v>149981.19557783759</v>
      </c>
      <c r="AE25" s="7"/>
      <c r="AF25" s="7"/>
    </row>
    <row r="26" spans="1:32" x14ac:dyDescent="0.2">
      <c r="A26">
        <f>IF(7&gt;$E$4+1,"",7)</f>
        <v>7</v>
      </c>
      <c r="B26">
        <f>IF(A26="","",YEAR('Case Inputs'!$B$6)+A26)</f>
        <v>2033</v>
      </c>
      <c r="C26" s="7">
        <f t="shared" si="0"/>
        <v>180652.02797141953</v>
      </c>
      <c r="D26" s="10">
        <f>IF(A26="","",IFERROR(INDEX('Discount Rates'!$C:$C,MATCH(TEXT(B26,"0"),'Discount Rates'!$A:$A,0))/100-IF($F$6=TRUE,$E$6,0),0))</f>
        <v>2.6619999999999998E-2</v>
      </c>
      <c r="E26" s="7">
        <f t="shared" si="1"/>
        <v>150305.47366037348</v>
      </c>
      <c r="F26" s="26">
        <f t="shared" si="2"/>
        <v>1</v>
      </c>
      <c r="G26" s="7">
        <f t="shared" si="3"/>
        <v>150305.47366037348</v>
      </c>
      <c r="AE26" s="7"/>
      <c r="AF26" s="7"/>
    </row>
    <row r="27" spans="1:32" x14ac:dyDescent="0.2">
      <c r="A27">
        <f>IF(8&gt;$E$4+1,"",8)</f>
        <v>8</v>
      </c>
      <c r="B27">
        <f>IF(A27="","",YEAR('Case Inputs'!$B$6)+A27)</f>
        <v>2034</v>
      </c>
      <c r="C27" s="7">
        <f t="shared" si="0"/>
        <v>187083.24016720205</v>
      </c>
      <c r="D27" s="10">
        <f>IF(A27="","",IFERROR(INDEX('Discount Rates'!$C:$C,MATCH(TEXT(B27,"0"),'Discount Rates'!$A:$A,0))/100-IF($F$6=TRUE,$E$6,0),0))</f>
        <v>2.7370000000000002E-2</v>
      </c>
      <c r="E27" s="7">
        <f t="shared" si="1"/>
        <v>150736.99191678883</v>
      </c>
      <c r="F27" s="26">
        <f t="shared" si="2"/>
        <v>1</v>
      </c>
      <c r="G27" s="7">
        <f t="shared" si="3"/>
        <v>150736.99191678883</v>
      </c>
      <c r="AE27" s="7"/>
      <c r="AF27" s="7"/>
    </row>
    <row r="28" spans="1:32" x14ac:dyDescent="0.2">
      <c r="A28">
        <f>IF(9&gt;$E$4+1,"",9)</f>
        <v>9</v>
      </c>
      <c r="B28">
        <f>IF(A28="","",YEAR('Case Inputs'!$B$6)+A28)</f>
        <v>2035</v>
      </c>
      <c r="C28" s="7">
        <f t="shared" si="0"/>
        <v>193743.40351715445</v>
      </c>
      <c r="D28" s="10">
        <f>IF(A28="","",IFERROR(INDEX('Discount Rates'!$C:$C,MATCH(TEXT(B28,"0"),'Discount Rates'!$A:$A,0))/100-IF($F$6=TRUE,$E$6,0),0))</f>
        <v>2.8370000000000003E-2</v>
      </c>
      <c r="E28" s="7">
        <f t="shared" si="1"/>
        <v>150619.89343909558</v>
      </c>
      <c r="F28" s="26">
        <f t="shared" si="2"/>
        <v>1</v>
      </c>
      <c r="G28" s="7">
        <f t="shared" si="3"/>
        <v>150619.89343909558</v>
      </c>
      <c r="AE28" s="7"/>
      <c r="AF28" s="7"/>
    </row>
    <row r="29" spans="1:32" x14ac:dyDescent="0.2">
      <c r="A29">
        <f>IF(10&gt;$E$4+1,"",10)</f>
        <v>10</v>
      </c>
      <c r="B29">
        <f>IF(A29="","",YEAR('Case Inputs'!$B$6)+A29)</f>
        <v>2036</v>
      </c>
      <c r="C29" s="7">
        <f t="shared" si="0"/>
        <v>200640.66868236515</v>
      </c>
      <c r="D29" s="10">
        <f>IF(A29="","",IFERROR(INDEX('Discount Rates'!$C:$C,MATCH(TEXT(B29,"0"),'Discount Rates'!$A:$A,0))/100-IF($F$6=TRUE,$E$6,0),0))</f>
        <v>2.955E-2</v>
      </c>
      <c r="E29" s="7">
        <f t="shared" si="1"/>
        <v>149949.33261464673</v>
      </c>
      <c r="F29" s="26">
        <f t="shared" si="2"/>
        <v>1</v>
      </c>
      <c r="G29" s="7">
        <f t="shared" si="3"/>
        <v>149949.33261464673</v>
      </c>
      <c r="AE29" s="7"/>
      <c r="AF29" s="7"/>
    </row>
    <row r="30" spans="1:32" x14ac:dyDescent="0.2">
      <c r="A30">
        <f>IF(11&gt;$E$4+1,"",11)</f>
        <v>11</v>
      </c>
      <c r="B30">
        <f>IF(A30="","",YEAR('Case Inputs'!$B$6)+A30)</f>
        <v>2037</v>
      </c>
      <c r="C30" s="7">
        <f t="shared" si="0"/>
        <v>207783.4764874574</v>
      </c>
      <c r="D30" s="10">
        <f>IF(A30="","",IFERROR(INDEX('Discount Rates'!$C:$C,MATCH(TEXT(B30,"0"),'Discount Rates'!$A:$A,0))/100-IF($F$6=TRUE,$E$6,0),0))</f>
        <v>3.073E-2</v>
      </c>
      <c r="E30" s="7">
        <f t="shared" si="1"/>
        <v>148941.91225796408</v>
      </c>
      <c r="F30" s="26">
        <f t="shared" si="2"/>
        <v>1</v>
      </c>
      <c r="G30" s="7">
        <f t="shared" si="3"/>
        <v>148941.91225796408</v>
      </c>
      <c r="AE30" s="7"/>
      <c r="AF30" s="7"/>
    </row>
    <row r="31" spans="1:32" x14ac:dyDescent="0.2">
      <c r="A31">
        <f>IF(12&gt;$E$4+1,"",12)</f>
        <v>12</v>
      </c>
      <c r="B31">
        <f>IF(A31="","",YEAR('Case Inputs'!$B$6)+A31)</f>
        <v>2038</v>
      </c>
      <c r="C31" s="7">
        <f t="shared" si="0"/>
        <v>215180.56825041087</v>
      </c>
      <c r="D31" s="10">
        <f>IF(A31="","",IFERROR(INDEX('Discount Rates'!$C:$C,MATCH(TEXT(B31,"0"),'Discount Rates'!$A:$A,0))/100-IF($F$6=TRUE,$E$6,0),0))</f>
        <v>3.1850000000000003E-2</v>
      </c>
      <c r="E31" s="7">
        <f t="shared" si="1"/>
        <v>147708.07151497569</v>
      </c>
      <c r="F31" s="26">
        <f t="shared" si="2"/>
        <v>1</v>
      </c>
      <c r="G31" s="7">
        <f t="shared" si="3"/>
        <v>147708.07151497569</v>
      </c>
      <c r="AE31" s="7"/>
      <c r="AF31" s="7"/>
    </row>
    <row r="32" spans="1:32" x14ac:dyDescent="0.2">
      <c r="A32">
        <f>IF(13&gt;$E$4+1,"",13)</f>
        <v>13</v>
      </c>
      <c r="B32">
        <f>IF(A32="","",YEAR('Case Inputs'!$B$6)+A32)</f>
        <v>2039</v>
      </c>
      <c r="C32" s="7">
        <f t="shared" si="0"/>
        <v>222840.99648012553</v>
      </c>
      <c r="D32" s="10">
        <f>IF(A32="","",IFERROR(INDEX('Discount Rates'!$C:$C,MATCH(TEXT(B32,"0"),'Discount Rates'!$A:$A,0))/100-IF($F$6=TRUE,$E$6,0),0))</f>
        <v>3.2639999999999995E-2</v>
      </c>
      <c r="E32" s="7">
        <f t="shared" si="1"/>
        <v>146777.27597868623</v>
      </c>
      <c r="F32" s="26">
        <f t="shared" si="2"/>
        <v>1</v>
      </c>
      <c r="G32" s="7">
        <f t="shared" si="3"/>
        <v>146777.27597868623</v>
      </c>
      <c r="AE32" s="7"/>
      <c r="AF32" s="7"/>
    </row>
    <row r="33" spans="1:32" x14ac:dyDescent="0.2">
      <c r="A33">
        <f>IF(14&gt;$E$4+1,"",14)</f>
        <v>14</v>
      </c>
      <c r="B33">
        <f>IF(A33="","",YEAR('Case Inputs'!$B$6)+A33)</f>
        <v>2040</v>
      </c>
      <c r="C33" s="7">
        <f t="shared" si="0"/>
        <v>230774.13595481799</v>
      </c>
      <c r="D33" s="10">
        <f>IF(A33="","",IFERROR(INDEX('Discount Rates'!$C:$C,MATCH(TEXT(B33,"0"),'Discount Rates'!$A:$A,0))/100-IF($F$6=TRUE,$E$6,0),0))</f>
        <v>3.3780000000000004E-2</v>
      </c>
      <c r="E33" s="7">
        <f t="shared" si="1"/>
        <v>144941.70699933896</v>
      </c>
      <c r="F33" s="26">
        <f t="shared" si="2"/>
        <v>1</v>
      </c>
      <c r="G33" s="7">
        <f t="shared" si="3"/>
        <v>144941.70699933896</v>
      </c>
      <c r="AE33" s="7"/>
      <c r="AF33" s="7"/>
    </row>
    <row r="34" spans="1:32" x14ac:dyDescent="0.2">
      <c r="A34">
        <f>IF(15&gt;$E$4+1,"",15)</f>
        <v>15</v>
      </c>
      <c r="B34">
        <f>IF(A34="","",YEAR('Case Inputs'!$B$6)+A34)</f>
        <v>2041</v>
      </c>
      <c r="C34" s="7">
        <f t="shared" si="0"/>
        <v>238989.69519480952</v>
      </c>
      <c r="D34" s="10">
        <f>IF(A34="","",IFERROR(INDEX('Discount Rates'!$C:$C,MATCH(TEXT(B34,"0"),'Discount Rates'!$A:$A,0))/100-IF($F$6=TRUE,$E$6,0),0))</f>
        <v>3.4390000000000004E-2</v>
      </c>
      <c r="E34" s="7">
        <f t="shared" si="1"/>
        <v>143917.7879938299</v>
      </c>
      <c r="F34" s="26">
        <f t="shared" si="2"/>
        <v>1</v>
      </c>
      <c r="G34" s="7">
        <f t="shared" si="3"/>
        <v>143917.7879938299</v>
      </c>
      <c r="AE34" s="7"/>
      <c r="AF34" s="7"/>
    </row>
    <row r="35" spans="1:32" x14ac:dyDescent="0.2">
      <c r="A35">
        <f>IF(16&gt;$E$4+1,"",16)</f>
        <v>16</v>
      </c>
      <c r="B35">
        <f>IF(A35="","",YEAR('Case Inputs'!$B$6)+A35)</f>
        <v>2042</v>
      </c>
      <c r="C35" s="7">
        <f t="shared" si="0"/>
        <v>247497.72834374473</v>
      </c>
      <c r="D35" s="10">
        <f>IF(A35="","",IFERROR(INDEX('Discount Rates'!$C:$C,MATCH(TEXT(B35,"0"),'Discount Rates'!$A:$A,0))/100-IF($F$6=TRUE,$E$6,0),0))</f>
        <v>3.5479999999999998E-2</v>
      </c>
      <c r="E35" s="7">
        <f t="shared" si="1"/>
        <v>141678.44335135867</v>
      </c>
      <c r="F35" s="26">
        <f t="shared" si="2"/>
        <v>1</v>
      </c>
      <c r="G35" s="7">
        <f t="shared" si="3"/>
        <v>141678.44335135867</v>
      </c>
      <c r="AE35" s="7"/>
      <c r="AF35" s="7"/>
    </row>
    <row r="36" spans="1:32" x14ac:dyDescent="0.2">
      <c r="A36">
        <f>IF(17&gt;$E$4+1,"",17)</f>
        <v>17</v>
      </c>
      <c r="B36">
        <f>IF(A36="","",YEAR('Case Inputs'!$B$6)+A36)</f>
        <v>2043</v>
      </c>
      <c r="C36" s="7">
        <f t="shared" si="0"/>
        <v>256308.64747278206</v>
      </c>
      <c r="D36" s="10">
        <f>IF(A36="","",IFERROR(INDEX('Discount Rates'!$C:$C,MATCH(TEXT(B36,"0"),'Discount Rates'!$A:$A,0))/100-IF($F$6=TRUE,$E$6,0),0))</f>
        <v>3.6799999999999999E-2</v>
      </c>
      <c r="E36" s="7">
        <f t="shared" si="1"/>
        <v>138659.12456849538</v>
      </c>
      <c r="F36" s="26">
        <f t="shared" si="2"/>
        <v>1</v>
      </c>
      <c r="G36" s="7">
        <f t="shared" si="3"/>
        <v>138659.12456849538</v>
      </c>
      <c r="AE36" s="7"/>
      <c r="AF36" s="7"/>
    </row>
    <row r="37" spans="1:32" x14ac:dyDescent="0.2">
      <c r="A37">
        <f>IF(18&gt;$E$4+1,"",18)</f>
        <v>18</v>
      </c>
      <c r="B37">
        <f>IF(A37="","",YEAR('Case Inputs'!$B$6)+A37)</f>
        <v>2044</v>
      </c>
      <c r="C37" s="7">
        <f t="shared" si="0"/>
        <v>265433.2353228131</v>
      </c>
      <c r="D37" s="10">
        <f>IF(A37="","",IFERROR(INDEX('Discount Rates'!$C:$C,MATCH(TEXT(B37,"0"),'Discount Rates'!$A:$A,0))/100-IF($F$6=TRUE,$E$6,0),0))</f>
        <v>3.8120000000000001E-2</v>
      </c>
      <c r="E37" s="7">
        <f t="shared" si="1"/>
        <v>135362.77700974117</v>
      </c>
      <c r="F37" s="26">
        <f t="shared" si="2"/>
        <v>1</v>
      </c>
      <c r="G37" s="7">
        <f t="shared" si="3"/>
        <v>135362.77700974117</v>
      </c>
      <c r="AE37" s="7"/>
      <c r="AF37" s="7"/>
    </row>
    <row r="38" spans="1:32" x14ac:dyDescent="0.2">
      <c r="A38">
        <f>IF(19&gt;$E$4+1,"",19)</f>
        <v>19</v>
      </c>
      <c r="B38">
        <f>IF(A38="","",YEAR('Case Inputs'!$B$6)+A38)</f>
        <v>2045</v>
      </c>
      <c r="C38" s="7">
        <f t="shared" si="0"/>
        <v>274882.65850030532</v>
      </c>
      <c r="D38" s="10">
        <f>IF(A38="","",IFERROR(INDEX('Discount Rates'!$C:$C,MATCH(TEXT(B38,"0"),'Discount Rates'!$A:$A,0))/100-IF($F$6=TRUE,$E$6,0),0))</f>
        <v>3.9480000000000001E-2</v>
      </c>
      <c r="E38" s="7">
        <f t="shared" si="1"/>
        <v>131716.66470935624</v>
      </c>
      <c r="F38" s="26">
        <f t="shared" si="2"/>
        <v>1</v>
      </c>
      <c r="G38" s="7">
        <f t="shared" si="3"/>
        <v>131716.66470935624</v>
      </c>
      <c r="AE38" s="7"/>
      <c r="AF38" s="7"/>
    </row>
    <row r="39" spans="1:32" x14ac:dyDescent="0.2">
      <c r="A39">
        <f>IF(20&gt;$E$4+1,"",20)</f>
        <v>20</v>
      </c>
      <c r="B39">
        <f>IF(A39="","",YEAR('Case Inputs'!$B$6)+A39)</f>
        <v>2046</v>
      </c>
      <c r="C39" s="7">
        <f t="shared" si="0"/>
        <v>284668.48114291619</v>
      </c>
      <c r="D39" s="10">
        <f>IF(A39="","",IFERROR(INDEX('Discount Rates'!$C:$C,MATCH(TEXT(B39,"0"),'Discount Rates'!$A:$A,0))/100-IF($F$6=TRUE,$E$6,0),0))</f>
        <v>4.0719999999999999E-2</v>
      </c>
      <c r="E39" s="7">
        <f t="shared" si="1"/>
        <v>128133.11095647769</v>
      </c>
      <c r="F39" s="26">
        <f t="shared" si="2"/>
        <v>3.764544832306882E-2</v>
      </c>
      <c r="G39" s="7">
        <f t="shared" si="3"/>
        <v>4823.628406986124</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2891411.5414708033</v>
      </c>
      <c r="F71" s="29"/>
      <c r="G71" s="29">
        <f>SUM(G20:G70)</f>
        <v>2768102.058921312</v>
      </c>
      <c r="AE71" s="2"/>
      <c r="AF71" s="2"/>
    </row>
    <row r="72" spans="1:32" x14ac:dyDescent="0.2">
      <c r="AE72" s="2"/>
      <c r="AF72" s="2"/>
    </row>
    <row r="73" spans="1:32" x14ac:dyDescent="0.2">
      <c r="A73" s="28" t="s">
        <v>148</v>
      </c>
      <c r="B73" s="37"/>
      <c r="C73" s="37"/>
      <c r="D73" s="37"/>
      <c r="E73" s="37"/>
      <c r="F73" s="37"/>
      <c r="G73" s="29">
        <f>G17+G71</f>
        <v>3439150.0370035036</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F6" xr:uid="{3A081477-9080-48BD-BBAF-D7AF08E647C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theme="6" tint="0.79998168889431442"/>
  </sheetPr>
  <dimension ref="A1:AJ81"/>
  <sheetViews>
    <sheetView zoomScale="130" zoomScaleNormal="130" workbookViewId="0">
      <selection activeCell="F5" sqref="F5:F6"/>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160</v>
      </c>
      <c r="B1" s="80"/>
      <c r="C1" s="80"/>
      <c r="D1" s="80"/>
      <c r="E1" s="80"/>
      <c r="F1" s="80"/>
      <c r="G1" s="80"/>
      <c r="AE1" s="3"/>
      <c r="AF1" s="5"/>
      <c r="AG1" s="5"/>
      <c r="AH1" s="1"/>
    </row>
    <row r="2" spans="1:36" x14ac:dyDescent="0.2">
      <c r="AE2" s="1"/>
      <c r="AF2" s="1"/>
      <c r="AG2" s="1"/>
      <c r="AI2" s="8"/>
      <c r="AJ2" s="10"/>
    </row>
    <row r="3" spans="1:36" x14ac:dyDescent="0.2">
      <c r="A3" t="s">
        <v>98</v>
      </c>
      <c r="B3" s="42">
        <v>141416</v>
      </c>
      <c r="C3" s="32" t="s">
        <v>155</v>
      </c>
      <c r="D3" t="s">
        <v>97</v>
      </c>
      <c r="E3" s="39">
        <v>3.1E-2</v>
      </c>
      <c r="F3" t="s">
        <v>155</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259</v>
      </c>
      <c r="F5" s="53" t="b">
        <v>0</v>
      </c>
      <c r="AE5" s="7"/>
      <c r="AF5" s="7"/>
    </row>
    <row r="6" spans="1:36" x14ac:dyDescent="0.2">
      <c r="D6" t="s">
        <v>287</v>
      </c>
      <c r="E6">
        <f>E3</f>
        <v>3.1E-2</v>
      </c>
      <c r="F6" s="53" t="b">
        <v>0</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AE15" s="7"/>
      <c r="AF15" s="7"/>
    </row>
    <row r="16" spans="1:36" x14ac:dyDescent="0.2">
      <c r="D16" s="38"/>
      <c r="AE16" s="7"/>
      <c r="AF16" s="7"/>
    </row>
    <row r="17" spans="1:32" x14ac:dyDescent="0.2">
      <c r="A17" s="19" t="s">
        <v>146</v>
      </c>
      <c r="D17" s="38"/>
      <c r="G17" s="30">
        <f>SUM(G9:G15)</f>
        <v>671047.97808219178</v>
      </c>
      <c r="AE17" s="7"/>
      <c r="AF17" s="7"/>
    </row>
    <row r="18" spans="1:32" x14ac:dyDescent="0.2">
      <c r="AE18" s="7"/>
      <c r="AF18" s="7"/>
    </row>
    <row r="19" spans="1:32" x14ac:dyDescent="0.2">
      <c r="A19" s="88" t="s">
        <v>147</v>
      </c>
      <c r="B19" s="88"/>
      <c r="C19" s="88"/>
      <c r="D19" s="88"/>
      <c r="E19" s="88"/>
      <c r="F19" s="88"/>
      <c r="G19" s="88"/>
      <c r="AE19" s="7"/>
      <c r="AF19" s="7"/>
    </row>
    <row r="20" spans="1:32" x14ac:dyDescent="0.2">
      <c r="A20">
        <f>IF(1&gt;$E$4+1,"",1)</f>
        <v>1</v>
      </c>
      <c r="B20">
        <f>IF(A20="","",YEAR('Case Inputs'!$B$6)+A20)</f>
        <v>2027</v>
      </c>
      <c r="C20" s="7">
        <f t="shared" ref="C20:C51" si="0">IF(A20="","",$C$15*(1+$E$3)^A20)</f>
        <v>145799.89599999998</v>
      </c>
      <c r="D20" s="10">
        <f>IF(A20="","",IFERROR(INDEX('Discount Rates'!$C:$C,MATCH(TEXT(B20,"0"),'Discount Rates'!$A:$A,0))/100-IF($F$6=TRUE,$E$6,0),0))</f>
        <v>2.2690000000000002E-2</v>
      </c>
      <c r="E20" s="7">
        <f t="shared" ref="E20:E51" si="1">IF(A20="","",C20/((1+D20)^A20))</f>
        <v>142565.09401675969</v>
      </c>
      <c r="F20" s="26">
        <f t="shared" ref="F20:F51" si="2">IF(A20="","",IF(A20&lt;=$E$4,1,IF(A20=$E$4+1,$B$5,0)))</f>
        <v>1</v>
      </c>
      <c r="G20" s="7">
        <f t="shared" ref="G20:G51" si="3">IF(A20="","",E20*F20*IF($F$5,1-$E$5,1))</f>
        <v>142565.09401675969</v>
      </c>
      <c r="AE20" s="7"/>
      <c r="AF20" s="7"/>
    </row>
    <row r="21" spans="1:32" x14ac:dyDescent="0.2">
      <c r="A21">
        <f>IF(2&gt;$E$4+1,"",2)</f>
        <v>2</v>
      </c>
      <c r="B21">
        <f>IF(A21="","",YEAR('Case Inputs'!$B$6)+A21)</f>
        <v>2028</v>
      </c>
      <c r="C21" s="7">
        <f t="shared" si="0"/>
        <v>150319.69277599998</v>
      </c>
      <c r="D21" s="10">
        <f>IF(A21="","",IFERROR(INDEX('Discount Rates'!$C:$C,MATCH(TEXT(B21,"0"),'Discount Rates'!$A:$A,0))/100-IF($F$6=TRUE,$E$6,0),0))</f>
        <v>2.29E-2</v>
      </c>
      <c r="E21" s="7">
        <f t="shared" si="1"/>
        <v>143664.51870887732</v>
      </c>
      <c r="F21" s="26">
        <f t="shared" si="2"/>
        <v>1</v>
      </c>
      <c r="G21" s="7">
        <f t="shared" si="3"/>
        <v>143664.51870887732</v>
      </c>
      <c r="AE21" s="7"/>
      <c r="AF21" s="7"/>
    </row>
    <row r="22" spans="1:32" x14ac:dyDescent="0.2">
      <c r="A22">
        <f>IF(3&gt;$E$4+1,"",3)</f>
        <v>3</v>
      </c>
      <c r="B22">
        <f>IF(A22="","",YEAR('Case Inputs'!$B$6)+A22)</f>
        <v>2029</v>
      </c>
      <c r="C22" s="7">
        <f t="shared" si="0"/>
        <v>154979.60325205597</v>
      </c>
      <c r="D22" s="10">
        <f>IF(A22="","",IFERROR(INDEX('Discount Rates'!$C:$C,MATCH(TEXT(B22,"0"),'Discount Rates'!$A:$A,0))/100-IF($F$6=TRUE,$E$6,0),0))</f>
        <v>2.3189999999999999E-2</v>
      </c>
      <c r="E22" s="7">
        <f t="shared" si="1"/>
        <v>144679.06180113397</v>
      </c>
      <c r="F22" s="26">
        <f t="shared" si="2"/>
        <v>1</v>
      </c>
      <c r="G22" s="7">
        <f t="shared" si="3"/>
        <v>144679.06180113397</v>
      </c>
      <c r="AE22" s="7"/>
      <c r="AF22" s="7"/>
    </row>
    <row r="23" spans="1:32" x14ac:dyDescent="0.2">
      <c r="A23">
        <f>IF(4&gt;$E$4+1,"",4)</f>
        <v>4</v>
      </c>
      <c r="B23">
        <f>IF(A23="","",YEAR('Case Inputs'!$B$6)+A23)</f>
        <v>2030</v>
      </c>
      <c r="C23" s="7">
        <f t="shared" si="0"/>
        <v>159783.97095286968</v>
      </c>
      <c r="D23" s="10">
        <f>IF(A23="","",IFERROR(INDEX('Discount Rates'!$C:$C,MATCH(TEXT(B23,"0"),'Discount Rates'!$A:$A,0))/100-IF($F$6=TRUE,$E$6,0),0))</f>
        <v>2.3900000000000001E-2</v>
      </c>
      <c r="E23" s="7">
        <f t="shared" si="1"/>
        <v>145379.45554155778</v>
      </c>
      <c r="F23" s="26">
        <f t="shared" si="2"/>
        <v>1</v>
      </c>
      <c r="G23" s="7">
        <f t="shared" si="3"/>
        <v>145379.45554155778</v>
      </c>
      <c r="AE23" s="7"/>
      <c r="AF23" s="7"/>
    </row>
    <row r="24" spans="1:32" x14ac:dyDescent="0.2">
      <c r="A24">
        <f>IF(5&gt;$E$4+1,"",5)</f>
        <v>5</v>
      </c>
      <c r="B24">
        <f>IF(A24="","",YEAR('Case Inputs'!$B$6)+A24)</f>
        <v>2031</v>
      </c>
      <c r="C24" s="7">
        <f t="shared" si="0"/>
        <v>164737.27405240864</v>
      </c>
      <c r="D24" s="10">
        <f>IF(A24="","",IFERROR(INDEX('Discount Rates'!$C:$C,MATCH(TEXT(B24,"0"),'Discount Rates'!$A:$A,0))/100-IF($F$6=TRUE,$E$6,0),0))</f>
        <v>2.4540000000000003E-2</v>
      </c>
      <c r="E24" s="7">
        <f t="shared" si="1"/>
        <v>145930.90693963185</v>
      </c>
      <c r="F24" s="26">
        <f t="shared" si="2"/>
        <v>1</v>
      </c>
      <c r="G24" s="7">
        <f t="shared" si="3"/>
        <v>145930.90693963185</v>
      </c>
      <c r="AE24" s="7"/>
      <c r="AF24" s="7"/>
    </row>
    <row r="25" spans="1:32" x14ac:dyDescent="0.2">
      <c r="A25">
        <f>IF(6&gt;$E$4+1,"",6)</f>
        <v>6</v>
      </c>
      <c r="B25">
        <f>IF(A25="","",YEAR('Case Inputs'!$B$6)+A25)</f>
        <v>2032</v>
      </c>
      <c r="C25" s="7">
        <f t="shared" si="0"/>
        <v>169844.12954803332</v>
      </c>
      <c r="D25" s="10">
        <f>IF(A25="","",IFERROR(INDEX('Discount Rates'!$C:$C,MATCH(TEXT(B25,"0"),'Discount Rates'!$A:$A,0))/100-IF($F$6=TRUE,$E$6,0),0))</f>
        <v>2.5499999999999998E-2</v>
      </c>
      <c r="E25" s="7">
        <f t="shared" si="1"/>
        <v>146028.13962007561</v>
      </c>
      <c r="F25" s="26">
        <f t="shared" si="2"/>
        <v>1</v>
      </c>
      <c r="G25" s="7">
        <f t="shared" si="3"/>
        <v>146028.13962007561</v>
      </c>
      <c r="AE25" s="7"/>
      <c r="AF25" s="7"/>
    </row>
    <row r="26" spans="1:32" x14ac:dyDescent="0.2">
      <c r="A26">
        <f>IF(7&gt;$E$4+1,"",7)</f>
        <v>7</v>
      </c>
      <c r="B26">
        <f>IF(A26="","",YEAR('Case Inputs'!$B$6)+A26)</f>
        <v>2033</v>
      </c>
      <c r="C26" s="7">
        <f t="shared" si="0"/>
        <v>175109.29756402233</v>
      </c>
      <c r="D26" s="10">
        <f>IF(A26="","",IFERROR(INDEX('Discount Rates'!$C:$C,MATCH(TEXT(B26,"0"),'Discount Rates'!$A:$A,0))/100-IF($F$6=TRUE,$E$6,0),0))</f>
        <v>2.6619999999999998E-2</v>
      </c>
      <c r="E26" s="7">
        <f t="shared" si="1"/>
        <v>145693.83033363818</v>
      </c>
      <c r="F26" s="26">
        <f t="shared" si="2"/>
        <v>1</v>
      </c>
      <c r="G26" s="7">
        <f t="shared" si="3"/>
        <v>145693.83033363818</v>
      </c>
      <c r="AE26" s="7"/>
      <c r="AF26" s="7"/>
    </row>
    <row r="27" spans="1:32" x14ac:dyDescent="0.2">
      <c r="A27">
        <f>IF(8&gt;$E$4+1,"",8)</f>
        <v>8</v>
      </c>
      <c r="B27">
        <f>IF(A27="","",YEAR('Case Inputs'!$B$6)+A27)</f>
        <v>2034</v>
      </c>
      <c r="C27" s="7">
        <f t="shared" si="0"/>
        <v>180537.68578850702</v>
      </c>
      <c r="D27" s="10">
        <f>IF(A27="","",IFERROR(INDEX('Discount Rates'!$C:$C,MATCH(TEXT(B27,"0"),'Discount Rates'!$A:$A,0))/100-IF($F$6=TRUE,$E$6,0),0))</f>
        <v>2.7370000000000002E-2</v>
      </c>
      <c r="E27" s="7">
        <f t="shared" si="1"/>
        <v>145463.09791863887</v>
      </c>
      <c r="F27" s="26">
        <f t="shared" si="2"/>
        <v>1</v>
      </c>
      <c r="G27" s="7">
        <f t="shared" si="3"/>
        <v>145463.09791863887</v>
      </c>
      <c r="AE27" s="7"/>
      <c r="AF27" s="7"/>
    </row>
    <row r="28" spans="1:32" x14ac:dyDescent="0.2">
      <c r="A28">
        <f>IF(9&gt;$E$4+1,"",9)</f>
        <v>9</v>
      </c>
      <c r="B28">
        <f>IF(A28="","",YEAR('Case Inputs'!$B$6)+A28)</f>
        <v>2035</v>
      </c>
      <c r="C28" s="7">
        <f t="shared" si="0"/>
        <v>186134.35404795071</v>
      </c>
      <c r="D28" s="10">
        <f>IF(A28="","",IFERROR(INDEX('Discount Rates'!$C:$C,MATCH(TEXT(B28,"0"),'Discount Rates'!$A:$A,0))/100-IF($F$6=TRUE,$E$6,0),0))</f>
        <v>2.8370000000000003E-2</v>
      </c>
      <c r="E28" s="7">
        <f t="shared" si="1"/>
        <v>144704.47025864752</v>
      </c>
      <c r="F28" s="26">
        <f t="shared" si="2"/>
        <v>1</v>
      </c>
      <c r="G28" s="7">
        <f t="shared" si="3"/>
        <v>144704.47025864752</v>
      </c>
      <c r="AE28" s="7"/>
      <c r="AF28" s="7"/>
    </row>
    <row r="29" spans="1:32" x14ac:dyDescent="0.2">
      <c r="A29">
        <f>IF(10&gt;$E$4+1,"",10)</f>
        <v>10</v>
      </c>
      <c r="B29">
        <f>IF(A29="","",YEAR('Case Inputs'!$B$6)+A29)</f>
        <v>2036</v>
      </c>
      <c r="C29" s="7">
        <f t="shared" si="0"/>
        <v>191904.51902343717</v>
      </c>
      <c r="D29" s="10">
        <f>IF(A29="","",IFERROR(INDEX('Discount Rates'!$C:$C,MATCH(TEXT(B29,"0"),'Discount Rates'!$A:$A,0))/100-IF($F$6=TRUE,$E$6,0),0))</f>
        <v>2.955E-2</v>
      </c>
      <c r="E29" s="7">
        <f t="shared" si="1"/>
        <v>143420.34813916258</v>
      </c>
      <c r="F29" s="26">
        <f t="shared" si="2"/>
        <v>1</v>
      </c>
      <c r="G29" s="7">
        <f t="shared" si="3"/>
        <v>143420.34813916258</v>
      </c>
      <c r="AE29" s="7"/>
      <c r="AF29" s="7"/>
    </row>
    <row r="30" spans="1:32" x14ac:dyDescent="0.2">
      <c r="A30">
        <f>IF(11&gt;$E$4+1,"",11)</f>
        <v>11</v>
      </c>
      <c r="B30">
        <f>IF(A30="","",YEAR('Case Inputs'!$B$6)+A30)</f>
        <v>2037</v>
      </c>
      <c r="C30" s="7">
        <f t="shared" si="0"/>
        <v>197853.5591131637</v>
      </c>
      <c r="D30" s="10">
        <f>IF(A30="","",IFERROR(INDEX('Discount Rates'!$C:$C,MATCH(TEXT(B30,"0"),'Discount Rates'!$A:$A,0))/100-IF($F$6=TRUE,$E$6,0),0))</f>
        <v>3.073E-2</v>
      </c>
      <c r="E30" s="7">
        <f t="shared" si="1"/>
        <v>141824.01767225016</v>
      </c>
      <c r="F30" s="26">
        <f t="shared" si="2"/>
        <v>1</v>
      </c>
      <c r="G30" s="7">
        <f t="shared" si="3"/>
        <v>141824.01767225016</v>
      </c>
      <c r="AE30" s="7"/>
      <c r="AF30" s="7"/>
    </row>
    <row r="31" spans="1:32" x14ac:dyDescent="0.2">
      <c r="A31">
        <f>IF(12&gt;$E$4+1,"",12)</f>
        <v>12</v>
      </c>
      <c r="B31">
        <f>IF(A31="","",YEAR('Case Inputs'!$B$6)+A31)</f>
        <v>2038</v>
      </c>
      <c r="C31" s="7">
        <f t="shared" si="0"/>
        <v>203987.01944567179</v>
      </c>
      <c r="D31" s="10">
        <f>IF(A31="","",IFERROR(INDEX('Discount Rates'!$C:$C,MATCH(TEXT(B31,"0"),'Discount Rates'!$A:$A,0))/100-IF($F$6=TRUE,$E$6,0),0))</f>
        <v>3.1850000000000003E-2</v>
      </c>
      <c r="E31" s="7">
        <f t="shared" si="1"/>
        <v>140024.39672593668</v>
      </c>
      <c r="F31" s="26">
        <f t="shared" si="2"/>
        <v>1</v>
      </c>
      <c r="G31" s="7">
        <f t="shared" si="3"/>
        <v>140024.39672593668</v>
      </c>
      <c r="AE31" s="7"/>
      <c r="AF31" s="7"/>
    </row>
    <row r="32" spans="1:32" x14ac:dyDescent="0.2">
      <c r="A32">
        <f>IF(13&gt;$E$4+1,"",13)</f>
        <v>13</v>
      </c>
      <c r="B32">
        <f>IF(A32="","",YEAR('Case Inputs'!$B$6)+A32)</f>
        <v>2039</v>
      </c>
      <c r="C32" s="7">
        <f t="shared" si="0"/>
        <v>210310.61704848762</v>
      </c>
      <c r="D32" s="10">
        <f>IF(A32="","",IFERROR(INDEX('Discount Rates'!$C:$C,MATCH(TEXT(B32,"0"),'Discount Rates'!$A:$A,0))/100-IF($F$6=TRUE,$E$6,0),0))</f>
        <v>3.2639999999999995E-2</v>
      </c>
      <c r="E32" s="7">
        <f t="shared" si="1"/>
        <v>138523.96985905038</v>
      </c>
      <c r="F32" s="26">
        <f t="shared" si="2"/>
        <v>1</v>
      </c>
      <c r="G32" s="7">
        <f t="shared" si="3"/>
        <v>138523.96985905038</v>
      </c>
      <c r="AE32" s="7"/>
      <c r="AF32" s="7"/>
    </row>
    <row r="33" spans="1:32" x14ac:dyDescent="0.2">
      <c r="A33">
        <f>IF(14&gt;$E$4+1,"",14)</f>
        <v>14</v>
      </c>
      <c r="B33">
        <f>IF(A33="","",YEAR('Case Inputs'!$B$6)+A33)</f>
        <v>2040</v>
      </c>
      <c r="C33" s="7">
        <f t="shared" si="0"/>
        <v>216830.24617699068</v>
      </c>
      <c r="D33" s="10">
        <f>IF(A33="","",IFERROR(INDEX('Discount Rates'!$C:$C,MATCH(TEXT(B33,"0"),'Discount Rates'!$A:$A,0))/100-IF($F$6=TRUE,$E$6,0),0))</f>
        <v>3.3780000000000004E-2</v>
      </c>
      <c r="E33" s="7">
        <f t="shared" si="1"/>
        <v>136184.00467603956</v>
      </c>
      <c r="F33" s="26">
        <f t="shared" si="2"/>
        <v>1</v>
      </c>
      <c r="G33" s="7">
        <f t="shared" si="3"/>
        <v>136184.00467603956</v>
      </c>
      <c r="AE33" s="7"/>
      <c r="AF33" s="7"/>
    </row>
    <row r="34" spans="1:32" x14ac:dyDescent="0.2">
      <c r="A34">
        <f>IF(15&gt;$E$4+1,"",15)</f>
        <v>15</v>
      </c>
      <c r="B34">
        <f>IF(A34="","",YEAR('Case Inputs'!$B$6)+A34)</f>
        <v>2041</v>
      </c>
      <c r="C34" s="7">
        <f t="shared" si="0"/>
        <v>223551.98380847738</v>
      </c>
      <c r="D34" s="10">
        <f>IF(A34="","",IFERROR(INDEX('Discount Rates'!$C:$C,MATCH(TEXT(B34,"0"),'Discount Rates'!$A:$A,0))/100-IF($F$6=TRUE,$E$6,0),0))</f>
        <v>3.4390000000000004E-2</v>
      </c>
      <c r="E34" s="7">
        <f t="shared" si="1"/>
        <v>134621.3148860792</v>
      </c>
      <c r="F34" s="26">
        <f t="shared" si="2"/>
        <v>0.29256673511293485</v>
      </c>
      <c r="G34" s="7">
        <f t="shared" si="3"/>
        <v>39385.718572830527</v>
      </c>
      <c r="AE34" s="7"/>
      <c r="AF34" s="7"/>
    </row>
    <row r="35" spans="1:32"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2138706.6270974795</v>
      </c>
      <c r="F71" s="29"/>
      <c r="G71" s="29">
        <f>SUM(G20:G70)</f>
        <v>2043471.0307842309</v>
      </c>
      <c r="AE71" s="2"/>
      <c r="AF71" s="2"/>
    </row>
    <row r="72" spans="1:32" x14ac:dyDescent="0.2">
      <c r="AE72" s="2"/>
      <c r="AF72" s="2"/>
    </row>
    <row r="73" spans="1:32" x14ac:dyDescent="0.2">
      <c r="A73" s="28" t="s">
        <v>148</v>
      </c>
      <c r="B73" s="37"/>
      <c r="C73" s="37"/>
      <c r="D73" s="37"/>
      <c r="E73" s="37"/>
      <c r="F73" s="37"/>
      <c r="G73" s="29">
        <f>G17+G71</f>
        <v>2714519.0088664228</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rgb="FF4472C4"/>
  </sheetPr>
  <dimension ref="A1:AJ81"/>
  <sheetViews>
    <sheetView topLeftCell="C1" zoomScale="130" zoomScaleNormal="130" workbookViewId="0">
      <selection activeCell="F5" sqref="F5:F6"/>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161</v>
      </c>
      <c r="B1" s="80"/>
      <c r="C1" s="80"/>
      <c r="D1" s="80"/>
      <c r="E1" s="80"/>
      <c r="F1" s="80"/>
      <c r="G1" s="80"/>
      <c r="AE1" s="3"/>
      <c r="AF1" s="5"/>
      <c r="AG1" s="5"/>
      <c r="AH1" s="1"/>
    </row>
    <row r="2" spans="1:36" x14ac:dyDescent="0.2">
      <c r="AE2" s="1"/>
      <c r="AF2" s="1"/>
      <c r="AG2" s="1"/>
      <c r="AI2" s="8"/>
      <c r="AJ2" s="10"/>
    </row>
    <row r="3" spans="1:36" x14ac:dyDescent="0.2">
      <c r="A3" t="s">
        <v>98</v>
      </c>
      <c r="B3" s="42">
        <v>250000</v>
      </c>
      <c r="C3" s="32" t="s">
        <v>155</v>
      </c>
      <c r="D3" t="s">
        <v>97</v>
      </c>
      <c r="E3" s="39">
        <v>3.1E-2</v>
      </c>
      <c r="F3" t="s">
        <v>155</v>
      </c>
      <c r="AE3" s="4"/>
      <c r="AF3" s="2"/>
      <c r="AG3" s="2"/>
    </row>
    <row r="4" spans="1:36" x14ac:dyDescent="0.2">
      <c r="A4" t="s">
        <v>141</v>
      </c>
      <c r="B4" s="26">
        <f>'Case Inputs'!B21</f>
        <v>19.037645448323069</v>
      </c>
      <c r="D4" t="s">
        <v>99</v>
      </c>
      <c r="E4" s="27">
        <f>'Case Inputs'!B22</f>
        <v>19</v>
      </c>
      <c r="AE4" s="2"/>
      <c r="AF4" s="2"/>
      <c r="AG4" s="2"/>
    </row>
    <row r="5" spans="1:36" x14ac:dyDescent="0.2">
      <c r="A5" t="s">
        <v>100</v>
      </c>
      <c r="B5" s="26">
        <f>'Case Inputs'!B23</f>
        <v>3.764544832306882E-2</v>
      </c>
      <c r="D5" t="s">
        <v>259</v>
      </c>
      <c r="E5" s="64">
        <v>0.15</v>
      </c>
      <c r="F5" s="53" t="b">
        <v>1</v>
      </c>
      <c r="AE5" s="7"/>
      <c r="AF5" s="7"/>
    </row>
    <row r="6" spans="1:36" x14ac:dyDescent="0.2">
      <c r="D6" t="s">
        <v>287</v>
      </c>
      <c r="E6">
        <f>E3</f>
        <v>3.1E-2</v>
      </c>
      <c r="F6" s="53" t="b">
        <v>1</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70445.205479452052</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212500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212500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212500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212500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87910.95890410959</v>
      </c>
      <c r="AE15" s="7"/>
      <c r="AF15" s="7"/>
    </row>
    <row r="16" spans="1:36" x14ac:dyDescent="0.2">
      <c r="D16" s="38"/>
      <c r="AE16" s="7"/>
      <c r="AF16" s="7"/>
    </row>
    <row r="17" spans="1:32" x14ac:dyDescent="0.2">
      <c r="A17" s="19" t="s">
        <v>146</v>
      </c>
      <c r="D17" s="38"/>
      <c r="G17" s="30">
        <f>SUM(G9:G15)</f>
        <v>1008356.1643835616</v>
      </c>
      <c r="AE17" s="7"/>
      <c r="AF17" s="7"/>
    </row>
    <row r="18" spans="1:32" x14ac:dyDescent="0.2">
      <c r="AE18" s="7"/>
      <c r="AF18" s="7"/>
    </row>
    <row r="19" spans="1:32" x14ac:dyDescent="0.2">
      <c r="A19" s="89" t="s">
        <v>181</v>
      </c>
      <c r="B19" s="88"/>
      <c r="C19" s="88"/>
      <c r="D19" s="88"/>
      <c r="E19" s="88"/>
      <c r="F19" s="88"/>
      <c r="G19" s="88"/>
      <c r="AE19" s="7"/>
      <c r="AF19" s="7"/>
    </row>
    <row r="20" spans="1:32" x14ac:dyDescent="0.2">
      <c r="A20">
        <f>IF(1&gt;$E$4+1,"",1)</f>
        <v>1</v>
      </c>
      <c r="B20">
        <f>IF(A20="","",YEAR('Case Inputs'!$B$6)+A20)</f>
        <v>2027</v>
      </c>
      <c r="C20" s="7">
        <f t="shared" ref="C20:C51" si="0">IF(A20="","",$C$15*(1+$E$3)^A20)</f>
        <v>257749.99999999997</v>
      </c>
      <c r="D20" s="10">
        <f>IF(A20="","",IFERROR(INDEX('Discount Rates'!$C:$C,MATCH(TEXT(B20,"0"),'Discount Rates'!$A:$A,0))/100-IF($F$6=TRUE,$E$6,0),0))</f>
        <v>-8.3099999999999979E-3</v>
      </c>
      <c r="E20" s="7">
        <f t="shared" ref="E20:E51" si="1">IF(A20="","",C20/((1+D20)^A20))</f>
        <v>259909.85086065199</v>
      </c>
      <c r="F20" s="26">
        <f t="shared" ref="F20:F51" si="2">IF(A20="","",IF(A20&lt;=$E$4,1,IF(A20=$E$4+1,$B$5,0)))</f>
        <v>1</v>
      </c>
      <c r="G20" s="7">
        <f t="shared" ref="G20:G51" si="3">IF(A20="","",E20*F20*IF($F$5,1-$E$5,1))</f>
        <v>220923.3732315542</v>
      </c>
      <c r="AE20" s="7"/>
      <c r="AF20" s="7"/>
    </row>
    <row r="21" spans="1:32" x14ac:dyDescent="0.2">
      <c r="A21">
        <f>IF(2&gt;$E$4+1,"",2)</f>
        <v>2</v>
      </c>
      <c r="B21">
        <f>IF(A21="","",YEAR('Case Inputs'!$B$6)+A21)</f>
        <v>2028</v>
      </c>
      <c r="C21" s="7">
        <f t="shared" si="0"/>
        <v>265740.24999999994</v>
      </c>
      <c r="D21" s="10">
        <f>IF(A21="","",IFERROR(INDEX('Discount Rates'!$C:$C,MATCH(TEXT(B21,"0"),'Discount Rates'!$A:$A,0))/100-IF($F$6=TRUE,$E$6,0),0))</f>
        <v>-8.0999999999999996E-3</v>
      </c>
      <c r="E21" s="7">
        <f t="shared" si="1"/>
        <v>270098.11838021246</v>
      </c>
      <c r="F21" s="26">
        <f t="shared" si="2"/>
        <v>1</v>
      </c>
      <c r="G21" s="7">
        <f t="shared" si="3"/>
        <v>229583.40062318058</v>
      </c>
      <c r="AE21" s="7"/>
      <c r="AF21" s="7"/>
    </row>
    <row r="22" spans="1:32" x14ac:dyDescent="0.2">
      <c r="A22">
        <f>IF(3&gt;$E$4+1,"",3)</f>
        <v>3</v>
      </c>
      <c r="B22">
        <f>IF(A22="","",YEAR('Case Inputs'!$B$6)+A22)</f>
        <v>2029</v>
      </c>
      <c r="C22" s="7">
        <f t="shared" si="0"/>
        <v>273978.19774999993</v>
      </c>
      <c r="D22" s="10">
        <f>IF(A22="","",IFERROR(INDEX('Discount Rates'!$C:$C,MATCH(TEXT(B22,"0"),'Discount Rates'!$A:$A,0))/100-IF($F$6=TRUE,$E$6,0),0))</f>
        <v>-7.810000000000001E-3</v>
      </c>
      <c r="E22" s="7">
        <f t="shared" si="1"/>
        <v>280499.0971677287</v>
      </c>
      <c r="F22" s="26">
        <f t="shared" si="2"/>
        <v>1</v>
      </c>
      <c r="G22" s="7">
        <f t="shared" si="3"/>
        <v>238424.2325925694</v>
      </c>
      <c r="AE22" s="7"/>
      <c r="AF22" s="7"/>
    </row>
    <row r="23" spans="1:32" x14ac:dyDescent="0.2">
      <c r="A23">
        <f>IF(4&gt;$E$4+1,"",4)</f>
        <v>4</v>
      </c>
      <c r="B23">
        <f>IF(A23="","",YEAR('Case Inputs'!$B$6)+A23)</f>
        <v>2030</v>
      </c>
      <c r="C23" s="7">
        <f t="shared" si="0"/>
        <v>282471.52188024996</v>
      </c>
      <c r="D23" s="10">
        <f>IF(A23="","",IFERROR(INDEX('Discount Rates'!$C:$C,MATCH(TEXT(B23,"0"),'Discount Rates'!$A:$A,0))/100-IF($F$6=TRUE,$E$6,0),0))</f>
        <v>-7.0999999999999987E-3</v>
      </c>
      <c r="E23" s="7">
        <f t="shared" si="1"/>
        <v>290638.15440086392</v>
      </c>
      <c r="F23" s="26">
        <f t="shared" si="2"/>
        <v>1</v>
      </c>
      <c r="G23" s="7">
        <f t="shared" si="3"/>
        <v>247042.43124073432</v>
      </c>
      <c r="AE23" s="7"/>
      <c r="AF23" s="7"/>
    </row>
    <row r="24" spans="1:32" x14ac:dyDescent="0.2">
      <c r="A24">
        <f>IF(5&gt;$E$4+1,"",5)</f>
        <v>5</v>
      </c>
      <c r="B24">
        <f>IF(A24="","",YEAR('Case Inputs'!$B$6)+A24)</f>
        <v>2031</v>
      </c>
      <c r="C24" s="7">
        <f t="shared" si="0"/>
        <v>291228.13905853766</v>
      </c>
      <c r="D24" s="10">
        <f>IF(A24="","",IFERROR(INDEX('Discount Rates'!$C:$C,MATCH(TEXT(B24,"0"),'Discount Rates'!$A:$A,0))/100-IF($F$6=TRUE,$E$6,0),0))</f>
        <v>-6.459999999999997E-3</v>
      </c>
      <c r="E24" s="7">
        <f t="shared" si="1"/>
        <v>300819.89300067315</v>
      </c>
      <c r="F24" s="26">
        <f t="shared" si="2"/>
        <v>1</v>
      </c>
      <c r="G24" s="7">
        <f t="shared" si="3"/>
        <v>255696.90905057217</v>
      </c>
      <c r="AE24" s="7"/>
      <c r="AF24" s="7"/>
    </row>
    <row r="25" spans="1:32" x14ac:dyDescent="0.2">
      <c r="A25">
        <f>IF(6&gt;$E$4+1,"",6)</f>
        <v>6</v>
      </c>
      <c r="B25">
        <f>IF(A25="","",YEAR('Case Inputs'!$B$6)+A25)</f>
        <v>2032</v>
      </c>
      <c r="C25" s="7">
        <f t="shared" si="0"/>
        <v>300256.2113693523</v>
      </c>
      <c r="D25" s="10">
        <f>IF(A25="","",IFERROR(INDEX('Discount Rates'!$C:$C,MATCH(TEXT(B25,"0"),'Discount Rates'!$A:$A,0))/100-IF($F$6=TRUE,$E$6,0),0))</f>
        <v>-5.5000000000000014E-3</v>
      </c>
      <c r="E25" s="7">
        <f t="shared" si="1"/>
        <v>310358.23659352196</v>
      </c>
      <c r="F25" s="26">
        <f t="shared" si="2"/>
        <v>1</v>
      </c>
      <c r="G25" s="7">
        <f t="shared" si="3"/>
        <v>263804.50110449368</v>
      </c>
      <c r="AE25" s="7"/>
      <c r="AF25" s="7"/>
    </row>
    <row r="26" spans="1:32" x14ac:dyDescent="0.2">
      <c r="A26">
        <f>IF(7&gt;$E$4+1,"",7)</f>
        <v>7</v>
      </c>
      <c r="B26">
        <f>IF(A26="","",YEAR('Case Inputs'!$B$6)+A26)</f>
        <v>2033</v>
      </c>
      <c r="C26" s="7">
        <f t="shared" si="0"/>
        <v>309564.15392180218</v>
      </c>
      <c r="D26" s="10">
        <f>IF(A26="","",IFERROR(INDEX('Discount Rates'!$C:$C,MATCH(TEXT(B26,"0"),'Discount Rates'!$A:$A,0))/100-IF($F$6=TRUE,$E$6,0),0))</f>
        <v>-4.3800000000000019E-3</v>
      </c>
      <c r="E26" s="7">
        <f t="shared" si="1"/>
        <v>319223.88651518797</v>
      </c>
      <c r="F26" s="26">
        <f t="shared" si="2"/>
        <v>1</v>
      </c>
      <c r="G26" s="7">
        <f t="shared" si="3"/>
        <v>271340.30353790976</v>
      </c>
      <c r="AE26" s="7"/>
      <c r="AF26" s="7"/>
    </row>
    <row r="27" spans="1:32" x14ac:dyDescent="0.2">
      <c r="A27">
        <f>IF(8&gt;$E$4+1,"",8)</f>
        <v>8</v>
      </c>
      <c r="B27">
        <f>IF(A27="","",YEAR('Case Inputs'!$B$6)+A27)</f>
        <v>2034</v>
      </c>
      <c r="C27" s="7">
        <f t="shared" si="0"/>
        <v>319160.64269337809</v>
      </c>
      <c r="D27" s="10">
        <f>IF(A27="","",IFERROR(INDEX('Discount Rates'!$C:$C,MATCH(TEXT(B27,"0"),'Discount Rates'!$A:$A,0))/100-IF($F$6=TRUE,$E$6,0),0))</f>
        <v>-3.6299999999999978E-3</v>
      </c>
      <c r="E27" s="7">
        <f t="shared" si="1"/>
        <v>328582.31786515348</v>
      </c>
      <c r="F27" s="26">
        <f t="shared" si="2"/>
        <v>1</v>
      </c>
      <c r="G27" s="7">
        <f t="shared" si="3"/>
        <v>279294.97018538043</v>
      </c>
      <c r="AE27" s="7"/>
      <c r="AF27" s="7"/>
    </row>
    <row r="28" spans="1:32" x14ac:dyDescent="0.2">
      <c r="A28">
        <f>IF(9&gt;$E$4+1,"",9)</f>
        <v>9</v>
      </c>
      <c r="B28">
        <f>IF(A28="","",YEAR('Case Inputs'!$B$6)+A28)</f>
        <v>2035</v>
      </c>
      <c r="C28" s="7">
        <f t="shared" si="0"/>
        <v>329054.62261687272</v>
      </c>
      <c r="D28" s="10">
        <f>IF(A28="","",IFERROR(INDEX('Discount Rates'!$C:$C,MATCH(TEXT(B28,"0"),'Discount Rates'!$A:$A,0))/100-IF($F$6=TRUE,$E$6,0),0))</f>
        <v>-2.6299999999999969E-3</v>
      </c>
      <c r="E28" s="7">
        <f t="shared" si="1"/>
        <v>336946.76277369627</v>
      </c>
      <c r="F28" s="26">
        <f t="shared" si="2"/>
        <v>1</v>
      </c>
      <c r="G28" s="7">
        <f t="shared" si="3"/>
        <v>286404.7483576418</v>
      </c>
      <c r="AE28" s="7"/>
      <c r="AF28" s="7"/>
    </row>
    <row r="29" spans="1:32" x14ac:dyDescent="0.2">
      <c r="A29">
        <f>IF(10&gt;$E$4+1,"",10)</f>
        <v>10</v>
      </c>
      <c r="B29">
        <f>IF(A29="","",YEAR('Case Inputs'!$B$6)+A29)</f>
        <v>2036</v>
      </c>
      <c r="C29" s="7">
        <f t="shared" si="0"/>
        <v>339255.31591799582</v>
      </c>
      <c r="D29" s="10">
        <f>IF(A29="","",IFERROR(INDEX('Discount Rates'!$C:$C,MATCH(TEXT(B29,"0"),'Discount Rates'!$A:$A,0))/100-IF($F$6=TRUE,$E$6,0),0))</f>
        <v>-1.4499999999999999E-3</v>
      </c>
      <c r="E29" s="7">
        <f t="shared" si="1"/>
        <v>344213.97724973399</v>
      </c>
      <c r="F29" s="26">
        <f t="shared" si="2"/>
        <v>1</v>
      </c>
      <c r="G29" s="7">
        <f t="shared" si="3"/>
        <v>292581.88066227391</v>
      </c>
      <c r="AE29" s="7"/>
      <c r="AF29" s="7"/>
    </row>
    <row r="30" spans="1:32" x14ac:dyDescent="0.2">
      <c r="A30">
        <f>IF(11&gt;$E$4+1,"",11)</f>
        <v>11</v>
      </c>
      <c r="B30">
        <f>IF(A30="","",YEAR('Case Inputs'!$B$6)+A30)</f>
        <v>2037</v>
      </c>
      <c r="C30" s="7">
        <f t="shared" si="0"/>
        <v>349772.23071145365</v>
      </c>
      <c r="D30" s="10">
        <f>IF(A30="","",IFERROR(INDEX('Discount Rates'!$C:$C,MATCH(TEXT(B30,"0"),'Discount Rates'!$A:$A,0))/100-IF($F$6=TRUE,$E$6,0),0))</f>
        <v>-2.6999999999999941E-4</v>
      </c>
      <c r="E30" s="7">
        <f t="shared" si="1"/>
        <v>350812.73910162569</v>
      </c>
      <c r="F30" s="26">
        <f t="shared" si="2"/>
        <v>1</v>
      </c>
      <c r="G30" s="7">
        <f t="shared" si="3"/>
        <v>298190.82823638181</v>
      </c>
      <c r="AE30" s="7"/>
      <c r="AF30" s="7"/>
    </row>
    <row r="31" spans="1:32" x14ac:dyDescent="0.2">
      <c r="A31">
        <f>IF(12&gt;$E$4+1,"",12)</f>
        <v>12</v>
      </c>
      <c r="B31">
        <f>IF(A31="","",YEAR('Case Inputs'!$B$6)+A31)</f>
        <v>2038</v>
      </c>
      <c r="C31" s="7">
        <f t="shared" si="0"/>
        <v>360615.16986350872</v>
      </c>
      <c r="D31" s="10">
        <f>IF(A31="","",IFERROR(INDEX('Discount Rates'!$C:$C,MATCH(TEXT(B31,"0"),'Discount Rates'!$A:$A,0))/100-IF($F$6=TRUE,$E$6,0),0))</f>
        <v>8.5000000000000353E-4</v>
      </c>
      <c r="E31" s="7">
        <f t="shared" si="1"/>
        <v>356957.13724259753</v>
      </c>
      <c r="F31" s="26">
        <f t="shared" si="2"/>
        <v>1</v>
      </c>
      <c r="G31" s="7">
        <f t="shared" si="3"/>
        <v>303413.5666562079</v>
      </c>
      <c r="AE31" s="7"/>
      <c r="AF31" s="7"/>
    </row>
    <row r="32" spans="1:32" x14ac:dyDescent="0.2">
      <c r="A32">
        <f>IF(13&gt;$E$4+1,"",13)</f>
        <v>13</v>
      </c>
      <c r="B32">
        <f>IF(A32="","",YEAR('Case Inputs'!$B$6)+A32)</f>
        <v>2039</v>
      </c>
      <c r="C32" s="7">
        <f t="shared" si="0"/>
        <v>371794.24012927746</v>
      </c>
      <c r="D32" s="10">
        <f>IF(A32="","",IFERROR(INDEX('Discount Rates'!$C:$C,MATCH(TEXT(B32,"0"),'Discount Rates'!$A:$A,0))/100-IF($F$6=TRUE,$E$6,0),0))</f>
        <v>1.6399999999999956E-3</v>
      </c>
      <c r="E32" s="7">
        <f t="shared" si="1"/>
        <v>363957.84359282872</v>
      </c>
      <c r="F32" s="26">
        <f t="shared" si="2"/>
        <v>1</v>
      </c>
      <c r="G32" s="7">
        <f t="shared" si="3"/>
        <v>309364.16705390438</v>
      </c>
      <c r="AE32" s="7"/>
      <c r="AF32" s="7"/>
    </row>
    <row r="33" spans="1:32" x14ac:dyDescent="0.2">
      <c r="A33">
        <f>IF(14&gt;$E$4+1,"",14)</f>
        <v>14</v>
      </c>
      <c r="B33">
        <f>IF(A33="","",YEAR('Case Inputs'!$B$6)+A33)</f>
        <v>2040</v>
      </c>
      <c r="C33" s="7">
        <f t="shared" si="0"/>
        <v>383319.86157328502</v>
      </c>
      <c r="D33" s="10">
        <f>IF(A33="","",IFERROR(INDEX('Discount Rates'!$C:$C,MATCH(TEXT(B33,"0"),'Discount Rates'!$A:$A,0))/100-IF($F$6=TRUE,$E$6,0),0))</f>
        <v>2.7800000000000047E-3</v>
      </c>
      <c r="E33" s="7">
        <f t="shared" si="1"/>
        <v>368707.55173732754</v>
      </c>
      <c r="F33" s="26">
        <f t="shared" si="2"/>
        <v>1</v>
      </c>
      <c r="G33" s="7">
        <f t="shared" si="3"/>
        <v>313401.4189767284</v>
      </c>
      <c r="AE33" s="7"/>
      <c r="AF33" s="7"/>
    </row>
    <row r="34" spans="1:32" x14ac:dyDescent="0.2">
      <c r="A34">
        <f>IF(15&gt;$E$4+1,"",15)</f>
        <v>15</v>
      </c>
      <c r="B34">
        <f>IF(A34="","",YEAR('Case Inputs'!$B$6)+A34)</f>
        <v>2041</v>
      </c>
      <c r="C34" s="7">
        <f t="shared" si="0"/>
        <v>395202.77728205681</v>
      </c>
      <c r="D34" s="10">
        <f>IF(A34="","",IFERROR(INDEX('Discount Rates'!$C:$C,MATCH(TEXT(B34,"0"),'Discount Rates'!$A:$A,0))/100-IF($F$6=TRUE,$E$6,0),0))</f>
        <v>3.3900000000000041E-3</v>
      </c>
      <c r="E34" s="7">
        <f t="shared" si="1"/>
        <v>375641.40936673456</v>
      </c>
      <c r="F34" s="26">
        <f t="shared" si="2"/>
        <v>1</v>
      </c>
      <c r="G34" s="7">
        <f t="shared" si="3"/>
        <v>319295.19796172436</v>
      </c>
      <c r="AE34" s="7"/>
      <c r="AF34" s="7"/>
    </row>
    <row r="35" spans="1:32" x14ac:dyDescent="0.2">
      <c r="A35">
        <f>IF(16&gt;$E$4+1,"",16)</f>
        <v>16</v>
      </c>
      <c r="B35">
        <f>IF(A35="","",YEAR('Case Inputs'!$B$6)+A35)</f>
        <v>2042</v>
      </c>
      <c r="C35" s="7">
        <f t="shared" si="0"/>
        <v>407454.06337780063</v>
      </c>
      <c r="D35" s="10">
        <f>IF(A35="","",IFERROR(INDEX('Discount Rates'!$C:$C,MATCH(TEXT(B35,"0"),'Discount Rates'!$A:$A,0))/100-IF($F$6=TRUE,$E$6,0),0))</f>
        <v>4.4799999999999979E-3</v>
      </c>
      <c r="E35" s="7">
        <f t="shared" si="1"/>
        <v>379330.66194768099</v>
      </c>
      <c r="F35" s="26">
        <f t="shared" si="2"/>
        <v>1</v>
      </c>
      <c r="G35" s="7">
        <f t="shared" si="3"/>
        <v>322431.06265552883</v>
      </c>
      <c r="AE35" s="7"/>
      <c r="AF35" s="7"/>
    </row>
    <row r="36" spans="1:32" x14ac:dyDescent="0.2">
      <c r="A36">
        <f>IF(17&gt;$E$4+1,"",17)</f>
        <v>17</v>
      </c>
      <c r="B36">
        <f>IF(A36="","",YEAR('Case Inputs'!$B$6)+A36)</f>
        <v>2043</v>
      </c>
      <c r="C36" s="7">
        <f t="shared" si="0"/>
        <v>420085.13934251241</v>
      </c>
      <c r="D36" s="10">
        <f>IF(A36="","",IFERROR(INDEX('Discount Rates'!$C:$C,MATCH(TEXT(B36,"0"),'Discount Rates'!$A:$A,0))/100-IF($F$6=TRUE,$E$6,0),0))</f>
        <v>5.7999999999999996E-3</v>
      </c>
      <c r="E36" s="7">
        <f t="shared" si="1"/>
        <v>380749.71475423756</v>
      </c>
      <c r="F36" s="26">
        <f t="shared" si="2"/>
        <v>1</v>
      </c>
      <c r="G36" s="7">
        <f t="shared" si="3"/>
        <v>323637.25754110189</v>
      </c>
      <c r="AE36" s="7"/>
      <c r="AF36" s="7"/>
    </row>
    <row r="37" spans="1:32" x14ac:dyDescent="0.2">
      <c r="A37">
        <f>IF(18&gt;$E$4+1,"",18)</f>
        <v>18</v>
      </c>
      <c r="B37">
        <f>IF(A37="","",YEAR('Case Inputs'!$B$6)+A37)</f>
        <v>2044</v>
      </c>
      <c r="C37" s="7">
        <f t="shared" si="0"/>
        <v>433107.77866213024</v>
      </c>
      <c r="D37" s="10">
        <f>IF(A37="","",IFERROR(INDEX('Discount Rates'!$C:$C,MATCH(TEXT(B37,"0"),'Discount Rates'!$A:$A,0))/100-IF($F$6=TRUE,$E$6,0),0))</f>
        <v>7.1200000000000013E-3</v>
      </c>
      <c r="E37" s="7">
        <f t="shared" si="1"/>
        <v>381183.43041319173</v>
      </c>
      <c r="F37" s="26">
        <f t="shared" si="2"/>
        <v>1</v>
      </c>
      <c r="G37" s="7">
        <f t="shared" si="3"/>
        <v>324005.91585121298</v>
      </c>
      <c r="AE37" s="7"/>
      <c r="AF37" s="7"/>
    </row>
    <row r="38" spans="1:32" x14ac:dyDescent="0.2">
      <c r="A38">
        <f>IF(19&gt;$E$4+1,"",19)</f>
        <v>19</v>
      </c>
      <c r="B38">
        <f>IF(A38="","",YEAR('Case Inputs'!$B$6)+A38)</f>
        <v>2045</v>
      </c>
      <c r="C38" s="7">
        <f t="shared" si="0"/>
        <v>446534.11980065622</v>
      </c>
      <c r="D38" s="10">
        <f>IF(A38="","",IFERROR(INDEX('Discount Rates'!$C:$C,MATCH(TEXT(B38,"0"),'Discount Rates'!$A:$A,0))/100-IF($F$6=TRUE,$E$6,0),0))</f>
        <v>8.4800000000000014E-3</v>
      </c>
      <c r="E38" s="7">
        <f t="shared" si="1"/>
        <v>380343.62660831254</v>
      </c>
      <c r="F38" s="26">
        <f t="shared" si="2"/>
        <v>1</v>
      </c>
      <c r="G38" s="7">
        <f t="shared" si="3"/>
        <v>323292.08261706564</v>
      </c>
      <c r="AE38" s="7"/>
      <c r="AF38" s="7"/>
    </row>
    <row r="39" spans="1:32" x14ac:dyDescent="0.2">
      <c r="A39">
        <f>IF(20&gt;$E$4+1,"",20)</f>
        <v>20</v>
      </c>
      <c r="B39">
        <f>IF(A39="","",YEAR('Case Inputs'!$B$6)+A39)</f>
        <v>2046</v>
      </c>
      <c r="C39" s="7">
        <f t="shared" si="0"/>
        <v>460376.67751447659</v>
      </c>
      <c r="D39" s="10">
        <f>IF(A39="","",IFERROR(INDEX('Discount Rates'!$C:$C,MATCH(TEXT(B39,"0"),'Discount Rates'!$A:$A,0))/100-IF($F$6=TRUE,$E$6,0),0))</f>
        <v>9.7199999999999995E-3</v>
      </c>
      <c r="E39" s="7">
        <f t="shared" si="1"/>
        <v>379397.21792465216</v>
      </c>
      <c r="F39" s="26">
        <f t="shared" si="2"/>
        <v>3.764544832306882E-2</v>
      </c>
      <c r="G39" s="7">
        <f t="shared" si="3"/>
        <v>12140.191607103787</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6758371.6274966132</v>
      </c>
      <c r="F71" s="29"/>
      <c r="G71" s="29">
        <f>SUM(G20:G70)</f>
        <v>5434268.4397432711</v>
      </c>
      <c r="AE71" s="2"/>
      <c r="AF71" s="2"/>
    </row>
    <row r="72" spans="1:32" x14ac:dyDescent="0.2">
      <c r="AE72" s="2"/>
      <c r="AF72" s="2"/>
    </row>
    <row r="73" spans="1:32" x14ac:dyDescent="0.2">
      <c r="A73" s="28" t="s">
        <v>148</v>
      </c>
      <c r="B73" s="37"/>
      <c r="C73" s="37"/>
      <c r="D73" s="37"/>
      <c r="E73" s="37"/>
      <c r="F73" s="37"/>
      <c r="G73" s="29">
        <f>G17+G71</f>
        <v>6442624.6041268324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162</v>
      </c>
      <c r="B1" s="80"/>
      <c r="C1" s="80"/>
      <c r="D1" s="80"/>
      <c r="E1" s="80"/>
      <c r="F1" s="80"/>
      <c r="G1" s="80"/>
      <c r="AE1" s="3"/>
      <c r="AF1" s="5"/>
      <c r="AG1" s="5"/>
      <c r="AH1" s="1"/>
    </row>
    <row r="2" spans="1:36" x14ac:dyDescent="0.2">
      <c r="AE2" s="1"/>
      <c r="AF2" s="1"/>
      <c r="AG2" s="1"/>
      <c r="AI2" s="8"/>
      <c r="AJ2" s="10"/>
    </row>
    <row r="3" spans="1:36" x14ac:dyDescent="0.2">
      <c r="A3" t="s">
        <v>98</v>
      </c>
      <c r="B3" s="42">
        <v>67888</v>
      </c>
      <c r="C3" s="32" t="s">
        <v>155</v>
      </c>
      <c r="D3" t="s">
        <v>97</v>
      </c>
      <c r="E3" s="39">
        <v>3.1E-2</v>
      </c>
      <c r="F3" t="s">
        <v>155</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259</v>
      </c>
      <c r="F5" s="53" t="b">
        <v>0</v>
      </c>
      <c r="AE5" s="7"/>
      <c r="AF5" s="7"/>
    </row>
    <row r="6" spans="1:36" x14ac:dyDescent="0.2">
      <c r="D6" t="s">
        <v>287</v>
      </c>
      <c r="E6">
        <f>E3</f>
        <v>3.1E-2</v>
      </c>
      <c r="F6" t="b">
        <v>1</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AE15" s="7"/>
      <c r="AF15" s="7"/>
    </row>
    <row r="16" spans="1:36" x14ac:dyDescent="0.2">
      <c r="D16" s="38"/>
      <c r="AE16" s="7"/>
      <c r="AF16" s="7"/>
    </row>
    <row r="17" spans="1:32" x14ac:dyDescent="0.2">
      <c r="A17" s="19" t="s">
        <v>146</v>
      </c>
      <c r="D17" s="38"/>
      <c r="G17" s="30">
        <f>SUM(G9:G15)</f>
        <v>322142.50958904106</v>
      </c>
      <c r="AE17" s="7"/>
      <c r="AF17" s="7"/>
    </row>
    <row r="18" spans="1:32" x14ac:dyDescent="0.2">
      <c r="AE18" s="7"/>
      <c r="AF18" s="7"/>
    </row>
    <row r="19" spans="1:32" x14ac:dyDescent="0.2">
      <c r="A19" s="88" t="s">
        <v>147</v>
      </c>
      <c r="B19" s="88"/>
      <c r="C19" s="88"/>
      <c r="D19" s="88"/>
      <c r="E19" s="88"/>
      <c r="F19" s="88"/>
      <c r="G19" s="88"/>
      <c r="AE19" s="7"/>
      <c r="AF19" s="7"/>
    </row>
    <row r="20" spans="1:32" x14ac:dyDescent="0.2">
      <c r="A20">
        <f>IF(1&gt;$E$4+1,"",1)</f>
        <v>1</v>
      </c>
      <c r="B20">
        <f>IF(A20="","",YEAR('Case Inputs'!$B$6)+A20)</f>
        <v>2027</v>
      </c>
      <c r="C20" s="7">
        <f t="shared" ref="C20:C51" si="0">IF(A20="","",$C$15*(1+$E$3)^A20)</f>
        <v>69992.527999999991</v>
      </c>
      <c r="D20" s="10">
        <f>IF(A20="","",IFERROR(INDEX('Discount Rates'!$C:$C,MATCH(TEXT(B20,"0"),'Discount Rates'!$A:$A,0))/100-IF($F$6=TRUE,$E$6,0),0))</f>
        <v>-8.3099999999999979E-3</v>
      </c>
      <c r="E20" s="7">
        <f t="shared" ref="E20:E51" si="1">IF(A20="","",C20/((1+D20)^A20))</f>
        <v>70579.03982091177</v>
      </c>
      <c r="F20" s="26">
        <f t="shared" ref="F20:F51" si="2">IF(A20="","",IF(A20&lt;=$E$4,1,IF(A20=$E$4+1,$B$5,0)))</f>
        <v>1</v>
      </c>
      <c r="G20" s="7">
        <f t="shared" ref="G20:G51" si="3">IF(A20="","",E20*F20*IF($F$5,1-$E$5,1))</f>
        <v>70579.03982091177</v>
      </c>
      <c r="AE20" s="7"/>
      <c r="AF20" s="7"/>
    </row>
    <row r="21" spans="1:32" x14ac:dyDescent="0.2">
      <c r="A21">
        <f>IF(2&gt;$E$4+1,"",2)</f>
        <v>2</v>
      </c>
      <c r="B21">
        <f>IF(A21="","",YEAR('Case Inputs'!$B$6)+A21)</f>
        <v>2028</v>
      </c>
      <c r="C21" s="7">
        <f t="shared" si="0"/>
        <v>72162.296367999981</v>
      </c>
      <c r="D21" s="10">
        <f>IF(A21="","",IFERROR(INDEX('Discount Rates'!$C:$C,MATCH(TEXT(B21,"0"),'Discount Rates'!$A:$A,0))/100-IF($F$6=TRUE,$E$6,0),0))</f>
        <v>-8.0999999999999996E-3</v>
      </c>
      <c r="E21" s="7">
        <f t="shared" si="1"/>
        <v>73345.684242383446</v>
      </c>
      <c r="F21" s="26">
        <f t="shared" si="2"/>
        <v>1</v>
      </c>
      <c r="G21" s="7">
        <f t="shared" si="3"/>
        <v>73345.684242383446</v>
      </c>
      <c r="AE21" s="7"/>
      <c r="AF21" s="7"/>
    </row>
    <row r="22" spans="1:32" x14ac:dyDescent="0.2">
      <c r="A22">
        <f>IF(3&gt;$E$4+1,"",3)</f>
        <v>3</v>
      </c>
      <c r="B22">
        <f>IF(A22="","",YEAR('Case Inputs'!$B$6)+A22)</f>
        <v>2029</v>
      </c>
      <c r="C22" s="7">
        <f t="shared" si="0"/>
        <v>74399.327555407974</v>
      </c>
      <c r="D22" s="10">
        <f>IF(A22="","",IFERROR(INDEX('Discount Rates'!$C:$C,MATCH(TEXT(B22,"0"),'Discount Rates'!$A:$A,0))/100-IF($F$6=TRUE,$E$6,0),0))</f>
        <v>-7.810000000000001E-3</v>
      </c>
      <c r="E22" s="7">
        <f t="shared" si="1"/>
        <v>76170.090834091054</v>
      </c>
      <c r="F22" s="26">
        <f t="shared" si="2"/>
        <v>1</v>
      </c>
      <c r="G22" s="7">
        <f t="shared" si="3"/>
        <v>76170.090834091054</v>
      </c>
      <c r="AE22" s="7"/>
      <c r="AF22" s="7"/>
    </row>
    <row r="23" spans="1:32" x14ac:dyDescent="0.2">
      <c r="A23">
        <f>IF(4&gt;$E$4+1,"",4)</f>
        <v>4</v>
      </c>
      <c r="B23">
        <f>IF(A23="","",YEAR('Case Inputs'!$B$6)+A23)</f>
        <v>2030</v>
      </c>
      <c r="C23" s="7">
        <f t="shared" si="0"/>
        <v>76705.706709625636</v>
      </c>
      <c r="D23" s="10">
        <f>IF(A23="","",IFERROR(INDEX('Discount Rates'!$C:$C,MATCH(TEXT(B23,"0"),'Discount Rates'!$A:$A,0))/100-IF($F$6=TRUE,$E$6,0),0))</f>
        <v>-7.0999999999999987E-3</v>
      </c>
      <c r="E23" s="7">
        <f t="shared" si="1"/>
        <v>78923.372103863396</v>
      </c>
      <c r="F23" s="26">
        <f t="shared" si="2"/>
        <v>1</v>
      </c>
      <c r="G23" s="7">
        <f t="shared" si="3"/>
        <v>78923.372103863396</v>
      </c>
      <c r="AE23" s="7"/>
      <c r="AF23" s="7"/>
    </row>
    <row r="24" spans="1:32" x14ac:dyDescent="0.2">
      <c r="A24">
        <f>IF(5&gt;$E$4+1,"",5)</f>
        <v>5</v>
      </c>
      <c r="B24">
        <f>IF(A24="","",YEAR('Case Inputs'!$B$6)+A24)</f>
        <v>2031</v>
      </c>
      <c r="C24" s="7">
        <f t="shared" si="0"/>
        <v>79083.583617624026</v>
      </c>
      <c r="D24" s="10">
        <f>IF(A24="","",IFERROR(INDEX('Discount Rates'!$C:$C,MATCH(TEXT(B24,"0"),'Discount Rates'!$A:$A,0))/100-IF($F$6=TRUE,$E$6,0),0))</f>
        <v>-6.459999999999997E-3</v>
      </c>
      <c r="E24" s="7">
        <f t="shared" si="1"/>
        <v>81688.243584118813</v>
      </c>
      <c r="F24" s="26">
        <f t="shared" si="2"/>
        <v>1</v>
      </c>
      <c r="G24" s="7">
        <f t="shared" si="3"/>
        <v>81688.243584118813</v>
      </c>
      <c r="AE24" s="7"/>
      <c r="AF24" s="7"/>
    </row>
    <row r="25" spans="1:32" x14ac:dyDescent="0.2">
      <c r="A25">
        <f>IF(6&gt;$E$4+1,"",6)</f>
        <v>6</v>
      </c>
      <c r="B25">
        <f>IF(A25="","",YEAR('Case Inputs'!$B$6)+A25)</f>
        <v>2032</v>
      </c>
      <c r="C25" s="7">
        <f t="shared" si="0"/>
        <v>81535.174709770363</v>
      </c>
      <c r="D25" s="10">
        <f>IF(A25="","",IFERROR(INDEX('Discount Rates'!$C:$C,MATCH(TEXT(B25,"0"),'Discount Rates'!$A:$A,0))/100-IF($F$6=TRUE,$E$6,0),0))</f>
        <v>-5.5000000000000014E-3</v>
      </c>
      <c r="E25" s="7">
        <f t="shared" si="1"/>
        <v>84278.39986344408</v>
      </c>
      <c r="F25" s="26">
        <f t="shared" si="2"/>
        <v>1</v>
      </c>
      <c r="G25" s="7">
        <f t="shared" si="3"/>
        <v>84278.39986344408</v>
      </c>
      <c r="AE25" s="7"/>
      <c r="AF25" s="7"/>
    </row>
    <row r="26" spans="1:32" x14ac:dyDescent="0.2">
      <c r="A26">
        <f>IF(7&gt;$E$4+1,"",7)</f>
        <v>7</v>
      </c>
      <c r="B26">
        <f>IF(A26="","",YEAR('Case Inputs'!$B$6)+A26)</f>
        <v>2033</v>
      </c>
      <c r="C26" s="7">
        <f t="shared" si="0"/>
        <v>84062.765125773236</v>
      </c>
      <c r="D26" s="10">
        <f>IF(A26="","",IFERROR(INDEX('Discount Rates'!$C:$C,MATCH(TEXT(B26,"0"),'Discount Rates'!$A:$A,0))/100-IF($F$6=TRUE,$E$6,0),0))</f>
        <v>-4.3800000000000019E-3</v>
      </c>
      <c r="E26" s="7">
        <f t="shared" si="1"/>
        <v>86685.88483097234</v>
      </c>
      <c r="F26" s="26">
        <f t="shared" si="2"/>
        <v>1</v>
      </c>
      <c r="G26" s="7">
        <f t="shared" si="3"/>
        <v>86685.88483097234</v>
      </c>
      <c r="AE26" s="7"/>
      <c r="AF26" s="7"/>
    </row>
    <row r="27" spans="1:32" x14ac:dyDescent="0.2">
      <c r="A27">
        <f>IF(8&gt;$E$4+1,"",8)</f>
        <v>8</v>
      </c>
      <c r="B27">
        <f>IF(A27="","",YEAR('Case Inputs'!$B$6)+A27)</f>
        <v>2034</v>
      </c>
      <c r="C27" s="7">
        <f t="shared" si="0"/>
        <v>86668.710844672198</v>
      </c>
      <c r="D27" s="10">
        <f>IF(A27="","",IFERROR(INDEX('Discount Rates'!$C:$C,MATCH(TEXT(B27,"0"),'Discount Rates'!$A:$A,0))/100-IF($F$6=TRUE,$E$6,0),0))</f>
        <v>-3.6299999999999978E-3</v>
      </c>
      <c r="E27" s="7">
        <f t="shared" si="1"/>
        <v>89227.185580918143</v>
      </c>
      <c r="F27" s="26">
        <f t="shared" si="2"/>
        <v>1</v>
      </c>
      <c r="G27" s="7">
        <f t="shared" si="3"/>
        <v>89227.185580918143</v>
      </c>
      <c r="AE27" s="7"/>
      <c r="AF27" s="7"/>
    </row>
    <row r="28" spans="1:32" x14ac:dyDescent="0.2">
      <c r="A28">
        <f>IF(9&gt;$E$4+1,"",9)</f>
        <v>9</v>
      </c>
      <c r="B28">
        <f>IF(A28="","",YEAR('Case Inputs'!$B$6)+A28)</f>
        <v>2035</v>
      </c>
      <c r="C28" s="7">
        <f t="shared" si="0"/>
        <v>89355.44088085703</v>
      </c>
      <c r="D28" s="10">
        <f>IF(A28="","",IFERROR(INDEX('Discount Rates'!$C:$C,MATCH(TEXT(B28,"0"),'Discount Rates'!$A:$A,0))/100-IF($F$6=TRUE,$E$6,0),0))</f>
        <v>-2.6299999999999969E-3</v>
      </c>
      <c r="E28" s="7">
        <f t="shared" si="1"/>
        <v>91498.567324722782</v>
      </c>
      <c r="F28" s="26">
        <f t="shared" si="2"/>
        <v>1</v>
      </c>
      <c r="G28" s="7">
        <f t="shared" si="3"/>
        <v>91498.567324722782</v>
      </c>
      <c r="AE28" s="7"/>
      <c r="AF28" s="7"/>
    </row>
    <row r="29" spans="1:32" x14ac:dyDescent="0.2">
      <c r="A29">
        <f>IF(10&gt;$E$4+1,"",10)</f>
        <v>10</v>
      </c>
      <c r="B29">
        <f>IF(A29="","",YEAR('Case Inputs'!$B$6)+A29)</f>
        <v>2036</v>
      </c>
      <c r="C29" s="7">
        <f t="shared" si="0"/>
        <v>92125.459548163592</v>
      </c>
      <c r="D29" s="10">
        <f>IF(A29="","",IFERROR(INDEX('Discount Rates'!$C:$C,MATCH(TEXT(B29,"0"),'Discount Rates'!$A:$A,0))/100-IF($F$6=TRUE,$E$6,0),0))</f>
        <v>-1.4499999999999999E-3</v>
      </c>
      <c r="E29" s="7">
        <f t="shared" si="1"/>
        <v>93471.993950119751</v>
      </c>
      <c r="F29" s="26">
        <f t="shared" si="2"/>
        <v>1</v>
      </c>
      <c r="G29" s="7">
        <f t="shared" si="3"/>
        <v>93471.993950119751</v>
      </c>
      <c r="AE29" s="7"/>
      <c r="AF29" s="7"/>
    </row>
    <row r="30" spans="1:32" x14ac:dyDescent="0.2">
      <c r="A30">
        <f>IF(11&gt;$E$4+1,"",11)</f>
        <v>11</v>
      </c>
      <c r="B30">
        <f>IF(A30="","",YEAR('Case Inputs'!$B$6)+A30)</f>
        <v>2037</v>
      </c>
      <c r="C30" s="7">
        <f t="shared" si="0"/>
        <v>94981.348794156656</v>
      </c>
      <c r="D30" s="10">
        <f>IF(A30="","",IFERROR(INDEX('Discount Rates'!$C:$C,MATCH(TEXT(B30,"0"),'Discount Rates'!$A:$A,0))/100-IF($F$6=TRUE,$E$6,0),0))</f>
        <v>-2.6999999999999941E-4</v>
      </c>
      <c r="E30" s="7">
        <f t="shared" si="1"/>
        <v>95263.900928524658</v>
      </c>
      <c r="F30" s="26">
        <f t="shared" si="2"/>
        <v>1</v>
      </c>
      <c r="G30" s="7">
        <f t="shared" si="3"/>
        <v>95263.900928524658</v>
      </c>
      <c r="AE30" s="7"/>
      <c r="AF30" s="7"/>
    </row>
    <row r="31" spans="1:32" x14ac:dyDescent="0.2">
      <c r="A31">
        <f>IF(12&gt;$E$4+1,"",12)</f>
        <v>12</v>
      </c>
      <c r="B31">
        <f>IF(A31="","",YEAR('Case Inputs'!$B$6)+A31)</f>
        <v>2038</v>
      </c>
      <c r="C31" s="7">
        <f t="shared" si="0"/>
        <v>97925.770606775521</v>
      </c>
      <c r="D31" s="10">
        <f>IF(A31="","",IFERROR(INDEX('Discount Rates'!$C:$C,MATCH(TEXT(B31,"0"),'Discount Rates'!$A:$A,0))/100-IF($F$6=TRUE,$E$6,0),0))</f>
        <v>8.5000000000000353E-4</v>
      </c>
      <c r="E31" s="7">
        <f t="shared" si="1"/>
        <v>96932.424532501842</v>
      </c>
      <c r="F31" s="26">
        <f t="shared" si="2"/>
        <v>1</v>
      </c>
      <c r="G31" s="7">
        <f t="shared" si="3"/>
        <v>96932.424532501842</v>
      </c>
      <c r="AE31" s="7"/>
      <c r="AF31" s="7"/>
    </row>
    <row r="32" spans="1:32" x14ac:dyDescent="0.2">
      <c r="A32">
        <f>IF(13&gt;$E$4+1,"",13)</f>
        <v>13</v>
      </c>
      <c r="B32">
        <f>IF(A32="","",YEAR('Case Inputs'!$B$6)+A32)</f>
        <v>2039</v>
      </c>
      <c r="C32" s="7">
        <f t="shared" si="0"/>
        <v>100961.46949558555</v>
      </c>
      <c r="D32" s="10">
        <f>IF(A32="","",IFERROR(INDEX('Discount Rates'!$C:$C,MATCH(TEXT(B32,"0"),'Discount Rates'!$A:$A,0))/100-IF($F$6=TRUE,$E$6,0),0))</f>
        <v>1.6399999999999956E-3</v>
      </c>
      <c r="E32" s="7">
        <f t="shared" si="1"/>
        <v>98833.480343319825</v>
      </c>
      <c r="F32" s="26">
        <f t="shared" si="2"/>
        <v>1</v>
      </c>
      <c r="G32" s="7">
        <f t="shared" si="3"/>
        <v>98833.480343319825</v>
      </c>
      <c r="AE32" s="7"/>
      <c r="AF32" s="7"/>
    </row>
    <row r="33" spans="1:32" x14ac:dyDescent="0.2">
      <c r="A33">
        <f>IF(14&gt;$E$4+1,"",14)</f>
        <v>14</v>
      </c>
      <c r="B33">
        <f>IF(A33="","",YEAR('Case Inputs'!$B$6)+A33)</f>
        <v>2040</v>
      </c>
      <c r="C33" s="7">
        <f t="shared" si="0"/>
        <v>104091.27504994869</v>
      </c>
      <c r="D33" s="10">
        <f>IF(A33="","",IFERROR(INDEX('Discount Rates'!$C:$C,MATCH(TEXT(B33,"0"),'Discount Rates'!$A:$A,0))/100-IF($F$6=TRUE,$E$6,0),0))</f>
        <v>2.7800000000000047E-3</v>
      </c>
      <c r="E33" s="7">
        <f t="shared" si="1"/>
        <v>100123.27308937476</v>
      </c>
      <c r="F33" s="26">
        <f t="shared" si="2"/>
        <v>1</v>
      </c>
      <c r="G33" s="7">
        <f t="shared" si="3"/>
        <v>100123.27308937476</v>
      </c>
      <c r="AE33" s="7"/>
      <c r="AF33" s="7"/>
    </row>
    <row r="34" spans="1:32" x14ac:dyDescent="0.2">
      <c r="A34">
        <f>IF(15&gt;$E$4+1,"",15)</f>
        <v>15</v>
      </c>
      <c r="B34">
        <f>IF(A34="","",YEAR('Case Inputs'!$B$6)+A34)</f>
        <v>2041</v>
      </c>
      <c r="C34" s="7">
        <f t="shared" si="0"/>
        <v>107318.10457649709</v>
      </c>
      <c r="D34" s="10">
        <f>IF(A34="","",IFERROR(INDEX('Discount Rates'!$C:$C,MATCH(TEXT(B34,"0"),'Discount Rates'!$A:$A,0))/100-IF($F$6=TRUE,$E$6,0),0))</f>
        <v>3.3900000000000041E-3</v>
      </c>
      <c r="E34" s="7">
        <f t="shared" si="1"/>
        <v>102006.17599635551</v>
      </c>
      <c r="F34" s="26">
        <f t="shared" si="2"/>
        <v>0.29256673511293485</v>
      </c>
      <c r="G34" s="7">
        <f t="shared" si="3"/>
        <v>29843.613872609156</v>
      </c>
      <c r="AE34" s="7"/>
      <c r="AF34" s="7"/>
    </row>
    <row r="35" spans="1:32"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c r="AE35" s="7"/>
      <c r="AF35" s="7"/>
    </row>
    <row r="36" spans="1:32"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c r="AE36" s="7"/>
      <c r="AF36" s="7"/>
    </row>
    <row r="37" spans="1:32"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c r="AE37" s="7"/>
      <c r="AF37" s="7"/>
    </row>
    <row r="38" spans="1:32"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c r="AE38" s="7"/>
      <c r="AF38" s="7"/>
    </row>
    <row r="39" spans="1:32"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1319027.717025622</v>
      </c>
      <c r="F71" s="29"/>
      <c r="G71" s="29">
        <f>SUM(G20:G70)</f>
        <v>1246865.1549018756</v>
      </c>
      <c r="AE71" s="2"/>
      <c r="AF71" s="2"/>
    </row>
    <row r="72" spans="1:32" x14ac:dyDescent="0.2">
      <c r="AE72" s="2"/>
      <c r="AF72" s="2"/>
    </row>
    <row r="73" spans="1:32" x14ac:dyDescent="0.2">
      <c r="A73" s="28" t="s">
        <v>148</v>
      </c>
      <c r="B73" s="37"/>
      <c r="C73" s="37"/>
      <c r="D73" s="37"/>
      <c r="E73" s="37"/>
      <c r="F73" s="37"/>
      <c r="G73" s="29">
        <f>G17+G71</f>
        <v>1569007.6644909168</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28515625" customWidth="1"/>
    <col min="4" max="4" width="17.85546875" customWidth="1"/>
    <col min="5" max="5" width="21.28515625" customWidth="1"/>
    <col min="6" max="6" width="19.42578125" customWidth="1"/>
    <col min="7" max="7" width="23.140625" customWidth="1"/>
    <col min="8" max="8" width="11.140625" bestFit="1" customWidth="1"/>
    <col min="11" max="11" width="11.140625" customWidth="1"/>
  </cols>
  <sheetData>
    <row r="1" spans="1:36" ht="30" customHeight="1" x14ac:dyDescent="0.25">
      <c r="A1" s="80" t="s">
        <v>163</v>
      </c>
      <c r="B1" s="80"/>
      <c r="C1" s="80"/>
      <c r="D1" s="80"/>
      <c r="E1" s="80"/>
      <c r="F1" s="80"/>
      <c r="G1" s="80"/>
      <c r="AE1" s="3"/>
      <c r="AF1" s="5"/>
      <c r="AG1" s="5"/>
      <c r="AH1" s="1"/>
    </row>
    <row r="2" spans="1:36" x14ac:dyDescent="0.2">
      <c r="AE2" s="1"/>
      <c r="AF2" s="1"/>
      <c r="AG2" s="1"/>
      <c r="AI2" s="8"/>
      <c r="AJ2" s="10"/>
    </row>
    <row r="3" spans="1:36" x14ac:dyDescent="0.2">
      <c r="A3" t="s">
        <v>98</v>
      </c>
      <c r="B3" s="42">
        <v>67453</v>
      </c>
      <c r="C3" s="32" t="s">
        <v>155</v>
      </c>
      <c r="D3" t="s">
        <v>97</v>
      </c>
      <c r="E3" s="39">
        <v>3.1E-2</v>
      </c>
      <c r="F3" t="s">
        <v>155</v>
      </c>
      <c r="AE3" s="4"/>
      <c r="AF3" s="2"/>
      <c r="AG3" s="2"/>
    </row>
    <row r="4" spans="1:36" x14ac:dyDescent="0.2">
      <c r="A4" t="s">
        <v>141</v>
      </c>
      <c r="B4" s="26">
        <f>'Case Inputs'!B21</f>
        <v>19.037645448323069</v>
      </c>
      <c r="D4" t="s">
        <v>99</v>
      </c>
      <c r="E4" s="27">
        <f>'Case Inputs'!B22</f>
        <v>19</v>
      </c>
      <c r="AE4" s="2"/>
      <c r="AF4" s="2"/>
      <c r="AG4" s="2"/>
    </row>
    <row r="5" spans="1:36" x14ac:dyDescent="0.2">
      <c r="A5" t="s">
        <v>100</v>
      </c>
      <c r="B5" s="26">
        <f>'Case Inputs'!B23</f>
        <v>3.764544832306882E-2</v>
      </c>
      <c r="D5" t="s">
        <v>259</v>
      </c>
      <c r="F5" s="53" t="b">
        <v>0</v>
      </c>
      <c r="AE5" s="7"/>
      <c r="AF5" s="7"/>
    </row>
    <row r="6" spans="1:36" x14ac:dyDescent="0.2">
      <c r="D6" t="s">
        <v>287</v>
      </c>
      <c r="E6">
        <f>E3</f>
        <v>3.1E-2</v>
      </c>
      <c r="F6" t="b">
        <v>1</v>
      </c>
      <c r="AE6" s="7"/>
      <c r="AF6" s="7"/>
    </row>
    <row r="7" spans="1:36" x14ac:dyDescent="0.2">
      <c r="A7" s="87" t="s">
        <v>144</v>
      </c>
      <c r="B7" s="79"/>
      <c r="C7" s="79"/>
      <c r="D7" s="79"/>
      <c r="E7" s="79"/>
      <c r="F7" s="79"/>
      <c r="G7" s="79"/>
      <c r="AE7" s="7"/>
      <c r="AF7" s="7"/>
    </row>
    <row r="8" spans="1:36" x14ac:dyDescent="0.2">
      <c r="A8" s="36" t="s">
        <v>0</v>
      </c>
      <c r="B8" s="36" t="s">
        <v>101</v>
      </c>
      <c r="C8" s="36" t="s">
        <v>145</v>
      </c>
      <c r="D8" s="36" t="str">
        <f>IF('Case Inputs'!$B$28="CPI Adjustment","CPI Index",IF('Case Inputs'!$B$28="Custom Rate","",""))</f>
        <v/>
      </c>
      <c r="E8" s="36" t="s">
        <v>158</v>
      </c>
      <c r="F8" s="36" t="s">
        <v>102</v>
      </c>
      <c r="G8" s="36" t="s">
        <v>154</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AE15" s="7"/>
      <c r="AF15" s="7"/>
    </row>
    <row r="16" spans="1:36" x14ac:dyDescent="0.2">
      <c r="D16" s="38"/>
      <c r="AE16" s="7"/>
      <c r="AF16" s="7"/>
    </row>
    <row r="17" spans="1:32" x14ac:dyDescent="0.2">
      <c r="A17" s="19" t="s">
        <v>146</v>
      </c>
      <c r="D17" s="38"/>
      <c r="G17" s="30">
        <f>SUM(G9:G15)</f>
        <v>320078.34520547948</v>
      </c>
      <c r="AE17" s="7"/>
      <c r="AF17" s="7"/>
    </row>
    <row r="18" spans="1:32" x14ac:dyDescent="0.2">
      <c r="AE18" s="7"/>
      <c r="AF18" s="7"/>
    </row>
    <row r="19" spans="1:32" x14ac:dyDescent="0.2">
      <c r="A19" s="88" t="s">
        <v>149</v>
      </c>
      <c r="B19" s="88"/>
      <c r="C19" s="88"/>
      <c r="D19" s="88"/>
      <c r="E19" s="88"/>
      <c r="F19" s="88"/>
      <c r="G19" s="88"/>
      <c r="AE19" s="7"/>
      <c r="AF19" s="7"/>
    </row>
    <row r="20" spans="1:32" x14ac:dyDescent="0.2">
      <c r="A20">
        <f>IF(1&gt;$E$4+1,"",1)</f>
        <v>1</v>
      </c>
      <c r="B20">
        <f>IF(A20="","",YEAR('Case Inputs'!$B$6)+A20)</f>
        <v>2027</v>
      </c>
      <c r="C20" s="7">
        <f t="shared" ref="C20:C51" si="0">IF(A20="","",$C$15*(1+$E$3)^A20)</f>
        <v>69544.042999999991</v>
      </c>
      <c r="D20" s="10">
        <f>IF(A20="","",IFERROR(INDEX('Discount Rates'!$C:$C,MATCH(TEXT(B20,"0"),'Discount Rates'!$A:$A,0))/100-IF($F$6=TRUE,$E$6,0),0))</f>
        <v>-8.3099999999999979E-3</v>
      </c>
      <c r="E20" s="7">
        <f t="shared" ref="E20:E51" si="1">IF(A20="","",C20/((1+D20)^A20))</f>
        <v>70126.796680414234</v>
      </c>
      <c r="F20" s="26">
        <f t="shared" ref="F20:F51" si="2">IF(A20="","",IF(A20&lt;=$E$4,1,IF(A20=$E$4+1,$B$5,0)))</f>
        <v>1</v>
      </c>
      <c r="G20" s="7">
        <f t="shared" ref="G20:G51" si="3">IF(A20="","",E20*F20*IF($F$5,1-$E$5,1))</f>
        <v>70126.796680414234</v>
      </c>
      <c r="AE20" s="7"/>
      <c r="AF20" s="7"/>
    </row>
    <row r="21" spans="1:32" x14ac:dyDescent="0.2">
      <c r="A21">
        <f>IF(2&gt;$E$4+1,"",2)</f>
        <v>2</v>
      </c>
      <c r="B21">
        <f>IF(A21="","",YEAR('Case Inputs'!$B$6)+A21)</f>
        <v>2028</v>
      </c>
      <c r="C21" s="7">
        <f t="shared" si="0"/>
        <v>71699.908332999985</v>
      </c>
      <c r="D21" s="10">
        <f>IF(A21="","",IFERROR(INDEX('Discount Rates'!$C:$C,MATCH(TEXT(B21,"0"),'Discount Rates'!$A:$A,0))/100-IF($F$6=TRUE,$E$6,0),0))</f>
        <v>-8.0999999999999996E-3</v>
      </c>
      <c r="E21" s="7">
        <f t="shared" si="1"/>
        <v>72875.713516401884</v>
      </c>
      <c r="F21" s="26">
        <f t="shared" si="2"/>
        <v>1</v>
      </c>
      <c r="G21" s="7">
        <f t="shared" si="3"/>
        <v>72875.713516401884</v>
      </c>
      <c r="AE21" s="7"/>
      <c r="AF21" s="7"/>
    </row>
    <row r="22" spans="1:32" x14ac:dyDescent="0.2">
      <c r="A22">
        <f>IF(3&gt;$E$4+1,"",3)</f>
        <v>3</v>
      </c>
      <c r="B22">
        <f>IF(A22="","",YEAR('Case Inputs'!$B$6)+A22)</f>
        <v>2029</v>
      </c>
      <c r="C22" s="7">
        <f t="shared" si="0"/>
        <v>73922.605491322975</v>
      </c>
      <c r="D22" s="10">
        <f>IF(A22="","",IFERROR(INDEX('Discount Rates'!$C:$C,MATCH(TEXT(B22,"0"),'Discount Rates'!$A:$A,0))/100-IF($F$6=TRUE,$E$6,0),0))</f>
        <v>-7.810000000000001E-3</v>
      </c>
      <c r="E22" s="7">
        <f t="shared" si="1"/>
        <v>75682.022405019205</v>
      </c>
      <c r="F22" s="26">
        <f t="shared" si="2"/>
        <v>1</v>
      </c>
      <c r="G22" s="7">
        <f t="shared" si="3"/>
        <v>75682.022405019205</v>
      </c>
      <c r="AE22" s="7"/>
      <c r="AF22" s="7"/>
    </row>
    <row r="23" spans="1:32" x14ac:dyDescent="0.2">
      <c r="A23">
        <f>IF(4&gt;$E$4+1,"",4)</f>
        <v>4</v>
      </c>
      <c r="B23">
        <f>IF(A23="","",YEAR('Case Inputs'!$B$6)+A23)</f>
        <v>2030</v>
      </c>
      <c r="C23" s="7">
        <f t="shared" si="0"/>
        <v>76214.206261553991</v>
      </c>
      <c r="D23" s="10">
        <f>IF(A23="","",IFERROR(INDEX('Discount Rates'!$C:$C,MATCH(TEXT(B23,"0"),'Discount Rates'!$A:$A,0))/100-IF($F$6=TRUE,$E$6,0),0))</f>
        <v>-7.0999999999999987E-3</v>
      </c>
      <c r="E23" s="7">
        <f t="shared" si="1"/>
        <v>78417.66171520589</v>
      </c>
      <c r="F23" s="26">
        <f t="shared" si="2"/>
        <v>1</v>
      </c>
      <c r="G23" s="7">
        <f t="shared" si="3"/>
        <v>78417.66171520589</v>
      </c>
      <c r="AE23" s="7"/>
      <c r="AF23" s="7"/>
    </row>
    <row r="24" spans="1:32" x14ac:dyDescent="0.2">
      <c r="A24">
        <f>IF(5&gt;$E$4+1,"",5)</f>
        <v>5</v>
      </c>
      <c r="B24">
        <f>IF(A24="","",YEAR('Case Inputs'!$B$6)+A24)</f>
        <v>2031</v>
      </c>
      <c r="C24" s="7">
        <f t="shared" si="0"/>
        <v>78576.846655662172</v>
      </c>
      <c r="D24" s="10">
        <f>IF(A24="","",IFERROR(INDEX('Discount Rates'!$C:$C,MATCH(TEXT(B24,"0"),'Discount Rates'!$A:$A,0))/100-IF($F$6=TRUE,$E$6,0),0))</f>
        <v>-6.459999999999997E-3</v>
      </c>
      <c r="E24" s="7">
        <f t="shared" si="1"/>
        <v>81164.81697029763</v>
      </c>
      <c r="F24" s="26">
        <f t="shared" si="2"/>
        <v>1</v>
      </c>
      <c r="G24" s="7">
        <f t="shared" si="3"/>
        <v>81164.81697029763</v>
      </c>
      <c r="AE24" s="7"/>
      <c r="AF24" s="7"/>
    </row>
    <row r="25" spans="1:32" x14ac:dyDescent="0.2">
      <c r="A25">
        <f>IF(6&gt;$E$4+1,"",6)</f>
        <v>6</v>
      </c>
      <c r="B25">
        <f>IF(A25="","",YEAR('Case Inputs'!$B$6)+A25)</f>
        <v>2032</v>
      </c>
      <c r="C25" s="7">
        <f t="shared" si="0"/>
        <v>81012.728901987692</v>
      </c>
      <c r="D25" s="10">
        <f>IF(A25="","",IFERROR(INDEX('Discount Rates'!$C:$C,MATCH(TEXT(B25,"0"),'Discount Rates'!$A:$A,0))/100-IF($F$6=TRUE,$E$6,0),0))</f>
        <v>-5.5000000000000014E-3</v>
      </c>
      <c r="E25" s="7">
        <f t="shared" si="1"/>
        <v>83738.376531771355</v>
      </c>
      <c r="F25" s="26">
        <f t="shared" si="2"/>
        <v>1</v>
      </c>
      <c r="G25" s="7">
        <f t="shared" si="3"/>
        <v>83738.376531771355</v>
      </c>
      <c r="AE25" s="7"/>
      <c r="AF25" s="7"/>
    </row>
    <row r="26" spans="1:32" x14ac:dyDescent="0.2">
      <c r="A26">
        <f>IF(7&gt;$E$4+1,"",7)</f>
        <v>7</v>
      </c>
      <c r="B26">
        <f>IF(A26="","",YEAR('Case Inputs'!$B$6)+A26)</f>
        <v>2033</v>
      </c>
      <c r="C26" s="7">
        <f t="shared" si="0"/>
        <v>83524.123497949302</v>
      </c>
      <c r="D26" s="10">
        <f>IF(A26="","",IFERROR(INDEX('Discount Rates'!$C:$C,MATCH(TEXT(B26,"0"),'Discount Rates'!$A:$A,0))/100-IF($F$6=TRUE,$E$6,0),0))</f>
        <v>-4.3800000000000019E-3</v>
      </c>
      <c r="E26" s="7">
        <f t="shared" si="1"/>
        <v>86130.435268435918</v>
      </c>
      <c r="F26" s="26">
        <f t="shared" si="2"/>
        <v>1</v>
      </c>
      <c r="G26" s="7">
        <f t="shared" si="3"/>
        <v>86130.435268435918</v>
      </c>
      <c r="AE26" s="7"/>
      <c r="AF26" s="7"/>
    </row>
    <row r="27" spans="1:32" x14ac:dyDescent="0.2">
      <c r="A27">
        <f>IF(8&gt;$E$4+1,"",8)</f>
        <v>8</v>
      </c>
      <c r="B27">
        <f>IF(A27="","",YEAR('Case Inputs'!$B$6)+A27)</f>
        <v>2034</v>
      </c>
      <c r="C27" s="7">
        <f t="shared" si="0"/>
        <v>86113.371326385721</v>
      </c>
      <c r="D27" s="10">
        <f>IF(A27="","",IFERROR(INDEX('Discount Rates'!$C:$C,MATCH(TEXT(B27,"0"),'Discount Rates'!$A:$A,0))/100-IF($F$6=TRUE,$E$6,0),0))</f>
        <v>-3.6299999999999978E-3</v>
      </c>
      <c r="E27" s="7">
        <f t="shared" si="1"/>
        <v>88655.452347832776</v>
      </c>
      <c r="F27" s="26">
        <f t="shared" si="2"/>
        <v>1</v>
      </c>
      <c r="G27" s="7">
        <f t="shared" si="3"/>
        <v>88655.452347832776</v>
      </c>
      <c r="AE27" s="7"/>
      <c r="AF27" s="7"/>
    </row>
    <row r="28" spans="1:32" x14ac:dyDescent="0.2">
      <c r="A28">
        <f>IF(9&gt;$E$4+1,"",9)</f>
        <v>9</v>
      </c>
      <c r="B28">
        <f>IF(A28="","",YEAR('Case Inputs'!$B$6)+A28)</f>
        <v>2035</v>
      </c>
      <c r="C28" s="7">
        <f t="shared" si="0"/>
        <v>88782.885837503665</v>
      </c>
      <c r="D28" s="10">
        <f>IF(A28="","",IFERROR(INDEX('Discount Rates'!$C:$C,MATCH(TEXT(B28,"0"),'Discount Rates'!$A:$A,0))/100-IF($F$6=TRUE,$E$6,0),0))</f>
        <v>-2.6299999999999969E-3</v>
      </c>
      <c r="E28" s="7">
        <f t="shared" si="1"/>
        <v>90912.279957496547</v>
      </c>
      <c r="F28" s="26">
        <f t="shared" si="2"/>
        <v>1</v>
      </c>
      <c r="G28" s="7">
        <f t="shared" si="3"/>
        <v>90912.279957496547</v>
      </c>
      <c r="AE28" s="7"/>
      <c r="AF28" s="7"/>
    </row>
    <row r="29" spans="1:32" x14ac:dyDescent="0.2">
      <c r="A29">
        <f>IF(10&gt;$E$4+1,"",10)</f>
        <v>10</v>
      </c>
      <c r="B29">
        <f>IF(A29="","",YEAR('Case Inputs'!$B$6)+A29)</f>
        <v>2036</v>
      </c>
      <c r="C29" s="7">
        <f t="shared" si="0"/>
        <v>91535.155298466285</v>
      </c>
      <c r="D29" s="10">
        <f>IF(A29="","",IFERROR(INDEX('Discount Rates'!$C:$C,MATCH(TEXT(B29,"0"),'Discount Rates'!$A:$A,0))/100-IF($F$6=TRUE,$E$6,0),0))</f>
        <v>-1.4499999999999999E-3</v>
      </c>
      <c r="E29" s="7">
        <f t="shared" si="1"/>
        <v>92873.061629705218</v>
      </c>
      <c r="F29" s="26">
        <f t="shared" si="2"/>
        <v>1</v>
      </c>
      <c r="G29" s="7">
        <f t="shared" si="3"/>
        <v>92873.061629705218</v>
      </c>
      <c r="AE29" s="7"/>
      <c r="AF29" s="7"/>
    </row>
    <row r="30" spans="1:32" x14ac:dyDescent="0.2">
      <c r="A30">
        <f>IF(11&gt;$E$4+1,"",11)</f>
        <v>11</v>
      </c>
      <c r="B30">
        <f>IF(A30="","",YEAR('Case Inputs'!$B$6)+A30)</f>
        <v>2037</v>
      </c>
      <c r="C30" s="7">
        <f t="shared" si="0"/>
        <v>94372.745112718723</v>
      </c>
      <c r="D30" s="10">
        <f>IF(A30="","",IFERROR(INDEX('Discount Rates'!$C:$C,MATCH(TEXT(B30,"0"),'Discount Rates'!$A:$A,0))/100-IF($F$6=TRUE,$E$6,0),0))</f>
        <v>-2.6999999999999941E-4</v>
      </c>
      <c r="E30" s="7">
        <f t="shared" si="1"/>
        <v>94653.486762487824</v>
      </c>
      <c r="F30" s="26">
        <f t="shared" si="2"/>
        <v>1</v>
      </c>
      <c r="G30" s="7">
        <f t="shared" si="3"/>
        <v>94653.486762487824</v>
      </c>
      <c r="AE30" s="7"/>
      <c r="AF30" s="7"/>
    </row>
    <row r="31" spans="1:32" x14ac:dyDescent="0.2">
      <c r="A31">
        <f>IF(12&gt;$E$4+1,"",12)</f>
        <v>12</v>
      </c>
      <c r="B31">
        <f>IF(A31="","",YEAR('Case Inputs'!$B$6)+A31)</f>
        <v>2038</v>
      </c>
      <c r="C31" s="7">
        <f t="shared" si="0"/>
        <v>97298.30021121302</v>
      </c>
      <c r="D31" s="10">
        <f>IF(A31="","",IFERROR(INDEX('Discount Rates'!$C:$C,MATCH(TEXT(B31,"0"),'Discount Rates'!$A:$A,0))/100-IF($F$6=TRUE,$E$6,0),0))</f>
        <v>8.5000000000000353E-4</v>
      </c>
      <c r="E31" s="7">
        <f t="shared" si="1"/>
        <v>96311.319113699719</v>
      </c>
      <c r="F31" s="26">
        <f t="shared" si="2"/>
        <v>1</v>
      </c>
      <c r="G31" s="7">
        <f t="shared" si="3"/>
        <v>96311.319113699719</v>
      </c>
      <c r="AE31" s="7"/>
      <c r="AF31" s="7"/>
    </row>
    <row r="32" spans="1:32" x14ac:dyDescent="0.2">
      <c r="A32">
        <f>IF(13&gt;$E$4+1,"",13)</f>
        <v>13</v>
      </c>
      <c r="B32">
        <f>IF(A32="","",YEAR('Case Inputs'!$B$6)+A32)</f>
        <v>2039</v>
      </c>
      <c r="C32" s="7">
        <f t="shared" si="0"/>
        <v>100314.54751776061</v>
      </c>
      <c r="D32" s="10">
        <f>IF(A32="","",IFERROR(INDEX('Discount Rates'!$C:$C,MATCH(TEXT(B32,"0"),'Discount Rates'!$A:$A,0))/100-IF($F$6=TRUE,$E$6,0),0))</f>
        <v>1.6399999999999956E-3</v>
      </c>
      <c r="E32" s="7">
        <f t="shared" si="1"/>
        <v>98200.193695468304</v>
      </c>
      <c r="F32" s="26">
        <f t="shared" si="2"/>
        <v>1</v>
      </c>
      <c r="G32" s="7">
        <f t="shared" si="3"/>
        <v>98200.193695468304</v>
      </c>
      <c r="AE32" s="7"/>
      <c r="AF32" s="7"/>
    </row>
    <row r="33" spans="1:32" x14ac:dyDescent="0.2">
      <c r="A33">
        <f>IF(14&gt;$E$4+1,"",14)</f>
        <v>14</v>
      </c>
      <c r="B33">
        <f>IF(A33="","",YEAR('Case Inputs'!$B$6)+A33)</f>
        <v>2040</v>
      </c>
      <c r="C33" s="7">
        <f t="shared" si="0"/>
        <v>103424.29849081118</v>
      </c>
      <c r="D33" s="10">
        <f>IF(A33="","",IFERROR(INDEX('Discount Rates'!$C:$C,MATCH(TEXT(B33,"0"),'Discount Rates'!$A:$A,0))/100-IF($F$6=TRUE,$E$6,0),0))</f>
        <v>2.7800000000000047E-3</v>
      </c>
      <c r="E33" s="7">
        <f t="shared" si="1"/>
        <v>99481.721949351821</v>
      </c>
      <c r="F33" s="26">
        <f t="shared" si="2"/>
        <v>1</v>
      </c>
      <c r="G33" s="7">
        <f t="shared" si="3"/>
        <v>99481.721949351821</v>
      </c>
      <c r="AE33" s="7"/>
      <c r="AF33" s="7"/>
    </row>
    <row r="34" spans="1:32" x14ac:dyDescent="0.2">
      <c r="A34">
        <f>IF(15&gt;$E$4+1,"",15)</f>
        <v>15</v>
      </c>
      <c r="B34">
        <f>IF(A34="","",YEAR('Case Inputs'!$B$6)+A34)</f>
        <v>2041</v>
      </c>
      <c r="C34" s="7">
        <f t="shared" si="0"/>
        <v>106630.45174402632</v>
      </c>
      <c r="D34" s="10">
        <f>IF(A34="","",IFERROR(INDEX('Discount Rates'!$C:$C,MATCH(TEXT(B34,"0"),'Discount Rates'!$A:$A,0))/100-IF($F$6=TRUE,$E$6,0),0))</f>
        <v>3.3900000000000041E-3</v>
      </c>
      <c r="E34" s="7">
        <f t="shared" si="1"/>
        <v>101352.55994405739</v>
      </c>
      <c r="F34" s="26">
        <f t="shared" si="2"/>
        <v>1</v>
      </c>
      <c r="G34" s="7">
        <f t="shared" si="3"/>
        <v>101352.55994405739</v>
      </c>
      <c r="AE34" s="7"/>
      <c r="AF34" s="7"/>
    </row>
    <row r="35" spans="1:32" x14ac:dyDescent="0.2">
      <c r="A35">
        <f>IF(16&gt;$E$4+1,"",16)</f>
        <v>16</v>
      </c>
      <c r="B35">
        <f>IF(A35="","",YEAR('Case Inputs'!$B$6)+A35)</f>
        <v>2042</v>
      </c>
      <c r="C35" s="7">
        <f t="shared" si="0"/>
        <v>109935.99574809114</v>
      </c>
      <c r="D35" s="10">
        <f>IF(A35="","",IFERROR(INDEX('Discount Rates'!$C:$C,MATCH(TEXT(B35,"0"),'Discount Rates'!$A:$A,0))/100-IF($F$6=TRUE,$E$6,0),0))</f>
        <v>4.4799999999999979E-3</v>
      </c>
      <c r="E35" s="7">
        <f t="shared" si="1"/>
        <v>102347.9645614277</v>
      </c>
      <c r="F35" s="26">
        <f t="shared" si="2"/>
        <v>1</v>
      </c>
      <c r="G35" s="7">
        <f t="shared" si="3"/>
        <v>102347.9645614277</v>
      </c>
      <c r="AE35" s="7"/>
      <c r="AF35" s="7"/>
    </row>
    <row r="36" spans="1:32" x14ac:dyDescent="0.2">
      <c r="A36">
        <f>IF(17&gt;$E$4+1,"",17)</f>
        <v>17</v>
      </c>
      <c r="B36">
        <f>IF(A36="","",YEAR('Case Inputs'!$B$6)+A36)</f>
        <v>2043</v>
      </c>
      <c r="C36" s="7">
        <f t="shared" si="0"/>
        <v>113344.01161628196</v>
      </c>
      <c r="D36" s="10">
        <f>IF(A36="","",IFERROR(INDEX('Discount Rates'!$C:$C,MATCH(TEXT(B36,"0"),'Discount Rates'!$A:$A,0))/100-IF($F$6=TRUE,$E$6,0),0))</f>
        <v>5.7999999999999996E-3</v>
      </c>
      <c r="E36" s="7">
        <f t="shared" si="1"/>
        <v>102730.84203727034</v>
      </c>
      <c r="F36" s="26">
        <f t="shared" si="2"/>
        <v>1</v>
      </c>
      <c r="G36" s="7">
        <f t="shared" si="3"/>
        <v>102730.84203727034</v>
      </c>
      <c r="AE36" s="7"/>
      <c r="AF36" s="7"/>
    </row>
    <row r="37" spans="1:32" x14ac:dyDescent="0.2">
      <c r="A37">
        <f>IF(18&gt;$E$4+1,"",18)</f>
        <v>18</v>
      </c>
      <c r="B37">
        <f>IF(A37="","",YEAR('Case Inputs'!$B$6)+A37)</f>
        <v>2044</v>
      </c>
      <c r="C37" s="7">
        <f t="shared" si="0"/>
        <v>116857.67597638669</v>
      </c>
      <c r="D37" s="10">
        <f>IF(A37="","",IFERROR(INDEX('Discount Rates'!$C:$C,MATCH(TEXT(B37,"0"),'Discount Rates'!$A:$A,0))/100-IF($F$6=TRUE,$E$6,0),0))</f>
        <v>7.1200000000000013E-3</v>
      </c>
      <c r="E37" s="7">
        <f t="shared" si="1"/>
        <v>102847.86372664408</v>
      </c>
      <c r="F37" s="26">
        <f t="shared" si="2"/>
        <v>1</v>
      </c>
      <c r="G37" s="7">
        <f t="shared" si="3"/>
        <v>102847.86372664408</v>
      </c>
      <c r="AE37" s="7"/>
      <c r="AF37" s="7"/>
    </row>
    <row r="38" spans="1:32" x14ac:dyDescent="0.2">
      <c r="A38">
        <f>IF(19&gt;$E$4+1,"",19)</f>
        <v>19</v>
      </c>
      <c r="B38">
        <f>IF(A38="","",YEAR('Case Inputs'!$B$6)+A38)</f>
        <v>2045</v>
      </c>
      <c r="C38" s="7">
        <f t="shared" si="0"/>
        <v>120480.26393165466</v>
      </c>
      <c r="D38" s="10">
        <f>IF(A38="","",IFERROR(INDEX('Discount Rates'!$C:$C,MATCH(TEXT(B38,"0"),'Discount Rates'!$A:$A,0))/100-IF($F$6=TRUE,$E$6,0),0))</f>
        <v>8.4800000000000014E-3</v>
      </c>
      <c r="E38" s="7">
        <f t="shared" si="1"/>
        <v>102621.27458244203</v>
      </c>
      <c r="F38" s="26">
        <f t="shared" si="2"/>
        <v>1</v>
      </c>
      <c r="G38" s="7">
        <f t="shared" si="3"/>
        <v>102621.27458244203</v>
      </c>
      <c r="AE38" s="7"/>
      <c r="AF38" s="7"/>
    </row>
    <row r="39" spans="1:32" x14ac:dyDescent="0.2">
      <c r="A39">
        <f>IF(20&gt;$E$4+1,"",20)</f>
        <v>20</v>
      </c>
      <c r="B39">
        <f>IF(A39="","",YEAR('Case Inputs'!$B$6)+A39)</f>
        <v>2046</v>
      </c>
      <c r="C39" s="7">
        <f t="shared" si="0"/>
        <v>124215.15211353595</v>
      </c>
      <c r="D39" s="10">
        <f>IF(A39="","",IFERROR(INDEX('Discount Rates'!$C:$C,MATCH(TEXT(B39,"0"),'Discount Rates'!$A:$A,0))/100-IF($F$6=TRUE,$E$6,0),0))</f>
        <v>9.7199999999999995E-3</v>
      </c>
      <c r="E39" s="7">
        <f t="shared" si="1"/>
        <v>102365.92216268624</v>
      </c>
      <c r="F39" s="26">
        <f t="shared" si="2"/>
        <v>3.764544832306882E-2</v>
      </c>
      <c r="G39" s="7">
        <f t="shared" si="3"/>
        <v>3853.6110328186901</v>
      </c>
      <c r="AE39" s="7"/>
      <c r="AF39" s="7"/>
    </row>
    <row r="40" spans="1:32"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c r="AE40" s="7"/>
      <c r="AF40" s="7"/>
    </row>
    <row r="41" spans="1:32"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c r="AE41" s="7"/>
      <c r="AF41" s="7"/>
    </row>
    <row r="42" spans="1:32"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c r="AE42" s="7"/>
      <c r="AF42" s="7"/>
    </row>
    <row r="43" spans="1:32"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c r="AE43" s="7"/>
      <c r="AF43" s="7"/>
    </row>
    <row r="44" spans="1:32"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c r="AE44" s="7"/>
      <c r="AF44" s="7"/>
    </row>
    <row r="45" spans="1:32"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c r="AE45" s="7"/>
      <c r="AF45" s="7"/>
    </row>
    <row r="46" spans="1:32"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c r="AE46" s="7"/>
      <c r="AF46" s="7"/>
    </row>
    <row r="47" spans="1:32"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c r="AE47" s="7"/>
      <c r="AF47" s="7"/>
    </row>
    <row r="48" spans="1:32"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c r="AE48" s="7"/>
      <c r="AF48" s="7"/>
    </row>
    <row r="49" spans="1:32"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c r="AE49" s="7"/>
      <c r="AF49" s="7"/>
    </row>
    <row r="50" spans="1:32"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c r="AE50" s="7"/>
      <c r="AF50" s="7"/>
    </row>
    <row r="51" spans="1:32"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c r="AE51" s="7"/>
      <c r="AF51" s="7"/>
    </row>
    <row r="52" spans="1:32"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c r="AE52" s="7"/>
      <c r="AF52" s="7"/>
    </row>
    <row r="53" spans="1:32"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c r="AE53" s="7"/>
      <c r="AF53" s="7"/>
    </row>
    <row r="54" spans="1:32"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c r="AE54" s="7"/>
      <c r="AF54" s="7"/>
    </row>
    <row r="55" spans="1:32"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c r="AE55" s="7"/>
      <c r="AF55" s="7"/>
    </row>
    <row r="56" spans="1:32"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c r="AE56" s="7"/>
      <c r="AF56" s="7"/>
    </row>
    <row r="57" spans="1:32"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c r="AE57" s="7"/>
      <c r="AF57" s="7"/>
    </row>
    <row r="58" spans="1:32"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c r="AE58" s="7"/>
      <c r="AF58" s="7"/>
    </row>
    <row r="59" spans="1:32"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c r="AE59" s="7"/>
      <c r="AF59" s="7"/>
    </row>
    <row r="60" spans="1:32"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c r="AE60" s="7"/>
      <c r="AF60" s="7"/>
    </row>
    <row r="61" spans="1:32"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c r="AE61" s="7"/>
      <c r="AF61" s="7"/>
    </row>
    <row r="62" spans="1:32"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c r="AE62" s="7"/>
      <c r="AF62" s="7"/>
    </row>
    <row r="63" spans="1:32"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c r="AE63" s="7"/>
      <c r="AF63" s="7"/>
    </row>
    <row r="64" spans="1:32"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c r="AE64" s="7"/>
      <c r="AF64" s="7"/>
    </row>
    <row r="65" spans="1:32"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c r="AE65" s="7"/>
      <c r="AF65" s="7"/>
    </row>
    <row r="66" spans="1:32"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c r="AE66" s="7"/>
      <c r="AF66" s="7"/>
    </row>
    <row r="67" spans="1:32"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c r="AE67" s="7"/>
      <c r="AF67" s="7"/>
    </row>
    <row r="68" spans="1:32"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c r="AE68" s="7"/>
      <c r="AF68" s="7"/>
    </row>
    <row r="69" spans="1:32"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c r="AE69" s="7"/>
      <c r="AF69" s="7"/>
    </row>
    <row r="70" spans="1:32" x14ac:dyDescent="0.2">
      <c r="D70" t="str">
        <f>IF(A70="","",IFERROR(INDEX('Discount Rates'!$C:$C,MATCH(TEXT(B70,"0"),'Discount Rates'!$A:$A,0))/100-IF($F$6=TRUE,$E$6,0),0))</f>
        <v/>
      </c>
      <c r="G70" s="7" t="str">
        <f t="shared" si="7"/>
        <v/>
      </c>
      <c r="AE70" s="2"/>
      <c r="AF70" s="2"/>
    </row>
    <row r="71" spans="1:32" x14ac:dyDescent="0.2">
      <c r="A71" s="19" t="s">
        <v>103</v>
      </c>
      <c r="E71" s="29">
        <f>SUM(E20:E69)</f>
        <v>1823489.7655581159</v>
      </c>
      <c r="F71" s="29"/>
      <c r="G71" s="29">
        <f>SUM(G20:G70)</f>
        <v>1724977.4544282483</v>
      </c>
      <c r="AE71" s="2"/>
      <c r="AF71" s="2"/>
    </row>
    <row r="72" spans="1:32" x14ac:dyDescent="0.2">
      <c r="AE72" s="2"/>
      <c r="AF72" s="2"/>
    </row>
    <row r="73" spans="1:32" x14ac:dyDescent="0.2">
      <c r="A73" s="28" t="s">
        <v>148</v>
      </c>
      <c r="B73" s="37"/>
      <c r="C73" s="37"/>
      <c r="D73" s="37"/>
      <c r="E73" s="37"/>
      <c r="F73" s="37"/>
      <c r="G73" s="29">
        <f>G17+G71</f>
        <v>2045055.7996337279</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174</v>
      </c>
      <c r="B1" s="79"/>
      <c r="C1" s="79"/>
      <c r="D1" s="79"/>
      <c r="E1" s="79"/>
      <c r="F1" s="79"/>
      <c r="G1" s="79"/>
    </row>
    <row r="3" spans="1:32" x14ac:dyDescent="0.2">
      <c r="A3" t="s">
        <v>98</v>
      </c>
      <c r="B3" s="42">
        <v>78999</v>
      </c>
      <c r="C3" t="s">
        <v>155</v>
      </c>
      <c r="D3" t="s">
        <v>97</v>
      </c>
      <c r="E3" s="39">
        <v>3.1E-2</v>
      </c>
      <c r="F3" t="s">
        <v>155</v>
      </c>
    </row>
    <row r="4" spans="1:32" x14ac:dyDescent="0.2">
      <c r="A4" t="s">
        <v>93</v>
      </c>
      <c r="B4">
        <f>'Case Inputs'!B18</f>
        <v>14.292566735112935</v>
      </c>
      <c r="D4" t="s">
        <v>99</v>
      </c>
      <c r="E4">
        <f>'Case Inputs'!B19</f>
        <v>14</v>
      </c>
    </row>
    <row r="5" spans="1:32" x14ac:dyDescent="0.2">
      <c r="A5" t="s">
        <v>100</v>
      </c>
      <c r="B5">
        <f>'Case Inputs'!B20</f>
        <v>0.29256673511293485</v>
      </c>
      <c r="D5" t="s">
        <v>259</v>
      </c>
      <c r="F5" s="53" t="b">
        <v>0</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row>
    <row r="17" spans="1:7" x14ac:dyDescent="0.2">
      <c r="A17" s="19" t="s">
        <v>146</v>
      </c>
      <c r="G17" s="30">
        <f>SUM(G9:G15)</f>
        <v>374866.48767123284</v>
      </c>
    </row>
    <row r="19" spans="1:7" s="46" customFormat="1" x14ac:dyDescent="0.2">
      <c r="A19" s="91" t="s">
        <v>147</v>
      </c>
      <c r="B19" s="91"/>
      <c r="C19" s="91"/>
      <c r="D19" s="91"/>
      <c r="E19" s="91"/>
      <c r="F19" s="91"/>
      <c r="G19" s="91"/>
    </row>
    <row r="20" spans="1:7" x14ac:dyDescent="0.2">
      <c r="A20">
        <f>IF(1&gt;$E$4+1,"",1)</f>
        <v>1</v>
      </c>
      <c r="B20">
        <f>IF(A20="","",YEAR('Case Inputs'!$B$6)+A20)</f>
        <v>2027</v>
      </c>
      <c r="C20" s="7">
        <f t="shared" ref="C20:C51" si="0">IF(A20="","",$C$15*(1+$E$3)^A20)</f>
        <v>81447.968999999997</v>
      </c>
      <c r="D20" s="10">
        <f>IF(A20="","",IFERROR(INDEX('Discount Rates'!$C:$C,MATCH(TEXT(B20,"0"),'Discount Rates'!$A:$A,0))/100-IF($F$6=TRUE,$E$6,0),0))</f>
        <v>-8.3099999999999979E-3</v>
      </c>
      <c r="E20" s="7">
        <f t="shared" ref="E20:E51" si="1">IF(A20="","",C20/((1+D20)^A20))</f>
        <v>82130.473232562596</v>
      </c>
      <c r="F20" s="26">
        <f t="shared" ref="F20:F51" si="2">IF(A20="","",IF(A20&lt;=$E$4,1,IF(A20=$E$4+1,$B$5,0)))</f>
        <v>1</v>
      </c>
      <c r="G20" s="7">
        <f t="shared" ref="G20:G51" si="3">IF(A20="","",E20*F20*IF($F$5,1-$E$5,1))</f>
        <v>82130.473232562596</v>
      </c>
    </row>
    <row r="21" spans="1:7" x14ac:dyDescent="0.2">
      <c r="A21">
        <f>IF(2&gt;$E$4+1,"",2)</f>
        <v>2</v>
      </c>
      <c r="B21">
        <f>IF(A21="","",YEAR('Case Inputs'!$B$6)+A21)</f>
        <v>2028</v>
      </c>
      <c r="C21" s="7">
        <f t="shared" si="0"/>
        <v>83972.856038999991</v>
      </c>
      <c r="D21" s="10">
        <f>IF(A21="","",IFERROR(INDEX('Discount Rates'!$C:$C,MATCH(TEXT(B21,"0"),'Discount Rates'!$A:$A,0))/100-IF($F$6=TRUE,$E$6,0),0))</f>
        <v>-8.0999999999999996E-3</v>
      </c>
      <c r="E21" s="7">
        <f t="shared" si="1"/>
        <v>85349.925015673623</v>
      </c>
      <c r="F21" s="26">
        <f t="shared" si="2"/>
        <v>1</v>
      </c>
      <c r="G21" s="7">
        <f t="shared" si="3"/>
        <v>85349.925015673623</v>
      </c>
    </row>
    <row r="22" spans="1:7" x14ac:dyDescent="0.2">
      <c r="A22">
        <f>IF(3&gt;$E$4+1,"",3)</f>
        <v>3</v>
      </c>
      <c r="B22">
        <f>IF(A22="","",YEAR('Case Inputs'!$B$6)+A22)</f>
        <v>2029</v>
      </c>
      <c r="C22" s="7">
        <f t="shared" si="0"/>
        <v>86576.014576208981</v>
      </c>
      <c r="D22" s="10">
        <f>IF(A22="","",IFERROR(INDEX('Discount Rates'!$C:$C,MATCH(TEXT(B22,"0"),'Discount Rates'!$A:$A,0))/100-IF($F$6=TRUE,$E$6,0),0))</f>
        <v>-7.810000000000001E-3</v>
      </c>
      <c r="E22" s="7">
        <f t="shared" si="1"/>
        <v>88636.592708613593</v>
      </c>
      <c r="F22" s="26">
        <f t="shared" si="2"/>
        <v>1</v>
      </c>
      <c r="G22" s="7">
        <f t="shared" si="3"/>
        <v>88636.592708613593</v>
      </c>
    </row>
    <row r="23" spans="1:7" x14ac:dyDescent="0.2">
      <c r="A23">
        <f>IF(4&gt;$E$4+1,"",4)</f>
        <v>4</v>
      </c>
      <c r="B23">
        <f>IF(A23="","",YEAR('Case Inputs'!$B$6)+A23)</f>
        <v>2030</v>
      </c>
      <c r="C23" s="7">
        <f t="shared" si="0"/>
        <v>89259.871028071459</v>
      </c>
      <c r="D23" s="10">
        <f>IF(A23="","",IFERROR(INDEX('Discount Rates'!$C:$C,MATCH(TEXT(B23,"0"),'Discount Rates'!$A:$A,0))/100-IF($F$6=TRUE,$E$6,0),0))</f>
        <v>-7.0999999999999987E-3</v>
      </c>
      <c r="E23" s="7">
        <f t="shared" si="1"/>
        <v>91840.494238055398</v>
      </c>
      <c r="F23" s="26">
        <f t="shared" si="2"/>
        <v>1</v>
      </c>
      <c r="G23" s="7">
        <f t="shared" si="3"/>
        <v>91840.494238055398</v>
      </c>
    </row>
    <row r="24" spans="1:7" x14ac:dyDescent="0.2">
      <c r="A24">
        <f>IF(5&gt;$E$4+1,"",5)</f>
        <v>5</v>
      </c>
      <c r="B24">
        <f>IF(A24="","",YEAR('Case Inputs'!$B$6)+A24)</f>
        <v>2031</v>
      </c>
      <c r="C24" s="7">
        <f t="shared" si="0"/>
        <v>92026.927029941668</v>
      </c>
      <c r="D24" s="10">
        <f>IF(A24="","",IFERROR(INDEX('Discount Rates'!$C:$C,MATCH(TEXT(B24,"0"),'Discount Rates'!$A:$A,0))/100-IF($F$6=TRUE,$E$6,0),0))</f>
        <v>-6.459999999999997E-3</v>
      </c>
      <c r="E24" s="7">
        <f t="shared" si="1"/>
        <v>95057.88290864072</v>
      </c>
      <c r="F24" s="26">
        <f t="shared" si="2"/>
        <v>1</v>
      </c>
      <c r="G24" s="7">
        <f t="shared" si="3"/>
        <v>95057.88290864072</v>
      </c>
    </row>
    <row r="25" spans="1:7" x14ac:dyDescent="0.2">
      <c r="A25">
        <f>IF(6&gt;$E$4+1,"",6)</f>
        <v>6</v>
      </c>
      <c r="B25">
        <f>IF(A25="","",YEAR('Case Inputs'!$B$6)+A25)</f>
        <v>2032</v>
      </c>
      <c r="C25" s="7">
        <f t="shared" si="0"/>
        <v>94879.761767869859</v>
      </c>
      <c r="D25" s="10">
        <f>IF(A25="","",IFERROR(INDEX('Discount Rates'!$C:$C,MATCH(TEXT(B25,"0"),'Discount Rates'!$A:$A,0))/100-IF($F$6=TRUE,$E$6,0),0))</f>
        <v>-5.5000000000000014E-3</v>
      </c>
      <c r="E25" s="7">
        <f t="shared" si="1"/>
        <v>98071.961330606573</v>
      </c>
      <c r="F25" s="26">
        <f t="shared" si="2"/>
        <v>1</v>
      </c>
      <c r="G25" s="7">
        <f t="shared" si="3"/>
        <v>98071.961330606573</v>
      </c>
    </row>
    <row r="26" spans="1:7" x14ac:dyDescent="0.2">
      <c r="A26">
        <f>IF(7&gt;$E$4+1,"",7)</f>
        <v>7</v>
      </c>
      <c r="B26">
        <f>IF(A26="","",YEAR('Case Inputs'!$B$6)+A26)</f>
        <v>2033</v>
      </c>
      <c r="C26" s="7">
        <f t="shared" si="0"/>
        <v>97821.03438267381</v>
      </c>
      <c r="D26" s="10">
        <f>IF(A26="","",IFERROR(INDEX('Discount Rates'!$C:$C,MATCH(TEXT(B26,"0"),'Discount Rates'!$A:$A,0))/100-IF($F$6=TRUE,$E$6,0),0))</f>
        <v>-4.3800000000000019E-3</v>
      </c>
      <c r="E26" s="7">
        <f t="shared" si="1"/>
        <v>100873.47124325336</v>
      </c>
      <c r="F26" s="26">
        <f t="shared" si="2"/>
        <v>1</v>
      </c>
      <c r="G26" s="7">
        <f t="shared" si="3"/>
        <v>100873.47124325336</v>
      </c>
    </row>
    <row r="27" spans="1:7" x14ac:dyDescent="0.2">
      <c r="A27">
        <f>IF(8&gt;$E$4+1,"",8)</f>
        <v>8</v>
      </c>
      <c r="B27">
        <f>IF(A27="","",YEAR('Case Inputs'!$B$6)+A27)</f>
        <v>2034</v>
      </c>
      <c r="C27" s="7">
        <f t="shared" si="0"/>
        <v>100853.4864485367</v>
      </c>
      <c r="D27" s="10">
        <f>IF(A27="","",IFERROR(INDEX('Discount Rates'!$C:$C,MATCH(TEXT(B27,"0"),'Discount Rates'!$A:$A,0))/100-IF($F$6=TRUE,$E$6,0),0))</f>
        <v>-3.6299999999999978E-3</v>
      </c>
      <c r="E27" s="7">
        <f t="shared" si="1"/>
        <v>103830.69811611703</v>
      </c>
      <c r="F27" s="26">
        <f t="shared" si="2"/>
        <v>1</v>
      </c>
      <c r="G27" s="7">
        <f t="shared" si="3"/>
        <v>103830.69811611703</v>
      </c>
    </row>
    <row r="28" spans="1:7" x14ac:dyDescent="0.2">
      <c r="A28">
        <f>IF(9&gt;$E$4+1,"",9)</f>
        <v>9</v>
      </c>
      <c r="B28">
        <f>IF(A28="","",YEAR('Case Inputs'!$B$6)+A28)</f>
        <v>2035</v>
      </c>
      <c r="C28" s="7">
        <f t="shared" si="0"/>
        <v>103979.94452844132</v>
      </c>
      <c r="D28" s="10">
        <f>IF(A28="","",IFERROR(INDEX('Discount Rates'!$C:$C,MATCH(TEXT(B28,"0"),'Discount Rates'!$A:$A,0))/100-IF($F$6=TRUE,$E$6,0),0))</f>
        <v>-2.6299999999999969E-3</v>
      </c>
      <c r="E28" s="7">
        <f t="shared" si="1"/>
        <v>106473.82924943694</v>
      </c>
      <c r="F28" s="26">
        <f t="shared" si="2"/>
        <v>1</v>
      </c>
      <c r="G28" s="7">
        <f t="shared" si="3"/>
        <v>106473.82924943694</v>
      </c>
    </row>
    <row r="29" spans="1:7" x14ac:dyDescent="0.2">
      <c r="A29">
        <f>IF(10&gt;$E$4+1,"",10)</f>
        <v>10</v>
      </c>
      <c r="B29">
        <f>IF(A29="","",YEAR('Case Inputs'!$B$6)+A29)</f>
        <v>2036</v>
      </c>
      <c r="C29" s="7">
        <f t="shared" si="0"/>
        <v>107203.322808823</v>
      </c>
      <c r="D29" s="10">
        <f>IF(A29="","",IFERROR(INDEX('Discount Rates'!$C:$C,MATCH(TEXT(B29,"0"),'Discount Rates'!$A:$A,0))/100-IF($F$6=TRUE,$E$6,0),0))</f>
        <v>-1.4499999999999999E-3</v>
      </c>
      <c r="E29" s="7">
        <f t="shared" si="1"/>
        <v>108770.23995500692</v>
      </c>
      <c r="F29" s="26">
        <f t="shared" si="2"/>
        <v>1</v>
      </c>
      <c r="G29" s="7">
        <f t="shared" si="3"/>
        <v>108770.23995500692</v>
      </c>
    </row>
    <row r="30" spans="1:7" x14ac:dyDescent="0.2">
      <c r="A30">
        <f>IF(11&gt;$E$4+1,"",11)</f>
        <v>11</v>
      </c>
      <c r="B30">
        <f>IF(A30="","",YEAR('Case Inputs'!$B$6)+A30)</f>
        <v>2037</v>
      </c>
      <c r="C30" s="7">
        <f t="shared" si="0"/>
        <v>110526.62581589651</v>
      </c>
      <c r="D30" s="10">
        <f>IF(A30="","",IFERROR(INDEX('Discount Rates'!$C:$C,MATCH(TEXT(B30,"0"),'Discount Rates'!$A:$A,0))/100-IF($F$6=TRUE,$E$6,0),0))</f>
        <v>-2.6999999999999941E-4</v>
      </c>
      <c r="E30" s="7">
        <f t="shared" si="1"/>
        <v>110855.42230515731</v>
      </c>
      <c r="F30" s="26">
        <f t="shared" si="2"/>
        <v>1</v>
      </c>
      <c r="G30" s="7">
        <f t="shared" si="3"/>
        <v>110855.42230515731</v>
      </c>
    </row>
    <row r="31" spans="1:7" x14ac:dyDescent="0.2">
      <c r="A31">
        <f>IF(12&gt;$E$4+1,"",12)</f>
        <v>12</v>
      </c>
      <c r="B31">
        <f>IF(A31="","",YEAR('Case Inputs'!$B$6)+A31)</f>
        <v>2038</v>
      </c>
      <c r="C31" s="7">
        <f t="shared" si="0"/>
        <v>113952.95121618931</v>
      </c>
      <c r="D31" s="10">
        <f>IF(A31="","",IFERROR(INDEX('Discount Rates'!$C:$C,MATCH(TEXT(B31,"0"),'Discount Rates'!$A:$A,0))/100-IF($F$6=TRUE,$E$6,0),0))</f>
        <v>8.5000000000000353E-4</v>
      </c>
      <c r="E31" s="7">
        <f t="shared" si="1"/>
        <v>112797.02754011184</v>
      </c>
      <c r="F31" s="26">
        <f t="shared" si="2"/>
        <v>1</v>
      </c>
      <c r="G31" s="7">
        <f t="shared" si="3"/>
        <v>112797.02754011184</v>
      </c>
    </row>
    <row r="32" spans="1:7" x14ac:dyDescent="0.2">
      <c r="A32">
        <f>IF(13&gt;$E$4+1,"",13)</f>
        <v>13</v>
      </c>
      <c r="B32">
        <f>IF(A32="","",YEAR('Case Inputs'!$B$6)+A32)</f>
        <v>2039</v>
      </c>
      <c r="C32" s="7">
        <f t="shared" si="0"/>
        <v>117485.49270389117</v>
      </c>
      <c r="D32" s="10">
        <f>IF(A32="","",IFERROR(INDEX('Discount Rates'!$C:$C,MATCH(TEXT(B32,"0"),'Discount Rates'!$A:$A,0))/100-IF($F$6=TRUE,$E$6,0),0))</f>
        <v>1.6399999999999956E-3</v>
      </c>
      <c r="E32" s="7">
        <f t="shared" si="1"/>
        <v>115009.22274395952</v>
      </c>
      <c r="F32" s="26">
        <f t="shared" si="2"/>
        <v>1</v>
      </c>
      <c r="G32" s="7">
        <f t="shared" si="3"/>
        <v>115009.22274395952</v>
      </c>
    </row>
    <row r="33" spans="1:7" x14ac:dyDescent="0.2">
      <c r="A33">
        <f>IF(14&gt;$E$4+1,"",14)</f>
        <v>14</v>
      </c>
      <c r="B33">
        <f>IF(A33="","",YEAR('Case Inputs'!$B$6)+A33)</f>
        <v>2040</v>
      </c>
      <c r="C33" s="7">
        <f t="shared" si="0"/>
        <v>121127.54297771177</v>
      </c>
      <c r="D33" s="10">
        <f>IF(A33="","",IFERROR(INDEX('Discount Rates'!$C:$C,MATCH(TEXT(B33,"0"),'Discount Rates'!$A:$A,0))/100-IF($F$6=TRUE,$E$6,0),0))</f>
        <v>2.7800000000000047E-3</v>
      </c>
      <c r="E33" s="7">
        <f t="shared" si="1"/>
        <v>116510.11151878854</v>
      </c>
      <c r="F33" s="26">
        <f t="shared" si="2"/>
        <v>1</v>
      </c>
      <c r="G33" s="7">
        <f t="shared" si="3"/>
        <v>116510.11151878854</v>
      </c>
    </row>
    <row r="34" spans="1:7" x14ac:dyDescent="0.2">
      <c r="A34">
        <f>IF(15&gt;$E$4+1,"",15)</f>
        <v>15</v>
      </c>
      <c r="B34">
        <f>IF(A34="","",YEAR('Case Inputs'!$B$6)+A34)</f>
        <v>2041</v>
      </c>
      <c r="C34" s="7">
        <f t="shared" si="0"/>
        <v>124882.49681002084</v>
      </c>
      <c r="D34" s="10">
        <f>IF(A34="","",IFERROR(INDEX('Discount Rates'!$C:$C,MATCH(TEXT(B34,"0"),'Discount Rates'!$A:$A,0))/100-IF($F$6=TRUE,$E$6,0),0))</f>
        <v>3.3900000000000041E-3</v>
      </c>
      <c r="E34" s="7">
        <f t="shared" si="1"/>
        <v>118701.18279425066</v>
      </c>
      <c r="F34" s="26">
        <f t="shared" si="2"/>
        <v>0.29256673511293485</v>
      </c>
      <c r="G34" s="7">
        <f t="shared" si="3"/>
        <v>34728.017504157593</v>
      </c>
    </row>
    <row r="35" spans="1:7"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row>
    <row r="36" spans="1:7"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row>
    <row r="37" spans="1:7"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row>
    <row r="38" spans="1:7"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row>
    <row r="39" spans="1:7"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1534908.5349002345</v>
      </c>
      <c r="G71" s="30">
        <f>SUM(G20:G70)</f>
        <v>1450935.3696101415</v>
      </c>
    </row>
    <row r="73" spans="1:7" x14ac:dyDescent="0.2">
      <c r="A73" s="19" t="s">
        <v>148</v>
      </c>
      <c r="G73" s="30">
        <f>G17+G71</f>
        <v>1825801.8572813743</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175</v>
      </c>
      <c r="B1" s="79"/>
      <c r="C1" s="79"/>
      <c r="D1" s="79"/>
      <c r="E1" s="79"/>
      <c r="F1" s="79"/>
      <c r="G1" s="79"/>
    </row>
    <row r="3" spans="1:32" x14ac:dyDescent="0.2">
      <c r="A3" t="s">
        <v>98</v>
      </c>
      <c r="B3" s="42">
        <v>65777</v>
      </c>
      <c r="C3" t="s">
        <v>155</v>
      </c>
      <c r="D3" t="s">
        <v>97</v>
      </c>
      <c r="E3" s="39">
        <v>3.1E-2</v>
      </c>
      <c r="F3" t="s">
        <v>155</v>
      </c>
    </row>
    <row r="4" spans="1:32" x14ac:dyDescent="0.2">
      <c r="A4" t="s">
        <v>141</v>
      </c>
      <c r="B4">
        <f>'Case Inputs'!B21</f>
        <v>19.037645448323069</v>
      </c>
      <c r="D4" t="s">
        <v>99</v>
      </c>
      <c r="E4">
        <f>'Case Inputs'!B22</f>
        <v>19</v>
      </c>
    </row>
    <row r="5" spans="1:32" x14ac:dyDescent="0.2">
      <c r="A5" t="s">
        <v>100</v>
      </c>
      <c r="B5">
        <f>'Case Inputs'!B23</f>
        <v>3.764544832306882E-2</v>
      </c>
      <c r="D5" t="s">
        <v>259</v>
      </c>
      <c r="F5" s="53" t="b">
        <v>0</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row>
    <row r="17" spans="1:7" x14ac:dyDescent="0.2">
      <c r="A17" s="19" t="s">
        <v>146</v>
      </c>
      <c r="G17" s="30">
        <f>SUM(G9:G15)</f>
        <v>312125.38082191779</v>
      </c>
    </row>
    <row r="19" spans="1:7" s="46" customFormat="1" x14ac:dyDescent="0.2">
      <c r="A19" s="91" t="s">
        <v>180</v>
      </c>
      <c r="B19" s="91"/>
      <c r="C19" s="91"/>
      <c r="D19" s="91"/>
      <c r="E19" s="91"/>
      <c r="F19" s="91"/>
      <c r="G19" s="91"/>
    </row>
    <row r="20" spans="1:7" x14ac:dyDescent="0.2">
      <c r="A20">
        <f>IF(1&gt;$E$4+1,"",1)</f>
        <v>1</v>
      </c>
      <c r="B20">
        <f>IF(A20="","",YEAR('Case Inputs'!$B$6)+A20)</f>
        <v>2027</v>
      </c>
      <c r="C20" s="7">
        <f t="shared" ref="C20:C51" si="0">IF(A20="","",$C$15*(1+$E$3)^A20)</f>
        <v>67816.087</v>
      </c>
      <c r="D20" s="10">
        <f>IF(A20="","",IFERROR(INDEX('Discount Rates'!$C:$C,MATCH(TEXT(B20,"0"),'Discount Rates'!$A:$A,0))/100-IF($F$6=TRUE,$E$6,0),0))</f>
        <v>-8.3099999999999979E-3</v>
      </c>
      <c r="E20" s="7">
        <f t="shared" ref="E20:E51" si="1">IF(A20="","",C20/((1+D20)^A20))</f>
        <v>68384.361040244432</v>
      </c>
      <c r="F20" s="26">
        <f t="shared" ref="F20:F51" si="2">IF(A20="","",IF(A20&lt;=$E$4,1,IF(A20=$E$4+1,$B$5,0)))</f>
        <v>1</v>
      </c>
      <c r="G20" s="7">
        <f t="shared" ref="G20:G51" si="3">IF(A20="","",E20*F20*IF($F$5,1-$E$5,1))</f>
        <v>68384.361040244432</v>
      </c>
    </row>
    <row r="21" spans="1:7" x14ac:dyDescent="0.2">
      <c r="A21">
        <f>IF(2&gt;$E$4+1,"",2)</f>
        <v>2</v>
      </c>
      <c r="B21">
        <f>IF(A21="","",YEAR('Case Inputs'!$B$6)+A21)</f>
        <v>2028</v>
      </c>
      <c r="C21" s="7">
        <f t="shared" si="0"/>
        <v>69918.385696999991</v>
      </c>
      <c r="D21" s="10">
        <f>IF(A21="","",IFERROR(INDEX('Discount Rates'!$C:$C,MATCH(TEXT(B21,"0"),'Discount Rates'!$A:$A,0))/100-IF($F$6=TRUE,$E$6,0),0))</f>
        <v>-8.0999999999999996E-3</v>
      </c>
      <c r="E21" s="7">
        <f t="shared" si="1"/>
        <v>71064.975730780934</v>
      </c>
      <c r="F21" s="26">
        <f t="shared" si="2"/>
        <v>1</v>
      </c>
      <c r="G21" s="7">
        <f t="shared" si="3"/>
        <v>71064.975730780934</v>
      </c>
    </row>
    <row r="22" spans="1:7" x14ac:dyDescent="0.2">
      <c r="A22">
        <f>IF(3&gt;$E$4+1,"",3)</f>
        <v>3</v>
      </c>
      <c r="B22">
        <f>IF(A22="","",YEAR('Case Inputs'!$B$6)+A22)</f>
        <v>2029</v>
      </c>
      <c r="C22" s="7">
        <f t="shared" si="0"/>
        <v>72085.855653606981</v>
      </c>
      <c r="D22" s="10">
        <f>IF(A22="","",IFERROR(INDEX('Discount Rates'!$C:$C,MATCH(TEXT(B22,"0"),'Discount Rates'!$A:$A,0))/100-IF($F$6=TRUE,$E$6,0),0))</f>
        <v>-7.810000000000001E-3</v>
      </c>
      <c r="E22" s="7">
        <f t="shared" si="1"/>
        <v>73801.556457606755</v>
      </c>
      <c r="F22" s="26">
        <f t="shared" si="2"/>
        <v>1</v>
      </c>
      <c r="G22" s="7">
        <f t="shared" si="3"/>
        <v>73801.556457606755</v>
      </c>
    </row>
    <row r="23" spans="1:7" x14ac:dyDescent="0.2">
      <c r="A23">
        <f>IF(4&gt;$E$4+1,"",4)</f>
        <v>4</v>
      </c>
      <c r="B23">
        <f>IF(A23="","",YEAR('Case Inputs'!$B$6)+A23)</f>
        <v>2030</v>
      </c>
      <c r="C23" s="7">
        <f t="shared" si="0"/>
        <v>74320.517178868802</v>
      </c>
      <c r="D23" s="10">
        <f>IF(A23="","",IFERROR(INDEX('Discount Rates'!$C:$C,MATCH(TEXT(B23,"0"),'Discount Rates'!$A:$A,0))/100-IF($F$6=TRUE,$E$6,0),0))</f>
        <v>-7.0999999999999987E-3</v>
      </c>
      <c r="E23" s="7">
        <f t="shared" si="1"/>
        <v>76469.223528102506</v>
      </c>
      <c r="F23" s="26">
        <f t="shared" si="2"/>
        <v>1</v>
      </c>
      <c r="G23" s="7">
        <f t="shared" si="3"/>
        <v>76469.223528102506</v>
      </c>
    </row>
    <row r="24" spans="1:7" x14ac:dyDescent="0.2">
      <c r="A24">
        <f>IF(5&gt;$E$4+1,"",5)</f>
        <v>5</v>
      </c>
      <c r="B24">
        <f>IF(A24="","",YEAR('Case Inputs'!$B$6)+A24)</f>
        <v>2031</v>
      </c>
      <c r="C24" s="7">
        <f t="shared" si="0"/>
        <v>76624.453211413726</v>
      </c>
      <c r="D24" s="10">
        <f>IF(A24="","",IFERROR(INDEX('Discount Rates'!$C:$C,MATCH(TEXT(B24,"0"),'Discount Rates'!$A:$A,0))/100-IF($F$6=TRUE,$E$6,0),0))</f>
        <v>-6.459999999999997E-3</v>
      </c>
      <c r="E24" s="7">
        <f t="shared" si="1"/>
        <v>79148.120407621114</v>
      </c>
      <c r="F24" s="26">
        <f t="shared" si="2"/>
        <v>1</v>
      </c>
      <c r="G24" s="7">
        <f t="shared" si="3"/>
        <v>79148.120407621114</v>
      </c>
    </row>
    <row r="25" spans="1:7" x14ac:dyDescent="0.2">
      <c r="A25">
        <f>IF(6&gt;$E$4+1,"",6)</f>
        <v>6</v>
      </c>
      <c r="B25">
        <f>IF(A25="","",YEAR('Case Inputs'!$B$6)+A25)</f>
        <v>2032</v>
      </c>
      <c r="C25" s="7">
        <f t="shared" si="0"/>
        <v>78999.811260967545</v>
      </c>
      <c r="D25" s="10">
        <f>IF(A25="","",IFERROR(INDEX('Discount Rates'!$C:$C,MATCH(TEXT(B25,"0"),'Discount Rates'!$A:$A,0))/100-IF($F$6=TRUE,$E$6,0),0))</f>
        <v>-5.5000000000000014E-3</v>
      </c>
      <c r="E25" s="7">
        <f t="shared" si="1"/>
        <v>81657.734913648368</v>
      </c>
      <c r="F25" s="26">
        <f t="shared" si="2"/>
        <v>1</v>
      </c>
      <c r="G25" s="7">
        <f t="shared" si="3"/>
        <v>81657.734913648368</v>
      </c>
    </row>
    <row r="26" spans="1:7" x14ac:dyDescent="0.2">
      <c r="A26">
        <f>IF(7&gt;$E$4+1,"",7)</f>
        <v>7</v>
      </c>
      <c r="B26">
        <f>IF(A26="","",YEAR('Case Inputs'!$B$6)+A26)</f>
        <v>2033</v>
      </c>
      <c r="C26" s="7">
        <f t="shared" si="0"/>
        <v>81448.805410057539</v>
      </c>
      <c r="D26" s="10">
        <f>IF(A26="","",IFERROR(INDEX('Discount Rates'!$C:$C,MATCH(TEXT(B26,"0"),'Discount Rates'!$A:$A,0))/100-IF($F$6=TRUE,$E$6,0),0))</f>
        <v>-4.3800000000000019E-3</v>
      </c>
      <c r="E26" s="7">
        <f t="shared" si="1"/>
        <v>83990.358333238095</v>
      </c>
      <c r="F26" s="26">
        <f t="shared" si="2"/>
        <v>1</v>
      </c>
      <c r="G26" s="7">
        <f t="shared" si="3"/>
        <v>83990.358333238095</v>
      </c>
    </row>
    <row r="27" spans="1:7" x14ac:dyDescent="0.2">
      <c r="A27">
        <f>IF(8&gt;$E$4+1,"",8)</f>
        <v>8</v>
      </c>
      <c r="B27">
        <f>IF(A27="","",YEAR('Case Inputs'!$B$6)+A27)</f>
        <v>2034</v>
      </c>
      <c r="C27" s="7">
        <f t="shared" si="0"/>
        <v>83973.718377769314</v>
      </c>
      <c r="D27" s="10">
        <f>IF(A27="","",IFERROR(INDEX('Discount Rates'!$C:$C,MATCH(TEXT(B27,"0"),'Discount Rates'!$A:$A,0))/100-IF($F$6=TRUE,$E$6,0),0))</f>
        <v>-3.6299999999999978E-3</v>
      </c>
      <c r="E27" s="7">
        <f t="shared" si="1"/>
        <v>86452.636488864795</v>
      </c>
      <c r="F27" s="26">
        <f t="shared" si="2"/>
        <v>1</v>
      </c>
      <c r="G27" s="7">
        <f t="shared" si="3"/>
        <v>86452.636488864795</v>
      </c>
    </row>
    <row r="28" spans="1:7" x14ac:dyDescent="0.2">
      <c r="A28">
        <f>IF(9&gt;$E$4+1,"",9)</f>
        <v>9</v>
      </c>
      <c r="B28">
        <f>IF(A28="","",YEAR('Case Inputs'!$B$6)+A28)</f>
        <v>2035</v>
      </c>
      <c r="C28" s="7">
        <f t="shared" si="0"/>
        <v>86576.903647480154</v>
      </c>
      <c r="D28" s="10">
        <f>IF(A28="","",IFERROR(INDEX('Discount Rates'!$C:$C,MATCH(TEXT(B28,"0"),'Discount Rates'!$A:$A,0))/100-IF($F$6=TRUE,$E$6,0),0))</f>
        <v>-2.6299999999999969E-3</v>
      </c>
      <c r="E28" s="7">
        <f t="shared" si="1"/>
        <v>88653.38885986169</v>
      </c>
      <c r="F28" s="26">
        <f t="shared" si="2"/>
        <v>1</v>
      </c>
      <c r="G28" s="7">
        <f t="shared" si="3"/>
        <v>88653.38885986169</v>
      </c>
    </row>
    <row r="29" spans="1:7" x14ac:dyDescent="0.2">
      <c r="A29">
        <f>IF(10&gt;$E$4+1,"",10)</f>
        <v>10</v>
      </c>
      <c r="B29">
        <f>IF(A29="","",YEAR('Case Inputs'!$B$6)+A29)</f>
        <v>2036</v>
      </c>
      <c r="C29" s="7">
        <f t="shared" si="0"/>
        <v>89260.787660552043</v>
      </c>
      <c r="D29" s="10">
        <f>IF(A29="","",IFERROR(INDEX('Discount Rates'!$C:$C,MATCH(TEXT(B29,"0"),'Discount Rates'!$A:$A,0))/100-IF($F$6=TRUE,$E$6,0),0))</f>
        <v>-1.4499999999999999E-3</v>
      </c>
      <c r="E29" s="7">
        <f t="shared" si="1"/>
        <v>90565.451126223008</v>
      </c>
      <c r="F29" s="26">
        <f t="shared" si="2"/>
        <v>1</v>
      </c>
      <c r="G29" s="7">
        <f t="shared" si="3"/>
        <v>90565.451126223008</v>
      </c>
    </row>
    <row r="30" spans="1:7" x14ac:dyDescent="0.2">
      <c r="A30">
        <f>IF(11&gt;$E$4+1,"",11)</f>
        <v>11</v>
      </c>
      <c r="B30">
        <f>IF(A30="","",YEAR('Case Inputs'!$B$6)+A30)</f>
        <v>2037</v>
      </c>
      <c r="C30" s="7">
        <f t="shared" si="0"/>
        <v>92027.872078029148</v>
      </c>
      <c r="D30" s="10">
        <f>IF(A30="","",IFERROR(INDEX('Discount Rates'!$C:$C,MATCH(TEXT(B30,"0"),'Discount Rates'!$A:$A,0))/100-IF($F$6=TRUE,$E$6,0),0))</f>
        <v>-2.6999999999999941E-4</v>
      </c>
      <c r="E30" s="7">
        <f t="shared" si="1"/>
        <v>92301.638159550537</v>
      </c>
      <c r="F30" s="26">
        <f t="shared" si="2"/>
        <v>1</v>
      </c>
      <c r="G30" s="7">
        <f t="shared" si="3"/>
        <v>92301.638159550537</v>
      </c>
    </row>
    <row r="31" spans="1:7" x14ac:dyDescent="0.2">
      <c r="A31">
        <f>IF(12&gt;$E$4+1,"",12)</f>
        <v>12</v>
      </c>
      <c r="B31">
        <f>IF(A31="","",YEAR('Case Inputs'!$B$6)+A31)</f>
        <v>2038</v>
      </c>
      <c r="C31" s="7">
        <f t="shared" si="0"/>
        <v>94880.736112448052</v>
      </c>
      <c r="D31" s="10">
        <f>IF(A31="","",IFERROR(INDEX('Discount Rates'!$C:$C,MATCH(TEXT(B31,"0"),'Discount Rates'!$A:$A,0))/100-IF($F$6=TRUE,$E$6,0),0))</f>
        <v>8.5000000000000353E-4</v>
      </c>
      <c r="E31" s="7">
        <f t="shared" si="1"/>
        <v>93918.27846562535</v>
      </c>
      <c r="F31" s="26">
        <f t="shared" si="2"/>
        <v>1</v>
      </c>
      <c r="G31" s="7">
        <f t="shared" si="3"/>
        <v>93918.27846562535</v>
      </c>
    </row>
    <row r="32" spans="1:7" x14ac:dyDescent="0.2">
      <c r="A32">
        <f>IF(13&gt;$E$4+1,"",13)</f>
        <v>13</v>
      </c>
      <c r="B32">
        <f>IF(A32="","",YEAR('Case Inputs'!$B$6)+A32)</f>
        <v>2039</v>
      </c>
      <c r="C32" s="7">
        <f t="shared" si="0"/>
        <v>97822.038931933945</v>
      </c>
      <c r="D32" s="10">
        <f>IF(A32="","",IFERROR(INDEX('Discount Rates'!$C:$C,MATCH(TEXT(B32,"0"),'Discount Rates'!$A:$A,0))/100-IF($F$6=TRUE,$E$6,0),0))</f>
        <v>1.6399999999999956E-3</v>
      </c>
      <c r="E32" s="7">
        <f t="shared" si="1"/>
        <v>95760.220312021993</v>
      </c>
      <c r="F32" s="26">
        <f t="shared" si="2"/>
        <v>1</v>
      </c>
      <c r="G32" s="7">
        <f t="shared" si="3"/>
        <v>95760.220312021993</v>
      </c>
    </row>
    <row r="33" spans="1:7" x14ac:dyDescent="0.2">
      <c r="A33">
        <f>IF(14&gt;$E$4+1,"",14)</f>
        <v>14</v>
      </c>
      <c r="B33">
        <f>IF(A33="","",YEAR('Case Inputs'!$B$6)+A33)</f>
        <v>2040</v>
      </c>
      <c r="C33" s="7">
        <f t="shared" si="0"/>
        <v>100854.52213882387</v>
      </c>
      <c r="D33" s="10">
        <f>IF(A33="","",IFERROR(INDEX('Discount Rates'!$C:$C,MATCH(TEXT(B33,"0"),'Discount Rates'!$A:$A,0))/100-IF($F$6=TRUE,$E$6,0),0))</f>
        <v>2.7800000000000047E-3</v>
      </c>
      <c r="E33" s="7">
        <f t="shared" si="1"/>
        <v>97009.906522504767</v>
      </c>
      <c r="F33" s="26">
        <f t="shared" si="2"/>
        <v>1</v>
      </c>
      <c r="G33" s="7">
        <f t="shared" si="3"/>
        <v>97009.906522504767</v>
      </c>
    </row>
    <row r="34" spans="1:7" x14ac:dyDescent="0.2">
      <c r="A34">
        <f>IF(15&gt;$E$4+1,"",15)</f>
        <v>15</v>
      </c>
      <c r="B34">
        <f>IF(A34="","",YEAR('Case Inputs'!$B$6)+A34)</f>
        <v>2041</v>
      </c>
      <c r="C34" s="7">
        <f t="shared" si="0"/>
        <v>103981.01232512741</v>
      </c>
      <c r="D34" s="10">
        <f>IF(A34="","",IFERROR(INDEX('Discount Rates'!$C:$C,MATCH(TEXT(B34,"0"),'Discount Rates'!$A:$A,0))/100-IF($F$6=TRUE,$E$6,0),0))</f>
        <v>3.3900000000000041E-3</v>
      </c>
      <c r="E34" s="7">
        <f t="shared" si="1"/>
        <v>98834.259935662805</v>
      </c>
      <c r="F34" s="26">
        <f t="shared" si="2"/>
        <v>1</v>
      </c>
      <c r="G34" s="7">
        <f t="shared" si="3"/>
        <v>98834.259935662805</v>
      </c>
    </row>
    <row r="35" spans="1:7" x14ac:dyDescent="0.2">
      <c r="A35">
        <f>IF(16&gt;$E$4+1,"",16)</f>
        <v>16</v>
      </c>
      <c r="B35">
        <f>IF(A35="","",YEAR('Case Inputs'!$B$6)+A35)</f>
        <v>2042</v>
      </c>
      <c r="C35" s="7">
        <f t="shared" si="0"/>
        <v>107204.42370720636</v>
      </c>
      <c r="D35" s="10">
        <f>IF(A35="","",IFERROR(INDEX('Discount Rates'!$C:$C,MATCH(TEXT(B35,"0"),'Discount Rates'!$A:$A,0))/100-IF($F$6=TRUE,$E$6,0),0))</f>
        <v>4.4799999999999979E-3</v>
      </c>
      <c r="E35" s="7">
        <f t="shared" si="1"/>
        <v>99804.931803730447</v>
      </c>
      <c r="F35" s="26">
        <f t="shared" si="2"/>
        <v>1</v>
      </c>
      <c r="G35" s="7">
        <f t="shared" si="3"/>
        <v>99804.931803730447</v>
      </c>
    </row>
    <row r="36" spans="1:7" x14ac:dyDescent="0.2">
      <c r="A36">
        <f>IF(17&gt;$E$4+1,"",17)</f>
        <v>17</v>
      </c>
      <c r="B36">
        <f>IF(A36="","",YEAR('Case Inputs'!$B$6)+A36)</f>
        <v>2043</v>
      </c>
      <c r="C36" s="7">
        <f t="shared" si="0"/>
        <v>110527.76084212975</v>
      </c>
      <c r="D36" s="10">
        <f>IF(A36="","",IFERROR(INDEX('Discount Rates'!$C:$C,MATCH(TEXT(B36,"0"),'Discount Rates'!$A:$A,0))/100-IF($F$6=TRUE,$E$6,0),0))</f>
        <v>5.7999999999999996E-3</v>
      </c>
      <c r="E36" s="7">
        <f t="shared" si="1"/>
        <v>100178.29594955793</v>
      </c>
      <c r="F36" s="26">
        <f t="shared" si="2"/>
        <v>1</v>
      </c>
      <c r="G36" s="7">
        <f t="shared" si="3"/>
        <v>100178.29594955793</v>
      </c>
    </row>
    <row r="37" spans="1:7" x14ac:dyDescent="0.2">
      <c r="A37">
        <f>IF(18&gt;$E$4+1,"",18)</f>
        <v>18</v>
      </c>
      <c r="B37">
        <f>IF(A37="","",YEAR('Case Inputs'!$B$6)+A37)</f>
        <v>2044</v>
      </c>
      <c r="C37" s="7">
        <f t="shared" si="0"/>
        <v>113954.12142823577</v>
      </c>
      <c r="D37" s="10">
        <f>IF(A37="","",IFERROR(INDEX('Discount Rates'!$C:$C,MATCH(TEXT(B37,"0"),'Discount Rates'!$A:$A,0))/100-IF($F$6=TRUE,$E$6,0),0))</f>
        <v>7.1200000000000013E-3</v>
      </c>
      <c r="E37" s="7">
        <f t="shared" si="1"/>
        <v>100292.41000915405</v>
      </c>
      <c r="F37" s="26">
        <f t="shared" si="2"/>
        <v>1</v>
      </c>
      <c r="G37" s="7">
        <f t="shared" si="3"/>
        <v>100292.41000915405</v>
      </c>
    </row>
    <row r="38" spans="1:7" x14ac:dyDescent="0.2">
      <c r="A38">
        <f>IF(19&gt;$E$4+1,"",19)</f>
        <v>19</v>
      </c>
      <c r="B38">
        <f>IF(A38="","",YEAR('Case Inputs'!$B$6)+A38)</f>
        <v>2045</v>
      </c>
      <c r="C38" s="7">
        <f t="shared" si="0"/>
        <v>117486.69919251105</v>
      </c>
      <c r="D38" s="10">
        <f>IF(A38="","",IFERROR(INDEX('Discount Rates'!$C:$C,MATCH(TEXT(B38,"0"),'Discount Rates'!$A:$A,0))/100-IF($F$6=TRUE,$E$6,0),0))</f>
        <v>8.4800000000000014E-3</v>
      </c>
      <c r="E38" s="7">
        <f t="shared" si="1"/>
        <v>100071.45090965989</v>
      </c>
      <c r="F38" s="26">
        <f t="shared" si="2"/>
        <v>1</v>
      </c>
      <c r="G38" s="7">
        <f t="shared" si="3"/>
        <v>100071.45090965989</v>
      </c>
    </row>
    <row r="39" spans="1:7" x14ac:dyDescent="0.2">
      <c r="A39">
        <f>IF(20&gt;$E$4+1,"",20)</f>
        <v>20</v>
      </c>
      <c r="B39">
        <f>IF(A39="","",YEAR('Case Inputs'!$B$6)+A39)</f>
        <v>2046</v>
      </c>
      <c r="C39" s="7">
        <f t="shared" si="0"/>
        <v>121128.78686747891</v>
      </c>
      <c r="D39" s="10">
        <f>IF(A39="","",IFERROR(INDEX('Discount Rates'!$C:$C,MATCH(TEXT(B39,"0"),'Discount Rates'!$A:$A,0))/100-IF($F$6=TRUE,$E$6,0),0))</f>
        <v>9.7199999999999995E-3</v>
      </c>
      <c r="E39" s="7">
        <f t="shared" si="1"/>
        <v>99822.44321371938</v>
      </c>
      <c r="F39" s="26">
        <f t="shared" si="2"/>
        <v>3.764544832306882E-2</v>
      </c>
      <c r="G39" s="7">
        <f t="shared" si="3"/>
        <v>3757.8606274845447</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1778181.6421673791</v>
      </c>
      <c r="G71" s="30">
        <f>SUM(G20:G70)</f>
        <v>1682117.0595811442</v>
      </c>
    </row>
    <row r="73" spans="1:7" x14ac:dyDescent="0.2">
      <c r="A73" s="19" t="s">
        <v>148</v>
      </c>
      <c r="G73" s="30">
        <f>G17+G71</f>
        <v>1994242.4404030619</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176</v>
      </c>
      <c r="B1" s="79"/>
      <c r="C1" s="79"/>
      <c r="D1" s="79"/>
      <c r="E1" s="79"/>
      <c r="F1" s="79"/>
      <c r="G1" s="79"/>
    </row>
    <row r="3" spans="1:32" x14ac:dyDescent="0.2">
      <c r="A3" t="s">
        <v>98</v>
      </c>
      <c r="B3" s="42">
        <v>87666</v>
      </c>
      <c r="C3" t="s">
        <v>155</v>
      </c>
      <c r="D3" t="s">
        <v>97</v>
      </c>
      <c r="E3" s="39">
        <v>3.1E-2</v>
      </c>
      <c r="F3" t="s">
        <v>155</v>
      </c>
    </row>
    <row r="4" spans="1:32" x14ac:dyDescent="0.2">
      <c r="A4" t="s">
        <v>93</v>
      </c>
      <c r="B4">
        <f>'Case Inputs'!B18</f>
        <v>14.292566735112935</v>
      </c>
      <c r="D4" t="s">
        <v>99</v>
      </c>
      <c r="E4">
        <f>'Case Inputs'!B19</f>
        <v>14</v>
      </c>
    </row>
    <row r="5" spans="1:32" x14ac:dyDescent="0.2">
      <c r="A5" t="s">
        <v>100</v>
      </c>
      <c r="B5">
        <f>'Case Inputs'!B20</f>
        <v>0.29256673511293485</v>
      </c>
      <c r="D5" t="s">
        <v>259</v>
      </c>
      <c r="F5" s="53" t="b">
        <v>0</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row>
    <row r="17" spans="1:7" x14ac:dyDescent="0.2">
      <c r="A17" s="19" t="s">
        <v>146</v>
      </c>
      <c r="G17" s="30">
        <f>SUM(G9:G15)</f>
        <v>415993.18356164382</v>
      </c>
    </row>
    <row r="19" spans="1:7" s="46" customFormat="1" x14ac:dyDescent="0.2">
      <c r="A19" s="91" t="s">
        <v>147</v>
      </c>
      <c r="B19" s="91"/>
      <c r="C19" s="91"/>
      <c r="D19" s="91"/>
      <c r="E19" s="91"/>
      <c r="F19" s="91"/>
      <c r="G19" s="91"/>
    </row>
    <row r="20" spans="1:7" x14ac:dyDescent="0.2">
      <c r="A20">
        <f>IF(1&gt;$E$4+1,"",1)</f>
        <v>1</v>
      </c>
      <c r="B20">
        <f>IF(A20="","",YEAR('Case Inputs'!$B$6)+A20)</f>
        <v>2027</v>
      </c>
      <c r="C20" s="7">
        <f t="shared" ref="C20:C51" si="0">IF(A20="","",$C$15*(1+$E$3)^A20)</f>
        <v>90383.645999999993</v>
      </c>
      <c r="D20" s="10">
        <f>IF(A20="","",IFERROR(INDEX('Discount Rates'!$C:$C,MATCH(TEXT(B20,"0"),'Discount Rates'!$A:$A,0))/100-IF($F$6=TRUE,$E$6,0),0))</f>
        <v>-8.3099999999999979E-3</v>
      </c>
      <c r="E20" s="7">
        <f t="shared" ref="E20:E51" si="1">IF(A20="","",C20/((1+D20)^A20))</f>
        <v>91141.027942199682</v>
      </c>
      <c r="F20" s="26">
        <f t="shared" ref="F20:F51" si="2">IF(A20="","",IF(A20&lt;=$E$4,1,IF(A20=$E$4+1,$B$5,0)))</f>
        <v>1</v>
      </c>
      <c r="G20" s="7">
        <f t="shared" ref="G20:G51" si="3">IF(A20="","",E20*F20*IF($F$5,1-$E$5,1))</f>
        <v>91141.027942199682</v>
      </c>
    </row>
    <row r="21" spans="1:7" x14ac:dyDescent="0.2">
      <c r="A21">
        <f>IF(2&gt;$E$4+1,"",2)</f>
        <v>2</v>
      </c>
      <c r="B21">
        <f>IF(A21="","",YEAR('Case Inputs'!$B$6)+A21)</f>
        <v>2028</v>
      </c>
      <c r="C21" s="7">
        <f t="shared" si="0"/>
        <v>93185.539025999984</v>
      </c>
      <c r="D21" s="10">
        <f>IF(A21="","",IFERROR(INDEX('Discount Rates'!$C:$C,MATCH(TEXT(B21,"0"),'Discount Rates'!$A:$A,0))/100-IF($F$6=TRUE,$E$6,0),0))</f>
        <v>-8.0999999999999996E-3</v>
      </c>
      <c r="E21" s="7">
        <f t="shared" si="1"/>
        <v>94713.68658367882</v>
      </c>
      <c r="F21" s="26">
        <f t="shared" si="2"/>
        <v>1</v>
      </c>
      <c r="G21" s="7">
        <f t="shared" si="3"/>
        <v>94713.68658367882</v>
      </c>
    </row>
    <row r="22" spans="1:7" x14ac:dyDescent="0.2">
      <c r="A22">
        <f>IF(3&gt;$E$4+1,"",3)</f>
        <v>3</v>
      </c>
      <c r="B22">
        <f>IF(A22="","",YEAR('Case Inputs'!$B$6)+A22)</f>
        <v>2029</v>
      </c>
      <c r="C22" s="7">
        <f t="shared" si="0"/>
        <v>96074.290735805975</v>
      </c>
      <c r="D22" s="10">
        <f>IF(A22="","",IFERROR(INDEX('Discount Rates'!$C:$C,MATCH(TEXT(B22,"0"),'Discount Rates'!$A:$A,0))/100-IF($F$6=TRUE,$E$6,0),0))</f>
        <v>-7.810000000000001E-3</v>
      </c>
      <c r="E22" s="7">
        <f t="shared" si="1"/>
        <v>98360.935409224418</v>
      </c>
      <c r="F22" s="26">
        <f t="shared" si="2"/>
        <v>1</v>
      </c>
      <c r="G22" s="7">
        <f t="shared" si="3"/>
        <v>98360.935409224418</v>
      </c>
    </row>
    <row r="23" spans="1:7" x14ac:dyDescent="0.2">
      <c r="A23">
        <f>IF(4&gt;$E$4+1,"",4)</f>
        <v>4</v>
      </c>
      <c r="B23">
        <f>IF(A23="","",YEAR('Case Inputs'!$B$6)+A23)</f>
        <v>2030</v>
      </c>
      <c r="C23" s="7">
        <f t="shared" si="0"/>
        <v>99052.593748615967</v>
      </c>
      <c r="D23" s="10">
        <f>IF(A23="","",IFERROR(INDEX('Discount Rates'!$C:$C,MATCH(TEXT(B23,"0"),'Discount Rates'!$A:$A,0))/100-IF($F$6=TRUE,$E$6,0),0))</f>
        <v>-7.0999999999999987E-3</v>
      </c>
      <c r="E23" s="7">
        <f t="shared" si="1"/>
        <v>101916.33777482454</v>
      </c>
      <c r="F23" s="26">
        <f t="shared" si="2"/>
        <v>1</v>
      </c>
      <c r="G23" s="7">
        <f t="shared" si="3"/>
        <v>101916.33777482454</v>
      </c>
    </row>
    <row r="24" spans="1:7" x14ac:dyDescent="0.2">
      <c r="A24">
        <f>IF(5&gt;$E$4+1,"",5)</f>
        <v>5</v>
      </c>
      <c r="B24">
        <f>IF(A24="","",YEAR('Case Inputs'!$B$6)+A24)</f>
        <v>2031</v>
      </c>
      <c r="C24" s="7">
        <f t="shared" si="0"/>
        <v>102123.22415482305</v>
      </c>
      <c r="D24" s="10">
        <f>IF(A24="","",IFERROR(INDEX('Discount Rates'!$C:$C,MATCH(TEXT(B24,"0"),'Discount Rates'!$A:$A,0))/100-IF($F$6=TRUE,$E$6,0),0))</f>
        <v>-6.459999999999997E-3</v>
      </c>
      <c r="E24" s="7">
        <f t="shared" si="1"/>
        <v>105486.70695918806</v>
      </c>
      <c r="F24" s="26">
        <f t="shared" si="2"/>
        <v>1</v>
      </c>
      <c r="G24" s="7">
        <f t="shared" si="3"/>
        <v>105486.70695918806</v>
      </c>
    </row>
    <row r="25" spans="1:7" x14ac:dyDescent="0.2">
      <c r="A25">
        <f>IF(6&gt;$E$4+1,"",6)</f>
        <v>6</v>
      </c>
      <c r="B25">
        <f>IF(A25="","",YEAR('Case Inputs'!$B$6)+A25)</f>
        <v>2032</v>
      </c>
      <c r="C25" s="7">
        <f t="shared" si="0"/>
        <v>105289.04410362257</v>
      </c>
      <c r="D25" s="10">
        <f>IF(A25="","",IFERROR(INDEX('Discount Rates'!$C:$C,MATCH(TEXT(B25,"0"),'Discount Rates'!$A:$A,0))/100-IF($F$6=TRUE,$E$6,0),0))</f>
        <v>-5.5000000000000014E-3</v>
      </c>
      <c r="E25" s="7">
        <f t="shared" si="1"/>
        <v>108831.46067683079</v>
      </c>
      <c r="F25" s="26">
        <f t="shared" si="2"/>
        <v>1</v>
      </c>
      <c r="G25" s="7">
        <f t="shared" si="3"/>
        <v>108831.46067683079</v>
      </c>
    </row>
    <row r="26" spans="1:7" x14ac:dyDescent="0.2">
      <c r="A26">
        <f>IF(7&gt;$E$4+1,"",7)</f>
        <v>7</v>
      </c>
      <c r="B26">
        <f>IF(A26="","",YEAR('Case Inputs'!$B$6)+A26)</f>
        <v>2033</v>
      </c>
      <c r="C26" s="7">
        <f t="shared" si="0"/>
        <v>108553.00447083484</v>
      </c>
      <c r="D26" s="10">
        <f>IF(A26="","",IFERROR(INDEX('Discount Rates'!$C:$C,MATCH(TEXT(B26,"0"),'Discount Rates'!$A:$A,0))/100-IF($F$6=TRUE,$E$6,0),0))</f>
        <v>-4.3800000000000019E-3</v>
      </c>
      <c r="E26" s="7">
        <f t="shared" si="1"/>
        <v>111940.32494096189</v>
      </c>
      <c r="F26" s="26">
        <f t="shared" si="2"/>
        <v>1</v>
      </c>
      <c r="G26" s="7">
        <f t="shared" si="3"/>
        <v>111940.32494096189</v>
      </c>
    </row>
    <row r="27" spans="1:7" x14ac:dyDescent="0.2">
      <c r="A27">
        <f>IF(8&gt;$E$4+1,"",8)</f>
        <v>8</v>
      </c>
      <c r="B27">
        <f>IF(A27="","",YEAR('Case Inputs'!$B$6)+A27)</f>
        <v>2034</v>
      </c>
      <c r="C27" s="7">
        <f t="shared" si="0"/>
        <v>111918.14760943073</v>
      </c>
      <c r="D27" s="10">
        <f>IF(A27="","",IFERROR(INDEX('Discount Rates'!$C:$C,MATCH(TEXT(B27,"0"),'Discount Rates'!$A:$A,0))/100-IF($F$6=TRUE,$E$6,0),0))</f>
        <v>-3.6299999999999978E-3</v>
      </c>
      <c r="E27" s="7">
        <f t="shared" si="1"/>
        <v>115221.98991186617</v>
      </c>
      <c r="F27" s="26">
        <f t="shared" si="2"/>
        <v>1</v>
      </c>
      <c r="G27" s="7">
        <f t="shared" si="3"/>
        <v>115221.98991186617</v>
      </c>
    </row>
    <row r="28" spans="1:7" x14ac:dyDescent="0.2">
      <c r="A28">
        <f>IF(9&gt;$E$4+1,"",9)</f>
        <v>9</v>
      </c>
      <c r="B28">
        <f>IF(A28="","",YEAR('Case Inputs'!$B$6)+A28)</f>
        <v>2035</v>
      </c>
      <c r="C28" s="7">
        <f t="shared" si="0"/>
        <v>115387.61018532306</v>
      </c>
      <c r="D28" s="10">
        <f>IF(A28="","",IFERROR(INDEX('Discount Rates'!$C:$C,MATCH(TEXT(B28,"0"),'Discount Rates'!$A:$A,0))/100-IF($F$6=TRUE,$E$6,0),0))</f>
        <v>-2.6299999999999969E-3</v>
      </c>
      <c r="E28" s="7">
        <f t="shared" si="1"/>
        <v>118155.09962127544</v>
      </c>
      <c r="F28" s="26">
        <f t="shared" si="2"/>
        <v>1</v>
      </c>
      <c r="G28" s="7">
        <f t="shared" si="3"/>
        <v>118155.09962127544</v>
      </c>
    </row>
    <row r="29" spans="1:7" x14ac:dyDescent="0.2">
      <c r="A29">
        <f>IF(10&gt;$E$4+1,"",10)</f>
        <v>10</v>
      </c>
      <c r="B29">
        <f>IF(A29="","",YEAR('Case Inputs'!$B$6)+A29)</f>
        <v>2036</v>
      </c>
      <c r="C29" s="7">
        <f t="shared" si="0"/>
        <v>118964.62610106808</v>
      </c>
      <c r="D29" s="10">
        <f>IF(A29="","",IFERROR(INDEX('Discount Rates'!$C:$C,MATCH(TEXT(B29,"0"),'Discount Rates'!$A:$A,0))/100-IF($F$6=TRUE,$E$6,0),0))</f>
        <v>-1.4499999999999999E-3</v>
      </c>
      <c r="E29" s="7">
        <f t="shared" si="1"/>
        <v>120703.45011830071</v>
      </c>
      <c r="F29" s="26">
        <f t="shared" si="2"/>
        <v>1</v>
      </c>
      <c r="G29" s="7">
        <f t="shared" si="3"/>
        <v>120703.45011830071</v>
      </c>
    </row>
    <row r="30" spans="1:7" x14ac:dyDescent="0.2">
      <c r="A30">
        <f>IF(11&gt;$E$4+1,"",11)</f>
        <v>11</v>
      </c>
      <c r="B30">
        <f>IF(A30="","",YEAR('Case Inputs'!$B$6)+A30)</f>
        <v>2037</v>
      </c>
      <c r="C30" s="7">
        <f t="shared" si="0"/>
        <v>122652.52951020117</v>
      </c>
      <c r="D30" s="10">
        <f>IF(A30="","",IFERROR(INDEX('Discount Rates'!$C:$C,MATCH(TEXT(B30,"0"),'Discount Rates'!$A:$A,0))/100-IF($F$6=TRUE,$E$6,0),0))</f>
        <v>-2.6999999999999941E-4</v>
      </c>
      <c r="E30" s="7">
        <f t="shared" si="1"/>
        <v>123017.39834433245</v>
      </c>
      <c r="F30" s="26">
        <f t="shared" si="2"/>
        <v>1</v>
      </c>
      <c r="G30" s="7">
        <f t="shared" si="3"/>
        <v>123017.39834433245</v>
      </c>
    </row>
    <row r="31" spans="1:7" x14ac:dyDescent="0.2">
      <c r="A31">
        <f>IF(12&gt;$E$4+1,"",12)</f>
        <v>12</v>
      </c>
      <c r="B31">
        <f>IF(A31="","",YEAR('Case Inputs'!$B$6)+A31)</f>
        <v>2038</v>
      </c>
      <c r="C31" s="7">
        <f t="shared" si="0"/>
        <v>126454.75792501742</v>
      </c>
      <c r="D31" s="10">
        <f>IF(A31="","",IFERROR(INDEX('Discount Rates'!$C:$C,MATCH(TEXT(B31,"0"),'Discount Rates'!$A:$A,0))/100-IF($F$6=TRUE,$E$6,0),0))</f>
        <v>8.5000000000000353E-4</v>
      </c>
      <c r="E31" s="7">
        <f t="shared" si="1"/>
        <v>125172.01757403821</v>
      </c>
      <c r="F31" s="26">
        <f t="shared" si="2"/>
        <v>1</v>
      </c>
      <c r="G31" s="7">
        <f t="shared" si="3"/>
        <v>125172.01757403821</v>
      </c>
    </row>
    <row r="32" spans="1:7" x14ac:dyDescent="0.2">
      <c r="A32">
        <f>IF(13&gt;$E$4+1,"",13)</f>
        <v>13</v>
      </c>
      <c r="B32">
        <f>IF(A32="","",YEAR('Case Inputs'!$B$6)+A32)</f>
        <v>2039</v>
      </c>
      <c r="C32" s="7">
        <f t="shared" si="0"/>
        <v>130374.85542069295</v>
      </c>
      <c r="D32" s="10">
        <f>IF(A32="","",IFERROR(INDEX('Discount Rates'!$C:$C,MATCH(TEXT(B32,"0"),'Discount Rates'!$A:$A,0))/100-IF($F$6=TRUE,$E$6,0),0))</f>
        <v>1.6399999999999956E-3</v>
      </c>
      <c r="E32" s="7">
        <f t="shared" si="1"/>
        <v>127626.9132656357</v>
      </c>
      <c r="F32" s="26">
        <f t="shared" si="2"/>
        <v>1</v>
      </c>
      <c r="G32" s="7">
        <f t="shared" si="3"/>
        <v>127626.9132656357</v>
      </c>
    </row>
    <row r="33" spans="1:7" x14ac:dyDescent="0.2">
      <c r="A33">
        <f>IF(14&gt;$E$4+1,"",14)</f>
        <v>14</v>
      </c>
      <c r="B33">
        <f>IF(A33="","",YEAR('Case Inputs'!$B$6)+A33)</f>
        <v>2040</v>
      </c>
      <c r="C33" s="7">
        <f t="shared" si="0"/>
        <v>134416.47593873442</v>
      </c>
      <c r="D33" s="10">
        <f>IF(A33="","",IFERROR(INDEX('Discount Rates'!$C:$C,MATCH(TEXT(B33,"0"),'Discount Rates'!$A:$A,0))/100-IF($F$6=TRUE,$E$6,0),0))</f>
        <v>2.7800000000000047E-3</v>
      </c>
      <c r="E33" s="7">
        <f t="shared" si="1"/>
        <v>129292.46492241822</v>
      </c>
      <c r="F33" s="26">
        <f t="shared" si="2"/>
        <v>1</v>
      </c>
      <c r="G33" s="7">
        <f t="shared" si="3"/>
        <v>129292.46492241822</v>
      </c>
    </row>
    <row r="34" spans="1:7" x14ac:dyDescent="0.2">
      <c r="A34">
        <f>IF(15&gt;$E$4+1,"",15)</f>
        <v>15</v>
      </c>
      <c r="B34">
        <f>IF(A34="","",YEAR('Case Inputs'!$B$6)+A34)</f>
        <v>2041</v>
      </c>
      <c r="C34" s="7">
        <f t="shared" si="0"/>
        <v>138583.38669283516</v>
      </c>
      <c r="D34" s="10">
        <f>IF(A34="","",IFERROR(INDEX('Discount Rates'!$C:$C,MATCH(TEXT(B34,"0"),'Discount Rates'!$A:$A,0))/100-IF($F$6=TRUE,$E$6,0),0))</f>
        <v>3.3900000000000041E-3</v>
      </c>
      <c r="E34" s="7">
        <f t="shared" si="1"/>
        <v>131723.91917417661</v>
      </c>
      <c r="F34" s="26">
        <f t="shared" si="2"/>
        <v>0.29256673511293485</v>
      </c>
      <c r="G34" s="7">
        <f t="shared" si="3"/>
        <v>38538.036969068969</v>
      </c>
    </row>
    <row r="35" spans="1:7" x14ac:dyDescent="0.2">
      <c r="A35" t="str">
        <f>IF(16&gt;$E$4+1,"",16)</f>
        <v/>
      </c>
      <c r="B35" t="str">
        <f>IF(A35="","",YEAR('Case Inputs'!$B$6)+A35)</f>
        <v/>
      </c>
      <c r="C35" s="7" t="str">
        <f t="shared" si="0"/>
        <v/>
      </c>
      <c r="D35" s="10" t="str">
        <f>IF(A35="","",IFERROR(INDEX('Discount Rates'!$C:$C,MATCH(TEXT(B35,"0"),'Discount Rates'!$A:$A,0))/100-IF($F$6=TRUE,$E$6,0),0))</f>
        <v/>
      </c>
      <c r="E35" s="7" t="str">
        <f t="shared" si="1"/>
        <v/>
      </c>
      <c r="F35" s="26" t="str">
        <f t="shared" si="2"/>
        <v/>
      </c>
      <c r="G35" s="7" t="str">
        <f t="shared" si="3"/>
        <v/>
      </c>
    </row>
    <row r="36" spans="1:7" x14ac:dyDescent="0.2">
      <c r="A36" t="str">
        <f>IF(17&gt;$E$4+1,"",17)</f>
        <v/>
      </c>
      <c r="B36" t="str">
        <f>IF(A36="","",YEAR('Case Inputs'!$B$6)+A36)</f>
        <v/>
      </c>
      <c r="C36" s="7" t="str">
        <f t="shared" si="0"/>
        <v/>
      </c>
      <c r="D36" s="10" t="str">
        <f>IF(A36="","",IFERROR(INDEX('Discount Rates'!$C:$C,MATCH(TEXT(B36,"0"),'Discount Rates'!$A:$A,0))/100-IF($F$6=TRUE,$E$6,0),0))</f>
        <v/>
      </c>
      <c r="E36" s="7" t="str">
        <f t="shared" si="1"/>
        <v/>
      </c>
      <c r="F36" s="26" t="str">
        <f t="shared" si="2"/>
        <v/>
      </c>
      <c r="G36" s="7" t="str">
        <f t="shared" si="3"/>
        <v/>
      </c>
    </row>
    <row r="37" spans="1:7" x14ac:dyDescent="0.2">
      <c r="A37" t="str">
        <f>IF(18&gt;$E$4+1,"",18)</f>
        <v/>
      </c>
      <c r="B37" t="str">
        <f>IF(A37="","",YEAR('Case Inputs'!$B$6)+A37)</f>
        <v/>
      </c>
      <c r="C37" s="7" t="str">
        <f t="shared" si="0"/>
        <v/>
      </c>
      <c r="D37" s="10" t="str">
        <f>IF(A37="","",IFERROR(INDEX('Discount Rates'!$C:$C,MATCH(TEXT(B37,"0"),'Discount Rates'!$A:$A,0))/100-IF($F$6=TRUE,$E$6,0),0))</f>
        <v/>
      </c>
      <c r="E37" s="7" t="str">
        <f t="shared" si="1"/>
        <v/>
      </c>
      <c r="F37" s="26" t="str">
        <f t="shared" si="2"/>
        <v/>
      </c>
      <c r="G37" s="7" t="str">
        <f t="shared" si="3"/>
        <v/>
      </c>
    </row>
    <row r="38" spans="1:7" x14ac:dyDescent="0.2">
      <c r="A38" t="str">
        <f>IF(19&gt;$E$4+1,"",19)</f>
        <v/>
      </c>
      <c r="B38" t="str">
        <f>IF(A38="","",YEAR('Case Inputs'!$B$6)+A38)</f>
        <v/>
      </c>
      <c r="C38" s="7" t="str">
        <f t="shared" si="0"/>
        <v/>
      </c>
      <c r="D38" s="10" t="str">
        <f>IF(A38="","",IFERROR(INDEX('Discount Rates'!$C:$C,MATCH(TEXT(B38,"0"),'Discount Rates'!$A:$A,0))/100-IF($F$6=TRUE,$E$6,0),0))</f>
        <v/>
      </c>
      <c r="E38" s="7" t="str">
        <f t="shared" si="1"/>
        <v/>
      </c>
      <c r="F38" s="26" t="str">
        <f t="shared" si="2"/>
        <v/>
      </c>
      <c r="G38" s="7" t="str">
        <f t="shared" si="3"/>
        <v/>
      </c>
    </row>
    <row r="39" spans="1:7" x14ac:dyDescent="0.2">
      <c r="A39" t="str">
        <f>IF(20&gt;$E$4+1,"",20)</f>
        <v/>
      </c>
      <c r="B39" t="str">
        <f>IF(A39="","",YEAR('Case Inputs'!$B$6)+A39)</f>
        <v/>
      </c>
      <c r="C39" s="7" t="str">
        <f t="shared" si="0"/>
        <v/>
      </c>
      <c r="D39" s="10" t="str">
        <f>IF(A39="","",IFERROR(INDEX('Discount Rates'!$C:$C,MATCH(TEXT(B39,"0"),'Discount Rates'!$A:$A,0))/100-IF($F$6=TRUE,$E$6,0),0))</f>
        <v/>
      </c>
      <c r="E39" s="7" t="str">
        <f t="shared" si="1"/>
        <v/>
      </c>
      <c r="F39" s="26" t="str">
        <f t="shared" si="2"/>
        <v/>
      </c>
      <c r="G39" s="7" t="str">
        <f t="shared" si="3"/>
        <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1703303.7332189514</v>
      </c>
      <c r="F71" s="30"/>
      <c r="G71" s="30">
        <f>SUM(G20:G70)</f>
        <v>1610117.8510138437</v>
      </c>
    </row>
    <row r="73" spans="1:7" x14ac:dyDescent="0.2">
      <c r="A73" s="19" t="s">
        <v>148</v>
      </c>
      <c r="G73" s="30">
        <f>G17+G71</f>
        <v>2026111.0345754875</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28515625" bestFit="1" customWidth="1"/>
    <col min="6" max="6" width="15.140625" bestFit="1" customWidth="1"/>
    <col min="7" max="7" width="13.42578125" bestFit="1" customWidth="1"/>
  </cols>
  <sheetData>
    <row r="1" spans="1:32" ht="18" x14ac:dyDescent="0.25">
      <c r="A1" s="90" t="s">
        <v>177</v>
      </c>
      <c r="B1" s="79"/>
      <c r="C1" s="79"/>
      <c r="D1" s="79"/>
      <c r="E1" s="79"/>
      <c r="F1" s="79"/>
      <c r="G1" s="79"/>
    </row>
    <row r="3" spans="1:32" x14ac:dyDescent="0.2">
      <c r="A3" t="s">
        <v>98</v>
      </c>
      <c r="B3" s="42">
        <v>32000</v>
      </c>
      <c r="C3" t="s">
        <v>155</v>
      </c>
      <c r="D3" t="s">
        <v>97</v>
      </c>
      <c r="E3" s="39">
        <v>3.1E-2</v>
      </c>
      <c r="F3" t="s">
        <v>155</v>
      </c>
    </row>
    <row r="4" spans="1:32" x14ac:dyDescent="0.2">
      <c r="A4" t="s">
        <v>141</v>
      </c>
      <c r="B4">
        <f>'Case Inputs'!B21</f>
        <v>19.037645448323069</v>
      </c>
      <c r="D4" t="s">
        <v>99</v>
      </c>
      <c r="E4">
        <f>'Case Inputs'!B22</f>
        <v>19</v>
      </c>
    </row>
    <row r="5" spans="1:32" x14ac:dyDescent="0.2">
      <c r="A5" t="s">
        <v>100</v>
      </c>
      <c r="B5">
        <f>'Case Inputs'!B23</f>
        <v>3.764544832306882E-2</v>
      </c>
      <c r="D5" t="s">
        <v>259</v>
      </c>
      <c r="E5" s="64">
        <v>0.35</v>
      </c>
      <c r="F5" s="53" t="b">
        <v>1</v>
      </c>
    </row>
    <row r="6" spans="1:32" x14ac:dyDescent="0.2">
      <c r="D6" t="s">
        <v>287</v>
      </c>
      <c r="E6">
        <f>E3</f>
        <v>3.1E-2</v>
      </c>
      <c r="F6" t="b">
        <v>1</v>
      </c>
    </row>
    <row r="7" spans="1:32" x14ac:dyDescent="0.2">
      <c r="A7" s="87" t="s">
        <v>144</v>
      </c>
      <c r="B7" s="79"/>
      <c r="C7" s="79"/>
      <c r="D7" s="79"/>
      <c r="E7" s="79"/>
      <c r="F7" s="79"/>
      <c r="G7" s="79"/>
      <c r="AE7" s="7"/>
      <c r="AF7" s="7"/>
    </row>
    <row r="8" spans="1:32" x14ac:dyDescent="0.2">
      <c r="A8" s="36" t="s">
        <v>0</v>
      </c>
      <c r="B8" s="36" t="s">
        <v>101</v>
      </c>
      <c r="C8" s="36" t="s">
        <v>145</v>
      </c>
      <c r="D8" s="36" t="str">
        <f>IF('Case Inputs'!$B$28="CPI Adjustment","CPI Index",IF('Case Inputs'!$B$28="Custom Rate","",""))</f>
        <v/>
      </c>
      <c r="E8" s="36" t="s">
        <v>158</v>
      </c>
      <c r="F8" s="36" t="s">
        <v>102</v>
      </c>
      <c r="G8" s="36" t="s">
        <v>154</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row>
    <row r="17" spans="1:7" x14ac:dyDescent="0.2">
      <c r="A17" s="19" t="s">
        <v>146</v>
      </c>
      <c r="G17" s="30">
        <f>SUM(G9:G15)</f>
        <v>98700.27397260275</v>
      </c>
    </row>
    <row r="19" spans="1:7" s="46" customFormat="1" x14ac:dyDescent="0.2">
      <c r="A19" s="91" t="s">
        <v>180</v>
      </c>
      <c r="B19" s="91"/>
      <c r="C19" s="91"/>
      <c r="D19" s="91"/>
      <c r="E19" s="91"/>
      <c r="F19" s="91"/>
      <c r="G19" s="91"/>
    </row>
    <row r="20" spans="1:7" x14ac:dyDescent="0.2">
      <c r="A20">
        <f>IF(1&gt;$E$4+1,"",1)</f>
        <v>1</v>
      </c>
      <c r="B20">
        <f>IF(A20="","",YEAR('Case Inputs'!$B$6)+A20)</f>
        <v>2027</v>
      </c>
      <c r="C20" s="7">
        <f t="shared" ref="C20:C51" si="0">IF(A20="","",$C$15*(1+$E$3)^A20)</f>
        <v>32992</v>
      </c>
      <c r="D20" s="10">
        <f>IF(A20="","",IFERROR(INDEX('Discount Rates'!$C:$C,MATCH(TEXT(B20,"0"),'Discount Rates'!$A:$A,0))/100-IF($F$6=TRUE,$E$6,0),0))</f>
        <v>-8.3099999999999979E-3</v>
      </c>
      <c r="E20" s="7">
        <f t="shared" ref="E20:E51" si="1">IF(A20="","",C20/((1+D20)^A20))</f>
        <v>33268.460910163463</v>
      </c>
      <c r="F20" s="26">
        <f t="shared" ref="F20:F51" si="2">IF(A20="","",IF(A20&lt;=$E$4,1,IF(A20=$E$4+1,$B$5,0)))</f>
        <v>1</v>
      </c>
      <c r="G20" s="7">
        <f t="shared" ref="G20:G51" si="3">IF(A20="","",E20*F20*IF($F$5,1-$E$5,1))</f>
        <v>21624.499591606251</v>
      </c>
    </row>
    <row r="21" spans="1:7" x14ac:dyDescent="0.2">
      <c r="A21">
        <f>IF(2&gt;$E$4+1,"",2)</f>
        <v>2</v>
      </c>
      <c r="B21">
        <f>IF(A21="","",YEAR('Case Inputs'!$B$6)+A21)</f>
        <v>2028</v>
      </c>
      <c r="C21" s="7">
        <f t="shared" si="0"/>
        <v>34014.751999999993</v>
      </c>
      <c r="D21" s="10">
        <f>IF(A21="","",IFERROR(INDEX('Discount Rates'!$C:$C,MATCH(TEXT(B21,"0"),'Discount Rates'!$A:$A,0))/100-IF($F$6=TRUE,$E$6,0),0))</f>
        <v>-8.0999999999999996E-3</v>
      </c>
      <c r="E21" s="7">
        <f t="shared" si="1"/>
        <v>34572.559152667192</v>
      </c>
      <c r="F21" s="26">
        <f t="shared" si="2"/>
        <v>1</v>
      </c>
      <c r="G21" s="7">
        <f t="shared" si="3"/>
        <v>22472.163449233674</v>
      </c>
    </row>
    <row r="22" spans="1:7" x14ac:dyDescent="0.2">
      <c r="A22">
        <f>IF(3&gt;$E$4+1,"",3)</f>
        <v>3</v>
      </c>
      <c r="B22">
        <f>IF(A22="","",YEAR('Case Inputs'!$B$6)+A22)</f>
        <v>2029</v>
      </c>
      <c r="C22" s="7">
        <f t="shared" si="0"/>
        <v>35069.209311999992</v>
      </c>
      <c r="D22" s="10">
        <f>IF(A22="","",IFERROR(INDEX('Discount Rates'!$C:$C,MATCH(TEXT(B22,"0"),'Discount Rates'!$A:$A,0))/100-IF($F$6=TRUE,$E$6,0),0))</f>
        <v>-7.810000000000001E-3</v>
      </c>
      <c r="E22" s="7">
        <f t="shared" si="1"/>
        <v>35903.884437469271</v>
      </c>
      <c r="F22" s="26">
        <f t="shared" si="2"/>
        <v>1</v>
      </c>
      <c r="G22" s="7">
        <f t="shared" si="3"/>
        <v>23337.524884355025</v>
      </c>
    </row>
    <row r="23" spans="1:7" x14ac:dyDescent="0.2">
      <c r="A23">
        <f>IF(4&gt;$E$4+1,"",4)</f>
        <v>4</v>
      </c>
      <c r="B23">
        <f>IF(A23="","",YEAR('Case Inputs'!$B$6)+A23)</f>
        <v>2030</v>
      </c>
      <c r="C23" s="7">
        <f t="shared" si="0"/>
        <v>36156.354800671994</v>
      </c>
      <c r="D23" s="10">
        <f>IF(A23="","",IFERROR(INDEX('Discount Rates'!$C:$C,MATCH(TEXT(B23,"0"),'Discount Rates'!$A:$A,0))/100-IF($F$6=TRUE,$E$6,0),0))</f>
        <v>-7.0999999999999987E-3</v>
      </c>
      <c r="E23" s="7">
        <f t="shared" si="1"/>
        <v>37201.683763310582</v>
      </c>
      <c r="F23" s="26">
        <f t="shared" si="2"/>
        <v>1</v>
      </c>
      <c r="G23" s="7">
        <f t="shared" si="3"/>
        <v>24181.094446151881</v>
      </c>
    </row>
    <row r="24" spans="1:7" x14ac:dyDescent="0.2">
      <c r="A24">
        <f>IF(5&gt;$E$4+1,"",5)</f>
        <v>5</v>
      </c>
      <c r="B24">
        <f>IF(A24="","",YEAR('Case Inputs'!$B$6)+A24)</f>
        <v>2031</v>
      </c>
      <c r="C24" s="7">
        <f t="shared" si="0"/>
        <v>37277.201799492825</v>
      </c>
      <c r="D24" s="10">
        <f>IF(A24="","",IFERROR(INDEX('Discount Rates'!$C:$C,MATCH(TEXT(B24,"0"),'Discount Rates'!$A:$A,0))/100-IF($F$6=TRUE,$E$6,0),0))</f>
        <v>-6.459999999999997E-3</v>
      </c>
      <c r="E24" s="7">
        <f t="shared" si="1"/>
        <v>38504.946304086166</v>
      </c>
      <c r="F24" s="26">
        <f t="shared" si="2"/>
        <v>1</v>
      </c>
      <c r="G24" s="7">
        <f t="shared" si="3"/>
        <v>25028.215097656008</v>
      </c>
    </row>
    <row r="25" spans="1:7" x14ac:dyDescent="0.2">
      <c r="A25">
        <f>IF(6&gt;$E$4+1,"",6)</f>
        <v>6</v>
      </c>
      <c r="B25">
        <f>IF(A25="","",YEAR('Case Inputs'!$B$6)+A25)</f>
        <v>2032</v>
      </c>
      <c r="C25" s="7">
        <f t="shared" si="0"/>
        <v>38432.7950552771</v>
      </c>
      <c r="D25" s="10">
        <f>IF(A25="","",IFERROR(INDEX('Discount Rates'!$C:$C,MATCH(TEXT(B25,"0"),'Discount Rates'!$A:$A,0))/100-IF($F$6=TRUE,$E$6,0),0))</f>
        <v>-5.5000000000000014E-3</v>
      </c>
      <c r="E25" s="7">
        <f t="shared" si="1"/>
        <v>39725.854283970817</v>
      </c>
      <c r="F25" s="26">
        <f t="shared" si="2"/>
        <v>1</v>
      </c>
      <c r="G25" s="7">
        <f t="shared" si="3"/>
        <v>25821.805284581031</v>
      </c>
    </row>
    <row r="26" spans="1:7" x14ac:dyDescent="0.2">
      <c r="A26">
        <f>IF(7&gt;$E$4+1,"",7)</f>
        <v>7</v>
      </c>
      <c r="B26">
        <f>IF(A26="","",YEAR('Case Inputs'!$B$6)+A26)</f>
        <v>2033</v>
      </c>
      <c r="C26" s="7">
        <f t="shared" si="0"/>
        <v>39624.21170199068</v>
      </c>
      <c r="D26" s="10">
        <f>IF(A26="","",IFERROR(INDEX('Discount Rates'!$C:$C,MATCH(TEXT(B26,"0"),'Discount Rates'!$A:$A,0))/100-IF($F$6=TRUE,$E$6,0),0))</f>
        <v>-4.3800000000000019E-3</v>
      </c>
      <c r="E26" s="7">
        <f t="shared" si="1"/>
        <v>40860.657473944062</v>
      </c>
      <c r="F26" s="26">
        <f t="shared" si="2"/>
        <v>1</v>
      </c>
      <c r="G26" s="7">
        <f t="shared" si="3"/>
        <v>26559.42735806364</v>
      </c>
    </row>
    <row r="27" spans="1:7" x14ac:dyDescent="0.2">
      <c r="A27">
        <f>IF(8&gt;$E$4+1,"",8)</f>
        <v>8</v>
      </c>
      <c r="B27">
        <f>IF(A27="","",YEAR('Case Inputs'!$B$6)+A27)</f>
        <v>2034</v>
      </c>
      <c r="C27" s="7">
        <f t="shared" si="0"/>
        <v>40852.562264752392</v>
      </c>
      <c r="D27" s="10">
        <f>IF(A27="","",IFERROR(INDEX('Discount Rates'!$C:$C,MATCH(TEXT(B27,"0"),'Discount Rates'!$A:$A,0))/100-IF($F$6=TRUE,$E$6,0),0))</f>
        <v>-3.6299999999999978E-3</v>
      </c>
      <c r="E27" s="7">
        <f t="shared" si="1"/>
        <v>42058.536686739644</v>
      </c>
      <c r="F27" s="26">
        <f t="shared" si="2"/>
        <v>1</v>
      </c>
      <c r="G27" s="7">
        <f t="shared" si="3"/>
        <v>27338.048846380771</v>
      </c>
    </row>
    <row r="28" spans="1:7" x14ac:dyDescent="0.2">
      <c r="A28">
        <f>IF(9&gt;$E$4+1,"",9)</f>
        <v>9</v>
      </c>
      <c r="B28">
        <f>IF(A28="","",YEAR('Case Inputs'!$B$6)+A28)</f>
        <v>2035</v>
      </c>
      <c r="C28" s="7">
        <f t="shared" si="0"/>
        <v>42118.99169495971</v>
      </c>
      <c r="D28" s="10">
        <f>IF(A28="","",IFERROR(INDEX('Discount Rates'!$C:$C,MATCH(TEXT(B28,"0"),'Discount Rates'!$A:$A,0))/100-IF($F$6=TRUE,$E$6,0),0))</f>
        <v>-2.6299999999999969E-3</v>
      </c>
      <c r="E28" s="7">
        <f t="shared" si="1"/>
        <v>43129.185635033129</v>
      </c>
      <c r="F28" s="26">
        <f t="shared" si="2"/>
        <v>1</v>
      </c>
      <c r="G28" s="7">
        <f t="shared" si="3"/>
        <v>28033.970662771535</v>
      </c>
    </row>
    <row r="29" spans="1:7" x14ac:dyDescent="0.2">
      <c r="A29">
        <f>IF(10&gt;$E$4+1,"",10)</f>
        <v>10</v>
      </c>
      <c r="B29">
        <f>IF(A29="","",YEAR('Case Inputs'!$B$6)+A29)</f>
        <v>2036</v>
      </c>
      <c r="C29" s="7">
        <f t="shared" si="0"/>
        <v>43424.680437503463</v>
      </c>
      <c r="D29" s="10">
        <f>IF(A29="","",IFERROR(INDEX('Discount Rates'!$C:$C,MATCH(TEXT(B29,"0"),'Discount Rates'!$A:$A,0))/100-IF($F$6=TRUE,$E$6,0),0))</f>
        <v>-1.4499999999999999E-3</v>
      </c>
      <c r="E29" s="7">
        <f t="shared" si="1"/>
        <v>44059.389087965945</v>
      </c>
      <c r="F29" s="26">
        <f t="shared" si="2"/>
        <v>1</v>
      </c>
      <c r="G29" s="7">
        <f t="shared" si="3"/>
        <v>28638.602907177865</v>
      </c>
    </row>
    <row r="30" spans="1:7" x14ac:dyDescent="0.2">
      <c r="A30">
        <f>IF(11&gt;$E$4+1,"",11)</f>
        <v>11</v>
      </c>
      <c r="B30">
        <f>IF(A30="","",YEAR('Case Inputs'!$B$6)+A30)</f>
        <v>2037</v>
      </c>
      <c r="C30" s="7">
        <f t="shared" si="0"/>
        <v>44770.845531066065</v>
      </c>
      <c r="D30" s="10">
        <f>IF(A30="","",IFERROR(INDEX('Discount Rates'!$C:$C,MATCH(TEXT(B30,"0"),'Discount Rates'!$A:$A,0))/100-IF($F$6=TRUE,$E$6,0),0))</f>
        <v>-2.6999999999999941E-4</v>
      </c>
      <c r="E30" s="7">
        <f t="shared" si="1"/>
        <v>44904.030605008084</v>
      </c>
      <c r="F30" s="26">
        <f t="shared" si="2"/>
        <v>1</v>
      </c>
      <c r="G30" s="7">
        <f t="shared" si="3"/>
        <v>29187.619893255254</v>
      </c>
    </row>
    <row r="31" spans="1:7" x14ac:dyDescent="0.2">
      <c r="A31">
        <f>IF(12&gt;$E$4+1,"",12)</f>
        <v>12</v>
      </c>
      <c r="B31">
        <f>IF(A31="","",YEAR('Case Inputs'!$B$6)+A31)</f>
        <v>2038</v>
      </c>
      <c r="C31" s="7">
        <f t="shared" si="0"/>
        <v>46158.741742529113</v>
      </c>
      <c r="D31" s="10">
        <f>IF(A31="","",IFERROR(INDEX('Discount Rates'!$C:$C,MATCH(TEXT(B31,"0"),'Discount Rates'!$A:$A,0))/100-IF($F$6=TRUE,$E$6,0),0))</f>
        <v>8.5000000000000353E-4</v>
      </c>
      <c r="E31" s="7">
        <f t="shared" si="1"/>
        <v>45690.513567052476</v>
      </c>
      <c r="F31" s="26">
        <f t="shared" si="2"/>
        <v>1</v>
      </c>
      <c r="G31" s="7">
        <f t="shared" si="3"/>
        <v>29698.833818584109</v>
      </c>
    </row>
    <row r="32" spans="1:7" x14ac:dyDescent="0.2">
      <c r="A32">
        <f>IF(13&gt;$E$4+1,"",13)</f>
        <v>13</v>
      </c>
      <c r="B32">
        <f>IF(A32="","",YEAR('Case Inputs'!$B$6)+A32)</f>
        <v>2039</v>
      </c>
      <c r="C32" s="7">
        <f t="shared" si="0"/>
        <v>47589.662736547514</v>
      </c>
      <c r="D32" s="10">
        <f>IF(A32="","",IFERROR(INDEX('Discount Rates'!$C:$C,MATCH(TEXT(B32,"0"),'Discount Rates'!$A:$A,0))/100-IF($F$6=TRUE,$E$6,0),0))</f>
        <v>1.6399999999999956E-3</v>
      </c>
      <c r="E32" s="7">
        <f t="shared" si="1"/>
        <v>46586.603979882078</v>
      </c>
      <c r="F32" s="26">
        <f t="shared" si="2"/>
        <v>1</v>
      </c>
      <c r="G32" s="7">
        <f t="shared" si="3"/>
        <v>30281.292586923351</v>
      </c>
    </row>
    <row r="33" spans="1:7" x14ac:dyDescent="0.2">
      <c r="A33">
        <f>IF(14&gt;$E$4+1,"",14)</f>
        <v>14</v>
      </c>
      <c r="B33">
        <f>IF(A33="","",YEAR('Case Inputs'!$B$6)+A33)</f>
        <v>2040</v>
      </c>
      <c r="C33" s="7">
        <f t="shared" si="0"/>
        <v>49064.942281380485</v>
      </c>
      <c r="D33" s="10">
        <f>IF(A33="","",IFERROR(INDEX('Discount Rates'!$C:$C,MATCH(TEXT(B33,"0"),'Discount Rates'!$A:$A,0))/100-IF($F$6=TRUE,$E$6,0),0))</f>
        <v>2.7800000000000047E-3</v>
      </c>
      <c r="E33" s="7">
        <f t="shared" si="1"/>
        <v>47194.566622377926</v>
      </c>
      <c r="F33" s="26">
        <f t="shared" si="2"/>
        <v>1</v>
      </c>
      <c r="G33" s="7">
        <f t="shared" si="3"/>
        <v>30676.468304545651</v>
      </c>
    </row>
    <row r="34" spans="1:7" x14ac:dyDescent="0.2">
      <c r="A34">
        <f>IF(15&gt;$E$4+1,"",15)</f>
        <v>15</v>
      </c>
      <c r="B34">
        <f>IF(A34="","",YEAR('Case Inputs'!$B$6)+A34)</f>
        <v>2041</v>
      </c>
      <c r="C34" s="7">
        <f t="shared" si="0"/>
        <v>50585.955492103276</v>
      </c>
      <c r="D34" s="10">
        <f>IF(A34="","",IFERROR(INDEX('Discount Rates'!$C:$C,MATCH(TEXT(B34,"0"),'Discount Rates'!$A:$A,0))/100-IF($F$6=TRUE,$E$6,0),0))</f>
        <v>3.3900000000000041E-3</v>
      </c>
      <c r="E34" s="7">
        <f t="shared" si="1"/>
        <v>48082.100398942028</v>
      </c>
      <c r="F34" s="26">
        <f t="shared" si="2"/>
        <v>1</v>
      </c>
      <c r="G34" s="7">
        <f t="shared" si="3"/>
        <v>31253.365259312319</v>
      </c>
    </row>
    <row r="35" spans="1:7" x14ac:dyDescent="0.2">
      <c r="A35">
        <f>IF(16&gt;$E$4+1,"",16)</f>
        <v>16</v>
      </c>
      <c r="B35">
        <f>IF(A35="","",YEAR('Case Inputs'!$B$6)+A35)</f>
        <v>2042</v>
      </c>
      <c r="C35" s="7">
        <f t="shared" si="0"/>
        <v>52154.120112358476</v>
      </c>
      <c r="D35" s="10">
        <f>IF(A35="","",IFERROR(INDEX('Discount Rates'!$C:$C,MATCH(TEXT(B35,"0"),'Discount Rates'!$A:$A,0))/100-IF($F$6=TRUE,$E$6,0),0))</f>
        <v>4.4799999999999979E-3</v>
      </c>
      <c r="E35" s="7">
        <f t="shared" si="1"/>
        <v>48554.324729303167</v>
      </c>
      <c r="F35" s="26">
        <f t="shared" si="2"/>
        <v>1</v>
      </c>
      <c r="G35" s="7">
        <f t="shared" si="3"/>
        <v>31560.311074047058</v>
      </c>
    </row>
    <row r="36" spans="1:7" x14ac:dyDescent="0.2">
      <c r="A36">
        <f>IF(17&gt;$E$4+1,"",17)</f>
        <v>17</v>
      </c>
      <c r="B36">
        <f>IF(A36="","",YEAR('Case Inputs'!$B$6)+A36)</f>
        <v>2043</v>
      </c>
      <c r="C36" s="7">
        <f t="shared" si="0"/>
        <v>53770.897835841584</v>
      </c>
      <c r="D36" s="10">
        <f>IF(A36="","",IFERROR(INDEX('Discount Rates'!$C:$C,MATCH(TEXT(B36,"0"),'Discount Rates'!$A:$A,0))/100-IF($F$6=TRUE,$E$6,0),0))</f>
        <v>5.7999999999999996E-3</v>
      </c>
      <c r="E36" s="7">
        <f t="shared" si="1"/>
        <v>48735.963488542402</v>
      </c>
      <c r="F36" s="26">
        <f t="shared" si="2"/>
        <v>1</v>
      </c>
      <c r="G36" s="7">
        <f t="shared" si="3"/>
        <v>31678.376267552561</v>
      </c>
    </row>
    <row r="37" spans="1:7" x14ac:dyDescent="0.2">
      <c r="A37">
        <f>IF(18&gt;$E$4+1,"",18)</f>
        <v>18</v>
      </c>
      <c r="B37">
        <f>IF(A37="","",YEAR('Case Inputs'!$B$6)+A37)</f>
        <v>2044</v>
      </c>
      <c r="C37" s="7">
        <f t="shared" si="0"/>
        <v>55437.795668752668</v>
      </c>
      <c r="D37" s="10">
        <f>IF(A37="","",IFERROR(INDEX('Discount Rates'!$C:$C,MATCH(TEXT(B37,"0"),'Discount Rates'!$A:$A,0))/100-IF($F$6=TRUE,$E$6,0),0))</f>
        <v>7.1200000000000013E-3</v>
      </c>
      <c r="E37" s="7">
        <f t="shared" si="1"/>
        <v>48791.479092888534</v>
      </c>
      <c r="F37" s="26">
        <f t="shared" si="2"/>
        <v>1</v>
      </c>
      <c r="G37" s="7">
        <f t="shared" si="3"/>
        <v>31714.461410377549</v>
      </c>
    </row>
    <row r="38" spans="1:7" x14ac:dyDescent="0.2">
      <c r="A38">
        <f>IF(19&gt;$E$4+1,"",19)</f>
        <v>19</v>
      </c>
      <c r="B38">
        <f>IF(A38="","",YEAR('Case Inputs'!$B$6)+A38)</f>
        <v>2045</v>
      </c>
      <c r="C38" s="7">
        <f t="shared" si="0"/>
        <v>57156.367334483999</v>
      </c>
      <c r="D38" s="10">
        <f>IF(A38="","",IFERROR(INDEX('Discount Rates'!$C:$C,MATCH(TEXT(B38,"0"),'Discount Rates'!$A:$A,0))/100-IF($F$6=TRUE,$E$6,0),0))</f>
        <v>8.4800000000000014E-3</v>
      </c>
      <c r="E38" s="7">
        <f t="shared" si="1"/>
        <v>48683.984205864013</v>
      </c>
      <c r="F38" s="26">
        <f t="shared" si="2"/>
        <v>1</v>
      </c>
      <c r="G38" s="7">
        <f t="shared" si="3"/>
        <v>31644.589733811608</v>
      </c>
    </row>
    <row r="39" spans="1:7" x14ac:dyDescent="0.2">
      <c r="A39">
        <f>IF(20&gt;$E$4+1,"",20)</f>
        <v>20</v>
      </c>
      <c r="B39">
        <f>IF(A39="","",YEAR('Case Inputs'!$B$6)+A39)</f>
        <v>2046</v>
      </c>
      <c r="C39" s="7">
        <f t="shared" si="0"/>
        <v>58928.214721853001</v>
      </c>
      <c r="D39" s="10">
        <f>IF(A39="","",IFERROR(INDEX('Discount Rates'!$C:$C,MATCH(TEXT(B39,"0"),'Discount Rates'!$A:$A,0))/100-IF($F$6=TRUE,$E$6,0),0))</f>
        <v>9.7199999999999995E-3</v>
      </c>
      <c r="E39" s="7">
        <f t="shared" si="1"/>
        <v>48562.843894355472</v>
      </c>
      <c r="F39" s="26">
        <f t="shared" si="2"/>
        <v>3.764544832306882E-2</v>
      </c>
      <c r="G39" s="7">
        <f t="shared" si="3"/>
        <v>1188.3105196600411</v>
      </c>
    </row>
    <row r="40" spans="1:7" x14ac:dyDescent="0.2">
      <c r="A40" t="str">
        <f>IF(21&gt;$E$4+1,"",21)</f>
        <v/>
      </c>
      <c r="B40" t="str">
        <f>IF(A40="","",YEAR('Case Inputs'!$B$6)+A40)</f>
        <v/>
      </c>
      <c r="C40" s="7" t="str">
        <f t="shared" si="0"/>
        <v/>
      </c>
      <c r="D40" s="10" t="str">
        <f>IF(A40="","",IFERROR(INDEX('Discount Rates'!$C:$C,MATCH(TEXT(B40,"0"),'Discount Rates'!$A:$A,0))/100-IF($F$6=TRUE,$E$6,0),0))</f>
        <v/>
      </c>
      <c r="E40" s="7" t="str">
        <f t="shared" si="1"/>
        <v/>
      </c>
      <c r="F40" s="26" t="str">
        <f t="shared" si="2"/>
        <v/>
      </c>
      <c r="G40" s="7" t="str">
        <f t="shared" si="3"/>
        <v/>
      </c>
    </row>
    <row r="41" spans="1:7" x14ac:dyDescent="0.2">
      <c r="A41" t="str">
        <f>IF(22&gt;$E$4+1,"",22)</f>
        <v/>
      </c>
      <c r="B41" t="str">
        <f>IF(A41="","",YEAR('Case Inputs'!$B$6)+A41)</f>
        <v/>
      </c>
      <c r="C41" s="7" t="str">
        <f t="shared" si="0"/>
        <v/>
      </c>
      <c r="D41" s="10" t="str">
        <f>IF(A41="","",IFERROR(INDEX('Discount Rates'!$C:$C,MATCH(TEXT(B41,"0"),'Discount Rates'!$A:$A,0))/100-IF($F$6=TRUE,$E$6,0),0))</f>
        <v/>
      </c>
      <c r="E41" s="7" t="str">
        <f t="shared" si="1"/>
        <v/>
      </c>
      <c r="F41" s="26" t="str">
        <f t="shared" si="2"/>
        <v/>
      </c>
      <c r="G41" s="7" t="str">
        <f t="shared" si="3"/>
        <v/>
      </c>
    </row>
    <row r="42" spans="1:7" x14ac:dyDescent="0.2">
      <c r="A42" t="str">
        <f>IF(23&gt;$E$4+1,"",23)</f>
        <v/>
      </c>
      <c r="B42" t="str">
        <f>IF(A42="","",YEAR('Case Inputs'!$B$6)+A42)</f>
        <v/>
      </c>
      <c r="C42" s="7" t="str">
        <f t="shared" si="0"/>
        <v/>
      </c>
      <c r="D42" s="10" t="str">
        <f>IF(A42="","",IFERROR(INDEX('Discount Rates'!$C:$C,MATCH(TEXT(B42,"0"),'Discount Rates'!$A:$A,0))/100-IF($F$6=TRUE,$E$6,0),0))</f>
        <v/>
      </c>
      <c r="E42" s="7" t="str">
        <f t="shared" si="1"/>
        <v/>
      </c>
      <c r="F42" s="26" t="str">
        <f t="shared" si="2"/>
        <v/>
      </c>
      <c r="G42" s="7" t="str">
        <f t="shared" si="3"/>
        <v/>
      </c>
    </row>
    <row r="43" spans="1:7" x14ac:dyDescent="0.2">
      <c r="A43" t="str">
        <f>IF(24&gt;$E$4+1,"",24)</f>
        <v/>
      </c>
      <c r="B43" t="str">
        <f>IF(A43="","",YEAR('Case Inputs'!$B$6)+A43)</f>
        <v/>
      </c>
      <c r="C43" s="7" t="str">
        <f t="shared" si="0"/>
        <v/>
      </c>
      <c r="D43" s="10" t="str">
        <f>IF(A43="","",IFERROR(INDEX('Discount Rates'!$C:$C,MATCH(TEXT(B43,"0"),'Discount Rates'!$A:$A,0))/100-IF($F$6=TRUE,$E$6,0),0))</f>
        <v/>
      </c>
      <c r="E43" s="7" t="str">
        <f t="shared" si="1"/>
        <v/>
      </c>
      <c r="F43" s="26" t="str">
        <f t="shared" si="2"/>
        <v/>
      </c>
      <c r="G43" s="7" t="str">
        <f t="shared" si="3"/>
        <v/>
      </c>
    </row>
    <row r="44" spans="1:7" x14ac:dyDescent="0.2">
      <c r="A44" t="str">
        <f>IF(25&gt;$E$4+1,"",25)</f>
        <v/>
      </c>
      <c r="B44" t="str">
        <f>IF(A44="","",YEAR('Case Inputs'!$B$6)+A44)</f>
        <v/>
      </c>
      <c r="C44" s="7" t="str">
        <f t="shared" si="0"/>
        <v/>
      </c>
      <c r="D44" s="10" t="str">
        <f>IF(A44="","",IFERROR(INDEX('Discount Rates'!$C:$C,MATCH(TEXT(B44,"0"),'Discount Rates'!$A:$A,0))/100-IF($F$6=TRUE,$E$6,0),0))</f>
        <v/>
      </c>
      <c r="E44" s="7" t="str">
        <f t="shared" si="1"/>
        <v/>
      </c>
      <c r="F44" s="26" t="str">
        <f t="shared" si="2"/>
        <v/>
      </c>
      <c r="G44" s="7" t="str">
        <f t="shared" si="3"/>
        <v/>
      </c>
    </row>
    <row r="45" spans="1:7" x14ac:dyDescent="0.2">
      <c r="A45" t="str">
        <f>IF(26&gt;$E$4+1,"",26)</f>
        <v/>
      </c>
      <c r="B45" t="str">
        <f>IF(A45="","",YEAR('Case Inputs'!$B$6)+A45)</f>
        <v/>
      </c>
      <c r="C45" s="7" t="str">
        <f t="shared" si="0"/>
        <v/>
      </c>
      <c r="D45" s="10" t="str">
        <f>IF(A45="","",IFERROR(INDEX('Discount Rates'!$C:$C,MATCH(TEXT(B45,"0"),'Discount Rates'!$A:$A,0))/100-IF($F$6=TRUE,$E$6,0),0))</f>
        <v/>
      </c>
      <c r="E45" s="7" t="str">
        <f t="shared" si="1"/>
        <v/>
      </c>
      <c r="F45" s="26" t="str">
        <f t="shared" si="2"/>
        <v/>
      </c>
      <c r="G45" s="7" t="str">
        <f t="shared" si="3"/>
        <v/>
      </c>
    </row>
    <row r="46" spans="1:7" x14ac:dyDescent="0.2">
      <c r="A46" t="str">
        <f>IF(27&gt;$E$4+1,"",27)</f>
        <v/>
      </c>
      <c r="B46" t="str">
        <f>IF(A46="","",YEAR('Case Inputs'!$B$6)+A46)</f>
        <v/>
      </c>
      <c r="C46" s="7" t="str">
        <f t="shared" si="0"/>
        <v/>
      </c>
      <c r="D46" s="10" t="str">
        <f>IF(A46="","",IFERROR(INDEX('Discount Rates'!$C:$C,MATCH(TEXT(B46,"0"),'Discount Rates'!$A:$A,0))/100-IF($F$6=TRUE,$E$6,0),0))</f>
        <v/>
      </c>
      <c r="E46" s="7" t="str">
        <f t="shared" si="1"/>
        <v/>
      </c>
      <c r="F46" s="26" t="str">
        <f t="shared" si="2"/>
        <v/>
      </c>
      <c r="G46" s="7" t="str">
        <f t="shared" si="3"/>
        <v/>
      </c>
    </row>
    <row r="47" spans="1:7" x14ac:dyDescent="0.2">
      <c r="A47" t="str">
        <f>IF(28&gt;$E$4+1,"",28)</f>
        <v/>
      </c>
      <c r="B47" t="str">
        <f>IF(A47="","",YEAR('Case Inputs'!$B$6)+A47)</f>
        <v/>
      </c>
      <c r="C47" s="7" t="str">
        <f t="shared" si="0"/>
        <v/>
      </c>
      <c r="D47" s="10" t="str">
        <f>IF(A47="","",IFERROR(INDEX('Discount Rates'!$C:$C,MATCH(TEXT(B47,"0"),'Discount Rates'!$A:$A,0))/100-IF($F$6=TRUE,$E$6,0),0))</f>
        <v/>
      </c>
      <c r="E47" s="7" t="str">
        <f t="shared" si="1"/>
        <v/>
      </c>
      <c r="F47" s="26" t="str">
        <f t="shared" si="2"/>
        <v/>
      </c>
      <c r="G47" s="7" t="str">
        <f t="shared" si="3"/>
        <v/>
      </c>
    </row>
    <row r="48" spans="1:7" x14ac:dyDescent="0.2">
      <c r="A48" t="str">
        <f>IF(29&gt;$E$4+1,"",29)</f>
        <v/>
      </c>
      <c r="B48" t="str">
        <f>IF(A48="","",YEAR('Case Inputs'!$B$6)+A48)</f>
        <v/>
      </c>
      <c r="C48" s="7" t="str">
        <f t="shared" si="0"/>
        <v/>
      </c>
      <c r="D48" s="10" t="str">
        <f>IF(A48="","",IFERROR(INDEX('Discount Rates'!$C:$C,MATCH(TEXT(B48,"0"),'Discount Rates'!$A:$A,0))/100-IF($F$6=TRUE,$E$6,0),0))</f>
        <v/>
      </c>
      <c r="E48" s="7" t="str">
        <f t="shared" si="1"/>
        <v/>
      </c>
      <c r="F48" s="26" t="str">
        <f t="shared" si="2"/>
        <v/>
      </c>
      <c r="G48" s="7" t="str">
        <f t="shared" si="3"/>
        <v/>
      </c>
    </row>
    <row r="49" spans="1:7" x14ac:dyDescent="0.2">
      <c r="A49" t="str">
        <f>IF(30&gt;$E$4+1,"",30)</f>
        <v/>
      </c>
      <c r="B49" t="str">
        <f>IF(A49="","",YEAR('Case Inputs'!$B$6)+A49)</f>
        <v/>
      </c>
      <c r="C49" s="7" t="str">
        <f t="shared" si="0"/>
        <v/>
      </c>
      <c r="D49" s="10" t="str">
        <f>IF(A49="","",IFERROR(INDEX('Discount Rates'!$C:$C,MATCH(TEXT(B49,"0"),'Discount Rates'!$A:$A,0))/100-IF($F$6=TRUE,$E$6,0),0))</f>
        <v/>
      </c>
      <c r="E49" s="7" t="str">
        <f t="shared" si="1"/>
        <v/>
      </c>
      <c r="F49" s="26" t="str">
        <f t="shared" si="2"/>
        <v/>
      </c>
      <c r="G49" s="7" t="str">
        <f t="shared" si="3"/>
        <v/>
      </c>
    </row>
    <row r="50" spans="1:7" x14ac:dyDescent="0.2">
      <c r="A50" t="str">
        <f>IF(31&gt;$E$4+1,"",31)</f>
        <v/>
      </c>
      <c r="B50" t="str">
        <f>IF(A50="","",YEAR('Case Inputs'!$B$6)+A50)</f>
        <v/>
      </c>
      <c r="C50" s="7" t="str">
        <f t="shared" si="0"/>
        <v/>
      </c>
      <c r="D50" s="10" t="str">
        <f>IF(A50="","",IFERROR(INDEX('Discount Rates'!$C:$C,MATCH(TEXT(B50,"0"),'Discount Rates'!$A:$A,0))/100-IF($F$6=TRUE,$E$6,0),0))</f>
        <v/>
      </c>
      <c r="E50" s="7" t="str">
        <f t="shared" si="1"/>
        <v/>
      </c>
      <c r="F50" s="26" t="str">
        <f t="shared" si="2"/>
        <v/>
      </c>
      <c r="G50" s="7" t="str">
        <f t="shared" si="3"/>
        <v/>
      </c>
    </row>
    <row r="51" spans="1:7" x14ac:dyDescent="0.2">
      <c r="A51" t="str">
        <f>IF(32&gt;$E$4+1,"",32)</f>
        <v/>
      </c>
      <c r="B51" t="str">
        <f>IF(A51="","",YEAR('Case Inputs'!$B$6)+A51)</f>
        <v/>
      </c>
      <c r="C51" s="7" t="str">
        <f t="shared" si="0"/>
        <v/>
      </c>
      <c r="D51" s="10" t="str">
        <f>IF(A51="","",IFERROR(INDEX('Discount Rates'!$C:$C,MATCH(TEXT(B51,"0"),'Discount Rates'!$A:$A,0))/100-IF($F$6=TRUE,$E$6,0),0))</f>
        <v/>
      </c>
      <c r="E51" s="7" t="str">
        <f t="shared" si="1"/>
        <v/>
      </c>
      <c r="F51" s="26" t="str">
        <f t="shared" si="2"/>
        <v/>
      </c>
      <c r="G51" s="7" t="str">
        <f t="shared" si="3"/>
        <v/>
      </c>
    </row>
    <row r="52" spans="1:7" x14ac:dyDescent="0.2">
      <c r="A52" t="str">
        <f>IF(33&gt;$E$4+1,"",33)</f>
        <v/>
      </c>
      <c r="B52" t="str">
        <f>IF(A52="","",YEAR('Case Inputs'!$B$6)+A52)</f>
        <v/>
      </c>
      <c r="C52" s="7" t="str">
        <f t="shared" ref="C52:C69" si="4">IF(A52="","",$C$15*(1+$E$3)^A52)</f>
        <v/>
      </c>
      <c r="D52" s="10" t="str">
        <f>IF(A52="","",IFERROR(INDEX('Discount Rates'!$C:$C,MATCH(TEXT(B52,"0"),'Discount Rates'!$A:$A,0))/100-IF($F$6=TRUE,$E$6,0),0))</f>
        <v/>
      </c>
      <c r="E52" s="7" t="str">
        <f t="shared" ref="E52:E69" si="5">IF(A52="","",C52/((1+D52)^A52))</f>
        <v/>
      </c>
      <c r="F52" s="26" t="str">
        <f t="shared" ref="F52:F69" si="6">IF(A52="","",IF(A52&lt;=$E$4,1,IF(A52=$E$4+1,$B$5,0)))</f>
        <v/>
      </c>
      <c r="G52" s="7" t="str">
        <f t="shared" ref="G52:G70" si="7">IF(A52="","",E52*F52*IF($F$5,1-$E$5,1))</f>
        <v/>
      </c>
    </row>
    <row r="53" spans="1:7" x14ac:dyDescent="0.2">
      <c r="A53" t="str">
        <f>IF(34&gt;$E$4+1,"",34)</f>
        <v/>
      </c>
      <c r="B53" t="str">
        <f>IF(A53="","",YEAR('Case Inputs'!$B$6)+A53)</f>
        <v/>
      </c>
      <c r="C53" s="7" t="str">
        <f t="shared" si="4"/>
        <v/>
      </c>
      <c r="D53" s="10" t="str">
        <f>IF(A53="","",IFERROR(INDEX('Discount Rates'!$C:$C,MATCH(TEXT(B53,"0"),'Discount Rates'!$A:$A,0))/100-IF($F$6=TRUE,$E$6,0),0))</f>
        <v/>
      </c>
      <c r="E53" s="7" t="str">
        <f t="shared" si="5"/>
        <v/>
      </c>
      <c r="F53" s="26" t="str">
        <f t="shared" si="6"/>
        <v/>
      </c>
      <c r="G53" s="7" t="str">
        <f t="shared" si="7"/>
        <v/>
      </c>
    </row>
    <row r="54" spans="1:7" x14ac:dyDescent="0.2">
      <c r="A54" t="str">
        <f>IF(35&gt;$E$4+1,"",35)</f>
        <v/>
      </c>
      <c r="B54" t="str">
        <f>IF(A54="","",YEAR('Case Inputs'!$B$6)+A54)</f>
        <v/>
      </c>
      <c r="C54" s="7" t="str">
        <f t="shared" si="4"/>
        <v/>
      </c>
      <c r="D54" s="10" t="str">
        <f>IF(A54="","",IFERROR(INDEX('Discount Rates'!$C:$C,MATCH(TEXT(B54,"0"),'Discount Rates'!$A:$A,0))/100-IF($F$6=TRUE,$E$6,0),0))</f>
        <v/>
      </c>
      <c r="E54" s="7" t="str">
        <f t="shared" si="5"/>
        <v/>
      </c>
      <c r="F54" s="26" t="str">
        <f t="shared" si="6"/>
        <v/>
      </c>
      <c r="G54" s="7" t="str">
        <f t="shared" si="7"/>
        <v/>
      </c>
    </row>
    <row r="55" spans="1:7" x14ac:dyDescent="0.2">
      <c r="A55" t="str">
        <f>IF(36&gt;$E$4+1,"",36)</f>
        <v/>
      </c>
      <c r="B55" t="str">
        <f>IF(A55="","",YEAR('Case Inputs'!$B$6)+A55)</f>
        <v/>
      </c>
      <c r="C55" s="7" t="str">
        <f t="shared" si="4"/>
        <v/>
      </c>
      <c r="D55" s="10" t="str">
        <f>IF(A55="","",IFERROR(INDEX('Discount Rates'!$C:$C,MATCH(TEXT(B55,"0"),'Discount Rates'!$A:$A,0))/100-IF($F$6=TRUE,$E$6,0),0))</f>
        <v/>
      </c>
      <c r="E55" s="7" t="str">
        <f t="shared" si="5"/>
        <v/>
      </c>
      <c r="F55" s="26" t="str">
        <f t="shared" si="6"/>
        <v/>
      </c>
      <c r="G55" s="7" t="str">
        <f t="shared" si="7"/>
        <v/>
      </c>
    </row>
    <row r="56" spans="1:7" x14ac:dyDescent="0.2">
      <c r="A56" t="str">
        <f>IF(37&gt;$E$4+1,"",37)</f>
        <v/>
      </c>
      <c r="B56" t="str">
        <f>IF(A56="","",YEAR('Case Inputs'!$B$6)+A56)</f>
        <v/>
      </c>
      <c r="C56" s="7" t="str">
        <f t="shared" si="4"/>
        <v/>
      </c>
      <c r="D56" s="10" t="str">
        <f>IF(A56="","",IFERROR(INDEX('Discount Rates'!$C:$C,MATCH(TEXT(B56,"0"),'Discount Rates'!$A:$A,0))/100-IF($F$6=TRUE,$E$6,0),0))</f>
        <v/>
      </c>
      <c r="E56" s="7" t="str">
        <f t="shared" si="5"/>
        <v/>
      </c>
      <c r="F56" s="26" t="str">
        <f t="shared" si="6"/>
        <v/>
      </c>
      <c r="G56" s="7" t="str">
        <f t="shared" si="7"/>
        <v/>
      </c>
    </row>
    <row r="57" spans="1:7" x14ac:dyDescent="0.2">
      <c r="A57" t="str">
        <f>IF(38&gt;$E$4+1,"",38)</f>
        <v/>
      </c>
      <c r="B57" t="str">
        <f>IF(A57="","",YEAR('Case Inputs'!$B$6)+A57)</f>
        <v/>
      </c>
      <c r="C57" s="7" t="str">
        <f t="shared" si="4"/>
        <v/>
      </c>
      <c r="D57" s="10" t="str">
        <f>IF(A57="","",IFERROR(INDEX('Discount Rates'!$C:$C,MATCH(TEXT(B57,"0"),'Discount Rates'!$A:$A,0))/100-IF($F$6=TRUE,$E$6,0),0))</f>
        <v/>
      </c>
      <c r="E57" s="7" t="str">
        <f t="shared" si="5"/>
        <v/>
      </c>
      <c r="F57" s="26" t="str">
        <f t="shared" si="6"/>
        <v/>
      </c>
      <c r="G57" s="7" t="str">
        <f t="shared" si="7"/>
        <v/>
      </c>
    </row>
    <row r="58" spans="1:7" x14ac:dyDescent="0.2">
      <c r="A58" t="str">
        <f>IF(39&gt;$E$4+1,"",39)</f>
        <v/>
      </c>
      <c r="B58" t="str">
        <f>IF(A58="","",YEAR('Case Inputs'!$B$6)+A58)</f>
        <v/>
      </c>
      <c r="C58" s="7" t="str">
        <f t="shared" si="4"/>
        <v/>
      </c>
      <c r="D58" s="10" t="str">
        <f>IF(A58="","",IFERROR(INDEX('Discount Rates'!$C:$C,MATCH(TEXT(B58,"0"),'Discount Rates'!$A:$A,0))/100-IF($F$6=TRUE,$E$6,0),0))</f>
        <v/>
      </c>
      <c r="E58" s="7" t="str">
        <f t="shared" si="5"/>
        <v/>
      </c>
      <c r="F58" s="26" t="str">
        <f t="shared" si="6"/>
        <v/>
      </c>
      <c r="G58" s="7" t="str">
        <f t="shared" si="7"/>
        <v/>
      </c>
    </row>
    <row r="59" spans="1:7" x14ac:dyDescent="0.2">
      <c r="A59" t="str">
        <f>IF(40&gt;$E$4+1,"",40)</f>
        <v/>
      </c>
      <c r="B59" t="str">
        <f>IF(A59="","",YEAR('Case Inputs'!$B$6)+A59)</f>
        <v/>
      </c>
      <c r="C59" s="7" t="str">
        <f t="shared" si="4"/>
        <v/>
      </c>
      <c r="D59" s="10" t="str">
        <f>IF(A59="","",IFERROR(INDEX('Discount Rates'!$C:$C,MATCH(TEXT(B59,"0"),'Discount Rates'!$A:$A,0))/100-IF($F$6=TRUE,$E$6,0),0))</f>
        <v/>
      </c>
      <c r="E59" s="7" t="str">
        <f t="shared" si="5"/>
        <v/>
      </c>
      <c r="F59" s="26" t="str">
        <f t="shared" si="6"/>
        <v/>
      </c>
      <c r="G59" s="7" t="str">
        <f t="shared" si="7"/>
        <v/>
      </c>
    </row>
    <row r="60" spans="1:7" x14ac:dyDescent="0.2">
      <c r="A60" t="str">
        <f>IF(41&gt;$E$4+1,"",41)</f>
        <v/>
      </c>
      <c r="B60" t="str">
        <f>IF(A60="","",YEAR('Case Inputs'!$B$6)+A60)</f>
        <v/>
      </c>
      <c r="C60" s="7" t="str">
        <f t="shared" si="4"/>
        <v/>
      </c>
      <c r="D60" s="10" t="str">
        <f>IF(A60="","",IFERROR(INDEX('Discount Rates'!$C:$C,MATCH(TEXT(B60,"0"),'Discount Rates'!$A:$A,0))/100-IF($F$6=TRUE,$E$6,0),0))</f>
        <v/>
      </c>
      <c r="E60" s="7" t="str">
        <f t="shared" si="5"/>
        <v/>
      </c>
      <c r="F60" s="26" t="str">
        <f t="shared" si="6"/>
        <v/>
      </c>
      <c r="G60" s="7" t="str">
        <f t="shared" si="7"/>
        <v/>
      </c>
    </row>
    <row r="61" spans="1:7" x14ac:dyDescent="0.2">
      <c r="A61" t="str">
        <f>IF(42&gt;$E$4+1,"",42)</f>
        <v/>
      </c>
      <c r="B61" t="str">
        <f>IF(A61="","",YEAR('Case Inputs'!$B$6)+A61)</f>
        <v/>
      </c>
      <c r="C61" s="7" t="str">
        <f t="shared" si="4"/>
        <v/>
      </c>
      <c r="D61" s="10" t="str">
        <f>IF(A61="","",IFERROR(INDEX('Discount Rates'!$C:$C,MATCH(TEXT(B61,"0"),'Discount Rates'!$A:$A,0))/100-IF($F$6=TRUE,$E$6,0),0))</f>
        <v/>
      </c>
      <c r="E61" s="7" t="str">
        <f t="shared" si="5"/>
        <v/>
      </c>
      <c r="F61" s="26" t="str">
        <f t="shared" si="6"/>
        <v/>
      </c>
      <c r="G61" s="7" t="str">
        <f t="shared" si="7"/>
        <v/>
      </c>
    </row>
    <row r="62" spans="1:7" x14ac:dyDescent="0.2">
      <c r="A62" t="str">
        <f>IF(43&gt;$E$4+1,"",43)</f>
        <v/>
      </c>
      <c r="B62" t="str">
        <f>IF(A62="","",YEAR('Case Inputs'!$B$6)+A62)</f>
        <v/>
      </c>
      <c r="C62" s="7" t="str">
        <f t="shared" si="4"/>
        <v/>
      </c>
      <c r="D62" s="10" t="str">
        <f>IF(A62="","",IFERROR(INDEX('Discount Rates'!$C:$C,MATCH(TEXT(B62,"0"),'Discount Rates'!$A:$A,0))/100-IF($F$6=TRUE,$E$6,0),0))</f>
        <v/>
      </c>
      <c r="E62" s="7" t="str">
        <f t="shared" si="5"/>
        <v/>
      </c>
      <c r="F62" s="26" t="str">
        <f t="shared" si="6"/>
        <v/>
      </c>
      <c r="G62" s="7" t="str">
        <f t="shared" si="7"/>
        <v/>
      </c>
    </row>
    <row r="63" spans="1:7" x14ac:dyDescent="0.2">
      <c r="A63" t="str">
        <f>IF(44&gt;$E$4+1,"",44)</f>
        <v/>
      </c>
      <c r="B63" t="str">
        <f>IF(A63="","",YEAR('Case Inputs'!$B$6)+A63)</f>
        <v/>
      </c>
      <c r="C63" s="7" t="str">
        <f t="shared" si="4"/>
        <v/>
      </c>
      <c r="D63" s="10" t="str">
        <f>IF(A63="","",IFERROR(INDEX('Discount Rates'!$C:$C,MATCH(TEXT(B63,"0"),'Discount Rates'!$A:$A,0))/100-IF($F$6=TRUE,$E$6,0),0))</f>
        <v/>
      </c>
      <c r="E63" s="7" t="str">
        <f t="shared" si="5"/>
        <v/>
      </c>
      <c r="F63" s="26" t="str">
        <f t="shared" si="6"/>
        <v/>
      </c>
      <c r="G63" s="7" t="str">
        <f t="shared" si="7"/>
        <v/>
      </c>
    </row>
    <row r="64" spans="1:7" x14ac:dyDescent="0.2">
      <c r="A64" t="str">
        <f>IF(45&gt;$E$4+1,"",45)</f>
        <v/>
      </c>
      <c r="B64" t="str">
        <f>IF(A64="","",YEAR('Case Inputs'!$B$6)+A64)</f>
        <v/>
      </c>
      <c r="C64" s="7" t="str">
        <f t="shared" si="4"/>
        <v/>
      </c>
      <c r="D64" s="10" t="str">
        <f>IF(A64="","",IFERROR(INDEX('Discount Rates'!$C:$C,MATCH(TEXT(B64,"0"),'Discount Rates'!$A:$A,0))/100-IF($F$6=TRUE,$E$6,0),0))</f>
        <v/>
      </c>
      <c r="E64" s="7" t="str">
        <f t="shared" si="5"/>
        <v/>
      </c>
      <c r="F64" s="26" t="str">
        <f t="shared" si="6"/>
        <v/>
      </c>
      <c r="G64" s="7" t="str">
        <f t="shared" si="7"/>
        <v/>
      </c>
    </row>
    <row r="65" spans="1:7" x14ac:dyDescent="0.2">
      <c r="A65" t="str">
        <f>IF(46&gt;$E$4+1,"",46)</f>
        <v/>
      </c>
      <c r="B65" t="str">
        <f>IF(A65="","",YEAR('Case Inputs'!$B$6)+A65)</f>
        <v/>
      </c>
      <c r="C65" s="7" t="str">
        <f t="shared" si="4"/>
        <v/>
      </c>
      <c r="D65" s="10" t="str">
        <f>IF(A65="","",IFERROR(INDEX('Discount Rates'!$C:$C,MATCH(TEXT(B65,"0"),'Discount Rates'!$A:$A,0))/100-IF($F$6=TRUE,$E$6,0),0))</f>
        <v/>
      </c>
      <c r="E65" s="7" t="str">
        <f t="shared" si="5"/>
        <v/>
      </c>
      <c r="F65" s="26" t="str">
        <f t="shared" si="6"/>
        <v/>
      </c>
      <c r="G65" s="7" t="str">
        <f t="shared" si="7"/>
        <v/>
      </c>
    </row>
    <row r="66" spans="1:7" x14ac:dyDescent="0.2">
      <c r="A66" t="str">
        <f>IF(47&gt;$E$4+1,"",47)</f>
        <v/>
      </c>
      <c r="B66" t="str">
        <f>IF(A66="","",YEAR('Case Inputs'!$B$6)+A66)</f>
        <v/>
      </c>
      <c r="C66" s="7" t="str">
        <f t="shared" si="4"/>
        <v/>
      </c>
      <c r="D66" s="10" t="str">
        <f>IF(A66="","",IFERROR(INDEX('Discount Rates'!$C:$C,MATCH(TEXT(B66,"0"),'Discount Rates'!$A:$A,0))/100-IF($F$6=TRUE,$E$6,0),0))</f>
        <v/>
      </c>
      <c r="E66" s="7" t="str">
        <f t="shared" si="5"/>
        <v/>
      </c>
      <c r="F66" s="26" t="str">
        <f t="shared" si="6"/>
        <v/>
      </c>
      <c r="G66" s="7" t="str">
        <f t="shared" si="7"/>
        <v/>
      </c>
    </row>
    <row r="67" spans="1:7" x14ac:dyDescent="0.2">
      <c r="A67" t="str">
        <f>IF(48&gt;$E$4+1,"",48)</f>
        <v/>
      </c>
      <c r="B67" t="str">
        <f>IF(A67="","",YEAR('Case Inputs'!$B$6)+A67)</f>
        <v/>
      </c>
      <c r="C67" s="7" t="str">
        <f t="shared" si="4"/>
        <v/>
      </c>
      <c r="D67" s="10" t="str">
        <f>IF(A67="","",IFERROR(INDEX('Discount Rates'!$C:$C,MATCH(TEXT(B67,"0"),'Discount Rates'!$A:$A,0))/100-IF($F$6=TRUE,$E$6,0),0))</f>
        <v/>
      </c>
      <c r="E67" s="7" t="str">
        <f t="shared" si="5"/>
        <v/>
      </c>
      <c r="F67" s="26" t="str">
        <f t="shared" si="6"/>
        <v/>
      </c>
      <c r="G67" s="7" t="str">
        <f t="shared" si="7"/>
        <v/>
      </c>
    </row>
    <row r="68" spans="1:7" x14ac:dyDescent="0.2">
      <c r="A68" t="str">
        <f>IF(49&gt;$E$4+1,"",49)</f>
        <v/>
      </c>
      <c r="B68" t="str">
        <f>IF(A68="","",YEAR('Case Inputs'!$B$6)+A68)</f>
        <v/>
      </c>
      <c r="C68" s="7" t="str">
        <f t="shared" si="4"/>
        <v/>
      </c>
      <c r="D68" s="10" t="str">
        <f>IF(A68="","",IFERROR(INDEX('Discount Rates'!$C:$C,MATCH(TEXT(B68,"0"),'Discount Rates'!$A:$A,0))/100-IF($F$6=TRUE,$E$6,0),0))</f>
        <v/>
      </c>
      <c r="E68" s="7" t="str">
        <f t="shared" si="5"/>
        <v/>
      </c>
      <c r="F68" s="26" t="str">
        <f t="shared" si="6"/>
        <v/>
      </c>
      <c r="G68" s="7" t="str">
        <f t="shared" si="7"/>
        <v/>
      </c>
    </row>
    <row r="69" spans="1:7" x14ac:dyDescent="0.2">
      <c r="A69" t="str">
        <f>IF(50&gt;$E$4+1,"",50)</f>
        <v/>
      </c>
      <c r="B69" t="str">
        <f>IF(A69="","",YEAR('Case Inputs'!$B$6)+A69)</f>
        <v/>
      </c>
      <c r="C69" s="7" t="str">
        <f t="shared" si="4"/>
        <v/>
      </c>
      <c r="D69" s="10" t="str">
        <f>IF(A69="","",IFERROR(INDEX('Discount Rates'!$C:$C,MATCH(TEXT(B69,"0"),'Discount Rates'!$A:$A,0))/100-IF($F$6=TRUE,$E$6,0),0))</f>
        <v/>
      </c>
      <c r="E69" s="7" t="str">
        <f t="shared" si="5"/>
        <v/>
      </c>
      <c r="F69" s="26" t="str">
        <f t="shared" si="6"/>
        <v/>
      </c>
      <c r="G69" s="7" t="str">
        <f t="shared" si="7"/>
        <v/>
      </c>
    </row>
    <row r="70" spans="1:7" x14ac:dyDescent="0.2">
      <c r="D70" t="str">
        <f>IF(A70="","",IFERROR(INDEX('Discount Rates'!$C:$C,MATCH(TEXT(B70,"0"),'Discount Rates'!$A:$A,0))/100-IF($F$6=TRUE,$E$6,0),0))</f>
        <v/>
      </c>
      <c r="G70" s="7" t="str">
        <f t="shared" si="7"/>
        <v/>
      </c>
    </row>
    <row r="71" spans="1:7" x14ac:dyDescent="0.2">
      <c r="A71" s="19" t="s">
        <v>103</v>
      </c>
      <c r="E71" s="30">
        <f>SUM(E20:E69)</f>
        <v>865071.56831956632</v>
      </c>
      <c r="F71" s="30"/>
      <c r="G71" s="30">
        <f>SUM(G20:G70)</f>
        <v>531918.98139604717</v>
      </c>
    </row>
    <row r="73" spans="1:7" x14ac:dyDescent="0.2">
      <c r="A73" s="19" t="s">
        <v>148</v>
      </c>
      <c r="G73" s="30">
        <f>G17+G71</f>
        <v>630619.25536864996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1"/>
  <sheetViews>
    <sheetView workbookViewId="0">
      <selection activeCell="C2" sqref="C2"/>
    </sheetView>
  </sheetViews>
  <sheetFormatPr defaultColWidth="8.85546875" defaultRowHeight="12.75" x14ac:dyDescent="0.2"/>
  <cols>
    <col min="1" max="1" width="6.85546875" bestFit="1" customWidth="1"/>
    <col min="2" max="2" width="16.1406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107</v>
      </c>
      <c r="E2" s="34" t="s">
        <v>106</v>
      </c>
      <c r="G2" s="6"/>
    </row>
    <row r="3" spans="1:7" x14ac:dyDescent="0.2">
      <c r="A3" t="s">
        <v>9</v>
      </c>
      <c r="B3" t="s">
        <v>8</v>
      </c>
      <c r="C3" s="33" t="s">
        <v>108</v>
      </c>
      <c r="G3" s="6"/>
    </row>
    <row r="4" spans="1:7" x14ac:dyDescent="0.2">
      <c r="A4" t="s">
        <v>11</v>
      </c>
      <c r="B4" t="s">
        <v>10</v>
      </c>
      <c r="C4" s="33" t="s">
        <v>109</v>
      </c>
      <c r="G4" s="6"/>
    </row>
    <row r="5" spans="1:7" x14ac:dyDescent="0.2">
      <c r="A5" t="s">
        <v>13</v>
      </c>
      <c r="B5" t="s">
        <v>12</v>
      </c>
      <c r="C5" s="33" t="s">
        <v>110</v>
      </c>
      <c r="G5" s="6"/>
    </row>
    <row r="6" spans="1:7" x14ac:dyDescent="0.2">
      <c r="A6" t="s">
        <v>15</v>
      </c>
      <c r="B6" t="s">
        <v>14</v>
      </c>
      <c r="C6" s="33" t="s">
        <v>111</v>
      </c>
      <c r="G6" s="6"/>
    </row>
    <row r="7" spans="1:7" x14ac:dyDescent="0.2">
      <c r="A7" t="s">
        <v>17</v>
      </c>
      <c r="B7" t="s">
        <v>16</v>
      </c>
      <c r="C7" s="33" t="s">
        <v>112</v>
      </c>
      <c r="G7" s="6"/>
    </row>
    <row r="8" spans="1:7" x14ac:dyDescent="0.2">
      <c r="A8" t="s">
        <v>19</v>
      </c>
      <c r="B8" t="s">
        <v>18</v>
      </c>
      <c r="C8" s="33" t="s">
        <v>113</v>
      </c>
      <c r="G8" s="6"/>
    </row>
    <row r="9" spans="1:7" x14ac:dyDescent="0.2">
      <c r="A9" t="s">
        <v>21</v>
      </c>
      <c r="B9" t="s">
        <v>20</v>
      </c>
      <c r="C9" s="33" t="s">
        <v>114</v>
      </c>
      <c r="G9" s="6"/>
    </row>
    <row r="10" spans="1:7" x14ac:dyDescent="0.2">
      <c r="A10" t="s">
        <v>23</v>
      </c>
      <c r="B10" t="s">
        <v>22</v>
      </c>
      <c r="C10" s="33" t="s">
        <v>115</v>
      </c>
      <c r="G10" s="6"/>
    </row>
    <row r="11" spans="1:7" x14ac:dyDescent="0.2">
      <c r="A11" t="s">
        <v>25</v>
      </c>
      <c r="B11" t="s">
        <v>24</v>
      </c>
      <c r="C11" s="33" t="s">
        <v>116</v>
      </c>
      <c r="G11" s="6"/>
    </row>
    <row r="12" spans="1:7" x14ac:dyDescent="0.2">
      <c r="A12" t="s">
        <v>27</v>
      </c>
      <c r="B12" t="s">
        <v>26</v>
      </c>
      <c r="C12" s="33" t="s">
        <v>117</v>
      </c>
      <c r="G12" s="6"/>
    </row>
    <row r="13" spans="1:7" x14ac:dyDescent="0.2">
      <c r="A13" t="s">
        <v>29</v>
      </c>
      <c r="B13" t="s">
        <v>28</v>
      </c>
      <c r="C13" s="33" t="s">
        <v>118</v>
      </c>
      <c r="G13" s="6"/>
    </row>
    <row r="14" spans="1:7" x14ac:dyDescent="0.2">
      <c r="A14" t="s">
        <v>31</v>
      </c>
      <c r="B14" t="s">
        <v>30</v>
      </c>
      <c r="C14" s="33" t="s">
        <v>119</v>
      </c>
      <c r="G14" s="6"/>
    </row>
    <row r="15" spans="1:7" x14ac:dyDescent="0.2">
      <c r="A15" t="s">
        <v>33</v>
      </c>
      <c r="B15" t="s">
        <v>32</v>
      </c>
      <c r="C15" s="33" t="s">
        <v>120</v>
      </c>
      <c r="G15" s="6"/>
    </row>
    <row r="16" spans="1:7" x14ac:dyDescent="0.2">
      <c r="A16" t="s">
        <v>35</v>
      </c>
      <c r="B16" t="s">
        <v>34</v>
      </c>
      <c r="C16" s="33" t="s">
        <v>121</v>
      </c>
      <c r="G16" s="6"/>
    </row>
    <row r="17" spans="1:7" x14ac:dyDescent="0.2">
      <c r="A17" t="s">
        <v>37</v>
      </c>
      <c r="B17" t="s">
        <v>36</v>
      </c>
      <c r="C17" s="33" t="s">
        <v>122</v>
      </c>
      <c r="G17" s="6"/>
    </row>
    <row r="18" spans="1:7" x14ac:dyDescent="0.2">
      <c r="A18" t="s">
        <v>39</v>
      </c>
      <c r="B18" t="s">
        <v>38</v>
      </c>
      <c r="C18" s="33" t="s">
        <v>123</v>
      </c>
      <c r="G18" s="6"/>
    </row>
    <row r="19" spans="1:7" x14ac:dyDescent="0.2">
      <c r="A19" t="s">
        <v>41</v>
      </c>
      <c r="B19" t="s">
        <v>40</v>
      </c>
      <c r="C19" s="33" t="s">
        <v>124</v>
      </c>
      <c r="G19" s="6"/>
    </row>
    <row r="20" spans="1:7" x14ac:dyDescent="0.2">
      <c r="A20" t="s">
        <v>43</v>
      </c>
      <c r="B20" t="s">
        <v>42</v>
      </c>
      <c r="C20" s="33" t="s">
        <v>125</v>
      </c>
      <c r="G20" s="6"/>
    </row>
    <row r="21" spans="1:7" x14ac:dyDescent="0.2">
      <c r="A21" t="s">
        <v>45</v>
      </c>
      <c r="B21" t="s">
        <v>44</v>
      </c>
      <c r="C21" s="33" t="s">
        <v>126</v>
      </c>
      <c r="G21" s="6"/>
    </row>
    <row r="22" spans="1:7" x14ac:dyDescent="0.2">
      <c r="A22" t="s">
        <v>47</v>
      </c>
      <c r="B22" t="s">
        <v>46</v>
      </c>
      <c r="C22" s="33" t="s">
        <v>127</v>
      </c>
      <c r="G22" s="6"/>
    </row>
    <row r="23" spans="1:7" x14ac:dyDescent="0.2">
      <c r="A23" t="s">
        <v>49</v>
      </c>
      <c r="B23" t="s">
        <v>48</v>
      </c>
      <c r="C23" s="33" t="s">
        <v>128</v>
      </c>
      <c r="G23" s="6"/>
    </row>
    <row r="24" spans="1:7" x14ac:dyDescent="0.2">
      <c r="A24" t="s">
        <v>51</v>
      </c>
      <c r="B24" t="s">
        <v>50</v>
      </c>
      <c r="C24" s="33" t="s">
        <v>129</v>
      </c>
      <c r="G24" s="6"/>
    </row>
    <row r="25" spans="1:7" x14ac:dyDescent="0.2">
      <c r="A25" t="s">
        <v>53</v>
      </c>
      <c r="B25" t="s">
        <v>52</v>
      </c>
      <c r="C25" s="33" t="s">
        <v>130</v>
      </c>
      <c r="G25" s="6"/>
    </row>
    <row r="26" spans="1:7" x14ac:dyDescent="0.2">
      <c r="A26" t="s">
        <v>55</v>
      </c>
      <c r="B26" t="s">
        <v>54</v>
      </c>
      <c r="C26" s="33" t="s">
        <v>131</v>
      </c>
      <c r="G26" s="6"/>
    </row>
    <row r="27" spans="1:7" x14ac:dyDescent="0.2">
      <c r="A27" t="s">
        <v>57</v>
      </c>
      <c r="B27" t="s">
        <v>56</v>
      </c>
      <c r="C27" s="33" t="s">
        <v>132</v>
      </c>
      <c r="G27" s="6"/>
    </row>
    <row r="28" spans="1:7" x14ac:dyDescent="0.2">
      <c r="A28" t="s">
        <v>59</v>
      </c>
      <c r="B28" t="s">
        <v>58</v>
      </c>
      <c r="C28" s="33" t="s">
        <v>133</v>
      </c>
      <c r="G28" s="6"/>
    </row>
    <row r="29" spans="1:7" x14ac:dyDescent="0.2">
      <c r="A29" t="s">
        <v>61</v>
      </c>
      <c r="B29" t="s">
        <v>60</v>
      </c>
      <c r="C29" s="33" t="s">
        <v>134</v>
      </c>
      <c r="G29" s="6"/>
    </row>
    <row r="30" spans="1:7" x14ac:dyDescent="0.2">
      <c r="A30" t="s">
        <v>63</v>
      </c>
      <c r="B30" t="s">
        <v>62</v>
      </c>
      <c r="C30" s="33" t="s">
        <v>135</v>
      </c>
      <c r="G30" s="6"/>
    </row>
    <row r="31" spans="1:7" x14ac:dyDescent="0.2">
      <c r="A31" t="s">
        <v>78</v>
      </c>
      <c r="B31" t="s">
        <v>64</v>
      </c>
      <c r="C31" s="33" t="s">
        <v>136</v>
      </c>
      <c r="G31" s="6"/>
    </row>
  </sheetData>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35"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150</v>
      </c>
      <c r="C1" s="31" t="s">
        <v>151</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152</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18</vt:i4>
      </vt:variant>
    </vt:vector>
  </HeadingPairs>
  <TitlesOfParts>
    <vt:vector size="18" baseType="lpstr">
      <vt:lpstr>Case Inputs</vt:lpstr>
      <vt:lpstr>Inputs</vt:lpstr>
      <vt:lpstr>ReportSections</vt:lpstr>
      <vt:lpstr>Base 1 PV Loss WLE</vt:lpstr>
      <vt:lpstr>Base 1 PV Loss To Age</vt:lpstr>
      <vt:lpstr>Base 2 PV Loss WLE</vt:lpstr>
      <vt:lpstr>Base 2 PV Loss To Age</vt:lpstr>
      <vt:lpstr>Base 3 PV Loss WLE</vt:lpstr>
      <vt:lpstr>Base 3 PV Loss To Age</vt:lpstr>
      <vt:lpstr>Base 4 PV Loss WLE</vt:lpstr>
      <vt:lpstr>Base 4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2026-04-17T21:31:58Z</dcterms:modified>
</cp:coreProperties>
</file>