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8.xml" ContentType="application/vnd.openxmlformats-officedocument.spreadsheetml.query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ricmacbook/Documents/GitHub/EconAutomation-REP/EconAutomation/src/supporting_docs/sorted_econ_files/"/>
    </mc:Choice>
  </mc:AlternateContent>
  <xr:revisionPtr revIDLastSave="0" documentId="13_ncr:1_{3CD2BDA0-EFF3-1844-825E-67725C31F6FF}" xr6:coauthVersionLast="47" xr6:coauthVersionMax="47" xr10:uidLastSave="{00000000-0000-0000-0000-000000000000}"/>
  <bookViews>
    <workbookView xWindow="0" yWindow="720" windowWidth="32000" windowHeight="20080" tabRatio="820" activeTab="1" xr2:uid="{00000000-000D-0000-FFFF-FFFF00000000}"/>
  </bookViews>
  <sheets>
    <sheet name="REPORT_OUTPUTS" sheetId="36" r:id="rId1"/>
    <sheet name="Inputs" sheetId="25" r:id="rId2"/>
    <sheet name="Item Inputs" sheetId="1" r:id="rId3"/>
    <sheet name="Life Exp" sheetId="26" r:id="rId4"/>
    <sheet name="worksheet" sheetId="27" r:id="rId5"/>
    <sheet name="Executive Summary" sheetId="29" r:id="rId6"/>
    <sheet name="NSA vs SA Comparison" sheetId="30" r:id="rId7"/>
    <sheet name="Complete CAGR Results" sheetId="31" r:id="rId8"/>
    <sheet name="Series Summary" sheetId="32" r:id="rId9"/>
    <sheet name="NSA Results" sheetId="33" r:id="rId10"/>
    <sheet name="SA Results" sheetId="34" r:id="rId11"/>
    <sheet name="Methodology" sheetId="35" r:id="rId12"/>
    <sheet name="DepletionOfFunds" sheetId="23" r:id="rId13"/>
    <sheet name="ExhaustionChartData" sheetId="24" r:id="rId14"/>
    <sheet name="Query2" sheetId="11" r:id="rId15"/>
    <sheet name="Query1" sheetId="19" state="hidden" r:id="rId16"/>
    <sheet name="Future_Cost_By_Year" sheetId="22" state="hidden" r:id="rId17"/>
    <sheet name="Formatted Tables" sheetId="9" state="hidden" r:id="rId18"/>
    <sheet name="CustomDiscountCurve" sheetId="18" state="hidden" r:id="rId19"/>
    <sheet name="PV_Totals_By_Item" sheetId="13" r:id="rId20"/>
    <sheet name="Pivoted_By_Year" sheetId="14" r:id="rId21"/>
    <sheet name="FallbackYield" sheetId="12" r:id="rId22"/>
    <sheet name="AppOptions" sheetId="16" r:id="rId23"/>
    <sheet name="Options " sheetId="15" r:id="rId24"/>
    <sheet name="GetBloombergDailyYieldCurve_cur" sheetId="8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After_Credit_one">Inputs!$B$17</definedName>
    <definedName name="Age_at_Reference">Inputs!$B$22</definedName>
    <definedName name="Alternative_Earnings_Base">Inputs!$B$26</definedName>
    <definedName name="Attorney_First_Name">Inputs!$B$39</definedName>
    <definedName name="Attorney_Last_Name">Inputs!$B$40</definedName>
    <definedName name="AttorneySalutation">Inputs!$B$38</definedName>
    <definedName name="Birth_Date">Inputs!$B$11</definedName>
    <definedName name="Claimant_Name_First">Inputs!$B$5</definedName>
    <definedName name="ClaimantSalutation">Inputs!$B$4</definedName>
    <definedName name="Client_Name_Last">Inputs!$B$6</definedName>
    <definedName name="DateofAccident">Inputs!$B$14</definedName>
    <definedName name="DateofTrial">Inputs!$B$15</definedName>
    <definedName name="Earnings_reported_per_hour">Inputs!$B$27</definedName>
    <definedName name="ExternalData_1" localSheetId="22" hidden="1">AppOptions!$A$1:$B$6</definedName>
    <definedName name="ExternalData_1" localSheetId="12" hidden="1">DepletionOfFunds!$A$1:$O$39</definedName>
    <definedName name="ExternalData_1" localSheetId="13" hidden="1">ExhaustionChartData!$A$1:$E$39</definedName>
    <definedName name="ExternalData_1" localSheetId="16" hidden="1">Future_Cost_By_Year!$A$1:$D$2</definedName>
    <definedName name="ExternalData_1" localSheetId="24" hidden="1">GetBloombergDailyYieldCurve_cur!$A$1:$C$31</definedName>
    <definedName name="ExternalData_1" localSheetId="15" hidden="1">Query1!$A$1:$D$2</definedName>
    <definedName name="ExternalData_1" localSheetId="14" hidden="1">Query2!$A$1:$J$2</definedName>
    <definedName name="ExternalData_2" localSheetId="20" hidden="1">Pivoted_By_Year!$A$1:$G$2</definedName>
    <definedName name="ExternalData_2" localSheetId="19" hidden="1">PV_Totals_By_Item!$A$1:$D$2</definedName>
    <definedName name="ExternalData_3" localSheetId="13" hidden="1">ExhaustionChartData!#REF!</definedName>
    <definedName name="Firm_Address">Inputs!$B$42</definedName>
    <definedName name="Firm_City">Inputs!$B$43</definedName>
    <definedName name="Firm_Email">Inputs!$B$47</definedName>
    <definedName name="Firm_Fax">Inputs!$B$48</definedName>
    <definedName name="Firm_Name">Inputs!$B$41</definedName>
    <definedName name="Firm_Phone">Inputs!$B$46</definedName>
    <definedName name="Firm_State">Inputs!$B$44</definedName>
    <definedName name="Firm_Zip_Code">Inputs!$B$45</definedName>
    <definedName name="Gender">Inputs!$B$8</definedName>
    <definedName name="Job_Title">Inputs!$B$20</definedName>
    <definedName name="Job_Title_2">Inputs!$B$21</definedName>
    <definedName name="LCPReportDate">Inputs!$B$52</definedName>
    <definedName name="Life_Expectancy">Inputs!$B$23</definedName>
    <definedName name="LifeCarePlanner">Inputs!$B$51</definedName>
    <definedName name="List_TrueFalse" localSheetId="4">#REF!</definedName>
    <definedName name="List_TrueFalse">#REF!</definedName>
    <definedName name="LongDOB">Inputs!$B$10</definedName>
    <definedName name="Loss_from_Trial_after_Credit_1">Inputs!$B$31</definedName>
    <definedName name="Loss_from_Trial_wo_return_to_Work">Inputs!$B$30</definedName>
    <definedName name="Loss_to_Trial_Base_one">Inputs!$B$16</definedName>
    <definedName name="Lower_Bound_of_Estimate">Inputs!$B$53</definedName>
    <definedName name="Medical_Care_Services">Inputs!$G$64</definedName>
    <definedName name="Midpoint_of_Estimate">Inputs!$B$55</definedName>
    <definedName name="Place_of_Employment">Inputs!$B$19</definedName>
    <definedName name="Place_of_Trial">Inputs!$B$18</definedName>
    <definedName name="Primary_Earnings_Base_1">Inputs!$B$24</definedName>
    <definedName name="Primary_Earnings_Base_2">Inputs!$B$25</definedName>
    <definedName name="_xlnm.Print_Titles" localSheetId="3">'Life Exp'!$1:$3</definedName>
    <definedName name="Pronoun">Inputs!$B$7</definedName>
    <definedName name="PV_Employer_Fringe_Contrib">Inputs!$B$29</definedName>
    <definedName name="PV_Meds_High">Inputs!$B$34</definedName>
    <definedName name="PV_Meds_Low">Inputs!$B$32</definedName>
    <definedName name="PV_Meds_Mid">Inputs!$B$33</definedName>
    <definedName name="Reference_Date">Inputs!$B$13</definedName>
    <definedName name="The_discount_rate">Inputs!$B$59</definedName>
    <definedName name="Upper_Bound_of_Estimate">Inputs!$B$54</definedName>
    <definedName name="Weekly_wage">Inputs!$B$28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6" l="1" a="1"/>
  <c r="D56" i="36" s="1"/>
  <c r="D57" i="36" a="1"/>
  <c r="D57" i="36" s="1"/>
  <c r="D58" i="36" a="1"/>
  <c r="D58" i="36" s="1"/>
  <c r="D59" i="36" a="1"/>
  <c r="D59" i="36" s="1"/>
  <c r="D60" i="36" a="1"/>
  <c r="D60" i="36" s="1"/>
  <c r="D61" i="36" a="1"/>
  <c r="D61" i="36" s="1"/>
  <c r="D62" i="36" a="1"/>
  <c r="D62" i="36" s="1"/>
  <c r="D63" i="36" a="1"/>
  <c r="D63" i="36" s="1"/>
  <c r="D64" i="36" a="1"/>
  <c r="D64" i="36" s="1"/>
  <c r="D65" i="36" a="1"/>
  <c r="D65" i="36" s="1"/>
  <c r="D66" i="36" a="1"/>
  <c r="D66" i="36" s="1"/>
  <c r="D67" i="36" a="1"/>
  <c r="D67" i="36" s="1"/>
  <c r="D68" i="36" a="1"/>
  <c r="D68" i="36" s="1"/>
  <c r="D69" i="36" a="1"/>
  <c r="D69" i="36" s="1"/>
  <c r="D70" i="36" a="1"/>
  <c r="D70" i="36" s="1"/>
  <c r="D71" i="36" a="1"/>
  <c r="D71" i="36" s="1"/>
  <c r="D72" i="36" a="1"/>
  <c r="D72" i="36" s="1"/>
  <c r="D73" i="36" a="1"/>
  <c r="D73" i="36" s="1"/>
  <c r="D74" i="36" a="1"/>
  <c r="D74" i="36" s="1"/>
  <c r="D75" i="36" a="1"/>
  <c r="D75" i="36" s="1"/>
  <c r="D76" i="36" a="1"/>
  <c r="D76" i="36" s="1"/>
  <c r="D77" i="36" a="1"/>
  <c r="D77" i="36" s="1"/>
  <c r="D78" i="36" a="1"/>
  <c r="D78" i="36" s="1"/>
  <c r="D79" i="36" a="1"/>
  <c r="D79" i="36" s="1"/>
  <c r="D80" i="36" a="1"/>
  <c r="D80" i="36" s="1"/>
  <c r="D81" i="36" a="1"/>
  <c r="D81" i="36" s="1"/>
  <c r="D82" i="36" a="1"/>
  <c r="D82" i="36" s="1"/>
  <c r="D83" i="36" a="1"/>
  <c r="D83" i="36" s="1"/>
  <c r="D84" i="36" a="1"/>
  <c r="D84" i="36" s="1"/>
  <c r="D85" i="36" a="1"/>
  <c r="D85" i="36" s="1"/>
  <c r="D86" i="36" a="1"/>
  <c r="D86" i="36" s="1"/>
  <c r="D87" i="36" a="1"/>
  <c r="D87" i="36" s="1"/>
  <c r="D88" i="36" a="1"/>
  <c r="D88" i="36" s="1"/>
  <c r="D89" i="36" a="1"/>
  <c r="D89" i="36" s="1"/>
  <c r="D90" i="36" a="1"/>
  <c r="D90" i="36" s="1"/>
  <c r="D91" i="36" a="1"/>
  <c r="D91" i="36" s="1"/>
  <c r="D92" i="36" a="1"/>
  <c r="D92" i="36" s="1"/>
  <c r="D93" i="36" a="1"/>
  <c r="D93" i="36" s="1"/>
  <c r="D94" i="36" a="1"/>
  <c r="D94" i="36" s="1"/>
  <c r="D95" i="36" a="1"/>
  <c r="D95" i="36" s="1"/>
  <c r="D96" i="36" a="1"/>
  <c r="D96" i="36" s="1"/>
  <c r="D97" i="36" a="1"/>
  <c r="D97" i="36" s="1"/>
  <c r="D98" i="36" a="1"/>
  <c r="D98" i="36" s="1"/>
  <c r="D99" i="36" a="1"/>
  <c r="D99" i="36" s="1"/>
  <c r="D100" i="36" a="1"/>
  <c r="D100" i="36" s="1"/>
  <c r="B11" i="25"/>
  <c r="H353" i="33"/>
  <c r="H356" i="33" s="1"/>
  <c r="J207" i="33"/>
  <c r="K288" i="31"/>
  <c r="B28" i="25"/>
  <c r="D55" i="36" a="1"/>
  <c r="D6" i="36" a="1"/>
  <c r="D54" i="36" a="1"/>
  <c r="D20" i="36" a="1"/>
  <c r="D23" i="36" a="1"/>
  <c r="D36" i="36" a="1"/>
  <c r="D50" i="36" a="1"/>
  <c r="D46" i="36" a="1"/>
  <c r="D24" i="36" a="1"/>
  <c r="D14" i="36" a="1"/>
  <c r="D51" i="36" a="1"/>
  <c r="D35" i="36" a="1"/>
  <c r="D44" i="36" a="1"/>
  <c r="D16" i="36" a="1"/>
  <c r="D7" i="36" a="1"/>
  <c r="D8" i="36" a="1"/>
  <c r="D30" i="36" a="1"/>
  <c r="D33" i="36" a="1"/>
  <c r="D28" i="36" a="1"/>
  <c r="D38" i="36" a="1"/>
  <c r="D10" i="36" a="1"/>
  <c r="D48" i="36" a="1"/>
  <c r="D49" i="36" a="1"/>
  <c r="D27" i="36" a="1"/>
  <c r="D31" i="36" a="1"/>
  <c r="D21" i="36" a="1"/>
  <c r="D47" i="36" a="1"/>
  <c r="D26" i="36" a="1"/>
  <c r="D18" i="36" a="1"/>
  <c r="D19" i="36" a="1"/>
  <c r="D40" i="36" a="1"/>
  <c r="D43" i="36" a="1"/>
  <c r="D29" i="36" a="1"/>
  <c r="D17" i="36" a="1"/>
  <c r="D13" i="36" a="1"/>
  <c r="D3" i="36" a="1"/>
  <c r="D25" i="36" a="1"/>
  <c r="D32" i="36" a="1"/>
  <c r="D41" i="36" a="1"/>
  <c r="D45" i="36" a="1"/>
  <c r="D5" i="36" a="1"/>
  <c r="D34" i="36" a="1"/>
  <c r="D9" i="36" a="1"/>
  <c r="D52" i="36" a="1"/>
  <c r="D53" i="36" a="1"/>
  <c r="D39" i="36" a="1"/>
  <c r="D4" i="36" a="1"/>
  <c r="D15" i="36" a="1"/>
  <c r="D37" i="36" a="1"/>
  <c r="D42" i="36" a="1"/>
  <c r="D14" i="36" l="1"/>
  <c r="D13" i="36"/>
  <c r="D24" i="36"/>
  <c r="D53" i="36"/>
  <c r="D43" i="36"/>
  <c r="D33" i="36"/>
  <c r="D23" i="36"/>
  <c r="D52" i="36"/>
  <c r="D42" i="36"/>
  <c r="D32" i="36"/>
  <c r="D10" i="36"/>
  <c r="D50" i="36"/>
  <c r="D40" i="36"/>
  <c r="D30" i="36"/>
  <c r="D20" i="36"/>
  <c r="D9" i="36"/>
  <c r="D44" i="36"/>
  <c r="D51" i="36"/>
  <c r="D31" i="36"/>
  <c r="D49" i="36"/>
  <c r="D39" i="36"/>
  <c r="D29" i="36"/>
  <c r="D19" i="36"/>
  <c r="D8" i="36"/>
  <c r="D54" i="36"/>
  <c r="D34" i="36"/>
  <c r="D41" i="36"/>
  <c r="D21" i="36"/>
  <c r="D3" i="36"/>
  <c r="D48" i="36"/>
  <c r="D38" i="36"/>
  <c r="D28" i="36"/>
  <c r="D18" i="36"/>
  <c r="D7" i="36"/>
  <c r="D6" i="36"/>
  <c r="D5" i="36"/>
  <c r="D47" i="36"/>
  <c r="D37" i="36"/>
  <c r="D27" i="36"/>
  <c r="D17" i="36"/>
  <c r="D46" i="36"/>
  <c r="D36" i="36"/>
  <c r="D26" i="36"/>
  <c r="D16" i="36"/>
  <c r="D55" i="36"/>
  <c r="D45" i="36"/>
  <c r="D35" i="36"/>
  <c r="D25" i="36"/>
  <c r="D15" i="36"/>
  <c r="D4" i="36"/>
  <c r="B58" i="27"/>
  <c r="B59" i="27" s="1"/>
  <c r="R45" i="27"/>
  <c r="R44" i="27"/>
  <c r="I30" i="27"/>
  <c r="V29" i="27"/>
  <c r="Q29" i="27"/>
  <c r="P29" i="27"/>
  <c r="O29" i="27"/>
  <c r="N29" i="27"/>
  <c r="M29" i="27"/>
  <c r="L29" i="27"/>
  <c r="K29" i="27"/>
  <c r="J29" i="27"/>
  <c r="V28" i="27"/>
  <c r="Q28" i="27"/>
  <c r="P28" i="27"/>
  <c r="O28" i="27"/>
  <c r="N28" i="27"/>
  <c r="M28" i="27"/>
  <c r="L28" i="27"/>
  <c r="K28" i="27"/>
  <c r="J28" i="27"/>
  <c r="F27" i="27"/>
  <c r="E21" i="27"/>
  <c r="L18" i="27"/>
  <c r="K18" i="27"/>
  <c r="J18" i="27"/>
  <c r="I18" i="27"/>
  <c r="H18" i="27"/>
  <c r="G18" i="27"/>
  <c r="F18" i="27"/>
  <c r="F21" i="27" s="1"/>
  <c r="E18" i="27"/>
  <c r="C6" i="27" s="1"/>
  <c r="D6" i="27" s="1"/>
  <c r="O17" i="27"/>
  <c r="G17" i="27"/>
  <c r="G19" i="27" s="1"/>
  <c r="AB16" i="27"/>
  <c r="AA16" i="27"/>
  <c r="Z16" i="27"/>
  <c r="Y16" i="27"/>
  <c r="X16" i="27"/>
  <c r="W16" i="27"/>
  <c r="V16" i="27"/>
  <c r="U16" i="27"/>
  <c r="T16" i="27"/>
  <c r="S16" i="27"/>
  <c r="O22" i="27" s="1"/>
  <c r="R16" i="27"/>
  <c r="Q16" i="27"/>
  <c r="O20" i="27" s="1"/>
  <c r="P16" i="27"/>
  <c r="O19" i="27" s="1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E15" i="27"/>
  <c r="C5" i="27" s="1"/>
  <c r="D5" i="27" s="1"/>
  <c r="P9" i="27"/>
  <c r="P10" i="27" s="1"/>
  <c r="O9" i="27"/>
  <c r="N9" i="27"/>
  <c r="L9" i="27"/>
  <c r="K9" i="27"/>
  <c r="J9" i="27"/>
  <c r="I9" i="27"/>
  <c r="H9" i="27"/>
  <c r="G9" i="27"/>
  <c r="F9" i="27"/>
  <c r="P8" i="27"/>
  <c r="O8" i="27"/>
  <c r="N8" i="27"/>
  <c r="M8" i="27"/>
  <c r="L8" i="27"/>
  <c r="K8" i="27"/>
  <c r="J8" i="27"/>
  <c r="I8" i="27"/>
  <c r="H8" i="27"/>
  <c r="G8" i="27"/>
  <c r="F8" i="27"/>
  <c r="P7" i="27"/>
  <c r="O7" i="27"/>
  <c r="N7" i="27"/>
  <c r="F7" i="27"/>
  <c r="I35" i="27" l="1"/>
  <c r="I33" i="27"/>
  <c r="I31" i="27"/>
  <c r="I34" i="27"/>
  <c r="O21" i="27"/>
  <c r="I37" i="27"/>
  <c r="O23" i="27"/>
  <c r="S21" i="27"/>
  <c r="Q19" i="27"/>
  <c r="Q20" i="27"/>
  <c r="Q21" i="27"/>
  <c r="Q22" i="27"/>
  <c r="I36" i="27"/>
  <c r="Q23" i="27"/>
  <c r="S19" i="27"/>
  <c r="G10" i="27"/>
  <c r="Q24" i="27"/>
  <c r="O40" i="27"/>
  <c r="O41" i="27"/>
  <c r="I38" i="27"/>
  <c r="B85" i="25"/>
  <c r="B84" i="25"/>
  <c r="B83" i="25"/>
  <c r="B82" i="25"/>
  <c r="B81" i="25"/>
  <c r="B80" i="25"/>
  <c r="B79" i="25"/>
  <c r="B78" i="25"/>
  <c r="B77" i="25"/>
  <c r="B76" i="25"/>
  <c r="G64" i="25" a="1"/>
  <c r="G64" i="25" s="1"/>
  <c r="B57" i="25"/>
  <c r="B12" i="25"/>
  <c r="B13" i="25" s="1"/>
  <c r="B22" i="25" s="1"/>
  <c r="H2" i="14"/>
  <c r="D12" i="36" a="1"/>
  <c r="D11" i="36" a="1"/>
  <c r="D12" i="36" l="1"/>
  <c r="D11" i="36"/>
  <c r="G76" i="25" a="1"/>
  <c r="G76" i="25" s="1"/>
  <c r="O17" i="15"/>
  <c r="O16" i="15"/>
  <c r="O15" i="15"/>
  <c r="O14" i="15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" i="19"/>
  <c r="K27" i="19"/>
  <c r="P27" i="19" s="1"/>
  <c r="K28" i="19"/>
  <c r="P28" i="19" s="1"/>
  <c r="K29" i="19"/>
  <c r="P29" i="19" s="1"/>
  <c r="G14" i="19"/>
  <c r="L14" i="19" s="1"/>
  <c r="G15" i="19"/>
  <c r="L15" i="19" s="1"/>
  <c r="G16" i="19"/>
  <c r="L16" i="19" s="1"/>
  <c r="G17" i="19"/>
  <c r="L17" i="19" s="1"/>
  <c r="G18" i="19"/>
  <c r="L18" i="19" s="1"/>
  <c r="G19" i="19"/>
  <c r="L19" i="19" s="1"/>
  <c r="G20" i="19"/>
  <c r="L20" i="19" s="1"/>
  <c r="G21" i="19"/>
  <c r="L21" i="19" s="1"/>
  <c r="K22" i="19"/>
  <c r="P22" i="19" s="1"/>
  <c r="K23" i="19"/>
  <c r="P23" i="19" s="1"/>
  <c r="K24" i="19"/>
  <c r="P24" i="19" s="1"/>
  <c r="K25" i="19"/>
  <c r="P25" i="19" s="1"/>
  <c r="K26" i="19"/>
  <c r="P26" i="19" s="1"/>
  <c r="G4" i="19"/>
  <c r="L4" i="19" s="1"/>
  <c r="G5" i="19"/>
  <c r="L5" i="19" s="1"/>
  <c r="G6" i="19"/>
  <c r="L6" i="19" s="1"/>
  <c r="G7" i="19"/>
  <c r="L7" i="19" s="1"/>
  <c r="G8" i="19"/>
  <c r="L8" i="19" s="1"/>
  <c r="G9" i="19"/>
  <c r="L9" i="19" s="1"/>
  <c r="G10" i="19"/>
  <c r="L10" i="19" s="1"/>
  <c r="G11" i="19"/>
  <c r="L11" i="19" s="1"/>
  <c r="G12" i="19"/>
  <c r="L12" i="19" s="1"/>
  <c r="G13" i="19"/>
  <c r="L13" i="19" s="1"/>
  <c r="G3" i="19"/>
  <c r="L3" i="19" s="1"/>
  <c r="G2" i="19"/>
  <c r="L2" i="19" s="1"/>
  <c r="F2" i="19"/>
  <c r="N2" i="19" s="1"/>
  <c r="Q3" i="19" s="1"/>
  <c r="B22" i="18"/>
  <c r="B23" i="18"/>
  <c r="B24" i="18"/>
  <c r="B25" i="18"/>
  <c r="B26" i="18"/>
  <c r="B27" i="18"/>
  <c r="B28" i="18"/>
  <c r="B29" i="18"/>
  <c r="B30" i="18"/>
  <c r="B31" i="18"/>
  <c r="B32" i="18"/>
  <c r="D22" i="36" a="1"/>
  <c r="D22" i="36" l="1"/>
  <c r="R3" i="19"/>
  <c r="S3" i="19" s="1"/>
  <c r="Q4" i="19" s="1"/>
  <c r="R4" i="19" s="1"/>
  <c r="S4" i="19" s="1"/>
  <c r="Q5" i="19" s="1"/>
  <c r="R5" i="19" s="1"/>
  <c r="S5" i="19" s="1"/>
  <c r="Q6" i="19" s="1"/>
  <c r="R6" i="19" s="1"/>
  <c r="S6" i="19" s="1"/>
  <c r="Q7" i="19" s="1"/>
  <c r="R7" i="19" s="1"/>
  <c r="S7" i="19" s="1"/>
  <c r="Q8" i="19" s="1"/>
  <c r="R8" i="19" s="1"/>
  <c r="S8" i="19" s="1"/>
  <c r="Q9" i="19" s="1"/>
  <c r="R9" i="19" s="1"/>
  <c r="S9" i="19" s="1"/>
  <c r="Q10" i="19" s="1"/>
  <c r="R10" i="19" s="1"/>
  <c r="S10" i="19" s="1"/>
  <c r="Q11" i="19" s="1"/>
  <c r="R11" i="19" s="1"/>
  <c r="S11" i="19" s="1"/>
  <c r="Q12" i="19" s="1"/>
  <c r="R12" i="19" s="1"/>
  <c r="S12" i="19" s="1"/>
  <c r="Q13" i="19" s="1"/>
  <c r="R13" i="19" s="1"/>
  <c r="S13" i="19" s="1"/>
  <c r="Q14" i="19" s="1"/>
  <c r="R14" i="19" s="1"/>
  <c r="S14" i="19" s="1"/>
  <c r="Q15" i="19" s="1"/>
  <c r="R15" i="19" s="1"/>
  <c r="S15" i="19" s="1"/>
  <c r="Q16" i="19" s="1"/>
  <c r="R16" i="19" s="1"/>
  <c r="S16" i="19" s="1"/>
  <c r="Q17" i="19" s="1"/>
  <c r="R17" i="19" s="1"/>
  <c r="S17" i="19" s="1"/>
  <c r="Q18" i="19" s="1"/>
  <c r="R18" i="19" s="1"/>
  <c r="S18" i="19" s="1"/>
  <c r="Q19" i="19" s="1"/>
  <c r="R19" i="19" s="1"/>
  <c r="S19" i="19" s="1"/>
  <c r="Q20" i="19" s="1"/>
  <c r="R20" i="19" s="1"/>
  <c r="S20" i="19" s="1"/>
  <c r="Q21" i="19" s="1"/>
  <c r="R21" i="19" s="1"/>
  <c r="S21" i="19" s="1"/>
  <c r="H2" i="19"/>
  <c r="F3" i="19" s="1"/>
  <c r="H3" i="19" s="1"/>
  <c r="F4" i="19" s="1"/>
  <c r="H4" i="19" s="1"/>
  <c r="F5" i="19" s="1"/>
  <c r="H5" i="19" s="1"/>
  <c r="F6" i="19" s="1"/>
  <c r="H6" i="19" s="1"/>
  <c r="F7" i="19" s="1"/>
  <c r="H7" i="19" s="1"/>
  <c r="F8" i="19" s="1"/>
  <c r="H8" i="19" s="1"/>
  <c r="F9" i="19" s="1"/>
  <c r="H9" i="19" s="1"/>
  <c r="F10" i="19" s="1"/>
  <c r="H10" i="19" s="1"/>
  <c r="F11" i="19" s="1"/>
  <c r="H11" i="19" s="1"/>
  <c r="F12" i="19" s="1"/>
  <c r="H12" i="19" s="1"/>
  <c r="F13" i="19" s="1"/>
  <c r="H13" i="19" s="1"/>
  <c r="F14" i="19" s="1"/>
  <c r="H14" i="19" s="1"/>
  <c r="F15" i="19" s="1"/>
  <c r="H15" i="19" s="1"/>
  <c r="F16" i="19" s="1"/>
  <c r="H16" i="19" s="1"/>
  <c r="F17" i="19" s="1"/>
  <c r="H17" i="19" s="1"/>
  <c r="F18" i="19" s="1"/>
  <c r="H18" i="19" s="1"/>
  <c r="F19" i="19" s="1"/>
  <c r="H19" i="19" s="1"/>
  <c r="F20" i="19" s="1"/>
  <c r="H20" i="19" s="1"/>
  <c r="F21" i="19" s="1"/>
  <c r="H21" i="19" s="1"/>
  <c r="J22" i="19" s="1"/>
  <c r="L22" i="19" s="1"/>
  <c r="J23" i="19" s="1"/>
  <c r="L23" i="19" s="1"/>
  <c r="J24" i="19" s="1"/>
  <c r="L24" i="19" s="1"/>
  <c r="J25" i="19" s="1"/>
  <c r="L25" i="19" s="1"/>
  <c r="J26" i="19" s="1"/>
  <c r="L26" i="19" s="1"/>
  <c r="J27" i="19" s="1"/>
  <c r="L27" i="19" s="1"/>
  <c r="J28" i="19" s="1"/>
  <c r="L28" i="19" s="1"/>
  <c r="J29" i="19" s="1"/>
  <c r="L29" i="19" s="1"/>
  <c r="C3" i="9" a="1"/>
  <c r="C3" i="9" s="1"/>
  <c r="D3" i="9" a="1"/>
  <c r="D3" i="9" s="1"/>
  <c r="C4" i="9" a="1"/>
  <c r="C4" i="9" s="1"/>
  <c r="D4" i="9" a="1"/>
  <c r="D4" i="9" s="1"/>
  <c r="C5" i="9" a="1"/>
  <c r="C5" i="9" s="1"/>
  <c r="D5" i="9" a="1"/>
  <c r="D5" i="9" s="1"/>
  <c r="B3" i="9" a="1"/>
  <c r="B3" i="9" s="1"/>
  <c r="B12" i="9" s="1"/>
  <c r="B4" i="9" a="1"/>
  <c r="B4" i="9" s="1"/>
  <c r="B8" i="9" a="1"/>
  <c r="B8" i="9" s="1"/>
  <c r="C8" i="9" a="1"/>
  <c r="C8" i="9" s="1"/>
  <c r="D8" i="9" a="1"/>
  <c r="D8" i="9" s="1"/>
  <c r="E2" i="9" a="1"/>
  <c r="E2" i="9" s="1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4" i="9" a="1"/>
  <c r="E14" i="9" s="1"/>
  <c r="E15" i="9" a="1"/>
  <c r="E15" i="9" s="1"/>
  <c r="E16" i="9" a="1"/>
  <c r="E16" i="9" s="1"/>
  <c r="E17" i="9" a="1"/>
  <c r="E17" i="9" s="1"/>
  <c r="E18" i="9" a="1"/>
  <c r="E18" i="9" s="1"/>
  <c r="E19" i="9" a="1"/>
  <c r="E19" i="9" s="1"/>
  <c r="E20" i="9" a="1"/>
  <c r="E20" i="9" s="1"/>
  <c r="E21" i="9" a="1"/>
  <c r="E21" i="9" s="1"/>
  <c r="E22" i="9" a="1"/>
  <c r="E22" i="9" s="1"/>
  <c r="E23" i="9" a="1"/>
  <c r="E23" i="9" s="1"/>
  <c r="E24" i="9" a="1"/>
  <c r="E24" i="9" s="1"/>
  <c r="E25" i="9" a="1"/>
  <c r="E25" i="9" s="1"/>
  <c r="E26" i="9" a="1"/>
  <c r="E26" i="9" s="1"/>
  <c r="E27" i="9" a="1"/>
  <c r="E27" i="9" s="1"/>
  <c r="E28" i="9" a="1"/>
  <c r="E28" i="9" s="1"/>
  <c r="E29" i="9" a="1"/>
  <c r="E29" i="9" s="1"/>
  <c r="E30" i="9" a="1"/>
  <c r="E30" i="9" s="1"/>
  <c r="E31" i="9" a="1"/>
  <c r="E31" i="9" s="1"/>
  <c r="E32" i="9" a="1"/>
  <c r="E32" i="9" s="1"/>
  <c r="E33" i="9" a="1"/>
  <c r="E33" i="9" s="1"/>
  <c r="E34" i="9" a="1"/>
  <c r="E34" i="9" s="1"/>
  <c r="E35" i="9" a="1"/>
  <c r="E35" i="9" s="1"/>
  <c r="E36" i="9" a="1"/>
  <c r="E36" i="9" s="1"/>
  <c r="E37" i="9" a="1"/>
  <c r="E37" i="9" s="1"/>
  <c r="E38" i="9" a="1"/>
  <c r="E38" i="9" s="1"/>
  <c r="E39" i="9" a="1"/>
  <c r="E39" i="9" s="1"/>
  <c r="E40" i="9" a="1"/>
  <c r="E40" i="9" s="1"/>
  <c r="E41" i="9" a="1"/>
  <c r="E41" i="9" s="1"/>
  <c r="E42" i="9" a="1"/>
  <c r="E42" i="9" s="1"/>
  <c r="E43" i="9" a="1"/>
  <c r="E43" i="9" s="1"/>
  <c r="E44" i="9" a="1"/>
  <c r="E44" i="9" s="1"/>
  <c r="E45" i="9" a="1"/>
  <c r="E45" i="9" s="1"/>
  <c r="E46" i="9" a="1"/>
  <c r="E46" i="9" s="1"/>
  <c r="E47" i="9" a="1"/>
  <c r="E47" i="9" s="1"/>
  <c r="E48" i="9" a="1"/>
  <c r="E48" i="9" s="1"/>
  <c r="E49" i="9" a="1"/>
  <c r="E49" i="9" s="1"/>
  <c r="E50" i="9" a="1"/>
  <c r="E50" i="9" s="1"/>
  <c r="E51" i="9" a="1"/>
  <c r="E51" i="9" s="1"/>
  <c r="E52" i="9" a="1"/>
  <c r="E52" i="9" s="1"/>
  <c r="E53" i="9" a="1"/>
  <c r="E53" i="9" s="1"/>
  <c r="E54" i="9" a="1"/>
  <c r="E54" i="9" s="1"/>
  <c r="E55" i="9" a="1"/>
  <c r="E55" i="9" s="1"/>
  <c r="E56" i="9" a="1"/>
  <c r="E56" i="9" s="1"/>
  <c r="E57" i="9" a="1"/>
  <c r="E57" i="9" s="1"/>
  <c r="E58" i="9" a="1"/>
  <c r="E58" i="9" s="1"/>
  <c r="E59" i="9" a="1"/>
  <c r="E59" i="9" s="1"/>
  <c r="E60" i="9" a="1"/>
  <c r="E60" i="9" s="1"/>
  <c r="E61" i="9" a="1"/>
  <c r="E61" i="9" s="1"/>
  <c r="E62" i="9" a="1"/>
  <c r="E62" i="9" s="1"/>
  <c r="E63" i="9" a="1"/>
  <c r="E63" i="9" s="1"/>
  <c r="E64" i="9" a="1"/>
  <c r="E64" i="9" s="1"/>
  <c r="E65" i="9" a="1"/>
  <c r="E65" i="9" s="1"/>
  <c r="E66" i="9" a="1"/>
  <c r="E66" i="9" s="1"/>
  <c r="E67" i="9" a="1"/>
  <c r="E67" i="9" s="1"/>
  <c r="E68" i="9" a="1"/>
  <c r="E68" i="9" s="1"/>
  <c r="E69" i="9" a="1"/>
  <c r="E69" i="9" s="1"/>
  <c r="E70" i="9" a="1"/>
  <c r="E70" i="9" s="1"/>
  <c r="E71" i="9" a="1"/>
  <c r="E71" i="9" s="1"/>
  <c r="E72" i="9" a="1"/>
  <c r="E72" i="9" s="1"/>
  <c r="E73" i="9" a="1"/>
  <c r="E73" i="9" s="1"/>
  <c r="E74" i="9" a="1"/>
  <c r="E74" i="9" s="1"/>
  <c r="E75" i="9" a="1"/>
  <c r="E75" i="9" s="1"/>
  <c r="E76" i="9" a="1"/>
  <c r="E76" i="9" s="1"/>
  <c r="E77" i="9" a="1"/>
  <c r="E77" i="9" s="1"/>
  <c r="E78" i="9" a="1"/>
  <c r="E78" i="9" s="1"/>
  <c r="E79" i="9" a="1"/>
  <c r="E79" i="9" s="1"/>
  <c r="E80" i="9" a="1"/>
  <c r="E80" i="9" s="1"/>
  <c r="E81" i="9" a="1"/>
  <c r="E81" i="9" s="1"/>
  <c r="E82" i="9" a="1"/>
  <c r="E82" i="9" s="1"/>
  <c r="E83" i="9" a="1"/>
  <c r="E83" i="9" s="1"/>
  <c r="E84" i="9" a="1"/>
  <c r="E84" i="9" s="1"/>
  <c r="E85" i="9" a="1"/>
  <c r="E85" i="9" s="1"/>
  <c r="E86" i="9" a="1"/>
  <c r="E86" i="9" s="1"/>
  <c r="E87" i="9" a="1"/>
  <c r="E87" i="9" s="1"/>
  <c r="E88" i="9" a="1"/>
  <c r="E88" i="9" s="1"/>
  <c r="E89" i="9" a="1"/>
  <c r="E89" i="9" s="1"/>
  <c r="E90" i="9" a="1"/>
  <c r="E90" i="9" s="1"/>
  <c r="E91" i="9" a="1"/>
  <c r="E91" i="9" s="1"/>
  <c r="E92" i="9" a="1"/>
  <c r="E92" i="9" s="1"/>
  <c r="E93" i="9" a="1"/>
  <c r="E93" i="9" s="1"/>
  <c r="E94" i="9" a="1"/>
  <c r="E94" i="9" s="1"/>
  <c r="E95" i="9" a="1"/>
  <c r="E95" i="9" s="1"/>
  <c r="E96" i="9" a="1"/>
  <c r="E96" i="9" s="1"/>
  <c r="E97" i="9" a="1"/>
  <c r="E97" i="9" s="1"/>
  <c r="E98" i="9" a="1"/>
  <c r="E98" i="9" s="1"/>
  <c r="E99" i="9" a="1"/>
  <c r="E99" i="9" s="1"/>
  <c r="E100" i="9" a="1"/>
  <c r="E100" i="9" s="1"/>
  <c r="E101" i="9" a="1"/>
  <c r="E101" i="9" s="1"/>
  <c r="E102" i="9" a="1"/>
  <c r="E102" i="9" s="1"/>
  <c r="E103" i="9" a="1"/>
  <c r="E103" i="9" s="1"/>
  <c r="E104" i="9" a="1"/>
  <c r="E104" i="9" s="1"/>
  <c r="E105" i="9" a="1"/>
  <c r="E105" i="9" s="1"/>
  <c r="E106" i="9" a="1"/>
  <c r="E106" i="9" s="1"/>
  <c r="E107" i="9" a="1"/>
  <c r="E107" i="9" s="1"/>
  <c r="E108" i="9" a="1"/>
  <c r="E108" i="9" s="1"/>
  <c r="E109" i="9" a="1"/>
  <c r="E109" i="9" s="1"/>
  <c r="E110" i="9" a="1"/>
  <c r="E110" i="9" s="1"/>
  <c r="E111" i="9" a="1"/>
  <c r="E111" i="9" s="1"/>
  <c r="E112" i="9" a="1"/>
  <c r="E112" i="9" s="1"/>
  <c r="E113" i="9" a="1"/>
  <c r="E113" i="9" s="1"/>
  <c r="E114" i="9" a="1"/>
  <c r="E114" i="9" s="1"/>
  <c r="E115" i="9" a="1"/>
  <c r="E115" i="9" s="1"/>
  <c r="E116" i="9" a="1"/>
  <c r="E116" i="9" s="1"/>
  <c r="E117" i="9" a="1"/>
  <c r="E117" i="9" s="1"/>
  <c r="E118" i="9" a="1"/>
  <c r="E118" i="9" s="1"/>
  <c r="E119" i="9" a="1"/>
  <c r="E119" i="9" s="1"/>
  <c r="E120" i="9" a="1"/>
  <c r="E120" i="9" s="1"/>
  <c r="E121" i="9" a="1"/>
  <c r="E121" i="9" s="1"/>
  <c r="E122" i="9" a="1"/>
  <c r="E122" i="9" s="1"/>
  <c r="E123" i="9" a="1"/>
  <c r="E123" i="9" s="1"/>
  <c r="E124" i="9" a="1"/>
  <c r="E124" i="9" s="1"/>
  <c r="E125" i="9" a="1"/>
  <c r="E125" i="9" s="1"/>
  <c r="E126" i="9" a="1"/>
  <c r="E126" i="9" s="1"/>
  <c r="E127" i="9" a="1"/>
  <c r="E127" i="9" s="1"/>
  <c r="E128" i="9" a="1"/>
  <c r="E128" i="9" s="1"/>
  <c r="E129" i="9" a="1"/>
  <c r="E129" i="9" s="1"/>
  <c r="E130" i="9" a="1"/>
  <c r="E130" i="9" s="1"/>
  <c r="E131" i="9" a="1"/>
  <c r="E131" i="9" s="1"/>
  <c r="E132" i="9" a="1"/>
  <c r="E132" i="9" s="1"/>
  <c r="E133" i="9" a="1"/>
  <c r="E133" i="9" s="1"/>
  <c r="E134" i="9" a="1"/>
  <c r="E134" i="9" s="1"/>
  <c r="E135" i="9" a="1"/>
  <c r="E135" i="9" s="1"/>
  <c r="E136" i="9" a="1"/>
  <c r="E136" i="9" s="1"/>
  <c r="E137" i="9" a="1"/>
  <c r="E137" i="9" s="1"/>
  <c r="E138" i="9" a="1"/>
  <c r="E138" i="9" s="1"/>
  <c r="E139" i="9" a="1"/>
  <c r="E139" i="9" s="1"/>
  <c r="E140" i="9" a="1"/>
  <c r="E140" i="9" s="1"/>
  <c r="E141" i="9" a="1"/>
  <c r="E141" i="9" s="1"/>
  <c r="E142" i="9" a="1"/>
  <c r="E142" i="9" s="1"/>
  <c r="E143" i="9" a="1"/>
  <c r="E143" i="9" s="1"/>
  <c r="E144" i="9" a="1"/>
  <c r="E144" i="9" s="1"/>
  <c r="E145" i="9" a="1"/>
  <c r="E145" i="9" s="1"/>
  <c r="E146" i="9" a="1"/>
  <c r="E146" i="9" s="1"/>
  <c r="E147" i="9" a="1"/>
  <c r="E147" i="9" s="1"/>
  <c r="E148" i="9" a="1"/>
  <c r="E148" i="9" s="1"/>
  <c r="E149" i="9" a="1"/>
  <c r="E149" i="9" s="1"/>
  <c r="E150" i="9" a="1"/>
  <c r="E150" i="9" s="1"/>
  <c r="E151" i="9" a="1"/>
  <c r="E151" i="9" s="1"/>
  <c r="E152" i="9" a="1"/>
  <c r="E152" i="9" s="1"/>
  <c r="E153" i="9" a="1"/>
  <c r="E153" i="9" s="1"/>
  <c r="E154" i="9" a="1"/>
  <c r="E154" i="9" s="1"/>
  <c r="E155" i="9" a="1"/>
  <c r="E155" i="9" s="1"/>
  <c r="E156" i="9" a="1"/>
  <c r="E156" i="9" s="1"/>
  <c r="E157" i="9" a="1"/>
  <c r="E157" i="9" s="1"/>
  <c r="E158" i="9" a="1"/>
  <c r="E158" i="9" s="1"/>
  <c r="E159" i="9" a="1"/>
  <c r="E159" i="9" s="1"/>
  <c r="E160" i="9" a="1"/>
  <c r="E160" i="9" s="1"/>
  <c r="E161" i="9" a="1"/>
  <c r="E161" i="9" s="1"/>
  <c r="E162" i="9" a="1"/>
  <c r="E162" i="9" s="1"/>
  <c r="E163" i="9" a="1"/>
  <c r="E163" i="9" s="1"/>
  <c r="E164" i="9" a="1"/>
  <c r="E164" i="9" s="1"/>
  <c r="E165" i="9" a="1"/>
  <c r="E165" i="9" s="1"/>
  <c r="E166" i="9" a="1"/>
  <c r="E166" i="9" s="1"/>
  <c r="E167" i="9" a="1"/>
  <c r="E167" i="9" s="1"/>
  <c r="E168" i="9" a="1"/>
  <c r="E168" i="9" s="1"/>
  <c r="E169" i="9" a="1"/>
  <c r="E169" i="9" s="1"/>
  <c r="E170" i="9" a="1"/>
  <c r="E170" i="9" s="1"/>
  <c r="E171" i="9" a="1"/>
  <c r="E171" i="9" s="1"/>
  <c r="E172" i="9" a="1"/>
  <c r="E172" i="9" s="1"/>
  <c r="E173" i="9" a="1"/>
  <c r="E173" i="9" s="1"/>
  <c r="E174" i="9" a="1"/>
  <c r="E174" i="9" s="1"/>
  <c r="E175" i="9" a="1"/>
  <c r="E175" i="9" s="1"/>
  <c r="E176" i="9" a="1"/>
  <c r="E176" i="9" s="1"/>
  <c r="E177" i="9" a="1"/>
  <c r="E177" i="9" s="1"/>
  <c r="E178" i="9" a="1"/>
  <c r="E178" i="9" s="1"/>
  <c r="E179" i="9" a="1"/>
  <c r="E179" i="9" s="1"/>
  <c r="E180" i="9" a="1"/>
  <c r="E180" i="9" s="1"/>
  <c r="E181" i="9" a="1"/>
  <c r="E181" i="9" s="1"/>
  <c r="E182" i="9" a="1"/>
  <c r="E182" i="9" s="1"/>
  <c r="E183" i="9" a="1"/>
  <c r="E183" i="9" s="1"/>
  <c r="E184" i="9" a="1"/>
  <c r="E184" i="9" s="1"/>
  <c r="E185" i="9" a="1"/>
  <c r="E185" i="9" s="1"/>
  <c r="E186" i="9" a="1"/>
  <c r="E186" i="9" s="1"/>
  <c r="E187" i="9" a="1"/>
  <c r="E187" i="9" s="1"/>
  <c r="E188" i="9" a="1"/>
  <c r="E188" i="9" s="1"/>
  <c r="E189" i="9" a="1"/>
  <c r="E189" i="9" s="1"/>
  <c r="E190" i="9" a="1"/>
  <c r="E190" i="9" s="1"/>
  <c r="E191" i="9" a="1"/>
  <c r="E191" i="9" s="1"/>
  <c r="E192" i="9" a="1"/>
  <c r="E192" i="9" s="1"/>
  <c r="E193" i="9" a="1"/>
  <c r="E193" i="9" s="1"/>
  <c r="E194" i="9" a="1"/>
  <c r="E194" i="9" s="1"/>
  <c r="E195" i="9" a="1"/>
  <c r="E195" i="9" s="1"/>
  <c r="E196" i="9" a="1"/>
  <c r="E196" i="9" s="1"/>
  <c r="E197" i="9" a="1"/>
  <c r="E197" i="9" s="1"/>
  <c r="E198" i="9" a="1"/>
  <c r="E198" i="9" s="1"/>
  <c r="E199" i="9" a="1"/>
  <c r="E199" i="9" s="1"/>
  <c r="E200" i="9" a="1"/>
  <c r="E200" i="9" s="1"/>
  <c r="E201" i="9" a="1"/>
  <c r="E201" i="9" s="1"/>
  <c r="E202" i="9" a="1"/>
  <c r="E202" i="9" s="1"/>
  <c r="E203" i="9" a="1"/>
  <c r="E203" i="9" s="1"/>
  <c r="E204" i="9" a="1"/>
  <c r="E204" i="9" s="1"/>
  <c r="E205" i="9" a="1"/>
  <c r="E205" i="9" s="1"/>
  <c r="E206" i="9" a="1"/>
  <c r="E206" i="9" s="1"/>
  <c r="E207" i="9" a="1"/>
  <c r="E207" i="9" s="1"/>
  <c r="E208" i="9" a="1"/>
  <c r="E208" i="9" s="1"/>
  <c r="E209" i="9" a="1"/>
  <c r="E209" i="9" s="1"/>
  <c r="E210" i="9" a="1"/>
  <c r="E210" i="9" s="1"/>
  <c r="E211" i="9" a="1"/>
  <c r="E211" i="9" s="1"/>
  <c r="E212" i="9" a="1"/>
  <c r="E212" i="9" s="1"/>
  <c r="E213" i="9" a="1"/>
  <c r="E213" i="9" s="1"/>
  <c r="E214" i="9" a="1"/>
  <c r="E214" i="9" s="1"/>
  <c r="E215" i="9" a="1"/>
  <c r="E215" i="9" s="1"/>
  <c r="E216" i="9" a="1"/>
  <c r="E216" i="9" s="1"/>
  <c r="E217" i="9" a="1"/>
  <c r="E217" i="9" s="1"/>
  <c r="E218" i="9" a="1"/>
  <c r="E218" i="9" s="1"/>
  <c r="E219" i="9" a="1"/>
  <c r="E219" i="9" s="1"/>
  <c r="E220" i="9" a="1"/>
  <c r="E220" i="9" s="1"/>
  <c r="E221" i="9" a="1"/>
  <c r="E221" i="9" s="1"/>
  <c r="E222" i="9" a="1"/>
  <c r="E222" i="9" s="1"/>
  <c r="E223" i="9" a="1"/>
  <c r="E223" i="9" s="1"/>
  <c r="E224" i="9" a="1"/>
  <c r="E224" i="9" s="1"/>
  <c r="E225" i="9" a="1"/>
  <c r="E225" i="9" s="1"/>
  <c r="E226" i="9" a="1"/>
  <c r="E226" i="9" s="1"/>
  <c r="E227" i="9" a="1"/>
  <c r="E227" i="9" s="1"/>
  <c r="E228" i="9" a="1"/>
  <c r="E228" i="9" s="1"/>
  <c r="E229" i="9" a="1"/>
  <c r="E229" i="9" s="1"/>
  <c r="E230" i="9" a="1"/>
  <c r="E230" i="9" s="1"/>
  <c r="E231" i="9" a="1"/>
  <c r="E231" i="9" s="1"/>
  <c r="E232" i="9" a="1"/>
  <c r="E232" i="9" s="1"/>
  <c r="E233" i="9" a="1"/>
  <c r="E233" i="9" s="1"/>
  <c r="E234" i="9" a="1"/>
  <c r="E234" i="9" s="1"/>
  <c r="E235" i="9" a="1"/>
  <c r="E235" i="9" s="1"/>
  <c r="E236" i="9" a="1"/>
  <c r="E236" i="9" s="1"/>
  <c r="E237" i="9" a="1"/>
  <c r="E237" i="9" s="1"/>
  <c r="E238" i="9" a="1"/>
  <c r="E238" i="9" s="1"/>
  <c r="E239" i="9" a="1"/>
  <c r="E239" i="9" s="1"/>
  <c r="E240" i="9" a="1"/>
  <c r="E240" i="9" s="1"/>
  <c r="E241" i="9" a="1"/>
  <c r="E241" i="9" s="1"/>
  <c r="E242" i="9" a="1"/>
  <c r="E242" i="9" s="1"/>
  <c r="E243" i="9" a="1"/>
  <c r="E243" i="9" s="1"/>
  <c r="E244" i="9" a="1"/>
  <c r="E244" i="9" s="1"/>
  <c r="E245" i="9" a="1"/>
  <c r="E245" i="9" s="1"/>
  <c r="E246" i="9" a="1"/>
  <c r="E246" i="9" s="1"/>
  <c r="E247" i="9" a="1"/>
  <c r="E247" i="9" s="1"/>
  <c r="E248" i="9" a="1"/>
  <c r="E248" i="9" s="1"/>
  <c r="E249" i="9" a="1"/>
  <c r="E249" i="9" s="1"/>
  <c r="E250" i="9" a="1"/>
  <c r="E250" i="9" s="1"/>
  <c r="E251" i="9" a="1"/>
  <c r="E251" i="9" s="1"/>
  <c r="E252" i="9" a="1"/>
  <c r="E252" i="9" s="1"/>
  <c r="E253" i="9" a="1"/>
  <c r="E253" i="9" s="1"/>
  <c r="E254" i="9" a="1"/>
  <c r="E254" i="9" s="1"/>
  <c r="E255" i="9" a="1"/>
  <c r="E255" i="9" s="1"/>
  <c r="E256" i="9" a="1"/>
  <c r="E256" i="9" s="1"/>
  <c r="E257" i="9" a="1"/>
  <c r="E257" i="9" s="1"/>
  <c r="E258" i="9" a="1"/>
  <c r="E258" i="9" s="1"/>
  <c r="E259" i="9" a="1"/>
  <c r="E259" i="9" s="1"/>
  <c r="E260" i="9" a="1"/>
  <c r="E260" i="9" s="1"/>
  <c r="E261" i="9" a="1"/>
  <c r="E261" i="9" s="1"/>
  <c r="E262" i="9" a="1"/>
  <c r="E262" i="9" s="1"/>
  <c r="E263" i="9" a="1"/>
  <c r="E263" i="9" s="1"/>
  <c r="E264" i="9" a="1"/>
  <c r="E264" i="9" s="1"/>
  <c r="E265" i="9" a="1"/>
  <c r="E265" i="9" s="1"/>
  <c r="E266" i="9" a="1"/>
  <c r="E266" i="9" s="1"/>
  <c r="E267" i="9" a="1"/>
  <c r="E267" i="9" s="1"/>
  <c r="E268" i="9" a="1"/>
  <c r="E268" i="9" s="1"/>
  <c r="E269" i="9" a="1"/>
  <c r="E269" i="9" s="1"/>
  <c r="E270" i="9" a="1"/>
  <c r="E270" i="9" s="1"/>
  <c r="E271" i="9" a="1"/>
  <c r="E271" i="9" s="1"/>
  <c r="E272" i="9" a="1"/>
  <c r="E272" i="9" s="1"/>
  <c r="E273" i="9" a="1"/>
  <c r="E273" i="9" s="1"/>
  <c r="E274" i="9" a="1"/>
  <c r="E274" i="9" s="1"/>
  <c r="E275" i="9" a="1"/>
  <c r="E275" i="9" s="1"/>
  <c r="E276" i="9" a="1"/>
  <c r="E276" i="9" s="1"/>
  <c r="E277" i="9" a="1"/>
  <c r="E277" i="9" s="1"/>
  <c r="E278" i="9" a="1"/>
  <c r="E278" i="9" s="1"/>
  <c r="E279" i="9" a="1"/>
  <c r="E279" i="9" s="1"/>
  <c r="E280" i="9" a="1"/>
  <c r="E280" i="9" s="1"/>
  <c r="E281" i="9" a="1"/>
  <c r="E281" i="9" s="1"/>
  <c r="E282" i="9" a="1"/>
  <c r="E282" i="9" s="1"/>
  <c r="E283" i="9" a="1"/>
  <c r="E283" i="9" s="1"/>
  <c r="E284" i="9" a="1"/>
  <c r="E284" i="9" s="1"/>
  <c r="E285" i="9" a="1"/>
  <c r="E285" i="9" s="1"/>
  <c r="E286" i="9" a="1"/>
  <c r="E286" i="9" s="1"/>
  <c r="E287" i="9" a="1"/>
  <c r="E287" i="9" s="1"/>
  <c r="E288" i="9" a="1"/>
  <c r="E288" i="9" s="1"/>
  <c r="E289" i="9" a="1"/>
  <c r="E289" i="9" s="1"/>
  <c r="E290" i="9" a="1"/>
  <c r="E290" i="9" s="1"/>
  <c r="E291" i="9" a="1"/>
  <c r="E291" i="9" s="1"/>
  <c r="E292" i="9" a="1"/>
  <c r="E292" i="9" s="1"/>
  <c r="E293" i="9" a="1"/>
  <c r="E293" i="9" s="1"/>
  <c r="E294" i="9" a="1"/>
  <c r="E294" i="9" s="1"/>
  <c r="E295" i="9" a="1"/>
  <c r="E295" i="9" s="1"/>
  <c r="E296" i="9" a="1"/>
  <c r="E296" i="9" s="1"/>
  <c r="E297" i="9" a="1"/>
  <c r="E297" i="9" s="1"/>
  <c r="E298" i="9" a="1"/>
  <c r="E298" i="9" s="1"/>
  <c r="E299" i="9" a="1"/>
  <c r="E299" i="9" s="1"/>
  <c r="E300" i="9" a="1"/>
  <c r="E300" i="9" s="1"/>
  <c r="E301" i="9" a="1"/>
  <c r="E301" i="9" s="1"/>
  <c r="E302" i="9" a="1"/>
  <c r="E302" i="9" s="1"/>
  <c r="E303" i="9" a="1"/>
  <c r="E303" i="9" s="1"/>
  <c r="E304" i="9" a="1"/>
  <c r="E304" i="9" s="1"/>
  <c r="E305" i="9" a="1"/>
  <c r="E305" i="9" s="1"/>
  <c r="E306" i="9" a="1"/>
  <c r="E306" i="9" s="1"/>
  <c r="E307" i="9" a="1"/>
  <c r="E307" i="9" s="1"/>
  <c r="E308" i="9" a="1"/>
  <c r="E308" i="9" s="1"/>
  <c r="E309" i="9" a="1"/>
  <c r="E309" i="9" s="1"/>
  <c r="E310" i="9" a="1"/>
  <c r="E310" i="9" s="1"/>
  <c r="E311" i="9" a="1"/>
  <c r="E311" i="9" s="1"/>
  <c r="E312" i="9" a="1"/>
  <c r="E312" i="9" s="1"/>
  <c r="E313" i="9" a="1"/>
  <c r="E313" i="9" s="1"/>
  <c r="E314" i="9" a="1"/>
  <c r="E314" i="9" s="1"/>
  <c r="E315" i="9" a="1"/>
  <c r="E315" i="9" s="1"/>
  <c r="E316" i="9" a="1"/>
  <c r="E316" i="9" s="1"/>
  <c r="E317" i="9" a="1"/>
  <c r="E317" i="9" s="1"/>
  <c r="E318" i="9" a="1"/>
  <c r="E318" i="9" s="1"/>
  <c r="E319" i="9" a="1"/>
  <c r="E319" i="9" s="1"/>
  <c r="E320" i="9" a="1"/>
  <c r="E320" i="9" s="1"/>
  <c r="E321" i="9" a="1"/>
  <c r="E321" i="9" s="1"/>
  <c r="E322" i="9" a="1"/>
  <c r="E322" i="9" s="1"/>
  <c r="E323" i="9" a="1"/>
  <c r="E323" i="9" s="1"/>
  <c r="E324" i="9" a="1"/>
  <c r="E324" i="9" s="1"/>
  <c r="E325" i="9" a="1"/>
  <c r="E325" i="9" s="1"/>
  <c r="E326" i="9" a="1"/>
  <c r="E326" i="9" s="1"/>
  <c r="E327" i="9" a="1"/>
  <c r="E327" i="9" s="1"/>
  <c r="E328" i="9" a="1"/>
  <c r="E328" i="9" s="1"/>
  <c r="E329" i="9" a="1"/>
  <c r="E329" i="9" s="1"/>
  <c r="E330" i="9" a="1"/>
  <c r="E330" i="9" s="1"/>
  <c r="E331" i="9" a="1"/>
  <c r="E331" i="9" s="1"/>
  <c r="E332" i="9" a="1"/>
  <c r="E332" i="9" s="1"/>
  <c r="E333" i="9" a="1"/>
  <c r="E333" i="9" s="1"/>
  <c r="E334" i="9" a="1"/>
  <c r="E334" i="9" s="1"/>
  <c r="E335" i="9" a="1"/>
  <c r="E335" i="9" s="1"/>
  <c r="E336" i="9" a="1"/>
  <c r="E336" i="9" s="1"/>
  <c r="E337" i="9" a="1"/>
  <c r="E337" i="9" s="1"/>
  <c r="E338" i="9" a="1"/>
  <c r="E338" i="9" s="1"/>
  <c r="E339" i="9" a="1"/>
  <c r="E339" i="9" s="1"/>
  <c r="E340" i="9" a="1"/>
  <c r="E340" i="9" s="1"/>
  <c r="E341" i="9" a="1"/>
  <c r="E341" i="9" s="1"/>
  <c r="E342" i="9" a="1"/>
  <c r="E342" i="9" s="1"/>
  <c r="E343" i="9" a="1"/>
  <c r="E343" i="9" s="1"/>
  <c r="E344" i="9" a="1"/>
  <c r="E344" i="9" s="1"/>
  <c r="E345" i="9" a="1"/>
  <c r="E345" i="9" s="1"/>
  <c r="E346" i="9" a="1"/>
  <c r="E346" i="9" s="1"/>
  <c r="E347" i="9" a="1"/>
  <c r="E347" i="9" s="1"/>
  <c r="E348" i="9" a="1"/>
  <c r="E348" i="9" s="1"/>
  <c r="E349" i="9" a="1"/>
  <c r="E349" i="9" s="1"/>
  <c r="E350" i="9" a="1"/>
  <c r="E350" i="9" s="1"/>
  <c r="E351" i="9" a="1"/>
  <c r="E351" i="9" s="1"/>
  <c r="E352" i="9" a="1"/>
  <c r="E352" i="9" s="1"/>
  <c r="E353" i="9" a="1"/>
  <c r="E353" i="9" s="1"/>
  <c r="E354" i="9" a="1"/>
  <c r="E354" i="9" s="1"/>
  <c r="E355" i="9" a="1"/>
  <c r="E355" i="9" s="1"/>
  <c r="E356" i="9" a="1"/>
  <c r="E356" i="9" s="1"/>
  <c r="E357" i="9" a="1"/>
  <c r="E357" i="9" s="1"/>
  <c r="E358" i="9" a="1"/>
  <c r="E358" i="9" s="1"/>
  <c r="E359" i="9" a="1"/>
  <c r="E359" i="9" s="1"/>
  <c r="E360" i="9" a="1"/>
  <c r="E360" i="9" s="1"/>
  <c r="E361" i="9" a="1"/>
  <c r="E361" i="9" s="1"/>
  <c r="E362" i="9" a="1"/>
  <c r="E362" i="9" s="1"/>
  <c r="E363" i="9" a="1"/>
  <c r="E363" i="9" s="1"/>
  <c r="E364" i="9" a="1"/>
  <c r="E364" i="9" s="1"/>
  <c r="E365" i="9" a="1"/>
  <c r="E365" i="9" s="1"/>
  <c r="E366" i="9" a="1"/>
  <c r="E366" i="9" s="1"/>
  <c r="E367" i="9" a="1"/>
  <c r="E367" i="9" s="1"/>
  <c r="E368" i="9" a="1"/>
  <c r="E368" i="9" s="1"/>
  <c r="E369" i="9" a="1"/>
  <c r="E369" i="9" s="1"/>
  <c r="E370" i="9" a="1"/>
  <c r="E370" i="9" s="1"/>
  <c r="E371" i="9" a="1"/>
  <c r="E371" i="9" s="1"/>
  <c r="E372" i="9" a="1"/>
  <c r="E372" i="9" s="1"/>
  <c r="E373" i="9" a="1"/>
  <c r="E373" i="9" s="1"/>
  <c r="E374" i="9" a="1"/>
  <c r="E374" i="9" s="1"/>
  <c r="E375" i="9" a="1"/>
  <c r="E375" i="9" s="1"/>
  <c r="E376" i="9" a="1"/>
  <c r="E376" i="9" s="1"/>
  <c r="E377" i="9" a="1"/>
  <c r="E377" i="9" s="1"/>
  <c r="E378" i="9" a="1"/>
  <c r="E378" i="9" s="1"/>
  <c r="E379" i="9" a="1"/>
  <c r="E379" i="9" s="1"/>
  <c r="E380" i="9" a="1"/>
  <c r="E380" i="9" s="1"/>
  <c r="E381" i="9" a="1"/>
  <c r="E381" i="9" s="1"/>
  <c r="E382" i="9" a="1"/>
  <c r="E382" i="9" s="1"/>
  <c r="E383" i="9" a="1"/>
  <c r="E383" i="9" s="1"/>
  <c r="E384" i="9" a="1"/>
  <c r="E384" i="9" s="1"/>
  <c r="E385" i="9" a="1"/>
  <c r="E385" i="9" s="1"/>
  <c r="E386" i="9" a="1"/>
  <c r="E386" i="9" s="1"/>
  <c r="E387" i="9" a="1"/>
  <c r="E387" i="9" s="1"/>
  <c r="E388" i="9" a="1"/>
  <c r="E388" i="9" s="1"/>
  <c r="E389" i="9" a="1"/>
  <c r="E389" i="9" s="1"/>
  <c r="E390" i="9" a="1"/>
  <c r="E390" i="9" s="1"/>
  <c r="E391" i="9" a="1"/>
  <c r="E391" i="9" s="1"/>
  <c r="E392" i="9" a="1"/>
  <c r="E392" i="9" s="1"/>
  <c r="E393" i="9" a="1"/>
  <c r="E393" i="9" s="1"/>
  <c r="E394" i="9" a="1"/>
  <c r="E394" i="9" s="1"/>
  <c r="E395" i="9" a="1"/>
  <c r="E395" i="9" s="1"/>
  <c r="E396" i="9" a="1"/>
  <c r="E396" i="9" s="1"/>
  <c r="E397" i="9" a="1"/>
  <c r="E397" i="9" s="1"/>
  <c r="E398" i="9" a="1"/>
  <c r="E398" i="9" s="1"/>
  <c r="E399" i="9" a="1"/>
  <c r="E399" i="9" s="1"/>
  <c r="E400" i="9" a="1"/>
  <c r="E400" i="9" s="1"/>
  <c r="E401" i="9" a="1"/>
  <c r="E401" i="9" s="1"/>
  <c r="E402" i="9" a="1"/>
  <c r="E402" i="9" s="1"/>
  <c r="E403" i="9" a="1"/>
  <c r="E403" i="9" s="1"/>
  <c r="E404" i="9" a="1"/>
  <c r="E404" i="9" s="1"/>
  <c r="E405" i="9" a="1"/>
  <c r="E405" i="9" s="1"/>
  <c r="E406" i="9" a="1"/>
  <c r="E406" i="9" s="1"/>
  <c r="E407" i="9" a="1"/>
  <c r="E407" i="9" s="1"/>
  <c r="E408" i="9" a="1"/>
  <c r="E408" i="9" s="1"/>
  <c r="E409" i="9" a="1"/>
  <c r="E409" i="9" s="1"/>
  <c r="E410" i="9" a="1"/>
  <c r="E410" i="9" s="1"/>
  <c r="E411" i="9" a="1"/>
  <c r="E411" i="9" s="1"/>
  <c r="E412" i="9" a="1"/>
  <c r="E412" i="9" s="1"/>
  <c r="E413" i="9" a="1"/>
  <c r="E413" i="9" s="1"/>
  <c r="E414" i="9" a="1"/>
  <c r="E414" i="9" s="1"/>
  <c r="E415" i="9" a="1"/>
  <c r="E415" i="9" s="1"/>
  <c r="E416" i="9" a="1"/>
  <c r="E416" i="9" s="1"/>
  <c r="E417" i="9" a="1"/>
  <c r="E417" i="9" s="1"/>
  <c r="E418" i="9" a="1"/>
  <c r="E418" i="9" s="1"/>
  <c r="E419" i="9" a="1"/>
  <c r="E419" i="9" s="1"/>
  <c r="E420" i="9" a="1"/>
  <c r="E420" i="9" s="1"/>
  <c r="E421" i="9" a="1"/>
  <c r="E421" i="9" s="1"/>
  <c r="E422" i="9" a="1"/>
  <c r="E422" i="9" s="1"/>
  <c r="E423" i="9" a="1"/>
  <c r="E423" i="9" s="1"/>
  <c r="E424" i="9" a="1"/>
  <c r="E424" i="9" s="1"/>
  <c r="E425" i="9" a="1"/>
  <c r="E425" i="9" s="1"/>
  <c r="E426" i="9" a="1"/>
  <c r="E426" i="9" s="1"/>
  <c r="E427" i="9" a="1"/>
  <c r="E427" i="9" s="1"/>
  <c r="E428" i="9" a="1"/>
  <c r="E428" i="9" s="1"/>
  <c r="E429" i="9" a="1"/>
  <c r="E429" i="9" s="1"/>
  <c r="E430" i="9" a="1"/>
  <c r="E430" i="9" s="1"/>
  <c r="E431" i="9" a="1"/>
  <c r="E431" i="9" s="1"/>
  <c r="E432" i="9" a="1"/>
  <c r="E432" i="9" s="1"/>
  <c r="E433" i="9" a="1"/>
  <c r="E433" i="9" s="1"/>
  <c r="E434" i="9" a="1"/>
  <c r="E434" i="9" s="1"/>
  <c r="E435" i="9" a="1"/>
  <c r="E435" i="9" s="1"/>
  <c r="E436" i="9" a="1"/>
  <c r="E436" i="9" s="1"/>
  <c r="E437" i="9" a="1"/>
  <c r="E437" i="9" s="1"/>
  <c r="E438" i="9" a="1"/>
  <c r="E438" i="9" s="1"/>
  <c r="E439" i="9" a="1"/>
  <c r="E439" i="9" s="1"/>
  <c r="E440" i="9" a="1"/>
  <c r="E440" i="9" s="1"/>
  <c r="E441" i="9" a="1"/>
  <c r="E441" i="9" s="1"/>
  <c r="E442" i="9" a="1"/>
  <c r="E442" i="9" s="1"/>
  <c r="E443" i="9" a="1"/>
  <c r="E443" i="9" s="1"/>
  <c r="E444" i="9" a="1"/>
  <c r="E444" i="9" s="1"/>
  <c r="E445" i="9" a="1"/>
  <c r="E445" i="9" s="1"/>
  <c r="E446" i="9" a="1"/>
  <c r="E446" i="9" s="1"/>
  <c r="E447" i="9" a="1"/>
  <c r="E447" i="9" s="1"/>
  <c r="E448" i="9" a="1"/>
  <c r="E448" i="9" s="1"/>
  <c r="E449" i="9" a="1"/>
  <c r="E449" i="9" s="1"/>
  <c r="E450" i="9" a="1"/>
  <c r="E450" i="9" s="1"/>
  <c r="E451" i="9" a="1"/>
  <c r="E451" i="9" s="1"/>
  <c r="E452" i="9" a="1"/>
  <c r="E452" i="9" s="1"/>
  <c r="E453" i="9" a="1"/>
  <c r="E453" i="9" s="1"/>
  <c r="E454" i="9" a="1"/>
  <c r="E454" i="9" s="1"/>
  <c r="E455" i="9" a="1"/>
  <c r="E455" i="9" s="1"/>
  <c r="E456" i="9" a="1"/>
  <c r="E456" i="9" s="1"/>
  <c r="E457" i="9" a="1"/>
  <c r="E457" i="9" s="1"/>
  <c r="E458" i="9" a="1"/>
  <c r="E458" i="9" s="1"/>
  <c r="E459" i="9" a="1"/>
  <c r="E459" i="9" s="1"/>
  <c r="E460" i="9" a="1"/>
  <c r="E460" i="9" s="1"/>
  <c r="E461" i="9" a="1"/>
  <c r="E461" i="9" s="1"/>
  <c r="E462" i="9" a="1"/>
  <c r="E462" i="9" s="1"/>
  <c r="E463" i="9" a="1"/>
  <c r="E463" i="9" s="1"/>
  <c r="E464" i="9" a="1"/>
  <c r="E464" i="9" s="1"/>
  <c r="E465" i="9" a="1"/>
  <c r="E465" i="9" s="1"/>
  <c r="E466" i="9" a="1"/>
  <c r="E466" i="9" s="1"/>
  <c r="E467" i="9" a="1"/>
  <c r="E467" i="9" s="1"/>
  <c r="E468" i="9" a="1"/>
  <c r="E468" i="9" s="1"/>
  <c r="E469" i="9" a="1"/>
  <c r="E469" i="9" s="1"/>
  <c r="E470" i="9" a="1"/>
  <c r="E470" i="9" s="1"/>
  <c r="E471" i="9" a="1"/>
  <c r="E471" i="9" s="1"/>
  <c r="E472" i="9" a="1"/>
  <c r="E472" i="9" s="1"/>
  <c r="E473" i="9" a="1"/>
  <c r="E473" i="9" s="1"/>
  <c r="E474" i="9" a="1"/>
  <c r="E474" i="9" s="1"/>
  <c r="E475" i="9" a="1"/>
  <c r="E475" i="9" s="1"/>
  <c r="E476" i="9" a="1"/>
  <c r="E476" i="9" s="1"/>
  <c r="E477" i="9" a="1"/>
  <c r="E477" i="9" s="1"/>
  <c r="E478" i="9" a="1"/>
  <c r="E478" i="9" s="1"/>
  <c r="E479" i="9" a="1"/>
  <c r="E479" i="9" s="1"/>
  <c r="E480" i="9" a="1"/>
  <c r="E480" i="9" s="1"/>
  <c r="E481" i="9" a="1"/>
  <c r="E481" i="9" s="1"/>
  <c r="E482" i="9" a="1"/>
  <c r="E482" i="9" s="1"/>
  <c r="E483" i="9" a="1"/>
  <c r="E483" i="9" s="1"/>
  <c r="E484" i="9" a="1"/>
  <c r="E484" i="9" s="1"/>
  <c r="E485" i="9" a="1"/>
  <c r="E485" i="9" s="1"/>
  <c r="E486" i="9" a="1"/>
  <c r="E486" i="9" s="1"/>
  <c r="E487" i="9" a="1"/>
  <c r="E487" i="9" s="1"/>
  <c r="E488" i="9" a="1"/>
  <c r="E488" i="9" s="1"/>
  <c r="E489" i="9" a="1"/>
  <c r="E489" i="9" s="1"/>
  <c r="E490" i="9" a="1"/>
  <c r="E490" i="9" s="1"/>
  <c r="E491" i="9" a="1"/>
  <c r="E491" i="9" s="1"/>
  <c r="E492" i="9" a="1"/>
  <c r="E492" i="9" s="1"/>
  <c r="E493" i="9" a="1"/>
  <c r="E493" i="9" s="1"/>
  <c r="E494" i="9" a="1"/>
  <c r="E494" i="9" s="1"/>
  <c r="E495" i="9" a="1"/>
  <c r="E495" i="9" s="1"/>
  <c r="E496" i="9" a="1"/>
  <c r="E496" i="9" s="1"/>
  <c r="E497" i="9" a="1"/>
  <c r="E497" i="9" s="1"/>
  <c r="E498" i="9" a="1"/>
  <c r="E498" i="9" s="1"/>
  <c r="E499" i="9" a="1"/>
  <c r="E499" i="9" s="1"/>
  <c r="E500" i="9" a="1"/>
  <c r="E500" i="9" s="1"/>
  <c r="AD26" i="14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6" i="18"/>
  <c r="A3" i="9" a="1"/>
  <c r="A3" i="9" s="1"/>
  <c r="F3" i="9" a="1"/>
  <c r="F3" i="9" s="1"/>
  <c r="G3" i="9" a="1"/>
  <c r="G3" i="9" s="1"/>
  <c r="H3" i="9" a="1"/>
  <c r="H3" i="9" s="1"/>
  <c r="I3" i="9" a="1"/>
  <c r="I3" i="9" s="1"/>
  <c r="J3" i="9" a="1"/>
  <c r="J3" i="9" s="1"/>
  <c r="A4" i="9" a="1"/>
  <c r="A4" i="9" s="1"/>
  <c r="F4" i="9" a="1"/>
  <c r="F4" i="9" s="1"/>
  <c r="G4" i="9" a="1"/>
  <c r="G4" i="9" s="1"/>
  <c r="H4" i="9" a="1"/>
  <c r="H4" i="9" s="1"/>
  <c r="I4" i="9" a="1"/>
  <c r="I4" i="9" s="1"/>
  <c r="J4" i="9" a="1"/>
  <c r="J4" i="9" s="1"/>
  <c r="A5" i="9" a="1"/>
  <c r="A5" i="9" s="1"/>
  <c r="B5" i="9" a="1"/>
  <c r="B5" i="9" s="1"/>
  <c r="F5" i="9" a="1"/>
  <c r="F5" i="9" s="1"/>
  <c r="G5" i="9" a="1"/>
  <c r="G5" i="9" s="1"/>
  <c r="H5" i="9" a="1"/>
  <c r="H5" i="9" s="1"/>
  <c r="I5" i="9" a="1"/>
  <c r="I5" i="9" s="1"/>
  <c r="J5" i="9" a="1"/>
  <c r="J5" i="9" s="1"/>
  <c r="A6" i="9" a="1"/>
  <c r="A6" i="9" s="1"/>
  <c r="B6" i="9" a="1"/>
  <c r="B6" i="9" s="1"/>
  <c r="C6" i="9" a="1"/>
  <c r="C6" i="9" s="1"/>
  <c r="D6" i="9" a="1"/>
  <c r="D6" i="9" s="1"/>
  <c r="F6" i="9" a="1"/>
  <c r="F6" i="9" s="1"/>
  <c r="G6" i="9" a="1"/>
  <c r="G6" i="9" s="1"/>
  <c r="H6" i="9" a="1"/>
  <c r="H6" i="9" s="1"/>
  <c r="I6" i="9" a="1"/>
  <c r="I6" i="9" s="1"/>
  <c r="J6" i="9" a="1"/>
  <c r="J6" i="9" s="1"/>
  <c r="A7" i="9" a="1"/>
  <c r="A7" i="9" s="1"/>
  <c r="B7" i="9" a="1"/>
  <c r="B7" i="9" s="1"/>
  <c r="C7" i="9" a="1"/>
  <c r="C7" i="9" s="1"/>
  <c r="D7" i="9" a="1"/>
  <c r="D7" i="9" s="1"/>
  <c r="F7" i="9" a="1"/>
  <c r="F7" i="9" s="1"/>
  <c r="G7" i="9" a="1"/>
  <c r="G7" i="9" s="1"/>
  <c r="H7" i="9" a="1"/>
  <c r="H7" i="9" s="1"/>
  <c r="I7" i="9" a="1"/>
  <c r="I7" i="9" s="1"/>
  <c r="J7" i="9" a="1"/>
  <c r="J7" i="9" s="1"/>
  <c r="F8" i="9" a="1"/>
  <c r="F8" i="9" s="1"/>
  <c r="G8" i="9" a="1"/>
  <c r="G8" i="9" s="1"/>
  <c r="H8" i="9" a="1"/>
  <c r="H8" i="9" s="1"/>
  <c r="I8" i="9" a="1"/>
  <c r="I8" i="9" s="1"/>
  <c r="J8" i="9" a="1"/>
  <c r="J8" i="9" s="1"/>
  <c r="A9" i="9" a="1"/>
  <c r="A9" i="9" s="1"/>
  <c r="B9" i="9" a="1"/>
  <c r="B9" i="9" s="1"/>
  <c r="C9" i="9" a="1"/>
  <c r="C9" i="9" s="1"/>
  <c r="D9" i="9" a="1"/>
  <c r="D9" i="9" s="1"/>
  <c r="F9" i="9" a="1"/>
  <c r="F9" i="9" s="1"/>
  <c r="G9" i="9" a="1"/>
  <c r="G9" i="9" s="1"/>
  <c r="H9" i="9" a="1"/>
  <c r="H9" i="9" s="1"/>
  <c r="I9" i="9" a="1"/>
  <c r="I9" i="9" s="1"/>
  <c r="J9" i="9" a="1"/>
  <c r="J9" i="9" s="1"/>
  <c r="A10" i="9" a="1"/>
  <c r="A10" i="9" s="1"/>
  <c r="B10" i="9" a="1"/>
  <c r="B10" i="9" s="1"/>
  <c r="C10" i="9" a="1"/>
  <c r="C10" i="9" s="1"/>
  <c r="D10" i="9" a="1"/>
  <c r="D10" i="9" s="1"/>
  <c r="F10" i="9" a="1"/>
  <c r="F10" i="9" s="1"/>
  <c r="G10" i="9" a="1"/>
  <c r="G10" i="9" s="1"/>
  <c r="H10" i="9" a="1"/>
  <c r="H10" i="9" s="1"/>
  <c r="I10" i="9" a="1"/>
  <c r="I10" i="9" s="1"/>
  <c r="J10" i="9" a="1"/>
  <c r="J10" i="9" s="1"/>
  <c r="A11" i="9" a="1"/>
  <c r="A11" i="9" s="1"/>
  <c r="B11" i="9" a="1"/>
  <c r="B11" i="9" s="1"/>
  <c r="C11" i="9" a="1"/>
  <c r="C11" i="9" s="1"/>
  <c r="D11" i="9" a="1"/>
  <c r="D11" i="9" s="1"/>
  <c r="F11" i="9" a="1"/>
  <c r="F11" i="9" s="1"/>
  <c r="G11" i="9" a="1"/>
  <c r="G11" i="9" s="1"/>
  <c r="H11" i="9" a="1"/>
  <c r="H11" i="9" s="1"/>
  <c r="I11" i="9" a="1"/>
  <c r="I11" i="9" s="1"/>
  <c r="J11" i="9" a="1"/>
  <c r="J11" i="9" s="1"/>
  <c r="A12" i="9" a="1"/>
  <c r="A12" i="9" s="1"/>
  <c r="C12" i="9" a="1"/>
  <c r="C12" i="9" s="1"/>
  <c r="D12" i="9" a="1"/>
  <c r="D12" i="9" s="1"/>
  <c r="F12" i="9" a="1"/>
  <c r="F12" i="9" s="1"/>
  <c r="G12" i="9" a="1"/>
  <c r="G12" i="9" s="1"/>
  <c r="H12" i="9" a="1"/>
  <c r="H12" i="9" s="1"/>
  <c r="I12" i="9" a="1"/>
  <c r="I12" i="9" s="1"/>
  <c r="J12" i="9" a="1"/>
  <c r="J12" i="9" s="1"/>
  <c r="A13" i="9" a="1"/>
  <c r="A13" i="9" s="1"/>
  <c r="B13" i="9" a="1"/>
  <c r="B13" i="9" s="1"/>
  <c r="C13" i="9" a="1"/>
  <c r="C13" i="9" s="1"/>
  <c r="D13" i="9" a="1"/>
  <c r="D13" i="9" s="1"/>
  <c r="F13" i="9" a="1"/>
  <c r="F13" i="9" s="1"/>
  <c r="G13" i="9" a="1"/>
  <c r="G13" i="9" s="1"/>
  <c r="H13" i="9" a="1"/>
  <c r="H13" i="9" s="1"/>
  <c r="I13" i="9" a="1"/>
  <c r="I13" i="9" s="1"/>
  <c r="J13" i="9" a="1"/>
  <c r="J13" i="9" s="1"/>
  <c r="A14" i="9" a="1"/>
  <c r="A14" i="9" s="1"/>
  <c r="B14" i="9" a="1"/>
  <c r="B14" i="9" s="1"/>
  <c r="C14" i="9" a="1"/>
  <c r="C14" i="9" s="1"/>
  <c r="D14" i="9" a="1"/>
  <c r="D14" i="9" s="1"/>
  <c r="F14" i="9" a="1"/>
  <c r="F14" i="9" s="1"/>
  <c r="G14" i="9" a="1"/>
  <c r="G14" i="9" s="1"/>
  <c r="H14" i="9" a="1"/>
  <c r="H14" i="9" s="1"/>
  <c r="I14" i="9" a="1"/>
  <c r="I14" i="9" s="1"/>
  <c r="J14" i="9" a="1"/>
  <c r="J14" i="9" s="1"/>
  <c r="A15" i="9" a="1"/>
  <c r="A15" i="9" s="1"/>
  <c r="B15" i="9" a="1"/>
  <c r="B15" i="9" s="1"/>
  <c r="C15" i="9" a="1"/>
  <c r="C15" i="9" s="1"/>
  <c r="D15" i="9" a="1"/>
  <c r="D15" i="9" s="1"/>
  <c r="F15" i="9" a="1"/>
  <c r="F15" i="9" s="1"/>
  <c r="G15" i="9" a="1"/>
  <c r="G15" i="9" s="1"/>
  <c r="H15" i="9" a="1"/>
  <c r="H15" i="9" s="1"/>
  <c r="I15" i="9" a="1"/>
  <c r="I15" i="9" s="1"/>
  <c r="J15" i="9" a="1"/>
  <c r="J15" i="9" s="1"/>
  <c r="A16" i="9" a="1"/>
  <c r="A16" i="9" s="1"/>
  <c r="B16" i="9" a="1"/>
  <c r="B16" i="9" s="1"/>
  <c r="C16" i="9" a="1"/>
  <c r="C16" i="9" s="1"/>
  <c r="D16" i="9" a="1"/>
  <c r="D16" i="9" s="1"/>
  <c r="F16" i="9" a="1"/>
  <c r="F16" i="9" s="1"/>
  <c r="G16" i="9" a="1"/>
  <c r="G16" i="9" s="1"/>
  <c r="H16" i="9" a="1"/>
  <c r="H16" i="9" s="1"/>
  <c r="I16" i="9" a="1"/>
  <c r="I16" i="9" s="1"/>
  <c r="J16" i="9" a="1"/>
  <c r="J16" i="9" s="1"/>
  <c r="A17" i="9" a="1"/>
  <c r="A17" i="9" s="1"/>
  <c r="B17" i="9" a="1"/>
  <c r="B17" i="9" s="1"/>
  <c r="C17" i="9" a="1"/>
  <c r="C17" i="9" s="1"/>
  <c r="D17" i="9" a="1"/>
  <c r="D17" i="9" s="1"/>
  <c r="F17" i="9" a="1"/>
  <c r="F17" i="9" s="1"/>
  <c r="G17" i="9" a="1"/>
  <c r="G17" i="9" s="1"/>
  <c r="H17" i="9" a="1"/>
  <c r="H17" i="9" s="1"/>
  <c r="I17" i="9" a="1"/>
  <c r="I17" i="9" s="1"/>
  <c r="J17" i="9" a="1"/>
  <c r="J17" i="9" s="1"/>
  <c r="A18" i="9" a="1"/>
  <c r="A18" i="9" s="1"/>
  <c r="B18" i="9" a="1"/>
  <c r="B18" i="9" s="1"/>
  <c r="C18" i="9" a="1"/>
  <c r="C18" i="9" s="1"/>
  <c r="D18" i="9" a="1"/>
  <c r="D18" i="9" s="1"/>
  <c r="F18" i="9" a="1"/>
  <c r="F18" i="9" s="1"/>
  <c r="G18" i="9" a="1"/>
  <c r="G18" i="9" s="1"/>
  <c r="H18" i="9" a="1"/>
  <c r="H18" i="9" s="1"/>
  <c r="I18" i="9" a="1"/>
  <c r="I18" i="9" s="1"/>
  <c r="J18" i="9" a="1"/>
  <c r="J18" i="9" s="1"/>
  <c r="A19" i="9" a="1"/>
  <c r="A19" i="9" s="1"/>
  <c r="B19" i="9" a="1"/>
  <c r="B19" i="9" s="1"/>
  <c r="C19" i="9" a="1"/>
  <c r="C19" i="9" s="1"/>
  <c r="D19" i="9" a="1"/>
  <c r="D19" i="9" s="1"/>
  <c r="F19" i="9" a="1"/>
  <c r="F19" i="9" s="1"/>
  <c r="G19" i="9" a="1"/>
  <c r="G19" i="9" s="1"/>
  <c r="H19" i="9" a="1"/>
  <c r="H19" i="9" s="1"/>
  <c r="I19" i="9" a="1"/>
  <c r="I19" i="9" s="1"/>
  <c r="J19" i="9" a="1"/>
  <c r="J19" i="9" s="1"/>
  <c r="A20" i="9" a="1"/>
  <c r="A20" i="9" s="1"/>
  <c r="B20" i="9" a="1"/>
  <c r="B20" i="9" s="1"/>
  <c r="C20" i="9" a="1"/>
  <c r="C20" i="9" s="1"/>
  <c r="D20" i="9" a="1"/>
  <c r="D20" i="9" s="1"/>
  <c r="F20" i="9" a="1"/>
  <c r="F20" i="9" s="1"/>
  <c r="G20" i="9" a="1"/>
  <c r="G20" i="9" s="1"/>
  <c r="H20" i="9" a="1"/>
  <c r="H20" i="9" s="1"/>
  <c r="I20" i="9" a="1"/>
  <c r="I20" i="9" s="1"/>
  <c r="J20" i="9" a="1"/>
  <c r="J20" i="9" s="1"/>
  <c r="A21" i="9" a="1"/>
  <c r="A21" i="9" s="1"/>
  <c r="B21" i="9" a="1"/>
  <c r="B21" i="9" s="1"/>
  <c r="C21" i="9" a="1"/>
  <c r="C21" i="9" s="1"/>
  <c r="D21" i="9" a="1"/>
  <c r="D21" i="9" s="1"/>
  <c r="F21" i="9" a="1"/>
  <c r="F21" i="9" s="1"/>
  <c r="G21" i="9" a="1"/>
  <c r="G21" i="9" s="1"/>
  <c r="H21" i="9" a="1"/>
  <c r="H21" i="9" s="1"/>
  <c r="I21" i="9" a="1"/>
  <c r="I21" i="9" s="1"/>
  <c r="J21" i="9" a="1"/>
  <c r="J21" i="9" s="1"/>
  <c r="A22" i="9" a="1"/>
  <c r="A22" i="9" s="1"/>
  <c r="B22" i="9" a="1"/>
  <c r="B22" i="9" s="1"/>
  <c r="C22" i="9" a="1"/>
  <c r="C22" i="9" s="1"/>
  <c r="D22" i="9" a="1"/>
  <c r="D22" i="9" s="1"/>
  <c r="F22" i="9" a="1"/>
  <c r="F22" i="9" s="1"/>
  <c r="G22" i="9" a="1"/>
  <c r="G22" i="9" s="1"/>
  <c r="H22" i="9" a="1"/>
  <c r="H22" i="9" s="1"/>
  <c r="I22" i="9" a="1"/>
  <c r="I22" i="9" s="1"/>
  <c r="J22" i="9" a="1"/>
  <c r="J22" i="9" s="1"/>
  <c r="A23" i="9" a="1"/>
  <c r="A23" i="9" s="1"/>
  <c r="B23" i="9" a="1"/>
  <c r="B23" i="9" s="1"/>
  <c r="C23" i="9" a="1"/>
  <c r="C23" i="9" s="1"/>
  <c r="D23" i="9" a="1"/>
  <c r="D23" i="9" s="1"/>
  <c r="F23" i="9" a="1"/>
  <c r="F23" i="9" s="1"/>
  <c r="G23" i="9" a="1"/>
  <c r="G23" i="9" s="1"/>
  <c r="H23" i="9" a="1"/>
  <c r="H23" i="9" s="1"/>
  <c r="I23" i="9" a="1"/>
  <c r="I23" i="9" s="1"/>
  <c r="J23" i="9" a="1"/>
  <c r="J23" i="9" s="1"/>
  <c r="A24" i="9" a="1"/>
  <c r="A24" i="9" s="1"/>
  <c r="B24" i="9" a="1"/>
  <c r="B24" i="9" s="1"/>
  <c r="C24" i="9" a="1"/>
  <c r="C24" i="9" s="1"/>
  <c r="D24" i="9" a="1"/>
  <c r="D24" i="9" s="1"/>
  <c r="F24" i="9" a="1"/>
  <c r="F24" i="9" s="1"/>
  <c r="G24" i="9" a="1"/>
  <c r="G24" i="9" s="1"/>
  <c r="H24" i="9" a="1"/>
  <c r="H24" i="9" s="1"/>
  <c r="I24" i="9" a="1"/>
  <c r="I24" i="9" s="1"/>
  <c r="J24" i="9" a="1"/>
  <c r="J24" i="9" s="1"/>
  <c r="A25" i="9" a="1"/>
  <c r="A25" i="9" s="1"/>
  <c r="B25" i="9" a="1"/>
  <c r="B25" i="9" s="1"/>
  <c r="C25" i="9" a="1"/>
  <c r="C25" i="9" s="1"/>
  <c r="D25" i="9" a="1"/>
  <c r="D25" i="9" s="1"/>
  <c r="F25" i="9" a="1"/>
  <c r="F25" i="9" s="1"/>
  <c r="G25" i="9" a="1"/>
  <c r="G25" i="9" s="1"/>
  <c r="H25" i="9" a="1"/>
  <c r="H25" i="9" s="1"/>
  <c r="I25" i="9" a="1"/>
  <c r="I25" i="9" s="1"/>
  <c r="J25" i="9" a="1"/>
  <c r="J25" i="9" s="1"/>
  <c r="A26" i="9" a="1"/>
  <c r="A26" i="9" s="1"/>
  <c r="B26" i="9" a="1"/>
  <c r="B26" i="9" s="1"/>
  <c r="C26" i="9" a="1"/>
  <c r="C26" i="9" s="1"/>
  <c r="D26" i="9" a="1"/>
  <c r="D26" i="9" s="1"/>
  <c r="F26" i="9" a="1"/>
  <c r="F26" i="9" s="1"/>
  <c r="G26" i="9" a="1"/>
  <c r="G26" i="9" s="1"/>
  <c r="H26" i="9" a="1"/>
  <c r="H26" i="9" s="1"/>
  <c r="I26" i="9" a="1"/>
  <c r="I26" i="9" s="1"/>
  <c r="J26" i="9" a="1"/>
  <c r="J26" i="9" s="1"/>
  <c r="A27" i="9" a="1"/>
  <c r="A27" i="9" s="1"/>
  <c r="B27" i="9" a="1"/>
  <c r="B27" i="9" s="1"/>
  <c r="C27" i="9" a="1"/>
  <c r="C27" i="9" s="1"/>
  <c r="D27" i="9" a="1"/>
  <c r="D27" i="9" s="1"/>
  <c r="F27" i="9" a="1"/>
  <c r="F27" i="9" s="1"/>
  <c r="G27" i="9" a="1"/>
  <c r="G27" i="9" s="1"/>
  <c r="H27" i="9" a="1"/>
  <c r="H27" i="9" s="1"/>
  <c r="I27" i="9" a="1"/>
  <c r="I27" i="9" s="1"/>
  <c r="J27" i="9" a="1"/>
  <c r="J27" i="9" s="1"/>
  <c r="A28" i="9" a="1"/>
  <c r="A28" i="9" s="1"/>
  <c r="B28" i="9" a="1"/>
  <c r="B28" i="9" s="1"/>
  <c r="C28" i="9" a="1"/>
  <c r="C28" i="9" s="1"/>
  <c r="D28" i="9" a="1"/>
  <c r="D28" i="9" s="1"/>
  <c r="F28" i="9" a="1"/>
  <c r="F28" i="9" s="1"/>
  <c r="G28" i="9" a="1"/>
  <c r="G28" i="9" s="1"/>
  <c r="H28" i="9" a="1"/>
  <c r="H28" i="9" s="1"/>
  <c r="I28" i="9" a="1"/>
  <c r="I28" i="9" s="1"/>
  <c r="J28" i="9" a="1"/>
  <c r="J28" i="9" s="1"/>
  <c r="A29" i="9" a="1"/>
  <c r="A29" i="9" s="1"/>
  <c r="B29" i="9" a="1"/>
  <c r="B29" i="9" s="1"/>
  <c r="C29" i="9" a="1"/>
  <c r="C29" i="9" s="1"/>
  <c r="D29" i="9" a="1"/>
  <c r="D29" i="9" s="1"/>
  <c r="F29" i="9" a="1"/>
  <c r="F29" i="9" s="1"/>
  <c r="G29" i="9" a="1"/>
  <c r="G29" i="9" s="1"/>
  <c r="H29" i="9" a="1"/>
  <c r="H29" i="9" s="1"/>
  <c r="I29" i="9" a="1"/>
  <c r="I29" i="9" s="1"/>
  <c r="J29" i="9" a="1"/>
  <c r="J29" i="9" s="1"/>
  <c r="A30" i="9" a="1"/>
  <c r="A30" i="9" s="1"/>
  <c r="B30" i="9" a="1"/>
  <c r="B30" i="9" s="1"/>
  <c r="C30" i="9" a="1"/>
  <c r="C30" i="9" s="1"/>
  <c r="D30" i="9" a="1"/>
  <c r="D30" i="9" s="1"/>
  <c r="F30" i="9" a="1"/>
  <c r="F30" i="9" s="1"/>
  <c r="G30" i="9" a="1"/>
  <c r="G30" i="9" s="1"/>
  <c r="H30" i="9" a="1"/>
  <c r="H30" i="9" s="1"/>
  <c r="I30" i="9" a="1"/>
  <c r="I30" i="9" s="1"/>
  <c r="J30" i="9" a="1"/>
  <c r="J30" i="9" s="1"/>
  <c r="A31" i="9" a="1"/>
  <c r="A31" i="9" s="1"/>
  <c r="B31" i="9" a="1"/>
  <c r="B31" i="9" s="1"/>
  <c r="C31" i="9" a="1"/>
  <c r="C31" i="9" s="1"/>
  <c r="D31" i="9" a="1"/>
  <c r="D31" i="9" s="1"/>
  <c r="F31" i="9" a="1"/>
  <c r="F31" i="9" s="1"/>
  <c r="G31" i="9" a="1"/>
  <c r="G31" i="9" s="1"/>
  <c r="H31" i="9" a="1"/>
  <c r="H31" i="9" s="1"/>
  <c r="I31" i="9" a="1"/>
  <c r="I31" i="9" s="1"/>
  <c r="J31" i="9" a="1"/>
  <c r="J31" i="9" s="1"/>
  <c r="A32" i="9" a="1"/>
  <c r="A32" i="9" s="1"/>
  <c r="B32" i="9" a="1"/>
  <c r="B32" i="9" s="1"/>
  <c r="C32" i="9" a="1"/>
  <c r="C32" i="9" s="1"/>
  <c r="D32" i="9" a="1"/>
  <c r="D32" i="9" s="1"/>
  <c r="F32" i="9" a="1"/>
  <c r="F32" i="9" s="1"/>
  <c r="G32" i="9" a="1"/>
  <c r="G32" i="9" s="1"/>
  <c r="H32" i="9" a="1"/>
  <c r="H32" i="9" s="1"/>
  <c r="I32" i="9" a="1"/>
  <c r="I32" i="9" s="1"/>
  <c r="J32" i="9" a="1"/>
  <c r="J32" i="9" s="1"/>
  <c r="A33" i="9" a="1"/>
  <c r="A33" i="9" s="1"/>
  <c r="B33" i="9" a="1"/>
  <c r="B33" i="9" s="1"/>
  <c r="C33" i="9" a="1"/>
  <c r="C33" i="9" s="1"/>
  <c r="D33" i="9" a="1"/>
  <c r="D33" i="9" s="1"/>
  <c r="F33" i="9" a="1"/>
  <c r="F33" i="9" s="1"/>
  <c r="G33" i="9" a="1"/>
  <c r="G33" i="9" s="1"/>
  <c r="H33" i="9" a="1"/>
  <c r="H33" i="9" s="1"/>
  <c r="I33" i="9" a="1"/>
  <c r="I33" i="9" s="1"/>
  <c r="J33" i="9" a="1"/>
  <c r="J33" i="9" s="1"/>
  <c r="A34" i="9" a="1"/>
  <c r="A34" i="9" s="1"/>
  <c r="B34" i="9" a="1"/>
  <c r="B34" i="9" s="1"/>
  <c r="C34" i="9" a="1"/>
  <c r="C34" i="9" s="1"/>
  <c r="D34" i="9" a="1"/>
  <c r="D34" i="9" s="1"/>
  <c r="F34" i="9" a="1"/>
  <c r="F34" i="9" s="1"/>
  <c r="G34" i="9" a="1"/>
  <c r="G34" i="9" s="1"/>
  <c r="H34" i="9" a="1"/>
  <c r="H34" i="9" s="1"/>
  <c r="I34" i="9" a="1"/>
  <c r="I34" i="9" s="1"/>
  <c r="J34" i="9" a="1"/>
  <c r="J34" i="9" s="1"/>
  <c r="A35" i="9" a="1"/>
  <c r="A35" i="9" s="1"/>
  <c r="B35" i="9" a="1"/>
  <c r="B35" i="9" s="1"/>
  <c r="C35" i="9" a="1"/>
  <c r="C35" i="9" s="1"/>
  <c r="D35" i="9" a="1"/>
  <c r="D35" i="9" s="1"/>
  <c r="F35" i="9" a="1"/>
  <c r="F35" i="9" s="1"/>
  <c r="G35" i="9" a="1"/>
  <c r="G35" i="9" s="1"/>
  <c r="H35" i="9" a="1"/>
  <c r="H35" i="9" s="1"/>
  <c r="I35" i="9" a="1"/>
  <c r="I35" i="9" s="1"/>
  <c r="J35" i="9" a="1"/>
  <c r="J35" i="9" s="1"/>
  <c r="A36" i="9" a="1"/>
  <c r="A36" i="9" s="1"/>
  <c r="B36" i="9" a="1"/>
  <c r="B36" i="9" s="1"/>
  <c r="C36" i="9" a="1"/>
  <c r="C36" i="9" s="1"/>
  <c r="D36" i="9" a="1"/>
  <c r="D36" i="9" s="1"/>
  <c r="F36" i="9" a="1"/>
  <c r="F36" i="9" s="1"/>
  <c r="G36" i="9" a="1"/>
  <c r="G36" i="9" s="1"/>
  <c r="H36" i="9" a="1"/>
  <c r="H36" i="9" s="1"/>
  <c r="I36" i="9" a="1"/>
  <c r="I36" i="9" s="1"/>
  <c r="J36" i="9" a="1"/>
  <c r="J36" i="9" s="1"/>
  <c r="A37" i="9" a="1"/>
  <c r="A37" i="9" s="1"/>
  <c r="B37" i="9" a="1"/>
  <c r="B37" i="9" s="1"/>
  <c r="C37" i="9" a="1"/>
  <c r="C37" i="9" s="1"/>
  <c r="D37" i="9" a="1"/>
  <c r="D37" i="9" s="1"/>
  <c r="F37" i="9" a="1"/>
  <c r="F37" i="9" s="1"/>
  <c r="G37" i="9" a="1"/>
  <c r="G37" i="9" s="1"/>
  <c r="H37" i="9" a="1"/>
  <c r="H37" i="9" s="1"/>
  <c r="I37" i="9" a="1"/>
  <c r="I37" i="9" s="1"/>
  <c r="J37" i="9" a="1"/>
  <c r="J37" i="9" s="1"/>
  <c r="A38" i="9" a="1"/>
  <c r="A38" i="9" s="1"/>
  <c r="B38" i="9" a="1"/>
  <c r="B38" i="9" s="1"/>
  <c r="C38" i="9" a="1"/>
  <c r="C38" i="9" s="1"/>
  <c r="D38" i="9" a="1"/>
  <c r="D38" i="9" s="1"/>
  <c r="F38" i="9" a="1"/>
  <c r="F38" i="9" s="1"/>
  <c r="G38" i="9" a="1"/>
  <c r="G38" i="9" s="1"/>
  <c r="H38" i="9" a="1"/>
  <c r="H38" i="9" s="1"/>
  <c r="I38" i="9" a="1"/>
  <c r="I38" i="9" s="1"/>
  <c r="J38" i="9" a="1"/>
  <c r="J38" i="9" s="1"/>
  <c r="A39" i="9" a="1"/>
  <c r="A39" i="9" s="1"/>
  <c r="B39" i="9" a="1"/>
  <c r="B39" i="9" s="1"/>
  <c r="C39" i="9" a="1"/>
  <c r="C39" i="9" s="1"/>
  <c r="D39" i="9" a="1"/>
  <c r="D39" i="9" s="1"/>
  <c r="F39" i="9" a="1"/>
  <c r="F39" i="9" s="1"/>
  <c r="G39" i="9" a="1"/>
  <c r="G39" i="9" s="1"/>
  <c r="H39" i="9" a="1"/>
  <c r="H39" i="9" s="1"/>
  <c r="I39" i="9" a="1"/>
  <c r="I39" i="9" s="1"/>
  <c r="J39" i="9" a="1"/>
  <c r="J39" i="9" s="1"/>
  <c r="A40" i="9" a="1"/>
  <c r="A40" i="9" s="1"/>
  <c r="B40" i="9" a="1"/>
  <c r="B40" i="9" s="1"/>
  <c r="C40" i="9" a="1"/>
  <c r="C40" i="9" s="1"/>
  <c r="D40" i="9" a="1"/>
  <c r="D40" i="9" s="1"/>
  <c r="F40" i="9" a="1"/>
  <c r="F40" i="9" s="1"/>
  <c r="G40" i="9" a="1"/>
  <c r="G40" i="9" s="1"/>
  <c r="H40" i="9" a="1"/>
  <c r="H40" i="9" s="1"/>
  <c r="I40" i="9" a="1"/>
  <c r="I40" i="9" s="1"/>
  <c r="J40" i="9" a="1"/>
  <c r="J40" i="9" s="1"/>
  <c r="A41" i="9" a="1"/>
  <c r="A41" i="9" s="1"/>
  <c r="B41" i="9" a="1"/>
  <c r="B41" i="9" s="1"/>
  <c r="C41" i="9" a="1"/>
  <c r="C41" i="9" s="1"/>
  <c r="D41" i="9" a="1"/>
  <c r="D41" i="9" s="1"/>
  <c r="F41" i="9" a="1"/>
  <c r="F41" i="9" s="1"/>
  <c r="G41" i="9" a="1"/>
  <c r="G41" i="9" s="1"/>
  <c r="H41" i="9" a="1"/>
  <c r="H41" i="9" s="1"/>
  <c r="I41" i="9" a="1"/>
  <c r="I41" i="9" s="1"/>
  <c r="J41" i="9" a="1"/>
  <c r="J41" i="9" s="1"/>
  <c r="A42" i="9" a="1"/>
  <c r="A42" i="9" s="1"/>
  <c r="B42" i="9" a="1"/>
  <c r="B42" i="9" s="1"/>
  <c r="C42" i="9" a="1"/>
  <c r="C42" i="9" s="1"/>
  <c r="D42" i="9" a="1"/>
  <c r="D42" i="9" s="1"/>
  <c r="F42" i="9" a="1"/>
  <c r="F42" i="9" s="1"/>
  <c r="G42" i="9" a="1"/>
  <c r="G42" i="9" s="1"/>
  <c r="H42" i="9" a="1"/>
  <c r="H42" i="9" s="1"/>
  <c r="I42" i="9" a="1"/>
  <c r="I42" i="9" s="1"/>
  <c r="J42" i="9" a="1"/>
  <c r="J42" i="9" s="1"/>
  <c r="A43" i="9" a="1"/>
  <c r="A43" i="9" s="1"/>
  <c r="B43" i="9" a="1"/>
  <c r="B43" i="9" s="1"/>
  <c r="C43" i="9" a="1"/>
  <c r="C43" i="9" s="1"/>
  <c r="D43" i="9" a="1"/>
  <c r="D43" i="9" s="1"/>
  <c r="F43" i="9" a="1"/>
  <c r="F43" i="9" s="1"/>
  <c r="G43" i="9" a="1"/>
  <c r="G43" i="9" s="1"/>
  <c r="H43" i="9" a="1"/>
  <c r="H43" i="9" s="1"/>
  <c r="I43" i="9" a="1"/>
  <c r="I43" i="9" s="1"/>
  <c r="J43" i="9" a="1"/>
  <c r="J43" i="9" s="1"/>
  <c r="A44" i="9" a="1"/>
  <c r="A44" i="9" s="1"/>
  <c r="B44" i="9" a="1"/>
  <c r="B44" i="9" s="1"/>
  <c r="C44" i="9" a="1"/>
  <c r="C44" i="9" s="1"/>
  <c r="D44" i="9" a="1"/>
  <c r="D44" i="9" s="1"/>
  <c r="F44" i="9" a="1"/>
  <c r="F44" i="9" s="1"/>
  <c r="G44" i="9" a="1"/>
  <c r="G44" i="9" s="1"/>
  <c r="H44" i="9" a="1"/>
  <c r="H44" i="9" s="1"/>
  <c r="I44" i="9" a="1"/>
  <c r="I44" i="9" s="1"/>
  <c r="J44" i="9" a="1"/>
  <c r="J44" i="9" s="1"/>
  <c r="A45" i="9" a="1"/>
  <c r="A45" i="9" s="1"/>
  <c r="B45" i="9" a="1"/>
  <c r="B45" i="9" s="1"/>
  <c r="C45" i="9" a="1"/>
  <c r="C45" i="9" s="1"/>
  <c r="D45" i="9" a="1"/>
  <c r="D45" i="9" s="1"/>
  <c r="F45" i="9" a="1"/>
  <c r="F45" i="9" s="1"/>
  <c r="G45" i="9" a="1"/>
  <c r="G45" i="9" s="1"/>
  <c r="H45" i="9" a="1"/>
  <c r="H45" i="9" s="1"/>
  <c r="I45" i="9" a="1"/>
  <c r="I45" i="9" s="1"/>
  <c r="J45" i="9" a="1"/>
  <c r="J45" i="9" s="1"/>
  <c r="A46" i="9" a="1"/>
  <c r="A46" i="9" s="1"/>
  <c r="B46" i="9" a="1"/>
  <c r="B46" i="9" s="1"/>
  <c r="C46" i="9" a="1"/>
  <c r="C46" i="9" s="1"/>
  <c r="D46" i="9" a="1"/>
  <c r="D46" i="9" s="1"/>
  <c r="F46" i="9" a="1"/>
  <c r="F46" i="9" s="1"/>
  <c r="G46" i="9" a="1"/>
  <c r="G46" i="9" s="1"/>
  <c r="H46" i="9" a="1"/>
  <c r="H46" i="9" s="1"/>
  <c r="I46" i="9" a="1"/>
  <c r="I46" i="9" s="1"/>
  <c r="J46" i="9" a="1"/>
  <c r="J46" i="9" s="1"/>
  <c r="A47" i="9" a="1"/>
  <c r="A47" i="9" s="1"/>
  <c r="B47" i="9" a="1"/>
  <c r="B47" i="9" s="1"/>
  <c r="C47" i="9" a="1"/>
  <c r="C47" i="9" s="1"/>
  <c r="D47" i="9" a="1"/>
  <c r="D47" i="9" s="1"/>
  <c r="F47" i="9" a="1"/>
  <c r="F47" i="9" s="1"/>
  <c r="G47" i="9" a="1"/>
  <c r="G47" i="9" s="1"/>
  <c r="H47" i="9" a="1"/>
  <c r="H47" i="9" s="1"/>
  <c r="I47" i="9" a="1"/>
  <c r="I47" i="9" s="1"/>
  <c r="J47" i="9" a="1"/>
  <c r="J47" i="9" s="1"/>
  <c r="A48" i="9" a="1"/>
  <c r="A48" i="9" s="1"/>
  <c r="B48" i="9" a="1"/>
  <c r="B48" i="9" s="1"/>
  <c r="C48" i="9" a="1"/>
  <c r="C48" i="9" s="1"/>
  <c r="D48" i="9" a="1"/>
  <c r="D48" i="9" s="1"/>
  <c r="F48" i="9" a="1"/>
  <c r="F48" i="9" s="1"/>
  <c r="G48" i="9" a="1"/>
  <c r="G48" i="9" s="1"/>
  <c r="H48" i="9" a="1"/>
  <c r="H48" i="9" s="1"/>
  <c r="I48" i="9" a="1"/>
  <c r="I48" i="9" s="1"/>
  <c r="J48" i="9" a="1"/>
  <c r="J48" i="9" s="1"/>
  <c r="A49" i="9" a="1"/>
  <c r="A49" i="9" s="1"/>
  <c r="B49" i="9" a="1"/>
  <c r="B49" i="9" s="1"/>
  <c r="C49" i="9" a="1"/>
  <c r="C49" i="9" s="1"/>
  <c r="D49" i="9" a="1"/>
  <c r="D49" i="9" s="1"/>
  <c r="F49" i="9" a="1"/>
  <c r="F49" i="9" s="1"/>
  <c r="G49" i="9" a="1"/>
  <c r="G49" i="9" s="1"/>
  <c r="H49" i="9" a="1"/>
  <c r="H49" i="9" s="1"/>
  <c r="I49" i="9" a="1"/>
  <c r="I49" i="9" s="1"/>
  <c r="J49" i="9" a="1"/>
  <c r="J49" i="9" s="1"/>
  <c r="A50" i="9" a="1"/>
  <c r="A50" i="9" s="1"/>
  <c r="B50" i="9" a="1"/>
  <c r="B50" i="9" s="1"/>
  <c r="C50" i="9" a="1"/>
  <c r="C50" i="9" s="1"/>
  <c r="D50" i="9" a="1"/>
  <c r="D50" i="9" s="1"/>
  <c r="F50" i="9" a="1"/>
  <c r="F50" i="9" s="1"/>
  <c r="G50" i="9" a="1"/>
  <c r="G50" i="9" s="1"/>
  <c r="H50" i="9" a="1"/>
  <c r="H50" i="9" s="1"/>
  <c r="I50" i="9" a="1"/>
  <c r="I50" i="9" s="1"/>
  <c r="J50" i="9" a="1"/>
  <c r="J50" i="9" s="1"/>
  <c r="A51" i="9" a="1"/>
  <c r="A51" i="9" s="1"/>
  <c r="B51" i="9" a="1"/>
  <c r="B51" i="9" s="1"/>
  <c r="C51" i="9" a="1"/>
  <c r="C51" i="9" s="1"/>
  <c r="D51" i="9" a="1"/>
  <c r="D51" i="9" s="1"/>
  <c r="F51" i="9" a="1"/>
  <c r="F51" i="9" s="1"/>
  <c r="G51" i="9" a="1"/>
  <c r="G51" i="9" s="1"/>
  <c r="H51" i="9" a="1"/>
  <c r="H51" i="9" s="1"/>
  <c r="I51" i="9" a="1"/>
  <c r="I51" i="9" s="1"/>
  <c r="J51" i="9" a="1"/>
  <c r="J51" i="9" s="1"/>
  <c r="A52" i="9" a="1"/>
  <c r="A52" i="9" s="1"/>
  <c r="B52" i="9" a="1"/>
  <c r="B52" i="9" s="1"/>
  <c r="C52" i="9" a="1"/>
  <c r="C52" i="9" s="1"/>
  <c r="D52" i="9" a="1"/>
  <c r="D52" i="9" s="1"/>
  <c r="F52" i="9" a="1"/>
  <c r="F52" i="9" s="1"/>
  <c r="G52" i="9" a="1"/>
  <c r="G52" i="9" s="1"/>
  <c r="H52" i="9" a="1"/>
  <c r="H52" i="9" s="1"/>
  <c r="I52" i="9" a="1"/>
  <c r="I52" i="9" s="1"/>
  <c r="J52" i="9" a="1"/>
  <c r="J52" i="9" s="1"/>
  <c r="A53" i="9" a="1"/>
  <c r="A53" i="9" s="1"/>
  <c r="B53" i="9" a="1"/>
  <c r="B53" i="9" s="1"/>
  <c r="C53" i="9" a="1"/>
  <c r="C53" i="9" s="1"/>
  <c r="D53" i="9" a="1"/>
  <c r="D53" i="9" s="1"/>
  <c r="F53" i="9" a="1"/>
  <c r="F53" i="9" s="1"/>
  <c r="G53" i="9" a="1"/>
  <c r="G53" i="9" s="1"/>
  <c r="H53" i="9" a="1"/>
  <c r="H53" i="9" s="1"/>
  <c r="I53" i="9" a="1"/>
  <c r="I53" i="9" s="1"/>
  <c r="J53" i="9" a="1"/>
  <c r="J53" i="9" s="1"/>
  <c r="A54" i="9" a="1"/>
  <c r="A54" i="9" s="1"/>
  <c r="B54" i="9" a="1"/>
  <c r="B54" i="9" s="1"/>
  <c r="C54" i="9" a="1"/>
  <c r="C54" i="9" s="1"/>
  <c r="D54" i="9" a="1"/>
  <c r="D54" i="9" s="1"/>
  <c r="F54" i="9" a="1"/>
  <c r="F54" i="9" s="1"/>
  <c r="G54" i="9" a="1"/>
  <c r="G54" i="9" s="1"/>
  <c r="H54" i="9" a="1"/>
  <c r="H54" i="9" s="1"/>
  <c r="I54" i="9" a="1"/>
  <c r="I54" i="9" s="1"/>
  <c r="J54" i="9" a="1"/>
  <c r="J54" i="9" s="1"/>
  <c r="A55" i="9" a="1"/>
  <c r="A55" i="9" s="1"/>
  <c r="B55" i="9" a="1"/>
  <c r="B55" i="9" s="1"/>
  <c r="C55" i="9" a="1"/>
  <c r="C55" i="9" s="1"/>
  <c r="D55" i="9" a="1"/>
  <c r="D55" i="9" s="1"/>
  <c r="F55" i="9" a="1"/>
  <c r="F55" i="9" s="1"/>
  <c r="G55" i="9" a="1"/>
  <c r="G55" i="9" s="1"/>
  <c r="H55" i="9" a="1"/>
  <c r="H55" i="9" s="1"/>
  <c r="I55" i="9" a="1"/>
  <c r="I55" i="9" s="1"/>
  <c r="J55" i="9" a="1"/>
  <c r="J55" i="9" s="1"/>
  <c r="A56" i="9" a="1"/>
  <c r="A56" i="9" s="1"/>
  <c r="B56" i="9" a="1"/>
  <c r="B56" i="9" s="1"/>
  <c r="C56" i="9" a="1"/>
  <c r="C56" i="9" s="1"/>
  <c r="D56" i="9" a="1"/>
  <c r="D56" i="9" s="1"/>
  <c r="F56" i="9" a="1"/>
  <c r="F56" i="9" s="1"/>
  <c r="G56" i="9" a="1"/>
  <c r="G56" i="9" s="1"/>
  <c r="H56" i="9" a="1"/>
  <c r="H56" i="9" s="1"/>
  <c r="I56" i="9" a="1"/>
  <c r="I56" i="9" s="1"/>
  <c r="J56" i="9" a="1"/>
  <c r="J56" i="9" s="1"/>
  <c r="A57" i="9" a="1"/>
  <c r="A57" i="9" s="1"/>
  <c r="B57" i="9" a="1"/>
  <c r="B57" i="9" s="1"/>
  <c r="C57" i="9" a="1"/>
  <c r="C57" i="9" s="1"/>
  <c r="D57" i="9" a="1"/>
  <c r="D57" i="9" s="1"/>
  <c r="F57" i="9" a="1"/>
  <c r="F57" i="9" s="1"/>
  <c r="G57" i="9" a="1"/>
  <c r="G57" i="9" s="1"/>
  <c r="H57" i="9" a="1"/>
  <c r="H57" i="9" s="1"/>
  <c r="I57" i="9" a="1"/>
  <c r="I57" i="9" s="1"/>
  <c r="J57" i="9" a="1"/>
  <c r="J57" i="9" s="1"/>
  <c r="A58" i="9" a="1"/>
  <c r="A58" i="9" s="1"/>
  <c r="B58" i="9" a="1"/>
  <c r="B58" i="9" s="1"/>
  <c r="C58" i="9" a="1"/>
  <c r="C58" i="9" s="1"/>
  <c r="D58" i="9" a="1"/>
  <c r="D58" i="9" s="1"/>
  <c r="F58" i="9" a="1"/>
  <c r="F58" i="9" s="1"/>
  <c r="G58" i="9" a="1"/>
  <c r="G58" i="9" s="1"/>
  <c r="H58" i="9" a="1"/>
  <c r="H58" i="9" s="1"/>
  <c r="I58" i="9" a="1"/>
  <c r="I58" i="9" s="1"/>
  <c r="J58" i="9" a="1"/>
  <c r="J58" i="9" s="1"/>
  <c r="A59" i="9" a="1"/>
  <c r="A59" i="9" s="1"/>
  <c r="B59" i="9" a="1"/>
  <c r="B59" i="9" s="1"/>
  <c r="C59" i="9" a="1"/>
  <c r="C59" i="9" s="1"/>
  <c r="D59" i="9" a="1"/>
  <c r="D59" i="9" s="1"/>
  <c r="F59" i="9" a="1"/>
  <c r="F59" i="9" s="1"/>
  <c r="G59" i="9" a="1"/>
  <c r="G59" i="9" s="1"/>
  <c r="H59" i="9" a="1"/>
  <c r="H59" i="9" s="1"/>
  <c r="I59" i="9" a="1"/>
  <c r="I59" i="9" s="1"/>
  <c r="J59" i="9" a="1"/>
  <c r="J59" i="9" s="1"/>
  <c r="A60" i="9" a="1"/>
  <c r="A60" i="9" s="1"/>
  <c r="B60" i="9" a="1"/>
  <c r="B60" i="9" s="1"/>
  <c r="C60" i="9" a="1"/>
  <c r="C60" i="9" s="1"/>
  <c r="D60" i="9" a="1"/>
  <c r="D60" i="9" s="1"/>
  <c r="F60" i="9" a="1"/>
  <c r="F60" i="9" s="1"/>
  <c r="G60" i="9" a="1"/>
  <c r="G60" i="9" s="1"/>
  <c r="H60" i="9" a="1"/>
  <c r="H60" i="9" s="1"/>
  <c r="I60" i="9" a="1"/>
  <c r="I60" i="9" s="1"/>
  <c r="J60" i="9" a="1"/>
  <c r="J60" i="9" s="1"/>
  <c r="A61" i="9" a="1"/>
  <c r="A61" i="9" s="1"/>
  <c r="B61" i="9" a="1"/>
  <c r="B61" i="9" s="1"/>
  <c r="C61" i="9" a="1"/>
  <c r="C61" i="9" s="1"/>
  <c r="D61" i="9" a="1"/>
  <c r="D61" i="9" s="1"/>
  <c r="F61" i="9" a="1"/>
  <c r="F61" i="9" s="1"/>
  <c r="G61" i="9" a="1"/>
  <c r="G61" i="9" s="1"/>
  <c r="H61" i="9" a="1"/>
  <c r="H61" i="9" s="1"/>
  <c r="I61" i="9" a="1"/>
  <c r="I61" i="9" s="1"/>
  <c r="J61" i="9" a="1"/>
  <c r="J61" i="9" s="1"/>
  <c r="A62" i="9" a="1"/>
  <c r="A62" i="9" s="1"/>
  <c r="B62" i="9" a="1"/>
  <c r="B62" i="9" s="1"/>
  <c r="C62" i="9" a="1"/>
  <c r="C62" i="9" s="1"/>
  <c r="D62" i="9" a="1"/>
  <c r="D62" i="9" s="1"/>
  <c r="F62" i="9" a="1"/>
  <c r="F62" i="9" s="1"/>
  <c r="G62" i="9" a="1"/>
  <c r="G62" i="9" s="1"/>
  <c r="H62" i="9" a="1"/>
  <c r="H62" i="9" s="1"/>
  <c r="I62" i="9" a="1"/>
  <c r="I62" i="9" s="1"/>
  <c r="J62" i="9" a="1"/>
  <c r="J62" i="9" s="1"/>
  <c r="A63" i="9" a="1"/>
  <c r="A63" i="9" s="1"/>
  <c r="B63" i="9" a="1"/>
  <c r="B63" i="9" s="1"/>
  <c r="C63" i="9" a="1"/>
  <c r="C63" i="9" s="1"/>
  <c r="D63" i="9" a="1"/>
  <c r="D63" i="9" s="1"/>
  <c r="F63" i="9" a="1"/>
  <c r="F63" i="9" s="1"/>
  <c r="G63" i="9" a="1"/>
  <c r="G63" i="9" s="1"/>
  <c r="H63" i="9" a="1"/>
  <c r="H63" i="9" s="1"/>
  <c r="I63" i="9" a="1"/>
  <c r="I63" i="9" s="1"/>
  <c r="J63" i="9" a="1"/>
  <c r="J63" i="9" s="1"/>
  <c r="A64" i="9" a="1"/>
  <c r="A64" i="9" s="1"/>
  <c r="B64" i="9" a="1"/>
  <c r="B64" i="9" s="1"/>
  <c r="C64" i="9" a="1"/>
  <c r="C64" i="9" s="1"/>
  <c r="D64" i="9" a="1"/>
  <c r="D64" i="9" s="1"/>
  <c r="F64" i="9" a="1"/>
  <c r="F64" i="9" s="1"/>
  <c r="G64" i="9" a="1"/>
  <c r="G64" i="9" s="1"/>
  <c r="H64" i="9" a="1"/>
  <c r="H64" i="9" s="1"/>
  <c r="I64" i="9" a="1"/>
  <c r="I64" i="9" s="1"/>
  <c r="J64" i="9" a="1"/>
  <c r="J64" i="9" s="1"/>
  <c r="A65" i="9" a="1"/>
  <c r="A65" i="9" s="1"/>
  <c r="B65" i="9" a="1"/>
  <c r="B65" i="9" s="1"/>
  <c r="C65" i="9" a="1"/>
  <c r="C65" i="9" s="1"/>
  <c r="D65" i="9" a="1"/>
  <c r="D65" i="9" s="1"/>
  <c r="F65" i="9" a="1"/>
  <c r="F65" i="9" s="1"/>
  <c r="G65" i="9" a="1"/>
  <c r="G65" i="9" s="1"/>
  <c r="H65" i="9" a="1"/>
  <c r="H65" i="9" s="1"/>
  <c r="I65" i="9" a="1"/>
  <c r="I65" i="9" s="1"/>
  <c r="J65" i="9" a="1"/>
  <c r="J65" i="9" s="1"/>
  <c r="A66" i="9" a="1"/>
  <c r="A66" i="9" s="1"/>
  <c r="B66" i="9" a="1"/>
  <c r="B66" i="9" s="1"/>
  <c r="C66" i="9" a="1"/>
  <c r="C66" i="9" s="1"/>
  <c r="D66" i="9" a="1"/>
  <c r="D66" i="9" s="1"/>
  <c r="F66" i="9" a="1"/>
  <c r="F66" i="9" s="1"/>
  <c r="G66" i="9" a="1"/>
  <c r="G66" i="9" s="1"/>
  <c r="H66" i="9" a="1"/>
  <c r="H66" i="9" s="1"/>
  <c r="I66" i="9" a="1"/>
  <c r="I66" i="9" s="1"/>
  <c r="J66" i="9" a="1"/>
  <c r="J66" i="9" s="1"/>
  <c r="A67" i="9" a="1"/>
  <c r="A67" i="9" s="1"/>
  <c r="B67" i="9" a="1"/>
  <c r="B67" i="9" s="1"/>
  <c r="C67" i="9" a="1"/>
  <c r="C67" i="9" s="1"/>
  <c r="D67" i="9" a="1"/>
  <c r="D67" i="9" s="1"/>
  <c r="F67" i="9" a="1"/>
  <c r="F67" i="9" s="1"/>
  <c r="G67" i="9" a="1"/>
  <c r="G67" i="9" s="1"/>
  <c r="H67" i="9" a="1"/>
  <c r="H67" i="9" s="1"/>
  <c r="I67" i="9" a="1"/>
  <c r="I67" i="9" s="1"/>
  <c r="J67" i="9" a="1"/>
  <c r="J67" i="9" s="1"/>
  <c r="A68" i="9" a="1"/>
  <c r="A68" i="9" s="1"/>
  <c r="B68" i="9" a="1"/>
  <c r="B68" i="9" s="1"/>
  <c r="C68" i="9" a="1"/>
  <c r="C68" i="9" s="1"/>
  <c r="D68" i="9" a="1"/>
  <c r="D68" i="9" s="1"/>
  <c r="F68" i="9" a="1"/>
  <c r="F68" i="9" s="1"/>
  <c r="G68" i="9" a="1"/>
  <c r="G68" i="9" s="1"/>
  <c r="H68" i="9" a="1"/>
  <c r="H68" i="9" s="1"/>
  <c r="I68" i="9" a="1"/>
  <c r="I68" i="9" s="1"/>
  <c r="J68" i="9" a="1"/>
  <c r="J68" i="9" s="1"/>
  <c r="A69" i="9" a="1"/>
  <c r="A69" i="9" s="1"/>
  <c r="B69" i="9" a="1"/>
  <c r="B69" i="9" s="1"/>
  <c r="C69" i="9" a="1"/>
  <c r="C69" i="9" s="1"/>
  <c r="D69" i="9" a="1"/>
  <c r="D69" i="9" s="1"/>
  <c r="F69" i="9" a="1"/>
  <c r="F69" i="9" s="1"/>
  <c r="G69" i="9" a="1"/>
  <c r="G69" i="9" s="1"/>
  <c r="H69" i="9" a="1"/>
  <c r="H69" i="9" s="1"/>
  <c r="I69" i="9" a="1"/>
  <c r="I69" i="9" s="1"/>
  <c r="J69" i="9" a="1"/>
  <c r="J69" i="9" s="1"/>
  <c r="A70" i="9" a="1"/>
  <c r="A70" i="9" s="1"/>
  <c r="B70" i="9" a="1"/>
  <c r="B70" i="9" s="1"/>
  <c r="C70" i="9" a="1"/>
  <c r="C70" i="9" s="1"/>
  <c r="D70" i="9" a="1"/>
  <c r="D70" i="9" s="1"/>
  <c r="F70" i="9" a="1"/>
  <c r="F70" i="9" s="1"/>
  <c r="G70" i="9" a="1"/>
  <c r="G70" i="9" s="1"/>
  <c r="H70" i="9" a="1"/>
  <c r="H70" i="9" s="1"/>
  <c r="I70" i="9" a="1"/>
  <c r="I70" i="9" s="1"/>
  <c r="J70" i="9" a="1"/>
  <c r="J70" i="9" s="1"/>
  <c r="A71" i="9" a="1"/>
  <c r="A71" i="9" s="1"/>
  <c r="B71" i="9" a="1"/>
  <c r="B71" i="9" s="1"/>
  <c r="C71" i="9" a="1"/>
  <c r="C71" i="9" s="1"/>
  <c r="D71" i="9" a="1"/>
  <c r="D71" i="9" s="1"/>
  <c r="F71" i="9" a="1"/>
  <c r="F71" i="9" s="1"/>
  <c r="G71" i="9" a="1"/>
  <c r="G71" i="9" s="1"/>
  <c r="H71" i="9" a="1"/>
  <c r="H71" i="9" s="1"/>
  <c r="I71" i="9" a="1"/>
  <c r="I71" i="9" s="1"/>
  <c r="J71" i="9" a="1"/>
  <c r="J71" i="9" s="1"/>
  <c r="A72" i="9" a="1"/>
  <c r="A72" i="9" s="1"/>
  <c r="B72" i="9" a="1"/>
  <c r="B72" i="9" s="1"/>
  <c r="C72" i="9" a="1"/>
  <c r="C72" i="9" s="1"/>
  <c r="D72" i="9" a="1"/>
  <c r="D72" i="9" s="1"/>
  <c r="F72" i="9" a="1"/>
  <c r="F72" i="9" s="1"/>
  <c r="G72" i="9" a="1"/>
  <c r="G72" i="9" s="1"/>
  <c r="H72" i="9" a="1"/>
  <c r="H72" i="9" s="1"/>
  <c r="I72" i="9" a="1"/>
  <c r="I72" i="9" s="1"/>
  <c r="J72" i="9" a="1"/>
  <c r="J72" i="9" s="1"/>
  <c r="A73" i="9" a="1"/>
  <c r="A73" i="9" s="1"/>
  <c r="B73" i="9" a="1"/>
  <c r="B73" i="9" s="1"/>
  <c r="C73" i="9" a="1"/>
  <c r="C73" i="9" s="1"/>
  <c r="D73" i="9" a="1"/>
  <c r="D73" i="9" s="1"/>
  <c r="F73" i="9" a="1"/>
  <c r="F73" i="9" s="1"/>
  <c r="G73" i="9" a="1"/>
  <c r="G73" i="9" s="1"/>
  <c r="H73" i="9" a="1"/>
  <c r="H73" i="9" s="1"/>
  <c r="I73" i="9" a="1"/>
  <c r="I73" i="9" s="1"/>
  <c r="J73" i="9" a="1"/>
  <c r="J73" i="9" s="1"/>
  <c r="A74" i="9" a="1"/>
  <c r="A74" i="9" s="1"/>
  <c r="B74" i="9" a="1"/>
  <c r="B74" i="9" s="1"/>
  <c r="C74" i="9" a="1"/>
  <c r="C74" i="9" s="1"/>
  <c r="D74" i="9" a="1"/>
  <c r="D74" i="9" s="1"/>
  <c r="F74" i="9" a="1"/>
  <c r="F74" i="9" s="1"/>
  <c r="G74" i="9" a="1"/>
  <c r="G74" i="9" s="1"/>
  <c r="H74" i="9" a="1"/>
  <c r="H74" i="9" s="1"/>
  <c r="I74" i="9" a="1"/>
  <c r="I74" i="9" s="1"/>
  <c r="J74" i="9" a="1"/>
  <c r="J74" i="9" s="1"/>
  <c r="A75" i="9" a="1"/>
  <c r="A75" i="9" s="1"/>
  <c r="B75" i="9" a="1"/>
  <c r="B75" i="9" s="1"/>
  <c r="C75" i="9" a="1"/>
  <c r="C75" i="9" s="1"/>
  <c r="D75" i="9" a="1"/>
  <c r="D75" i="9" s="1"/>
  <c r="F75" i="9" a="1"/>
  <c r="F75" i="9" s="1"/>
  <c r="G75" i="9" a="1"/>
  <c r="G75" i="9" s="1"/>
  <c r="H75" i="9" a="1"/>
  <c r="H75" i="9" s="1"/>
  <c r="I75" i="9" a="1"/>
  <c r="I75" i="9" s="1"/>
  <c r="J75" i="9" a="1"/>
  <c r="J75" i="9" s="1"/>
  <c r="A76" i="9" a="1"/>
  <c r="A76" i="9" s="1"/>
  <c r="B76" i="9" a="1"/>
  <c r="B76" i="9" s="1"/>
  <c r="C76" i="9" a="1"/>
  <c r="C76" i="9" s="1"/>
  <c r="D76" i="9" a="1"/>
  <c r="D76" i="9" s="1"/>
  <c r="F76" i="9" a="1"/>
  <c r="F76" i="9" s="1"/>
  <c r="G76" i="9" a="1"/>
  <c r="G76" i="9" s="1"/>
  <c r="H76" i="9" a="1"/>
  <c r="H76" i="9" s="1"/>
  <c r="I76" i="9" a="1"/>
  <c r="I76" i="9" s="1"/>
  <c r="J76" i="9" a="1"/>
  <c r="J76" i="9" s="1"/>
  <c r="A77" i="9" a="1"/>
  <c r="A77" i="9" s="1"/>
  <c r="B77" i="9" a="1"/>
  <c r="B77" i="9" s="1"/>
  <c r="C77" i="9" a="1"/>
  <c r="C77" i="9" s="1"/>
  <c r="D77" i="9" a="1"/>
  <c r="D77" i="9" s="1"/>
  <c r="F77" i="9" a="1"/>
  <c r="F77" i="9" s="1"/>
  <c r="G77" i="9" a="1"/>
  <c r="G77" i="9" s="1"/>
  <c r="H77" i="9" a="1"/>
  <c r="H77" i="9" s="1"/>
  <c r="I77" i="9" a="1"/>
  <c r="I77" i="9" s="1"/>
  <c r="J77" i="9" a="1"/>
  <c r="J77" i="9" s="1"/>
  <c r="A78" i="9" a="1"/>
  <c r="A78" i="9" s="1"/>
  <c r="B78" i="9" a="1"/>
  <c r="B78" i="9" s="1"/>
  <c r="C78" i="9" a="1"/>
  <c r="C78" i="9" s="1"/>
  <c r="D78" i="9" a="1"/>
  <c r="D78" i="9" s="1"/>
  <c r="F78" i="9" a="1"/>
  <c r="F78" i="9" s="1"/>
  <c r="G78" i="9" a="1"/>
  <c r="G78" i="9" s="1"/>
  <c r="H78" i="9" a="1"/>
  <c r="H78" i="9" s="1"/>
  <c r="I78" i="9" a="1"/>
  <c r="I78" i="9" s="1"/>
  <c r="J78" i="9" a="1"/>
  <c r="J78" i="9" s="1"/>
  <c r="A79" i="9" a="1"/>
  <c r="A79" i="9" s="1"/>
  <c r="B79" i="9" a="1"/>
  <c r="B79" i="9" s="1"/>
  <c r="C79" i="9" a="1"/>
  <c r="C79" i="9" s="1"/>
  <c r="D79" i="9" a="1"/>
  <c r="D79" i="9" s="1"/>
  <c r="F79" i="9" a="1"/>
  <c r="F79" i="9" s="1"/>
  <c r="G79" i="9" a="1"/>
  <c r="G79" i="9" s="1"/>
  <c r="H79" i="9" a="1"/>
  <c r="H79" i="9" s="1"/>
  <c r="I79" i="9" a="1"/>
  <c r="I79" i="9" s="1"/>
  <c r="J79" i="9" a="1"/>
  <c r="J79" i="9" s="1"/>
  <c r="A80" i="9" a="1"/>
  <c r="A80" i="9" s="1"/>
  <c r="B80" i="9" a="1"/>
  <c r="B80" i="9" s="1"/>
  <c r="C80" i="9" a="1"/>
  <c r="C80" i="9" s="1"/>
  <c r="D80" i="9" a="1"/>
  <c r="D80" i="9" s="1"/>
  <c r="F80" i="9" a="1"/>
  <c r="F80" i="9" s="1"/>
  <c r="G80" i="9" a="1"/>
  <c r="G80" i="9" s="1"/>
  <c r="H80" i="9" a="1"/>
  <c r="H80" i="9" s="1"/>
  <c r="I80" i="9" a="1"/>
  <c r="I80" i="9" s="1"/>
  <c r="J80" i="9" a="1"/>
  <c r="J80" i="9" s="1"/>
  <c r="A81" i="9" a="1"/>
  <c r="A81" i="9" s="1"/>
  <c r="B81" i="9" a="1"/>
  <c r="B81" i="9" s="1"/>
  <c r="C81" i="9" a="1"/>
  <c r="C81" i="9" s="1"/>
  <c r="D81" i="9" a="1"/>
  <c r="D81" i="9" s="1"/>
  <c r="F81" i="9" a="1"/>
  <c r="F81" i="9" s="1"/>
  <c r="G81" i="9" a="1"/>
  <c r="G81" i="9" s="1"/>
  <c r="H81" i="9" a="1"/>
  <c r="H81" i="9" s="1"/>
  <c r="I81" i="9" a="1"/>
  <c r="I81" i="9" s="1"/>
  <c r="J81" i="9" a="1"/>
  <c r="J81" i="9" s="1"/>
  <c r="A82" i="9" a="1"/>
  <c r="A82" i="9" s="1"/>
  <c r="B82" i="9" a="1"/>
  <c r="B82" i="9" s="1"/>
  <c r="C82" i="9" a="1"/>
  <c r="C82" i="9" s="1"/>
  <c r="D82" i="9" a="1"/>
  <c r="D82" i="9" s="1"/>
  <c r="F82" i="9" a="1"/>
  <c r="F82" i="9" s="1"/>
  <c r="G82" i="9" a="1"/>
  <c r="G82" i="9" s="1"/>
  <c r="H82" i="9" a="1"/>
  <c r="H82" i="9" s="1"/>
  <c r="I82" i="9" a="1"/>
  <c r="I82" i="9" s="1"/>
  <c r="J82" i="9" a="1"/>
  <c r="J82" i="9" s="1"/>
  <c r="A83" i="9" a="1"/>
  <c r="A83" i="9" s="1"/>
  <c r="B83" i="9" a="1"/>
  <c r="B83" i="9" s="1"/>
  <c r="C83" i="9" a="1"/>
  <c r="C83" i="9" s="1"/>
  <c r="D83" i="9" a="1"/>
  <c r="D83" i="9" s="1"/>
  <c r="F83" i="9" a="1"/>
  <c r="F83" i="9" s="1"/>
  <c r="G83" i="9" a="1"/>
  <c r="G83" i="9" s="1"/>
  <c r="H83" i="9" a="1"/>
  <c r="H83" i="9" s="1"/>
  <c r="I83" i="9" a="1"/>
  <c r="I83" i="9" s="1"/>
  <c r="J83" i="9" a="1"/>
  <c r="J83" i="9" s="1"/>
  <c r="A84" i="9" a="1"/>
  <c r="A84" i="9" s="1"/>
  <c r="B84" i="9" a="1"/>
  <c r="B84" i="9" s="1"/>
  <c r="C84" i="9" a="1"/>
  <c r="C84" i="9" s="1"/>
  <c r="D84" i="9" a="1"/>
  <c r="D84" i="9" s="1"/>
  <c r="F84" i="9" a="1"/>
  <c r="F84" i="9" s="1"/>
  <c r="G84" i="9" a="1"/>
  <c r="G84" i="9" s="1"/>
  <c r="H84" i="9" a="1"/>
  <c r="H84" i="9" s="1"/>
  <c r="I84" i="9" a="1"/>
  <c r="I84" i="9" s="1"/>
  <c r="J84" i="9" a="1"/>
  <c r="J84" i="9" s="1"/>
  <c r="A85" i="9" a="1"/>
  <c r="A85" i="9" s="1"/>
  <c r="B85" i="9" a="1"/>
  <c r="B85" i="9" s="1"/>
  <c r="C85" i="9" a="1"/>
  <c r="C85" i="9" s="1"/>
  <c r="D85" i="9" a="1"/>
  <c r="D85" i="9" s="1"/>
  <c r="F85" i="9" a="1"/>
  <c r="F85" i="9" s="1"/>
  <c r="G85" i="9" a="1"/>
  <c r="G85" i="9" s="1"/>
  <c r="H85" i="9" a="1"/>
  <c r="H85" i="9" s="1"/>
  <c r="I85" i="9" a="1"/>
  <c r="I85" i="9" s="1"/>
  <c r="J85" i="9" a="1"/>
  <c r="J85" i="9" s="1"/>
  <c r="A86" i="9" a="1"/>
  <c r="A86" i="9" s="1"/>
  <c r="B86" i="9" a="1"/>
  <c r="B86" i="9" s="1"/>
  <c r="C86" i="9" a="1"/>
  <c r="C86" i="9" s="1"/>
  <c r="D86" i="9" a="1"/>
  <c r="D86" i="9" s="1"/>
  <c r="F86" i="9" a="1"/>
  <c r="F86" i="9" s="1"/>
  <c r="G86" i="9" a="1"/>
  <c r="G86" i="9" s="1"/>
  <c r="H86" i="9" a="1"/>
  <c r="H86" i="9" s="1"/>
  <c r="I86" i="9" a="1"/>
  <c r="I86" i="9" s="1"/>
  <c r="J86" i="9" a="1"/>
  <c r="J86" i="9" s="1"/>
  <c r="A87" i="9" a="1"/>
  <c r="A87" i="9" s="1"/>
  <c r="B87" i="9" a="1"/>
  <c r="B87" i="9" s="1"/>
  <c r="C87" i="9" a="1"/>
  <c r="C87" i="9" s="1"/>
  <c r="D87" i="9" a="1"/>
  <c r="D87" i="9" s="1"/>
  <c r="F87" i="9" a="1"/>
  <c r="F87" i="9" s="1"/>
  <c r="G87" i="9" a="1"/>
  <c r="G87" i="9" s="1"/>
  <c r="H87" i="9" a="1"/>
  <c r="H87" i="9" s="1"/>
  <c r="I87" i="9" a="1"/>
  <c r="I87" i="9" s="1"/>
  <c r="J87" i="9" a="1"/>
  <c r="J87" i="9" s="1"/>
  <c r="A88" i="9" a="1"/>
  <c r="A88" i="9" s="1"/>
  <c r="B88" i="9" a="1"/>
  <c r="B88" i="9" s="1"/>
  <c r="C88" i="9" a="1"/>
  <c r="C88" i="9" s="1"/>
  <c r="D88" i="9" a="1"/>
  <c r="D88" i="9" s="1"/>
  <c r="F88" i="9" a="1"/>
  <c r="F88" i="9" s="1"/>
  <c r="G88" i="9" a="1"/>
  <c r="G88" i="9" s="1"/>
  <c r="H88" i="9" a="1"/>
  <c r="H88" i="9" s="1"/>
  <c r="I88" i="9" a="1"/>
  <c r="I88" i="9" s="1"/>
  <c r="J88" i="9" a="1"/>
  <c r="J88" i="9" s="1"/>
  <c r="A89" i="9" a="1"/>
  <c r="A89" i="9" s="1"/>
  <c r="B89" i="9" a="1"/>
  <c r="B89" i="9" s="1"/>
  <c r="C89" i="9" a="1"/>
  <c r="C89" i="9" s="1"/>
  <c r="D89" i="9" a="1"/>
  <c r="D89" i="9" s="1"/>
  <c r="F89" i="9" a="1"/>
  <c r="F89" i="9" s="1"/>
  <c r="G89" i="9" a="1"/>
  <c r="G89" i="9" s="1"/>
  <c r="H89" i="9" a="1"/>
  <c r="H89" i="9" s="1"/>
  <c r="I89" i="9" a="1"/>
  <c r="I89" i="9" s="1"/>
  <c r="J89" i="9" a="1"/>
  <c r="J89" i="9" s="1"/>
  <c r="A90" i="9" a="1"/>
  <c r="A90" i="9" s="1"/>
  <c r="B90" i="9" a="1"/>
  <c r="B90" i="9" s="1"/>
  <c r="C90" i="9" a="1"/>
  <c r="C90" i="9" s="1"/>
  <c r="D90" i="9" a="1"/>
  <c r="D90" i="9" s="1"/>
  <c r="F90" i="9" a="1"/>
  <c r="F90" i="9" s="1"/>
  <c r="G90" i="9" a="1"/>
  <c r="G90" i="9" s="1"/>
  <c r="H90" i="9" a="1"/>
  <c r="H90" i="9" s="1"/>
  <c r="I90" i="9" a="1"/>
  <c r="I90" i="9" s="1"/>
  <c r="J90" i="9" a="1"/>
  <c r="J90" i="9" s="1"/>
  <c r="A91" i="9" a="1"/>
  <c r="A91" i="9" s="1"/>
  <c r="B91" i="9" a="1"/>
  <c r="B91" i="9" s="1"/>
  <c r="C91" i="9" a="1"/>
  <c r="C91" i="9" s="1"/>
  <c r="D91" i="9" a="1"/>
  <c r="D91" i="9" s="1"/>
  <c r="F91" i="9" a="1"/>
  <c r="F91" i="9" s="1"/>
  <c r="G91" i="9" a="1"/>
  <c r="G91" i="9" s="1"/>
  <c r="H91" i="9" a="1"/>
  <c r="H91" i="9" s="1"/>
  <c r="I91" i="9" a="1"/>
  <c r="I91" i="9" s="1"/>
  <c r="J91" i="9" a="1"/>
  <c r="J91" i="9" s="1"/>
  <c r="A92" i="9" a="1"/>
  <c r="A92" i="9" s="1"/>
  <c r="B92" i="9" a="1"/>
  <c r="B92" i="9" s="1"/>
  <c r="C92" i="9" a="1"/>
  <c r="C92" i="9" s="1"/>
  <c r="D92" i="9" a="1"/>
  <c r="D92" i="9" s="1"/>
  <c r="F92" i="9" a="1"/>
  <c r="F92" i="9" s="1"/>
  <c r="G92" i="9" a="1"/>
  <c r="G92" i="9" s="1"/>
  <c r="H92" i="9" a="1"/>
  <c r="H92" i="9" s="1"/>
  <c r="I92" i="9" a="1"/>
  <c r="I92" i="9" s="1"/>
  <c r="J92" i="9" a="1"/>
  <c r="J92" i="9" s="1"/>
  <c r="A93" i="9" a="1"/>
  <c r="A93" i="9" s="1"/>
  <c r="B93" i="9" a="1"/>
  <c r="B93" i="9" s="1"/>
  <c r="C93" i="9" a="1"/>
  <c r="C93" i="9" s="1"/>
  <c r="D93" i="9" a="1"/>
  <c r="D93" i="9" s="1"/>
  <c r="F93" i="9" a="1"/>
  <c r="F93" i="9" s="1"/>
  <c r="G93" i="9" a="1"/>
  <c r="G93" i="9" s="1"/>
  <c r="H93" i="9" a="1"/>
  <c r="H93" i="9" s="1"/>
  <c r="I93" i="9" a="1"/>
  <c r="I93" i="9" s="1"/>
  <c r="J93" i="9" a="1"/>
  <c r="J93" i="9" s="1"/>
  <c r="A94" i="9" a="1"/>
  <c r="A94" i="9" s="1"/>
  <c r="B94" i="9" a="1"/>
  <c r="B94" i="9" s="1"/>
  <c r="C94" i="9" a="1"/>
  <c r="C94" i="9" s="1"/>
  <c r="D94" i="9" a="1"/>
  <c r="D94" i="9" s="1"/>
  <c r="F94" i="9" a="1"/>
  <c r="F94" i="9" s="1"/>
  <c r="G94" i="9" a="1"/>
  <c r="G94" i="9" s="1"/>
  <c r="H94" i="9" a="1"/>
  <c r="H94" i="9" s="1"/>
  <c r="I94" i="9" a="1"/>
  <c r="I94" i="9" s="1"/>
  <c r="J94" i="9" a="1"/>
  <c r="J94" i="9" s="1"/>
  <c r="A95" i="9" a="1"/>
  <c r="A95" i="9" s="1"/>
  <c r="B95" i="9" a="1"/>
  <c r="B95" i="9" s="1"/>
  <c r="C95" i="9" a="1"/>
  <c r="C95" i="9" s="1"/>
  <c r="D95" i="9" a="1"/>
  <c r="D95" i="9" s="1"/>
  <c r="F95" i="9" a="1"/>
  <c r="F95" i="9" s="1"/>
  <c r="G95" i="9" a="1"/>
  <c r="G95" i="9" s="1"/>
  <c r="H95" i="9" a="1"/>
  <c r="H95" i="9" s="1"/>
  <c r="I95" i="9" a="1"/>
  <c r="I95" i="9" s="1"/>
  <c r="J95" i="9" a="1"/>
  <c r="J95" i="9" s="1"/>
  <c r="A96" i="9" a="1"/>
  <c r="A96" i="9" s="1"/>
  <c r="B96" i="9" a="1"/>
  <c r="B96" i="9" s="1"/>
  <c r="C96" i="9" a="1"/>
  <c r="C96" i="9" s="1"/>
  <c r="D96" i="9" a="1"/>
  <c r="D96" i="9" s="1"/>
  <c r="F96" i="9" a="1"/>
  <c r="F96" i="9" s="1"/>
  <c r="G96" i="9" a="1"/>
  <c r="G96" i="9" s="1"/>
  <c r="H96" i="9" a="1"/>
  <c r="H96" i="9" s="1"/>
  <c r="I96" i="9" a="1"/>
  <c r="I96" i="9" s="1"/>
  <c r="J96" i="9" a="1"/>
  <c r="J96" i="9" s="1"/>
  <c r="A97" i="9" a="1"/>
  <c r="A97" i="9" s="1"/>
  <c r="B97" i="9" a="1"/>
  <c r="B97" i="9" s="1"/>
  <c r="C97" i="9" a="1"/>
  <c r="C97" i="9" s="1"/>
  <c r="D97" i="9" a="1"/>
  <c r="D97" i="9" s="1"/>
  <c r="F97" i="9" a="1"/>
  <c r="F97" i="9" s="1"/>
  <c r="G97" i="9" a="1"/>
  <c r="G97" i="9" s="1"/>
  <c r="H97" i="9" a="1"/>
  <c r="H97" i="9" s="1"/>
  <c r="I97" i="9" a="1"/>
  <c r="I97" i="9" s="1"/>
  <c r="J97" i="9" a="1"/>
  <c r="J97" i="9" s="1"/>
  <c r="A98" i="9" a="1"/>
  <c r="A98" i="9" s="1"/>
  <c r="B98" i="9" a="1"/>
  <c r="B98" i="9" s="1"/>
  <c r="C98" i="9" a="1"/>
  <c r="C98" i="9" s="1"/>
  <c r="D98" i="9" a="1"/>
  <c r="D98" i="9" s="1"/>
  <c r="F98" i="9" a="1"/>
  <c r="F98" i="9" s="1"/>
  <c r="G98" i="9" a="1"/>
  <c r="G98" i="9" s="1"/>
  <c r="H98" i="9" a="1"/>
  <c r="H98" i="9" s="1"/>
  <c r="I98" i="9" a="1"/>
  <c r="I98" i="9" s="1"/>
  <c r="J98" i="9" a="1"/>
  <c r="J98" i="9" s="1"/>
  <c r="A99" i="9" a="1"/>
  <c r="A99" i="9" s="1"/>
  <c r="B99" i="9" a="1"/>
  <c r="B99" i="9" s="1"/>
  <c r="C99" i="9" a="1"/>
  <c r="C99" i="9" s="1"/>
  <c r="D99" i="9" a="1"/>
  <c r="D99" i="9" s="1"/>
  <c r="F99" i="9" a="1"/>
  <c r="F99" i="9" s="1"/>
  <c r="G99" i="9" a="1"/>
  <c r="G99" i="9" s="1"/>
  <c r="H99" i="9" a="1"/>
  <c r="H99" i="9" s="1"/>
  <c r="I99" i="9" a="1"/>
  <c r="I99" i="9" s="1"/>
  <c r="J99" i="9" a="1"/>
  <c r="J99" i="9" s="1"/>
  <c r="A100" i="9" a="1"/>
  <c r="A100" i="9" s="1"/>
  <c r="B100" i="9" a="1"/>
  <c r="B100" i="9" s="1"/>
  <c r="C100" i="9" a="1"/>
  <c r="C100" i="9" s="1"/>
  <c r="D100" i="9" a="1"/>
  <c r="D100" i="9" s="1"/>
  <c r="F100" i="9" a="1"/>
  <c r="F100" i="9" s="1"/>
  <c r="G100" i="9" a="1"/>
  <c r="G100" i="9" s="1"/>
  <c r="H100" i="9" a="1"/>
  <c r="H100" i="9" s="1"/>
  <c r="I100" i="9" a="1"/>
  <c r="I100" i="9" s="1"/>
  <c r="J100" i="9" a="1"/>
  <c r="J100" i="9" s="1"/>
  <c r="A101" i="9" a="1"/>
  <c r="A101" i="9" s="1"/>
  <c r="B101" i="9" a="1"/>
  <c r="B101" i="9" s="1"/>
  <c r="C101" i="9" a="1"/>
  <c r="C101" i="9" s="1"/>
  <c r="D101" i="9" a="1"/>
  <c r="D101" i="9" s="1"/>
  <c r="F101" i="9" a="1"/>
  <c r="F101" i="9" s="1"/>
  <c r="G101" i="9" a="1"/>
  <c r="G101" i="9" s="1"/>
  <c r="H101" i="9" a="1"/>
  <c r="H101" i="9" s="1"/>
  <c r="I101" i="9" a="1"/>
  <c r="I101" i="9" s="1"/>
  <c r="J101" i="9" a="1"/>
  <c r="J101" i="9" s="1"/>
  <c r="A102" i="9" a="1"/>
  <c r="A102" i="9" s="1"/>
  <c r="B102" i="9" a="1"/>
  <c r="B102" i="9" s="1"/>
  <c r="C102" i="9" a="1"/>
  <c r="C102" i="9" s="1"/>
  <c r="D102" i="9" a="1"/>
  <c r="D102" i="9" s="1"/>
  <c r="F102" i="9" a="1"/>
  <c r="F102" i="9" s="1"/>
  <c r="G102" i="9" a="1"/>
  <c r="G102" i="9" s="1"/>
  <c r="H102" i="9" a="1"/>
  <c r="H102" i="9" s="1"/>
  <c r="I102" i="9" a="1"/>
  <c r="I102" i="9" s="1"/>
  <c r="J102" i="9" a="1"/>
  <c r="J102" i="9" s="1"/>
  <c r="A103" i="9" a="1"/>
  <c r="A103" i="9" s="1"/>
  <c r="B103" i="9" a="1"/>
  <c r="B103" i="9" s="1"/>
  <c r="C103" i="9" a="1"/>
  <c r="C103" i="9" s="1"/>
  <c r="D103" i="9" a="1"/>
  <c r="D103" i="9" s="1"/>
  <c r="F103" i="9" a="1"/>
  <c r="F103" i="9" s="1"/>
  <c r="G103" i="9" a="1"/>
  <c r="G103" i="9" s="1"/>
  <c r="H103" i="9" a="1"/>
  <c r="H103" i="9" s="1"/>
  <c r="I103" i="9" a="1"/>
  <c r="I103" i="9" s="1"/>
  <c r="J103" i="9" a="1"/>
  <c r="J103" i="9" s="1"/>
  <c r="A104" i="9" a="1"/>
  <c r="A104" i="9" s="1"/>
  <c r="B104" i="9" a="1"/>
  <c r="B104" i="9" s="1"/>
  <c r="C104" i="9" a="1"/>
  <c r="C104" i="9" s="1"/>
  <c r="D104" i="9" a="1"/>
  <c r="D104" i="9" s="1"/>
  <c r="F104" i="9" a="1"/>
  <c r="F104" i="9" s="1"/>
  <c r="G104" i="9" a="1"/>
  <c r="G104" i="9" s="1"/>
  <c r="H104" i="9" a="1"/>
  <c r="H104" i="9" s="1"/>
  <c r="I104" i="9" a="1"/>
  <c r="I104" i="9" s="1"/>
  <c r="J104" i="9" a="1"/>
  <c r="J104" i="9" s="1"/>
  <c r="A105" i="9" a="1"/>
  <c r="A105" i="9" s="1"/>
  <c r="B105" i="9" a="1"/>
  <c r="B105" i="9" s="1"/>
  <c r="C105" i="9" a="1"/>
  <c r="C105" i="9" s="1"/>
  <c r="D105" i="9" a="1"/>
  <c r="D105" i="9" s="1"/>
  <c r="F105" i="9" a="1"/>
  <c r="F105" i="9" s="1"/>
  <c r="G105" i="9" a="1"/>
  <c r="G105" i="9" s="1"/>
  <c r="H105" i="9" a="1"/>
  <c r="H105" i="9" s="1"/>
  <c r="I105" i="9" a="1"/>
  <c r="I105" i="9" s="1"/>
  <c r="J105" i="9" a="1"/>
  <c r="J105" i="9" s="1"/>
  <c r="A106" i="9" a="1"/>
  <c r="A106" i="9" s="1"/>
  <c r="B106" i="9" a="1"/>
  <c r="B106" i="9" s="1"/>
  <c r="C106" i="9" a="1"/>
  <c r="C106" i="9" s="1"/>
  <c r="D106" i="9" a="1"/>
  <c r="D106" i="9" s="1"/>
  <c r="F106" i="9" a="1"/>
  <c r="F106" i="9" s="1"/>
  <c r="G106" i="9" a="1"/>
  <c r="G106" i="9" s="1"/>
  <c r="H106" i="9" a="1"/>
  <c r="H106" i="9" s="1"/>
  <c r="I106" i="9" a="1"/>
  <c r="I106" i="9" s="1"/>
  <c r="J106" i="9" a="1"/>
  <c r="J106" i="9" s="1"/>
  <c r="A107" i="9" a="1"/>
  <c r="A107" i="9" s="1"/>
  <c r="B107" i="9" a="1"/>
  <c r="B107" i="9" s="1"/>
  <c r="C107" i="9" a="1"/>
  <c r="C107" i="9" s="1"/>
  <c r="D107" i="9" a="1"/>
  <c r="D107" i="9" s="1"/>
  <c r="F107" i="9" a="1"/>
  <c r="F107" i="9" s="1"/>
  <c r="G107" i="9" a="1"/>
  <c r="G107" i="9" s="1"/>
  <c r="H107" i="9" a="1"/>
  <c r="H107" i="9" s="1"/>
  <c r="I107" i="9" a="1"/>
  <c r="I107" i="9" s="1"/>
  <c r="J107" i="9" a="1"/>
  <c r="J107" i="9" s="1"/>
  <c r="A108" i="9" a="1"/>
  <c r="A108" i="9" s="1"/>
  <c r="B108" i="9" a="1"/>
  <c r="B108" i="9" s="1"/>
  <c r="C108" i="9" a="1"/>
  <c r="C108" i="9" s="1"/>
  <c r="D108" i="9" a="1"/>
  <c r="D108" i="9" s="1"/>
  <c r="F108" i="9" a="1"/>
  <c r="F108" i="9" s="1"/>
  <c r="G108" i="9" a="1"/>
  <c r="G108" i="9" s="1"/>
  <c r="H108" i="9" a="1"/>
  <c r="H108" i="9" s="1"/>
  <c r="I108" i="9" a="1"/>
  <c r="I108" i="9" s="1"/>
  <c r="J108" i="9" a="1"/>
  <c r="J108" i="9" s="1"/>
  <c r="A109" i="9" a="1"/>
  <c r="A109" i="9" s="1"/>
  <c r="B109" i="9" a="1"/>
  <c r="B109" i="9" s="1"/>
  <c r="C109" i="9" a="1"/>
  <c r="C109" i="9" s="1"/>
  <c r="D109" i="9" a="1"/>
  <c r="D109" i="9" s="1"/>
  <c r="F109" i="9" a="1"/>
  <c r="F109" i="9" s="1"/>
  <c r="G109" i="9" a="1"/>
  <c r="G109" i="9" s="1"/>
  <c r="H109" i="9" a="1"/>
  <c r="H109" i="9" s="1"/>
  <c r="I109" i="9" a="1"/>
  <c r="I109" i="9" s="1"/>
  <c r="J109" i="9" a="1"/>
  <c r="J109" i="9" s="1"/>
  <c r="A110" i="9" a="1"/>
  <c r="A110" i="9" s="1"/>
  <c r="B110" i="9" a="1"/>
  <c r="B110" i="9" s="1"/>
  <c r="C110" i="9" a="1"/>
  <c r="C110" i="9" s="1"/>
  <c r="D110" i="9" a="1"/>
  <c r="D110" i="9" s="1"/>
  <c r="F110" i="9" a="1"/>
  <c r="F110" i="9" s="1"/>
  <c r="G110" i="9" a="1"/>
  <c r="G110" i="9" s="1"/>
  <c r="H110" i="9" a="1"/>
  <c r="H110" i="9" s="1"/>
  <c r="I110" i="9" a="1"/>
  <c r="I110" i="9" s="1"/>
  <c r="J110" i="9" a="1"/>
  <c r="J110" i="9" s="1"/>
  <c r="A111" i="9" a="1"/>
  <c r="A111" i="9" s="1"/>
  <c r="B111" i="9" a="1"/>
  <c r="B111" i="9" s="1"/>
  <c r="C111" i="9" a="1"/>
  <c r="C111" i="9" s="1"/>
  <c r="D111" i="9" a="1"/>
  <c r="D111" i="9" s="1"/>
  <c r="F111" i="9" a="1"/>
  <c r="F111" i="9" s="1"/>
  <c r="G111" i="9" a="1"/>
  <c r="G111" i="9" s="1"/>
  <c r="H111" i="9" a="1"/>
  <c r="H111" i="9" s="1"/>
  <c r="I111" i="9" a="1"/>
  <c r="I111" i="9" s="1"/>
  <c r="J111" i="9" a="1"/>
  <c r="J111" i="9" s="1"/>
  <c r="A112" i="9" a="1"/>
  <c r="A112" i="9" s="1"/>
  <c r="B112" i="9" a="1"/>
  <c r="B112" i="9" s="1"/>
  <c r="C112" i="9" a="1"/>
  <c r="C112" i="9" s="1"/>
  <c r="D112" i="9" a="1"/>
  <c r="D112" i="9" s="1"/>
  <c r="F112" i="9" a="1"/>
  <c r="F112" i="9" s="1"/>
  <c r="G112" i="9" a="1"/>
  <c r="G112" i="9" s="1"/>
  <c r="H112" i="9" a="1"/>
  <c r="H112" i="9" s="1"/>
  <c r="I112" i="9" a="1"/>
  <c r="I112" i="9" s="1"/>
  <c r="J112" i="9" a="1"/>
  <c r="J112" i="9" s="1"/>
  <c r="A113" i="9" a="1"/>
  <c r="A113" i="9" s="1"/>
  <c r="B113" i="9" a="1"/>
  <c r="B113" i="9" s="1"/>
  <c r="C113" i="9" a="1"/>
  <c r="C113" i="9" s="1"/>
  <c r="D113" i="9" a="1"/>
  <c r="D113" i="9" s="1"/>
  <c r="F113" i="9" a="1"/>
  <c r="F113" i="9" s="1"/>
  <c r="G113" i="9" a="1"/>
  <c r="G113" i="9" s="1"/>
  <c r="H113" i="9" a="1"/>
  <c r="H113" i="9" s="1"/>
  <c r="I113" i="9" a="1"/>
  <c r="I113" i="9" s="1"/>
  <c r="J113" i="9" a="1"/>
  <c r="J113" i="9" s="1"/>
  <c r="A114" i="9" a="1"/>
  <c r="A114" i="9" s="1"/>
  <c r="B114" i="9" a="1"/>
  <c r="B114" i="9" s="1"/>
  <c r="C114" i="9" a="1"/>
  <c r="C114" i="9" s="1"/>
  <c r="D114" i="9" a="1"/>
  <c r="D114" i="9" s="1"/>
  <c r="F114" i="9" a="1"/>
  <c r="F114" i="9" s="1"/>
  <c r="G114" i="9" a="1"/>
  <c r="G114" i="9" s="1"/>
  <c r="H114" i="9" a="1"/>
  <c r="H114" i="9" s="1"/>
  <c r="I114" i="9" a="1"/>
  <c r="I114" i="9" s="1"/>
  <c r="J114" i="9" a="1"/>
  <c r="J114" i="9" s="1"/>
  <c r="A115" i="9" a="1"/>
  <c r="A115" i="9" s="1"/>
  <c r="B115" i="9" a="1"/>
  <c r="B115" i="9" s="1"/>
  <c r="C115" i="9" a="1"/>
  <c r="C115" i="9" s="1"/>
  <c r="D115" i="9" a="1"/>
  <c r="D115" i="9" s="1"/>
  <c r="F115" i="9" a="1"/>
  <c r="F115" i="9" s="1"/>
  <c r="G115" i="9" a="1"/>
  <c r="G115" i="9" s="1"/>
  <c r="H115" i="9" a="1"/>
  <c r="H115" i="9" s="1"/>
  <c r="I115" i="9" a="1"/>
  <c r="I115" i="9" s="1"/>
  <c r="J115" i="9" a="1"/>
  <c r="J115" i="9" s="1"/>
  <c r="A116" i="9" a="1"/>
  <c r="A116" i="9" s="1"/>
  <c r="B116" i="9" a="1"/>
  <c r="B116" i="9" s="1"/>
  <c r="C116" i="9" a="1"/>
  <c r="C116" i="9" s="1"/>
  <c r="D116" i="9" a="1"/>
  <c r="D116" i="9" s="1"/>
  <c r="F116" i="9" a="1"/>
  <c r="F116" i="9" s="1"/>
  <c r="G116" i="9" a="1"/>
  <c r="G116" i="9" s="1"/>
  <c r="H116" i="9" a="1"/>
  <c r="H116" i="9" s="1"/>
  <c r="I116" i="9" a="1"/>
  <c r="I116" i="9" s="1"/>
  <c r="J116" i="9" a="1"/>
  <c r="J116" i="9" s="1"/>
  <c r="A117" i="9" a="1"/>
  <c r="A117" i="9" s="1"/>
  <c r="B117" i="9" a="1"/>
  <c r="B117" i="9" s="1"/>
  <c r="C117" i="9" a="1"/>
  <c r="C117" i="9" s="1"/>
  <c r="D117" i="9" a="1"/>
  <c r="D117" i="9" s="1"/>
  <c r="F117" i="9" a="1"/>
  <c r="F117" i="9" s="1"/>
  <c r="G117" i="9" a="1"/>
  <c r="G117" i="9" s="1"/>
  <c r="H117" i="9" a="1"/>
  <c r="H117" i="9" s="1"/>
  <c r="I117" i="9" a="1"/>
  <c r="I117" i="9" s="1"/>
  <c r="J117" i="9" a="1"/>
  <c r="J117" i="9" s="1"/>
  <c r="A118" i="9" a="1"/>
  <c r="A118" i="9" s="1"/>
  <c r="B118" i="9" a="1"/>
  <c r="B118" i="9" s="1"/>
  <c r="C118" i="9" a="1"/>
  <c r="C118" i="9" s="1"/>
  <c r="D118" i="9" a="1"/>
  <c r="D118" i="9" s="1"/>
  <c r="F118" i="9" a="1"/>
  <c r="F118" i="9" s="1"/>
  <c r="G118" i="9" a="1"/>
  <c r="G118" i="9" s="1"/>
  <c r="H118" i="9" a="1"/>
  <c r="H118" i="9" s="1"/>
  <c r="I118" i="9" a="1"/>
  <c r="I118" i="9" s="1"/>
  <c r="J118" i="9" a="1"/>
  <c r="J118" i="9" s="1"/>
  <c r="A119" i="9" a="1"/>
  <c r="A119" i="9" s="1"/>
  <c r="B119" i="9" a="1"/>
  <c r="B119" i="9" s="1"/>
  <c r="C119" i="9" a="1"/>
  <c r="C119" i="9" s="1"/>
  <c r="D119" i="9" a="1"/>
  <c r="D119" i="9" s="1"/>
  <c r="F119" i="9" a="1"/>
  <c r="F119" i="9" s="1"/>
  <c r="G119" i="9" a="1"/>
  <c r="G119" i="9" s="1"/>
  <c r="H119" i="9" a="1"/>
  <c r="H119" i="9" s="1"/>
  <c r="I119" i="9" a="1"/>
  <c r="I119" i="9" s="1"/>
  <c r="J119" i="9" a="1"/>
  <c r="J119" i="9" s="1"/>
  <c r="A120" i="9" a="1"/>
  <c r="A120" i="9" s="1"/>
  <c r="B120" i="9" a="1"/>
  <c r="B120" i="9" s="1"/>
  <c r="C120" i="9" a="1"/>
  <c r="C120" i="9" s="1"/>
  <c r="D120" i="9" a="1"/>
  <c r="D120" i="9" s="1"/>
  <c r="F120" i="9" a="1"/>
  <c r="F120" i="9" s="1"/>
  <c r="G120" i="9" a="1"/>
  <c r="G120" i="9" s="1"/>
  <c r="H120" i="9" a="1"/>
  <c r="H120" i="9" s="1"/>
  <c r="I120" i="9" a="1"/>
  <c r="I120" i="9" s="1"/>
  <c r="J120" i="9" a="1"/>
  <c r="J120" i="9" s="1"/>
  <c r="A121" i="9" a="1"/>
  <c r="A121" i="9" s="1"/>
  <c r="B121" i="9" a="1"/>
  <c r="B121" i="9" s="1"/>
  <c r="C121" i="9" a="1"/>
  <c r="C121" i="9" s="1"/>
  <c r="D121" i="9" a="1"/>
  <c r="D121" i="9" s="1"/>
  <c r="F121" i="9" a="1"/>
  <c r="F121" i="9" s="1"/>
  <c r="G121" i="9" a="1"/>
  <c r="G121" i="9" s="1"/>
  <c r="H121" i="9" a="1"/>
  <c r="H121" i="9" s="1"/>
  <c r="I121" i="9" a="1"/>
  <c r="I121" i="9" s="1"/>
  <c r="J121" i="9" a="1"/>
  <c r="J121" i="9" s="1"/>
  <c r="A122" i="9" a="1"/>
  <c r="A122" i="9" s="1"/>
  <c r="B122" i="9" a="1"/>
  <c r="B122" i="9" s="1"/>
  <c r="C122" i="9" a="1"/>
  <c r="C122" i="9" s="1"/>
  <c r="D122" i="9" a="1"/>
  <c r="D122" i="9" s="1"/>
  <c r="F122" i="9" a="1"/>
  <c r="F122" i="9" s="1"/>
  <c r="G122" i="9" a="1"/>
  <c r="G122" i="9" s="1"/>
  <c r="H122" i="9" a="1"/>
  <c r="H122" i="9" s="1"/>
  <c r="I122" i="9" a="1"/>
  <c r="I122" i="9" s="1"/>
  <c r="J122" i="9" a="1"/>
  <c r="J122" i="9" s="1"/>
  <c r="A123" i="9" a="1"/>
  <c r="A123" i="9" s="1"/>
  <c r="B123" i="9" a="1"/>
  <c r="B123" i="9" s="1"/>
  <c r="C123" i="9" a="1"/>
  <c r="C123" i="9" s="1"/>
  <c r="D123" i="9" a="1"/>
  <c r="D123" i="9" s="1"/>
  <c r="F123" i="9" a="1"/>
  <c r="F123" i="9" s="1"/>
  <c r="G123" i="9" a="1"/>
  <c r="G123" i="9" s="1"/>
  <c r="H123" i="9" a="1"/>
  <c r="H123" i="9" s="1"/>
  <c r="I123" i="9" a="1"/>
  <c r="I123" i="9" s="1"/>
  <c r="J123" i="9" a="1"/>
  <c r="J123" i="9" s="1"/>
  <c r="A124" i="9" a="1"/>
  <c r="A124" i="9" s="1"/>
  <c r="B124" i="9" a="1"/>
  <c r="B124" i="9" s="1"/>
  <c r="C124" i="9" a="1"/>
  <c r="C124" i="9" s="1"/>
  <c r="D124" i="9" a="1"/>
  <c r="D124" i="9" s="1"/>
  <c r="F124" i="9" a="1"/>
  <c r="F124" i="9" s="1"/>
  <c r="G124" i="9" a="1"/>
  <c r="G124" i="9" s="1"/>
  <c r="H124" i="9" a="1"/>
  <c r="H124" i="9" s="1"/>
  <c r="I124" i="9" a="1"/>
  <c r="I124" i="9" s="1"/>
  <c r="J124" i="9" a="1"/>
  <c r="J124" i="9" s="1"/>
  <c r="A125" i="9" a="1"/>
  <c r="A125" i="9" s="1"/>
  <c r="B125" i="9" a="1"/>
  <c r="B125" i="9" s="1"/>
  <c r="C125" i="9" a="1"/>
  <c r="C125" i="9" s="1"/>
  <c r="D125" i="9" a="1"/>
  <c r="D125" i="9" s="1"/>
  <c r="F125" i="9" a="1"/>
  <c r="F125" i="9" s="1"/>
  <c r="G125" i="9" a="1"/>
  <c r="G125" i="9" s="1"/>
  <c r="H125" i="9" a="1"/>
  <c r="H125" i="9" s="1"/>
  <c r="I125" i="9" a="1"/>
  <c r="I125" i="9" s="1"/>
  <c r="J125" i="9" a="1"/>
  <c r="J125" i="9" s="1"/>
  <c r="A126" i="9" a="1"/>
  <c r="A126" i="9" s="1"/>
  <c r="B126" i="9" a="1"/>
  <c r="B126" i="9" s="1"/>
  <c r="C126" i="9" a="1"/>
  <c r="C126" i="9" s="1"/>
  <c r="D126" i="9" a="1"/>
  <c r="D126" i="9" s="1"/>
  <c r="F126" i="9" a="1"/>
  <c r="F126" i="9" s="1"/>
  <c r="G126" i="9" a="1"/>
  <c r="G126" i="9" s="1"/>
  <c r="H126" i="9" a="1"/>
  <c r="H126" i="9" s="1"/>
  <c r="I126" i="9" a="1"/>
  <c r="I126" i="9" s="1"/>
  <c r="J126" i="9" a="1"/>
  <c r="J126" i="9" s="1"/>
  <c r="A127" i="9" a="1"/>
  <c r="A127" i="9" s="1"/>
  <c r="B127" i="9" a="1"/>
  <c r="B127" i="9" s="1"/>
  <c r="C127" i="9" a="1"/>
  <c r="C127" i="9" s="1"/>
  <c r="D127" i="9" a="1"/>
  <c r="D127" i="9" s="1"/>
  <c r="F127" i="9" a="1"/>
  <c r="F127" i="9" s="1"/>
  <c r="G127" i="9" a="1"/>
  <c r="G127" i="9" s="1"/>
  <c r="H127" i="9" a="1"/>
  <c r="H127" i="9" s="1"/>
  <c r="I127" i="9" a="1"/>
  <c r="I127" i="9" s="1"/>
  <c r="J127" i="9" a="1"/>
  <c r="J127" i="9" s="1"/>
  <c r="A128" i="9" a="1"/>
  <c r="A128" i="9" s="1"/>
  <c r="B128" i="9" a="1"/>
  <c r="B128" i="9" s="1"/>
  <c r="C128" i="9" a="1"/>
  <c r="C128" i="9" s="1"/>
  <c r="D128" i="9" a="1"/>
  <c r="D128" i="9" s="1"/>
  <c r="F128" i="9" a="1"/>
  <c r="F128" i="9" s="1"/>
  <c r="G128" i="9" a="1"/>
  <c r="G128" i="9" s="1"/>
  <c r="H128" i="9" a="1"/>
  <c r="H128" i="9" s="1"/>
  <c r="I128" i="9" a="1"/>
  <c r="I128" i="9" s="1"/>
  <c r="J128" i="9" a="1"/>
  <c r="J128" i="9" s="1"/>
  <c r="A129" i="9" a="1"/>
  <c r="A129" i="9" s="1"/>
  <c r="B129" i="9" a="1"/>
  <c r="B129" i="9" s="1"/>
  <c r="C129" i="9" a="1"/>
  <c r="C129" i="9" s="1"/>
  <c r="D129" i="9" a="1"/>
  <c r="D129" i="9" s="1"/>
  <c r="F129" i="9" a="1"/>
  <c r="F129" i="9" s="1"/>
  <c r="G129" i="9" a="1"/>
  <c r="G129" i="9" s="1"/>
  <c r="H129" i="9" a="1"/>
  <c r="H129" i="9" s="1"/>
  <c r="I129" i="9" a="1"/>
  <c r="I129" i="9" s="1"/>
  <c r="J129" i="9" a="1"/>
  <c r="J129" i="9" s="1"/>
  <c r="A130" i="9" a="1"/>
  <c r="A130" i="9" s="1"/>
  <c r="B130" i="9" a="1"/>
  <c r="B130" i="9" s="1"/>
  <c r="C130" i="9" a="1"/>
  <c r="C130" i="9" s="1"/>
  <c r="D130" i="9" a="1"/>
  <c r="D130" i="9" s="1"/>
  <c r="F130" i="9" a="1"/>
  <c r="F130" i="9" s="1"/>
  <c r="G130" i="9" a="1"/>
  <c r="G130" i="9" s="1"/>
  <c r="H130" i="9" a="1"/>
  <c r="H130" i="9" s="1"/>
  <c r="I130" i="9" a="1"/>
  <c r="I130" i="9" s="1"/>
  <c r="J130" i="9" a="1"/>
  <c r="J130" i="9" s="1"/>
  <c r="A131" i="9" a="1"/>
  <c r="A131" i="9" s="1"/>
  <c r="B131" i="9" a="1"/>
  <c r="B131" i="9" s="1"/>
  <c r="C131" i="9" a="1"/>
  <c r="C131" i="9" s="1"/>
  <c r="D131" i="9" a="1"/>
  <c r="D131" i="9" s="1"/>
  <c r="F131" i="9" a="1"/>
  <c r="F131" i="9" s="1"/>
  <c r="G131" i="9" a="1"/>
  <c r="G131" i="9" s="1"/>
  <c r="H131" i="9" a="1"/>
  <c r="H131" i="9" s="1"/>
  <c r="I131" i="9" a="1"/>
  <c r="I131" i="9" s="1"/>
  <c r="J131" i="9" a="1"/>
  <c r="J131" i="9" s="1"/>
  <c r="A132" i="9" a="1"/>
  <c r="A132" i="9" s="1"/>
  <c r="B132" i="9" a="1"/>
  <c r="B132" i="9" s="1"/>
  <c r="C132" i="9" a="1"/>
  <c r="C132" i="9" s="1"/>
  <c r="D132" i="9" a="1"/>
  <c r="D132" i="9" s="1"/>
  <c r="F132" i="9" a="1"/>
  <c r="F132" i="9" s="1"/>
  <c r="G132" i="9" a="1"/>
  <c r="G132" i="9" s="1"/>
  <c r="H132" i="9" a="1"/>
  <c r="H132" i="9" s="1"/>
  <c r="I132" i="9" a="1"/>
  <c r="I132" i="9" s="1"/>
  <c r="J132" i="9" a="1"/>
  <c r="J132" i="9" s="1"/>
  <c r="A133" i="9" a="1"/>
  <c r="A133" i="9" s="1"/>
  <c r="B133" i="9" a="1"/>
  <c r="B133" i="9" s="1"/>
  <c r="C133" i="9" a="1"/>
  <c r="C133" i="9" s="1"/>
  <c r="D133" i="9" a="1"/>
  <c r="D133" i="9" s="1"/>
  <c r="F133" i="9" a="1"/>
  <c r="F133" i="9" s="1"/>
  <c r="G133" i="9" a="1"/>
  <c r="G133" i="9" s="1"/>
  <c r="H133" i="9" a="1"/>
  <c r="H133" i="9" s="1"/>
  <c r="I133" i="9" a="1"/>
  <c r="I133" i="9" s="1"/>
  <c r="J133" i="9" a="1"/>
  <c r="J133" i="9" s="1"/>
  <c r="A134" i="9" a="1"/>
  <c r="A134" i="9" s="1"/>
  <c r="B134" i="9" a="1"/>
  <c r="B134" i="9" s="1"/>
  <c r="C134" i="9" a="1"/>
  <c r="C134" i="9" s="1"/>
  <c r="D134" i="9" a="1"/>
  <c r="D134" i="9" s="1"/>
  <c r="F134" i="9" a="1"/>
  <c r="F134" i="9" s="1"/>
  <c r="G134" i="9" a="1"/>
  <c r="G134" i="9" s="1"/>
  <c r="H134" i="9" a="1"/>
  <c r="H134" i="9" s="1"/>
  <c r="I134" i="9" a="1"/>
  <c r="I134" i="9" s="1"/>
  <c r="J134" i="9" a="1"/>
  <c r="J134" i="9" s="1"/>
  <c r="A135" i="9" a="1"/>
  <c r="A135" i="9" s="1"/>
  <c r="B135" i="9" a="1"/>
  <c r="B135" i="9" s="1"/>
  <c r="C135" i="9" a="1"/>
  <c r="C135" i="9" s="1"/>
  <c r="D135" i="9" a="1"/>
  <c r="D135" i="9" s="1"/>
  <c r="F135" i="9" a="1"/>
  <c r="F135" i="9" s="1"/>
  <c r="G135" i="9" a="1"/>
  <c r="G135" i="9" s="1"/>
  <c r="H135" i="9" a="1"/>
  <c r="H135" i="9" s="1"/>
  <c r="I135" i="9" a="1"/>
  <c r="I135" i="9" s="1"/>
  <c r="J135" i="9" a="1"/>
  <c r="J135" i="9" s="1"/>
  <c r="A136" i="9" a="1"/>
  <c r="A136" i="9" s="1"/>
  <c r="B136" i="9" a="1"/>
  <c r="B136" i="9" s="1"/>
  <c r="C136" i="9" a="1"/>
  <c r="C136" i="9" s="1"/>
  <c r="D136" i="9" a="1"/>
  <c r="D136" i="9" s="1"/>
  <c r="F136" i="9" a="1"/>
  <c r="F136" i="9" s="1"/>
  <c r="G136" i="9" a="1"/>
  <c r="G136" i="9" s="1"/>
  <c r="H136" i="9" a="1"/>
  <c r="H136" i="9" s="1"/>
  <c r="I136" i="9" a="1"/>
  <c r="I136" i="9" s="1"/>
  <c r="J136" i="9" a="1"/>
  <c r="J136" i="9" s="1"/>
  <c r="A137" i="9" a="1"/>
  <c r="A137" i="9" s="1"/>
  <c r="B137" i="9" a="1"/>
  <c r="B137" i="9" s="1"/>
  <c r="C137" i="9" a="1"/>
  <c r="C137" i="9" s="1"/>
  <c r="D137" i="9" a="1"/>
  <c r="D137" i="9" s="1"/>
  <c r="F137" i="9" a="1"/>
  <c r="F137" i="9" s="1"/>
  <c r="G137" i="9" a="1"/>
  <c r="G137" i="9" s="1"/>
  <c r="H137" i="9" a="1"/>
  <c r="H137" i="9" s="1"/>
  <c r="I137" i="9" a="1"/>
  <c r="I137" i="9" s="1"/>
  <c r="J137" i="9" a="1"/>
  <c r="J137" i="9" s="1"/>
  <c r="A138" i="9" a="1"/>
  <c r="A138" i="9" s="1"/>
  <c r="B138" i="9" a="1"/>
  <c r="B138" i="9" s="1"/>
  <c r="C138" i="9" a="1"/>
  <c r="C138" i="9" s="1"/>
  <c r="D138" i="9" a="1"/>
  <c r="D138" i="9" s="1"/>
  <c r="F138" i="9" a="1"/>
  <c r="F138" i="9" s="1"/>
  <c r="G138" i="9" a="1"/>
  <c r="G138" i="9" s="1"/>
  <c r="H138" i="9" a="1"/>
  <c r="H138" i="9" s="1"/>
  <c r="I138" i="9" a="1"/>
  <c r="I138" i="9" s="1"/>
  <c r="J138" i="9" a="1"/>
  <c r="J138" i="9" s="1"/>
  <c r="A139" i="9" a="1"/>
  <c r="A139" i="9" s="1"/>
  <c r="B139" i="9" a="1"/>
  <c r="B139" i="9" s="1"/>
  <c r="C139" i="9" a="1"/>
  <c r="C139" i="9" s="1"/>
  <c r="D139" i="9" a="1"/>
  <c r="D139" i="9" s="1"/>
  <c r="F139" i="9" a="1"/>
  <c r="F139" i="9" s="1"/>
  <c r="G139" i="9" a="1"/>
  <c r="G139" i="9" s="1"/>
  <c r="H139" i="9" a="1"/>
  <c r="H139" i="9" s="1"/>
  <c r="I139" i="9" a="1"/>
  <c r="I139" i="9" s="1"/>
  <c r="J139" i="9" a="1"/>
  <c r="J139" i="9" s="1"/>
  <c r="A140" i="9" a="1"/>
  <c r="A140" i="9" s="1"/>
  <c r="B140" i="9" a="1"/>
  <c r="B140" i="9" s="1"/>
  <c r="C140" i="9" a="1"/>
  <c r="C140" i="9" s="1"/>
  <c r="D140" i="9" a="1"/>
  <c r="D140" i="9" s="1"/>
  <c r="F140" i="9" a="1"/>
  <c r="F140" i="9" s="1"/>
  <c r="G140" i="9" a="1"/>
  <c r="G140" i="9" s="1"/>
  <c r="H140" i="9" a="1"/>
  <c r="H140" i="9" s="1"/>
  <c r="I140" i="9" a="1"/>
  <c r="I140" i="9" s="1"/>
  <c r="J140" i="9" a="1"/>
  <c r="J140" i="9" s="1"/>
  <c r="A141" i="9" a="1"/>
  <c r="A141" i="9" s="1"/>
  <c r="B141" i="9" a="1"/>
  <c r="B141" i="9" s="1"/>
  <c r="C141" i="9" a="1"/>
  <c r="C141" i="9" s="1"/>
  <c r="D141" i="9" a="1"/>
  <c r="D141" i="9" s="1"/>
  <c r="F141" i="9" a="1"/>
  <c r="F141" i="9" s="1"/>
  <c r="G141" i="9" a="1"/>
  <c r="G141" i="9" s="1"/>
  <c r="H141" i="9" a="1"/>
  <c r="H141" i="9" s="1"/>
  <c r="I141" i="9" a="1"/>
  <c r="I141" i="9" s="1"/>
  <c r="J141" i="9" a="1"/>
  <c r="J141" i="9" s="1"/>
  <c r="A142" i="9" a="1"/>
  <c r="A142" i="9" s="1"/>
  <c r="B142" i="9" a="1"/>
  <c r="B142" i="9" s="1"/>
  <c r="C142" i="9" a="1"/>
  <c r="C142" i="9" s="1"/>
  <c r="D142" i="9" a="1"/>
  <c r="D142" i="9" s="1"/>
  <c r="F142" i="9" a="1"/>
  <c r="F142" i="9" s="1"/>
  <c r="G142" i="9" a="1"/>
  <c r="G142" i="9" s="1"/>
  <c r="H142" i="9" a="1"/>
  <c r="H142" i="9" s="1"/>
  <c r="I142" i="9" a="1"/>
  <c r="I142" i="9" s="1"/>
  <c r="J142" i="9" a="1"/>
  <c r="J142" i="9" s="1"/>
  <c r="A143" i="9" a="1"/>
  <c r="A143" i="9" s="1"/>
  <c r="B143" i="9" a="1"/>
  <c r="B143" i="9" s="1"/>
  <c r="C143" i="9" a="1"/>
  <c r="C143" i="9" s="1"/>
  <c r="D143" i="9" a="1"/>
  <c r="D143" i="9" s="1"/>
  <c r="F143" i="9" a="1"/>
  <c r="F143" i="9" s="1"/>
  <c r="G143" i="9" a="1"/>
  <c r="G143" i="9" s="1"/>
  <c r="H143" i="9" a="1"/>
  <c r="H143" i="9" s="1"/>
  <c r="I143" i="9" a="1"/>
  <c r="I143" i="9" s="1"/>
  <c r="J143" i="9" a="1"/>
  <c r="J143" i="9" s="1"/>
  <c r="A144" i="9" a="1"/>
  <c r="A144" i="9" s="1"/>
  <c r="B144" i="9" a="1"/>
  <c r="B144" i="9" s="1"/>
  <c r="C144" i="9" a="1"/>
  <c r="C144" i="9" s="1"/>
  <c r="D144" i="9" a="1"/>
  <c r="D144" i="9" s="1"/>
  <c r="F144" i="9" a="1"/>
  <c r="F144" i="9" s="1"/>
  <c r="G144" i="9" a="1"/>
  <c r="G144" i="9" s="1"/>
  <c r="H144" i="9" a="1"/>
  <c r="H144" i="9" s="1"/>
  <c r="I144" i="9" a="1"/>
  <c r="I144" i="9" s="1"/>
  <c r="J144" i="9" a="1"/>
  <c r="J144" i="9" s="1"/>
  <c r="A145" i="9" a="1"/>
  <c r="A145" i="9" s="1"/>
  <c r="B145" i="9" a="1"/>
  <c r="B145" i="9" s="1"/>
  <c r="C145" i="9" a="1"/>
  <c r="C145" i="9" s="1"/>
  <c r="D145" i="9" a="1"/>
  <c r="D145" i="9" s="1"/>
  <c r="F145" i="9" a="1"/>
  <c r="F145" i="9" s="1"/>
  <c r="G145" i="9" a="1"/>
  <c r="G145" i="9" s="1"/>
  <c r="H145" i="9" a="1"/>
  <c r="H145" i="9" s="1"/>
  <c r="I145" i="9" a="1"/>
  <c r="I145" i="9" s="1"/>
  <c r="J145" i="9" a="1"/>
  <c r="J145" i="9" s="1"/>
  <c r="A146" i="9" a="1"/>
  <c r="A146" i="9" s="1"/>
  <c r="B146" i="9" a="1"/>
  <c r="B146" i="9" s="1"/>
  <c r="C146" i="9" a="1"/>
  <c r="C146" i="9" s="1"/>
  <c r="D146" i="9" a="1"/>
  <c r="D146" i="9" s="1"/>
  <c r="F146" i="9" a="1"/>
  <c r="F146" i="9" s="1"/>
  <c r="G146" i="9" a="1"/>
  <c r="G146" i="9" s="1"/>
  <c r="H146" i="9" a="1"/>
  <c r="H146" i="9" s="1"/>
  <c r="I146" i="9" a="1"/>
  <c r="I146" i="9" s="1"/>
  <c r="J146" i="9" a="1"/>
  <c r="J146" i="9" s="1"/>
  <c r="A147" i="9" a="1"/>
  <c r="A147" i="9" s="1"/>
  <c r="B147" i="9" a="1"/>
  <c r="B147" i="9" s="1"/>
  <c r="C147" i="9" a="1"/>
  <c r="C147" i="9" s="1"/>
  <c r="D147" i="9" a="1"/>
  <c r="D147" i="9" s="1"/>
  <c r="F147" i="9" a="1"/>
  <c r="F147" i="9" s="1"/>
  <c r="G147" i="9" a="1"/>
  <c r="G147" i="9" s="1"/>
  <c r="H147" i="9" a="1"/>
  <c r="H147" i="9" s="1"/>
  <c r="I147" i="9" a="1"/>
  <c r="I147" i="9" s="1"/>
  <c r="J147" i="9" a="1"/>
  <c r="J147" i="9" s="1"/>
  <c r="A148" i="9" a="1"/>
  <c r="A148" i="9" s="1"/>
  <c r="B148" i="9" a="1"/>
  <c r="B148" i="9" s="1"/>
  <c r="C148" i="9" a="1"/>
  <c r="C148" i="9" s="1"/>
  <c r="D148" i="9" a="1"/>
  <c r="D148" i="9" s="1"/>
  <c r="F148" i="9" a="1"/>
  <c r="F148" i="9" s="1"/>
  <c r="G148" i="9" a="1"/>
  <c r="G148" i="9" s="1"/>
  <c r="H148" i="9" a="1"/>
  <c r="H148" i="9" s="1"/>
  <c r="I148" i="9" a="1"/>
  <c r="I148" i="9" s="1"/>
  <c r="J148" i="9" a="1"/>
  <c r="J148" i="9" s="1"/>
  <c r="A149" i="9" a="1"/>
  <c r="A149" i="9" s="1"/>
  <c r="B149" i="9" a="1"/>
  <c r="B149" i="9" s="1"/>
  <c r="C149" i="9" a="1"/>
  <c r="C149" i="9" s="1"/>
  <c r="D149" i="9" a="1"/>
  <c r="D149" i="9" s="1"/>
  <c r="F149" i="9" a="1"/>
  <c r="F149" i="9" s="1"/>
  <c r="G149" i="9" a="1"/>
  <c r="G149" i="9" s="1"/>
  <c r="H149" i="9" a="1"/>
  <c r="H149" i="9" s="1"/>
  <c r="I149" i="9" a="1"/>
  <c r="I149" i="9" s="1"/>
  <c r="J149" i="9" a="1"/>
  <c r="J149" i="9" s="1"/>
  <c r="A150" i="9" a="1"/>
  <c r="A150" i="9" s="1"/>
  <c r="B150" i="9" a="1"/>
  <c r="B150" i="9" s="1"/>
  <c r="C150" i="9" a="1"/>
  <c r="C150" i="9" s="1"/>
  <c r="D150" i="9" a="1"/>
  <c r="D150" i="9" s="1"/>
  <c r="F150" i="9" a="1"/>
  <c r="F150" i="9" s="1"/>
  <c r="G150" i="9" a="1"/>
  <c r="G150" i="9" s="1"/>
  <c r="H150" i="9" a="1"/>
  <c r="H150" i="9" s="1"/>
  <c r="I150" i="9" a="1"/>
  <c r="I150" i="9" s="1"/>
  <c r="J150" i="9" a="1"/>
  <c r="J150" i="9" s="1"/>
  <c r="A151" i="9" a="1"/>
  <c r="A151" i="9" s="1"/>
  <c r="B151" i="9" a="1"/>
  <c r="B151" i="9" s="1"/>
  <c r="C151" i="9" a="1"/>
  <c r="C151" i="9" s="1"/>
  <c r="D151" i="9" a="1"/>
  <c r="D151" i="9" s="1"/>
  <c r="F151" i="9" a="1"/>
  <c r="F151" i="9" s="1"/>
  <c r="G151" i="9" a="1"/>
  <c r="G151" i="9" s="1"/>
  <c r="H151" i="9" a="1"/>
  <c r="H151" i="9" s="1"/>
  <c r="I151" i="9" a="1"/>
  <c r="I151" i="9" s="1"/>
  <c r="J151" i="9" a="1"/>
  <c r="J151" i="9" s="1"/>
  <c r="A152" i="9" a="1"/>
  <c r="A152" i="9" s="1"/>
  <c r="B152" i="9" a="1"/>
  <c r="B152" i="9" s="1"/>
  <c r="C152" i="9" a="1"/>
  <c r="C152" i="9" s="1"/>
  <c r="D152" i="9" a="1"/>
  <c r="D152" i="9" s="1"/>
  <c r="F152" i="9" a="1"/>
  <c r="F152" i="9" s="1"/>
  <c r="G152" i="9" a="1"/>
  <c r="G152" i="9" s="1"/>
  <c r="H152" i="9" a="1"/>
  <c r="H152" i="9" s="1"/>
  <c r="I152" i="9" a="1"/>
  <c r="I152" i="9" s="1"/>
  <c r="J152" i="9" a="1"/>
  <c r="J152" i="9" s="1"/>
  <c r="A153" i="9" a="1"/>
  <c r="A153" i="9" s="1"/>
  <c r="B153" i="9" a="1"/>
  <c r="B153" i="9" s="1"/>
  <c r="C153" i="9" a="1"/>
  <c r="C153" i="9" s="1"/>
  <c r="D153" i="9" a="1"/>
  <c r="D153" i="9" s="1"/>
  <c r="F153" i="9" a="1"/>
  <c r="F153" i="9" s="1"/>
  <c r="G153" i="9" a="1"/>
  <c r="G153" i="9" s="1"/>
  <c r="H153" i="9" a="1"/>
  <c r="H153" i="9" s="1"/>
  <c r="I153" i="9" a="1"/>
  <c r="I153" i="9" s="1"/>
  <c r="J153" i="9" a="1"/>
  <c r="J153" i="9" s="1"/>
  <c r="A154" i="9" a="1"/>
  <c r="A154" i="9" s="1"/>
  <c r="B154" i="9" a="1"/>
  <c r="B154" i="9" s="1"/>
  <c r="C154" i="9" a="1"/>
  <c r="C154" i="9" s="1"/>
  <c r="D154" i="9" a="1"/>
  <c r="D154" i="9" s="1"/>
  <c r="F154" i="9" a="1"/>
  <c r="F154" i="9" s="1"/>
  <c r="G154" i="9" a="1"/>
  <c r="G154" i="9" s="1"/>
  <c r="H154" i="9" a="1"/>
  <c r="H154" i="9" s="1"/>
  <c r="I154" i="9" a="1"/>
  <c r="I154" i="9" s="1"/>
  <c r="J154" i="9" a="1"/>
  <c r="J154" i="9" s="1"/>
  <c r="A155" i="9" a="1"/>
  <c r="A155" i="9" s="1"/>
  <c r="B155" i="9" a="1"/>
  <c r="B155" i="9" s="1"/>
  <c r="C155" i="9" a="1"/>
  <c r="C155" i="9" s="1"/>
  <c r="D155" i="9" a="1"/>
  <c r="D155" i="9" s="1"/>
  <c r="F155" i="9" a="1"/>
  <c r="F155" i="9" s="1"/>
  <c r="G155" i="9" a="1"/>
  <c r="G155" i="9" s="1"/>
  <c r="H155" i="9" a="1"/>
  <c r="H155" i="9" s="1"/>
  <c r="I155" i="9" a="1"/>
  <c r="I155" i="9" s="1"/>
  <c r="J155" i="9" a="1"/>
  <c r="J155" i="9" s="1"/>
  <c r="A156" i="9" a="1"/>
  <c r="A156" i="9" s="1"/>
  <c r="B156" i="9" a="1"/>
  <c r="B156" i="9" s="1"/>
  <c r="C156" i="9" a="1"/>
  <c r="C156" i="9" s="1"/>
  <c r="D156" i="9" a="1"/>
  <c r="D156" i="9" s="1"/>
  <c r="F156" i="9" a="1"/>
  <c r="F156" i="9" s="1"/>
  <c r="G156" i="9" a="1"/>
  <c r="G156" i="9" s="1"/>
  <c r="H156" i="9" a="1"/>
  <c r="H156" i="9" s="1"/>
  <c r="I156" i="9" a="1"/>
  <c r="I156" i="9" s="1"/>
  <c r="J156" i="9" a="1"/>
  <c r="J156" i="9" s="1"/>
  <c r="A157" i="9" a="1"/>
  <c r="A157" i="9" s="1"/>
  <c r="B157" i="9" a="1"/>
  <c r="B157" i="9" s="1"/>
  <c r="C157" i="9" a="1"/>
  <c r="C157" i="9" s="1"/>
  <c r="D157" i="9" a="1"/>
  <c r="D157" i="9" s="1"/>
  <c r="F157" i="9" a="1"/>
  <c r="F157" i="9" s="1"/>
  <c r="G157" i="9" a="1"/>
  <c r="G157" i="9" s="1"/>
  <c r="H157" i="9" a="1"/>
  <c r="H157" i="9" s="1"/>
  <c r="I157" i="9" a="1"/>
  <c r="I157" i="9" s="1"/>
  <c r="J157" i="9" a="1"/>
  <c r="J157" i="9" s="1"/>
  <c r="A158" i="9" a="1"/>
  <c r="A158" i="9" s="1"/>
  <c r="B158" i="9" a="1"/>
  <c r="B158" i="9" s="1"/>
  <c r="C158" i="9" a="1"/>
  <c r="C158" i="9" s="1"/>
  <c r="D158" i="9" a="1"/>
  <c r="D158" i="9" s="1"/>
  <c r="F158" i="9" a="1"/>
  <c r="F158" i="9" s="1"/>
  <c r="G158" i="9" a="1"/>
  <c r="G158" i="9" s="1"/>
  <c r="H158" i="9" a="1"/>
  <c r="H158" i="9" s="1"/>
  <c r="I158" i="9" a="1"/>
  <c r="I158" i="9" s="1"/>
  <c r="J158" i="9" a="1"/>
  <c r="J158" i="9" s="1"/>
  <c r="A159" i="9" a="1"/>
  <c r="A159" i="9" s="1"/>
  <c r="B159" i="9" a="1"/>
  <c r="B159" i="9" s="1"/>
  <c r="C159" i="9" a="1"/>
  <c r="C159" i="9" s="1"/>
  <c r="D159" i="9" a="1"/>
  <c r="D159" i="9" s="1"/>
  <c r="F159" i="9" a="1"/>
  <c r="F159" i="9" s="1"/>
  <c r="G159" i="9" a="1"/>
  <c r="G159" i="9" s="1"/>
  <c r="H159" i="9" a="1"/>
  <c r="H159" i="9" s="1"/>
  <c r="I159" i="9" a="1"/>
  <c r="I159" i="9" s="1"/>
  <c r="J159" i="9" a="1"/>
  <c r="J159" i="9" s="1"/>
  <c r="A160" i="9" a="1"/>
  <c r="A160" i="9" s="1"/>
  <c r="B160" i="9" a="1"/>
  <c r="B160" i="9" s="1"/>
  <c r="C160" i="9" a="1"/>
  <c r="C160" i="9" s="1"/>
  <c r="D160" i="9" a="1"/>
  <c r="D160" i="9" s="1"/>
  <c r="F160" i="9" a="1"/>
  <c r="F160" i="9" s="1"/>
  <c r="G160" i="9" a="1"/>
  <c r="G160" i="9" s="1"/>
  <c r="H160" i="9" a="1"/>
  <c r="H160" i="9" s="1"/>
  <c r="I160" i="9" a="1"/>
  <c r="I160" i="9" s="1"/>
  <c r="J160" i="9" a="1"/>
  <c r="J160" i="9" s="1"/>
  <c r="A161" i="9" a="1"/>
  <c r="A161" i="9" s="1"/>
  <c r="B161" i="9" a="1"/>
  <c r="B161" i="9" s="1"/>
  <c r="C161" i="9" a="1"/>
  <c r="C161" i="9" s="1"/>
  <c r="D161" i="9" a="1"/>
  <c r="D161" i="9" s="1"/>
  <c r="F161" i="9" a="1"/>
  <c r="F161" i="9" s="1"/>
  <c r="G161" i="9" a="1"/>
  <c r="G161" i="9" s="1"/>
  <c r="H161" i="9" a="1"/>
  <c r="H161" i="9" s="1"/>
  <c r="I161" i="9" a="1"/>
  <c r="I161" i="9" s="1"/>
  <c r="J161" i="9" a="1"/>
  <c r="J161" i="9" s="1"/>
  <c r="A162" i="9" a="1"/>
  <c r="A162" i="9" s="1"/>
  <c r="B162" i="9" a="1"/>
  <c r="B162" i="9" s="1"/>
  <c r="C162" i="9" a="1"/>
  <c r="C162" i="9" s="1"/>
  <c r="D162" i="9" a="1"/>
  <c r="D162" i="9" s="1"/>
  <c r="F162" i="9" a="1"/>
  <c r="F162" i="9" s="1"/>
  <c r="G162" i="9" a="1"/>
  <c r="G162" i="9" s="1"/>
  <c r="H162" i="9" a="1"/>
  <c r="H162" i="9" s="1"/>
  <c r="I162" i="9" a="1"/>
  <c r="I162" i="9" s="1"/>
  <c r="J162" i="9" a="1"/>
  <c r="J162" i="9" s="1"/>
  <c r="A163" i="9" a="1"/>
  <c r="A163" i="9" s="1"/>
  <c r="B163" i="9" a="1"/>
  <c r="B163" i="9" s="1"/>
  <c r="C163" i="9" a="1"/>
  <c r="C163" i="9" s="1"/>
  <c r="D163" i="9" a="1"/>
  <c r="D163" i="9" s="1"/>
  <c r="F163" i="9" a="1"/>
  <c r="F163" i="9" s="1"/>
  <c r="G163" i="9" a="1"/>
  <c r="G163" i="9" s="1"/>
  <c r="H163" i="9" a="1"/>
  <c r="H163" i="9" s="1"/>
  <c r="I163" i="9" a="1"/>
  <c r="I163" i="9" s="1"/>
  <c r="J163" i="9" a="1"/>
  <c r="J163" i="9" s="1"/>
  <c r="A164" i="9" a="1"/>
  <c r="A164" i="9" s="1"/>
  <c r="B164" i="9" a="1"/>
  <c r="B164" i="9" s="1"/>
  <c r="C164" i="9" a="1"/>
  <c r="C164" i="9" s="1"/>
  <c r="D164" i="9" a="1"/>
  <c r="D164" i="9" s="1"/>
  <c r="F164" i="9" a="1"/>
  <c r="F164" i="9" s="1"/>
  <c r="G164" i="9" a="1"/>
  <c r="G164" i="9" s="1"/>
  <c r="H164" i="9" a="1"/>
  <c r="H164" i="9" s="1"/>
  <c r="I164" i="9" a="1"/>
  <c r="I164" i="9" s="1"/>
  <c r="J164" i="9" a="1"/>
  <c r="J164" i="9" s="1"/>
  <c r="A165" i="9" a="1"/>
  <c r="A165" i="9" s="1"/>
  <c r="B165" i="9" a="1"/>
  <c r="B165" i="9" s="1"/>
  <c r="C165" i="9" a="1"/>
  <c r="C165" i="9" s="1"/>
  <c r="D165" i="9" a="1"/>
  <c r="D165" i="9" s="1"/>
  <c r="F165" i="9" a="1"/>
  <c r="F165" i="9" s="1"/>
  <c r="G165" i="9" a="1"/>
  <c r="G165" i="9" s="1"/>
  <c r="H165" i="9" a="1"/>
  <c r="H165" i="9" s="1"/>
  <c r="I165" i="9" a="1"/>
  <c r="I165" i="9" s="1"/>
  <c r="J165" i="9" a="1"/>
  <c r="J165" i="9" s="1"/>
  <c r="A166" i="9" a="1"/>
  <c r="A166" i="9" s="1"/>
  <c r="B166" i="9" a="1"/>
  <c r="B166" i="9" s="1"/>
  <c r="C166" i="9" a="1"/>
  <c r="C166" i="9" s="1"/>
  <c r="D166" i="9" a="1"/>
  <c r="D166" i="9" s="1"/>
  <c r="F166" i="9" a="1"/>
  <c r="F166" i="9" s="1"/>
  <c r="G166" i="9" a="1"/>
  <c r="G166" i="9" s="1"/>
  <c r="H166" i="9" a="1"/>
  <c r="H166" i="9" s="1"/>
  <c r="I166" i="9" a="1"/>
  <c r="I166" i="9" s="1"/>
  <c r="J166" i="9" a="1"/>
  <c r="J166" i="9" s="1"/>
  <c r="A167" i="9" a="1"/>
  <c r="A167" i="9" s="1"/>
  <c r="B167" i="9" a="1"/>
  <c r="B167" i="9" s="1"/>
  <c r="C167" i="9" a="1"/>
  <c r="C167" i="9" s="1"/>
  <c r="D167" i="9" a="1"/>
  <c r="D167" i="9" s="1"/>
  <c r="F167" i="9" a="1"/>
  <c r="F167" i="9" s="1"/>
  <c r="G167" i="9" a="1"/>
  <c r="G167" i="9" s="1"/>
  <c r="H167" i="9" a="1"/>
  <c r="H167" i="9" s="1"/>
  <c r="I167" i="9" a="1"/>
  <c r="I167" i="9" s="1"/>
  <c r="J167" i="9" a="1"/>
  <c r="J167" i="9" s="1"/>
  <c r="A168" i="9" a="1"/>
  <c r="A168" i="9" s="1"/>
  <c r="B168" i="9" a="1"/>
  <c r="B168" i="9" s="1"/>
  <c r="C168" i="9" a="1"/>
  <c r="C168" i="9" s="1"/>
  <c r="D168" i="9" a="1"/>
  <c r="D168" i="9" s="1"/>
  <c r="F168" i="9" a="1"/>
  <c r="F168" i="9" s="1"/>
  <c r="G168" i="9" a="1"/>
  <c r="G168" i="9" s="1"/>
  <c r="H168" i="9" a="1"/>
  <c r="H168" i="9" s="1"/>
  <c r="I168" i="9" a="1"/>
  <c r="I168" i="9" s="1"/>
  <c r="J168" i="9" a="1"/>
  <c r="J168" i="9" s="1"/>
  <c r="A169" i="9" a="1"/>
  <c r="A169" i="9" s="1"/>
  <c r="B169" i="9" a="1"/>
  <c r="B169" i="9" s="1"/>
  <c r="C169" i="9" a="1"/>
  <c r="C169" i="9" s="1"/>
  <c r="D169" i="9" a="1"/>
  <c r="D169" i="9" s="1"/>
  <c r="F169" i="9" a="1"/>
  <c r="F169" i="9" s="1"/>
  <c r="G169" i="9" a="1"/>
  <c r="G169" i="9" s="1"/>
  <c r="H169" i="9" a="1"/>
  <c r="H169" i="9" s="1"/>
  <c r="I169" i="9" a="1"/>
  <c r="I169" i="9" s="1"/>
  <c r="J169" i="9" a="1"/>
  <c r="J169" i="9" s="1"/>
  <c r="A170" i="9" a="1"/>
  <c r="A170" i="9" s="1"/>
  <c r="B170" i="9" a="1"/>
  <c r="B170" i="9" s="1"/>
  <c r="C170" i="9" a="1"/>
  <c r="C170" i="9" s="1"/>
  <c r="D170" i="9" a="1"/>
  <c r="D170" i="9" s="1"/>
  <c r="F170" i="9" a="1"/>
  <c r="F170" i="9" s="1"/>
  <c r="G170" i="9" a="1"/>
  <c r="G170" i="9" s="1"/>
  <c r="H170" i="9" a="1"/>
  <c r="H170" i="9" s="1"/>
  <c r="I170" i="9" a="1"/>
  <c r="I170" i="9" s="1"/>
  <c r="J170" i="9" a="1"/>
  <c r="J170" i="9" s="1"/>
  <c r="A171" i="9" a="1"/>
  <c r="A171" i="9" s="1"/>
  <c r="B171" i="9" a="1"/>
  <c r="B171" i="9" s="1"/>
  <c r="C171" i="9" a="1"/>
  <c r="C171" i="9" s="1"/>
  <c r="D171" i="9" a="1"/>
  <c r="D171" i="9" s="1"/>
  <c r="F171" i="9" a="1"/>
  <c r="F171" i="9" s="1"/>
  <c r="G171" i="9" a="1"/>
  <c r="G171" i="9" s="1"/>
  <c r="H171" i="9" a="1"/>
  <c r="H171" i="9" s="1"/>
  <c r="I171" i="9" a="1"/>
  <c r="I171" i="9" s="1"/>
  <c r="J171" i="9" a="1"/>
  <c r="J171" i="9" s="1"/>
  <c r="A172" i="9" a="1"/>
  <c r="A172" i="9" s="1"/>
  <c r="B172" i="9" a="1"/>
  <c r="B172" i="9" s="1"/>
  <c r="C172" i="9" a="1"/>
  <c r="C172" i="9" s="1"/>
  <c r="D172" i="9" a="1"/>
  <c r="D172" i="9" s="1"/>
  <c r="F172" i="9" a="1"/>
  <c r="F172" i="9" s="1"/>
  <c r="G172" i="9" a="1"/>
  <c r="G172" i="9" s="1"/>
  <c r="H172" i="9" a="1"/>
  <c r="H172" i="9" s="1"/>
  <c r="I172" i="9" a="1"/>
  <c r="I172" i="9" s="1"/>
  <c r="J172" i="9" a="1"/>
  <c r="J172" i="9" s="1"/>
  <c r="A173" i="9" a="1"/>
  <c r="A173" i="9" s="1"/>
  <c r="B173" i="9" a="1"/>
  <c r="B173" i="9" s="1"/>
  <c r="C173" i="9" a="1"/>
  <c r="C173" i="9" s="1"/>
  <c r="D173" i="9" a="1"/>
  <c r="D173" i="9" s="1"/>
  <c r="F173" i="9" a="1"/>
  <c r="F173" i="9" s="1"/>
  <c r="G173" i="9" a="1"/>
  <c r="G173" i="9" s="1"/>
  <c r="H173" i="9" a="1"/>
  <c r="H173" i="9" s="1"/>
  <c r="I173" i="9" a="1"/>
  <c r="I173" i="9" s="1"/>
  <c r="J173" i="9" a="1"/>
  <c r="J173" i="9" s="1"/>
  <c r="A174" i="9" a="1"/>
  <c r="A174" i="9" s="1"/>
  <c r="B174" i="9" a="1"/>
  <c r="B174" i="9" s="1"/>
  <c r="C174" i="9" a="1"/>
  <c r="C174" i="9" s="1"/>
  <c r="D174" i="9" a="1"/>
  <c r="D174" i="9" s="1"/>
  <c r="F174" i="9" a="1"/>
  <c r="F174" i="9" s="1"/>
  <c r="G174" i="9" a="1"/>
  <c r="G174" i="9" s="1"/>
  <c r="H174" i="9" a="1"/>
  <c r="H174" i="9" s="1"/>
  <c r="I174" i="9" a="1"/>
  <c r="I174" i="9" s="1"/>
  <c r="J174" i="9" a="1"/>
  <c r="J174" i="9" s="1"/>
  <c r="A175" i="9" a="1"/>
  <c r="A175" i="9" s="1"/>
  <c r="B175" i="9" a="1"/>
  <c r="B175" i="9" s="1"/>
  <c r="C175" i="9" a="1"/>
  <c r="C175" i="9" s="1"/>
  <c r="D175" i="9" a="1"/>
  <c r="D175" i="9" s="1"/>
  <c r="F175" i="9" a="1"/>
  <c r="F175" i="9" s="1"/>
  <c r="G175" i="9" a="1"/>
  <c r="G175" i="9" s="1"/>
  <c r="H175" i="9" a="1"/>
  <c r="H175" i="9" s="1"/>
  <c r="I175" i="9" a="1"/>
  <c r="I175" i="9" s="1"/>
  <c r="J175" i="9" a="1"/>
  <c r="J175" i="9" s="1"/>
  <c r="A176" i="9" a="1"/>
  <c r="A176" i="9" s="1"/>
  <c r="B176" i="9" a="1"/>
  <c r="B176" i="9" s="1"/>
  <c r="C176" i="9" a="1"/>
  <c r="C176" i="9" s="1"/>
  <c r="D176" i="9" a="1"/>
  <c r="D176" i="9" s="1"/>
  <c r="F176" i="9" a="1"/>
  <c r="F176" i="9" s="1"/>
  <c r="G176" i="9" a="1"/>
  <c r="G176" i="9" s="1"/>
  <c r="H176" i="9" a="1"/>
  <c r="H176" i="9" s="1"/>
  <c r="I176" i="9" a="1"/>
  <c r="I176" i="9" s="1"/>
  <c r="J176" i="9" a="1"/>
  <c r="J176" i="9" s="1"/>
  <c r="A177" i="9" a="1"/>
  <c r="A177" i="9" s="1"/>
  <c r="B177" i="9" a="1"/>
  <c r="B177" i="9" s="1"/>
  <c r="C177" i="9" a="1"/>
  <c r="C177" i="9" s="1"/>
  <c r="D177" i="9" a="1"/>
  <c r="D177" i="9" s="1"/>
  <c r="F177" i="9" a="1"/>
  <c r="F177" i="9" s="1"/>
  <c r="G177" i="9" a="1"/>
  <c r="G177" i="9" s="1"/>
  <c r="H177" i="9" a="1"/>
  <c r="H177" i="9" s="1"/>
  <c r="I177" i="9" a="1"/>
  <c r="I177" i="9" s="1"/>
  <c r="J177" i="9" a="1"/>
  <c r="J177" i="9" s="1"/>
  <c r="A178" i="9" a="1"/>
  <c r="A178" i="9" s="1"/>
  <c r="B178" i="9" a="1"/>
  <c r="B178" i="9" s="1"/>
  <c r="C178" i="9" a="1"/>
  <c r="C178" i="9" s="1"/>
  <c r="D178" i="9" a="1"/>
  <c r="D178" i="9" s="1"/>
  <c r="F178" i="9" a="1"/>
  <c r="F178" i="9" s="1"/>
  <c r="G178" i="9" a="1"/>
  <c r="G178" i="9" s="1"/>
  <c r="H178" i="9" a="1"/>
  <c r="H178" i="9" s="1"/>
  <c r="I178" i="9" a="1"/>
  <c r="I178" i="9" s="1"/>
  <c r="J178" i="9" a="1"/>
  <c r="J178" i="9" s="1"/>
  <c r="A179" i="9" a="1"/>
  <c r="A179" i="9" s="1"/>
  <c r="B179" i="9" a="1"/>
  <c r="B179" i="9" s="1"/>
  <c r="C179" i="9" a="1"/>
  <c r="C179" i="9" s="1"/>
  <c r="D179" i="9" a="1"/>
  <c r="D179" i="9" s="1"/>
  <c r="F179" i="9" a="1"/>
  <c r="F179" i="9" s="1"/>
  <c r="G179" i="9" a="1"/>
  <c r="G179" i="9" s="1"/>
  <c r="H179" i="9" a="1"/>
  <c r="H179" i="9" s="1"/>
  <c r="I179" i="9" a="1"/>
  <c r="I179" i="9" s="1"/>
  <c r="J179" i="9" a="1"/>
  <c r="J179" i="9" s="1"/>
  <c r="A180" i="9" a="1"/>
  <c r="A180" i="9" s="1"/>
  <c r="B180" i="9" a="1"/>
  <c r="B180" i="9" s="1"/>
  <c r="C180" i="9" a="1"/>
  <c r="C180" i="9" s="1"/>
  <c r="D180" i="9" a="1"/>
  <c r="D180" i="9" s="1"/>
  <c r="F180" i="9" a="1"/>
  <c r="F180" i="9" s="1"/>
  <c r="G180" i="9" a="1"/>
  <c r="G180" i="9" s="1"/>
  <c r="H180" i="9" a="1"/>
  <c r="H180" i="9" s="1"/>
  <c r="I180" i="9" a="1"/>
  <c r="I180" i="9" s="1"/>
  <c r="J180" i="9" a="1"/>
  <c r="J180" i="9" s="1"/>
  <c r="A181" i="9" a="1"/>
  <c r="A181" i="9" s="1"/>
  <c r="B181" i="9" a="1"/>
  <c r="B181" i="9" s="1"/>
  <c r="C181" i="9" a="1"/>
  <c r="C181" i="9" s="1"/>
  <c r="D181" i="9" a="1"/>
  <c r="D181" i="9" s="1"/>
  <c r="F181" i="9" a="1"/>
  <c r="F181" i="9" s="1"/>
  <c r="G181" i="9" a="1"/>
  <c r="G181" i="9" s="1"/>
  <c r="H181" i="9" a="1"/>
  <c r="H181" i="9" s="1"/>
  <c r="I181" i="9" a="1"/>
  <c r="I181" i="9" s="1"/>
  <c r="J181" i="9" a="1"/>
  <c r="J181" i="9" s="1"/>
  <c r="A182" i="9" a="1"/>
  <c r="A182" i="9" s="1"/>
  <c r="B182" i="9" a="1"/>
  <c r="B182" i="9" s="1"/>
  <c r="C182" i="9" a="1"/>
  <c r="C182" i="9" s="1"/>
  <c r="D182" i="9" a="1"/>
  <c r="D182" i="9" s="1"/>
  <c r="F182" i="9" a="1"/>
  <c r="F182" i="9" s="1"/>
  <c r="G182" i="9" a="1"/>
  <c r="G182" i="9" s="1"/>
  <c r="H182" i="9" a="1"/>
  <c r="H182" i="9" s="1"/>
  <c r="I182" i="9" a="1"/>
  <c r="I182" i="9" s="1"/>
  <c r="J182" i="9" a="1"/>
  <c r="J182" i="9" s="1"/>
  <c r="A183" i="9" a="1"/>
  <c r="A183" i="9" s="1"/>
  <c r="B183" i="9" a="1"/>
  <c r="B183" i="9" s="1"/>
  <c r="C183" i="9" a="1"/>
  <c r="C183" i="9" s="1"/>
  <c r="D183" i="9" a="1"/>
  <c r="D183" i="9" s="1"/>
  <c r="F183" i="9" a="1"/>
  <c r="F183" i="9" s="1"/>
  <c r="G183" i="9" a="1"/>
  <c r="G183" i="9" s="1"/>
  <c r="H183" i="9" a="1"/>
  <c r="H183" i="9" s="1"/>
  <c r="I183" i="9" a="1"/>
  <c r="I183" i="9" s="1"/>
  <c r="J183" i="9" a="1"/>
  <c r="J183" i="9" s="1"/>
  <c r="A184" i="9" a="1"/>
  <c r="A184" i="9" s="1"/>
  <c r="B184" i="9" a="1"/>
  <c r="B184" i="9" s="1"/>
  <c r="C184" i="9" a="1"/>
  <c r="C184" i="9" s="1"/>
  <c r="D184" i="9" a="1"/>
  <c r="D184" i="9" s="1"/>
  <c r="F184" i="9" a="1"/>
  <c r="F184" i="9" s="1"/>
  <c r="G184" i="9" a="1"/>
  <c r="G184" i="9" s="1"/>
  <c r="H184" i="9" a="1"/>
  <c r="H184" i="9" s="1"/>
  <c r="I184" i="9" a="1"/>
  <c r="I184" i="9" s="1"/>
  <c r="J184" i="9" a="1"/>
  <c r="J184" i="9" s="1"/>
  <c r="A185" i="9" a="1"/>
  <c r="A185" i="9" s="1"/>
  <c r="B185" i="9" a="1"/>
  <c r="B185" i="9" s="1"/>
  <c r="C185" i="9" a="1"/>
  <c r="C185" i="9" s="1"/>
  <c r="D185" i="9" a="1"/>
  <c r="D185" i="9" s="1"/>
  <c r="F185" i="9" a="1"/>
  <c r="F185" i="9" s="1"/>
  <c r="G185" i="9" a="1"/>
  <c r="G185" i="9" s="1"/>
  <c r="H185" i="9" a="1"/>
  <c r="H185" i="9" s="1"/>
  <c r="I185" i="9" a="1"/>
  <c r="I185" i="9" s="1"/>
  <c r="J185" i="9" a="1"/>
  <c r="J185" i="9" s="1"/>
  <c r="A186" i="9" a="1"/>
  <c r="A186" i="9" s="1"/>
  <c r="B186" i="9" a="1"/>
  <c r="B186" i="9" s="1"/>
  <c r="C186" i="9" a="1"/>
  <c r="C186" i="9" s="1"/>
  <c r="D186" i="9" a="1"/>
  <c r="D186" i="9" s="1"/>
  <c r="F186" i="9" a="1"/>
  <c r="F186" i="9" s="1"/>
  <c r="G186" i="9" a="1"/>
  <c r="G186" i="9" s="1"/>
  <c r="H186" i="9" a="1"/>
  <c r="H186" i="9" s="1"/>
  <c r="I186" i="9" a="1"/>
  <c r="I186" i="9" s="1"/>
  <c r="J186" i="9" a="1"/>
  <c r="J186" i="9" s="1"/>
  <c r="A187" i="9" a="1"/>
  <c r="A187" i="9" s="1"/>
  <c r="B187" i="9" a="1"/>
  <c r="B187" i="9" s="1"/>
  <c r="C187" i="9" a="1"/>
  <c r="C187" i="9" s="1"/>
  <c r="D187" i="9" a="1"/>
  <c r="D187" i="9" s="1"/>
  <c r="F187" i="9" a="1"/>
  <c r="F187" i="9" s="1"/>
  <c r="G187" i="9" a="1"/>
  <c r="G187" i="9" s="1"/>
  <c r="H187" i="9" a="1"/>
  <c r="H187" i="9" s="1"/>
  <c r="I187" i="9" a="1"/>
  <c r="I187" i="9" s="1"/>
  <c r="J187" i="9" a="1"/>
  <c r="J187" i="9" s="1"/>
  <c r="A188" i="9" a="1"/>
  <c r="A188" i="9" s="1"/>
  <c r="B188" i="9" a="1"/>
  <c r="B188" i="9" s="1"/>
  <c r="C188" i="9" a="1"/>
  <c r="C188" i="9" s="1"/>
  <c r="D188" i="9" a="1"/>
  <c r="D188" i="9" s="1"/>
  <c r="F188" i="9" a="1"/>
  <c r="F188" i="9" s="1"/>
  <c r="G188" i="9" a="1"/>
  <c r="G188" i="9" s="1"/>
  <c r="H188" i="9" a="1"/>
  <c r="H188" i="9" s="1"/>
  <c r="I188" i="9" a="1"/>
  <c r="I188" i="9" s="1"/>
  <c r="J188" i="9" a="1"/>
  <c r="J188" i="9" s="1"/>
  <c r="A189" i="9" a="1"/>
  <c r="A189" i="9" s="1"/>
  <c r="B189" i="9" a="1"/>
  <c r="B189" i="9" s="1"/>
  <c r="C189" i="9" a="1"/>
  <c r="C189" i="9" s="1"/>
  <c r="D189" i="9" a="1"/>
  <c r="D189" i="9" s="1"/>
  <c r="F189" i="9" a="1"/>
  <c r="F189" i="9" s="1"/>
  <c r="G189" i="9" a="1"/>
  <c r="G189" i="9" s="1"/>
  <c r="H189" i="9" a="1"/>
  <c r="H189" i="9" s="1"/>
  <c r="I189" i="9" a="1"/>
  <c r="I189" i="9" s="1"/>
  <c r="J189" i="9" a="1"/>
  <c r="J189" i="9" s="1"/>
  <c r="A190" i="9" a="1"/>
  <c r="A190" i="9" s="1"/>
  <c r="B190" i="9" a="1"/>
  <c r="B190" i="9" s="1"/>
  <c r="C190" i="9" a="1"/>
  <c r="C190" i="9" s="1"/>
  <c r="D190" i="9" a="1"/>
  <c r="D190" i="9" s="1"/>
  <c r="F190" i="9" a="1"/>
  <c r="F190" i="9" s="1"/>
  <c r="G190" i="9" a="1"/>
  <c r="G190" i="9" s="1"/>
  <c r="H190" i="9" a="1"/>
  <c r="H190" i="9" s="1"/>
  <c r="I190" i="9" a="1"/>
  <c r="I190" i="9" s="1"/>
  <c r="J190" i="9" a="1"/>
  <c r="J190" i="9" s="1"/>
  <c r="A191" i="9" a="1"/>
  <c r="A191" i="9" s="1"/>
  <c r="B191" i="9" a="1"/>
  <c r="B191" i="9" s="1"/>
  <c r="C191" i="9" a="1"/>
  <c r="C191" i="9" s="1"/>
  <c r="D191" i="9" a="1"/>
  <c r="D191" i="9" s="1"/>
  <c r="F191" i="9" a="1"/>
  <c r="F191" i="9" s="1"/>
  <c r="G191" i="9" a="1"/>
  <c r="G191" i="9" s="1"/>
  <c r="H191" i="9" a="1"/>
  <c r="H191" i="9" s="1"/>
  <c r="I191" i="9" a="1"/>
  <c r="I191" i="9" s="1"/>
  <c r="J191" i="9" a="1"/>
  <c r="J191" i="9" s="1"/>
  <c r="A192" i="9" a="1"/>
  <c r="A192" i="9" s="1"/>
  <c r="B192" i="9" a="1"/>
  <c r="B192" i="9" s="1"/>
  <c r="C192" i="9" a="1"/>
  <c r="C192" i="9" s="1"/>
  <c r="D192" i="9" a="1"/>
  <c r="D192" i="9" s="1"/>
  <c r="F192" i="9" a="1"/>
  <c r="F192" i="9" s="1"/>
  <c r="G192" i="9" a="1"/>
  <c r="G192" i="9" s="1"/>
  <c r="H192" i="9" a="1"/>
  <c r="H192" i="9" s="1"/>
  <c r="I192" i="9" a="1"/>
  <c r="I192" i="9" s="1"/>
  <c r="J192" i="9" a="1"/>
  <c r="J192" i="9" s="1"/>
  <c r="A193" i="9" a="1"/>
  <c r="A193" i="9" s="1"/>
  <c r="B193" i="9" a="1"/>
  <c r="B193" i="9" s="1"/>
  <c r="C193" i="9" a="1"/>
  <c r="C193" i="9" s="1"/>
  <c r="D193" i="9" a="1"/>
  <c r="D193" i="9" s="1"/>
  <c r="F193" i="9" a="1"/>
  <c r="F193" i="9" s="1"/>
  <c r="G193" i="9" a="1"/>
  <c r="G193" i="9" s="1"/>
  <c r="H193" i="9" a="1"/>
  <c r="H193" i="9" s="1"/>
  <c r="I193" i="9" a="1"/>
  <c r="I193" i="9" s="1"/>
  <c r="J193" i="9" a="1"/>
  <c r="J193" i="9" s="1"/>
  <c r="A194" i="9" a="1"/>
  <c r="A194" i="9" s="1"/>
  <c r="B194" i="9" a="1"/>
  <c r="B194" i="9" s="1"/>
  <c r="C194" i="9" a="1"/>
  <c r="C194" i="9" s="1"/>
  <c r="D194" i="9" a="1"/>
  <c r="D194" i="9" s="1"/>
  <c r="F194" i="9" a="1"/>
  <c r="F194" i="9" s="1"/>
  <c r="G194" i="9" a="1"/>
  <c r="G194" i="9" s="1"/>
  <c r="H194" i="9" a="1"/>
  <c r="H194" i="9" s="1"/>
  <c r="I194" i="9" a="1"/>
  <c r="I194" i="9" s="1"/>
  <c r="J194" i="9" a="1"/>
  <c r="J194" i="9" s="1"/>
  <c r="A195" i="9" a="1"/>
  <c r="A195" i="9" s="1"/>
  <c r="B195" i="9" a="1"/>
  <c r="B195" i="9" s="1"/>
  <c r="C195" i="9" a="1"/>
  <c r="C195" i="9" s="1"/>
  <c r="D195" i="9" a="1"/>
  <c r="D195" i="9" s="1"/>
  <c r="F195" i="9" a="1"/>
  <c r="F195" i="9" s="1"/>
  <c r="G195" i="9" a="1"/>
  <c r="G195" i="9" s="1"/>
  <c r="H195" i="9" a="1"/>
  <c r="H195" i="9" s="1"/>
  <c r="I195" i="9" a="1"/>
  <c r="I195" i="9" s="1"/>
  <c r="J195" i="9" a="1"/>
  <c r="J195" i="9" s="1"/>
  <c r="A196" i="9" a="1"/>
  <c r="A196" i="9" s="1"/>
  <c r="B196" i="9" a="1"/>
  <c r="B196" i="9" s="1"/>
  <c r="C196" i="9" a="1"/>
  <c r="C196" i="9" s="1"/>
  <c r="D196" i="9" a="1"/>
  <c r="D196" i="9" s="1"/>
  <c r="F196" i="9" a="1"/>
  <c r="F196" i="9" s="1"/>
  <c r="G196" i="9" a="1"/>
  <c r="G196" i="9" s="1"/>
  <c r="H196" i="9" a="1"/>
  <c r="H196" i="9" s="1"/>
  <c r="I196" i="9" a="1"/>
  <c r="I196" i="9" s="1"/>
  <c r="J196" i="9" a="1"/>
  <c r="J196" i="9" s="1"/>
  <c r="A197" i="9" a="1"/>
  <c r="A197" i="9" s="1"/>
  <c r="B197" i="9" a="1"/>
  <c r="B197" i="9" s="1"/>
  <c r="C197" i="9" a="1"/>
  <c r="C197" i="9" s="1"/>
  <c r="D197" i="9" a="1"/>
  <c r="D197" i="9" s="1"/>
  <c r="F197" i="9" a="1"/>
  <c r="F197" i="9" s="1"/>
  <c r="G197" i="9" a="1"/>
  <c r="G197" i="9" s="1"/>
  <c r="H197" i="9" a="1"/>
  <c r="H197" i="9" s="1"/>
  <c r="I197" i="9" a="1"/>
  <c r="I197" i="9" s="1"/>
  <c r="J197" i="9" a="1"/>
  <c r="J197" i="9" s="1"/>
  <c r="A198" i="9" a="1"/>
  <c r="A198" i="9" s="1"/>
  <c r="B198" i="9" a="1"/>
  <c r="B198" i="9" s="1"/>
  <c r="C198" i="9" a="1"/>
  <c r="C198" i="9" s="1"/>
  <c r="D198" i="9" a="1"/>
  <c r="D198" i="9" s="1"/>
  <c r="F198" i="9" a="1"/>
  <c r="F198" i="9" s="1"/>
  <c r="G198" i="9" a="1"/>
  <c r="G198" i="9" s="1"/>
  <c r="H198" i="9" a="1"/>
  <c r="H198" i="9" s="1"/>
  <c r="I198" i="9" a="1"/>
  <c r="I198" i="9" s="1"/>
  <c r="J198" i="9" a="1"/>
  <c r="J198" i="9" s="1"/>
  <c r="A199" i="9" a="1"/>
  <c r="A199" i="9" s="1"/>
  <c r="B199" i="9" a="1"/>
  <c r="B199" i="9" s="1"/>
  <c r="C199" i="9" a="1"/>
  <c r="C199" i="9" s="1"/>
  <c r="D199" i="9" a="1"/>
  <c r="D199" i="9" s="1"/>
  <c r="F199" i="9" a="1"/>
  <c r="F199" i="9" s="1"/>
  <c r="G199" i="9" a="1"/>
  <c r="G199" i="9" s="1"/>
  <c r="H199" i="9" a="1"/>
  <c r="H199" i="9" s="1"/>
  <c r="I199" i="9" a="1"/>
  <c r="I199" i="9" s="1"/>
  <c r="J199" i="9" a="1"/>
  <c r="J199" i="9" s="1"/>
  <c r="A200" i="9" a="1"/>
  <c r="A200" i="9" s="1"/>
  <c r="B200" i="9" a="1"/>
  <c r="B200" i="9" s="1"/>
  <c r="C200" i="9" a="1"/>
  <c r="C200" i="9" s="1"/>
  <c r="D200" i="9" a="1"/>
  <c r="D200" i="9" s="1"/>
  <c r="F200" i="9" a="1"/>
  <c r="F200" i="9" s="1"/>
  <c r="G200" i="9" a="1"/>
  <c r="G200" i="9" s="1"/>
  <c r="H200" i="9" a="1"/>
  <c r="H200" i="9" s="1"/>
  <c r="I200" i="9" a="1"/>
  <c r="I200" i="9" s="1"/>
  <c r="J200" i="9" a="1"/>
  <c r="J200" i="9" s="1"/>
  <c r="A201" i="9" a="1"/>
  <c r="A201" i="9" s="1"/>
  <c r="B201" i="9" a="1"/>
  <c r="B201" i="9" s="1"/>
  <c r="C201" i="9" a="1"/>
  <c r="C201" i="9" s="1"/>
  <c r="D201" i="9" a="1"/>
  <c r="D201" i="9" s="1"/>
  <c r="F201" i="9" a="1"/>
  <c r="F201" i="9" s="1"/>
  <c r="G201" i="9" a="1"/>
  <c r="G201" i="9" s="1"/>
  <c r="H201" i="9" a="1"/>
  <c r="H201" i="9" s="1"/>
  <c r="I201" i="9" a="1"/>
  <c r="I201" i="9" s="1"/>
  <c r="J201" i="9" a="1"/>
  <c r="J201" i="9" s="1"/>
  <c r="A202" i="9" a="1"/>
  <c r="A202" i="9" s="1"/>
  <c r="B202" i="9" a="1"/>
  <c r="B202" i="9" s="1"/>
  <c r="C202" i="9" a="1"/>
  <c r="C202" i="9" s="1"/>
  <c r="D202" i="9" a="1"/>
  <c r="D202" i="9" s="1"/>
  <c r="F202" i="9" a="1"/>
  <c r="F202" i="9" s="1"/>
  <c r="G202" i="9" a="1"/>
  <c r="G202" i="9" s="1"/>
  <c r="H202" i="9" a="1"/>
  <c r="H202" i="9" s="1"/>
  <c r="I202" i="9" a="1"/>
  <c r="I202" i="9" s="1"/>
  <c r="J202" i="9" a="1"/>
  <c r="J202" i="9" s="1"/>
  <c r="A203" i="9" a="1"/>
  <c r="A203" i="9" s="1"/>
  <c r="B203" i="9" a="1"/>
  <c r="B203" i="9" s="1"/>
  <c r="C203" i="9" a="1"/>
  <c r="C203" i="9" s="1"/>
  <c r="D203" i="9" a="1"/>
  <c r="D203" i="9" s="1"/>
  <c r="F203" i="9" a="1"/>
  <c r="F203" i="9" s="1"/>
  <c r="G203" i="9" a="1"/>
  <c r="G203" i="9" s="1"/>
  <c r="H203" i="9" a="1"/>
  <c r="H203" i="9" s="1"/>
  <c r="I203" i="9" a="1"/>
  <c r="I203" i="9" s="1"/>
  <c r="J203" i="9" a="1"/>
  <c r="J203" i="9" s="1"/>
  <c r="A204" i="9" a="1"/>
  <c r="A204" i="9" s="1"/>
  <c r="B204" i="9" a="1"/>
  <c r="B204" i="9" s="1"/>
  <c r="C204" i="9" a="1"/>
  <c r="C204" i="9" s="1"/>
  <c r="D204" i="9" a="1"/>
  <c r="D204" i="9" s="1"/>
  <c r="F204" i="9" a="1"/>
  <c r="F204" i="9" s="1"/>
  <c r="G204" i="9" a="1"/>
  <c r="G204" i="9" s="1"/>
  <c r="H204" i="9" a="1"/>
  <c r="H204" i="9" s="1"/>
  <c r="I204" i="9" a="1"/>
  <c r="I204" i="9" s="1"/>
  <c r="J204" i="9" a="1"/>
  <c r="J204" i="9" s="1"/>
  <c r="A205" i="9" a="1"/>
  <c r="A205" i="9" s="1"/>
  <c r="B205" i="9" a="1"/>
  <c r="B205" i="9" s="1"/>
  <c r="C205" i="9" a="1"/>
  <c r="C205" i="9" s="1"/>
  <c r="D205" i="9" a="1"/>
  <c r="D205" i="9" s="1"/>
  <c r="F205" i="9" a="1"/>
  <c r="F205" i="9" s="1"/>
  <c r="G205" i="9" a="1"/>
  <c r="G205" i="9" s="1"/>
  <c r="H205" i="9" a="1"/>
  <c r="H205" i="9" s="1"/>
  <c r="I205" i="9" a="1"/>
  <c r="I205" i="9" s="1"/>
  <c r="J205" i="9" a="1"/>
  <c r="J205" i="9" s="1"/>
  <c r="A206" i="9" a="1"/>
  <c r="A206" i="9" s="1"/>
  <c r="B206" i="9" a="1"/>
  <c r="B206" i="9" s="1"/>
  <c r="C206" i="9" a="1"/>
  <c r="C206" i="9" s="1"/>
  <c r="D206" i="9" a="1"/>
  <c r="D206" i="9" s="1"/>
  <c r="F206" i="9" a="1"/>
  <c r="F206" i="9" s="1"/>
  <c r="G206" i="9" a="1"/>
  <c r="G206" i="9" s="1"/>
  <c r="H206" i="9" a="1"/>
  <c r="H206" i="9" s="1"/>
  <c r="I206" i="9" a="1"/>
  <c r="I206" i="9" s="1"/>
  <c r="J206" i="9" a="1"/>
  <c r="J206" i="9" s="1"/>
  <c r="A207" i="9" a="1"/>
  <c r="A207" i="9" s="1"/>
  <c r="B207" i="9" a="1"/>
  <c r="B207" i="9" s="1"/>
  <c r="C207" i="9" a="1"/>
  <c r="C207" i="9" s="1"/>
  <c r="D207" i="9" a="1"/>
  <c r="D207" i="9" s="1"/>
  <c r="F207" i="9" a="1"/>
  <c r="F207" i="9" s="1"/>
  <c r="G207" i="9" a="1"/>
  <c r="G207" i="9" s="1"/>
  <c r="H207" i="9" a="1"/>
  <c r="H207" i="9" s="1"/>
  <c r="I207" i="9" a="1"/>
  <c r="I207" i="9" s="1"/>
  <c r="J207" i="9" a="1"/>
  <c r="J207" i="9" s="1"/>
  <c r="A208" i="9" a="1"/>
  <c r="A208" i="9" s="1"/>
  <c r="B208" i="9" a="1"/>
  <c r="B208" i="9" s="1"/>
  <c r="C208" i="9" a="1"/>
  <c r="C208" i="9" s="1"/>
  <c r="D208" i="9" a="1"/>
  <c r="D208" i="9" s="1"/>
  <c r="F208" i="9" a="1"/>
  <c r="F208" i="9" s="1"/>
  <c r="G208" i="9" a="1"/>
  <c r="G208" i="9" s="1"/>
  <c r="H208" i="9" a="1"/>
  <c r="H208" i="9" s="1"/>
  <c r="I208" i="9" a="1"/>
  <c r="I208" i="9" s="1"/>
  <c r="J208" i="9" a="1"/>
  <c r="J208" i="9" s="1"/>
  <c r="A209" i="9" a="1"/>
  <c r="A209" i="9" s="1"/>
  <c r="B209" i="9" a="1"/>
  <c r="B209" i="9" s="1"/>
  <c r="C209" i="9" a="1"/>
  <c r="C209" i="9" s="1"/>
  <c r="D209" i="9" a="1"/>
  <c r="D209" i="9" s="1"/>
  <c r="F209" i="9" a="1"/>
  <c r="F209" i="9" s="1"/>
  <c r="G209" i="9" a="1"/>
  <c r="G209" i="9" s="1"/>
  <c r="H209" i="9" a="1"/>
  <c r="H209" i="9" s="1"/>
  <c r="I209" i="9" a="1"/>
  <c r="I209" i="9" s="1"/>
  <c r="J209" i="9" a="1"/>
  <c r="J209" i="9" s="1"/>
  <c r="A210" i="9" a="1"/>
  <c r="A210" i="9" s="1"/>
  <c r="B210" i="9" a="1"/>
  <c r="B210" i="9" s="1"/>
  <c r="C210" i="9" a="1"/>
  <c r="C210" i="9" s="1"/>
  <c r="D210" i="9" a="1"/>
  <c r="D210" i="9" s="1"/>
  <c r="F210" i="9" a="1"/>
  <c r="F210" i="9" s="1"/>
  <c r="G210" i="9" a="1"/>
  <c r="G210" i="9" s="1"/>
  <c r="H210" i="9" a="1"/>
  <c r="H210" i="9" s="1"/>
  <c r="I210" i="9" a="1"/>
  <c r="I210" i="9" s="1"/>
  <c r="J210" i="9" a="1"/>
  <c r="J210" i="9" s="1"/>
  <c r="A211" i="9" a="1"/>
  <c r="A211" i="9" s="1"/>
  <c r="B211" i="9" a="1"/>
  <c r="B211" i="9" s="1"/>
  <c r="C211" i="9" a="1"/>
  <c r="C211" i="9" s="1"/>
  <c r="D211" i="9" a="1"/>
  <c r="D211" i="9" s="1"/>
  <c r="F211" i="9" a="1"/>
  <c r="F211" i="9" s="1"/>
  <c r="G211" i="9" a="1"/>
  <c r="G211" i="9" s="1"/>
  <c r="H211" i="9" a="1"/>
  <c r="H211" i="9" s="1"/>
  <c r="I211" i="9" a="1"/>
  <c r="I211" i="9" s="1"/>
  <c r="J211" i="9" a="1"/>
  <c r="J211" i="9" s="1"/>
  <c r="A212" i="9" a="1"/>
  <c r="A212" i="9" s="1"/>
  <c r="B212" i="9" a="1"/>
  <c r="B212" i="9" s="1"/>
  <c r="C212" i="9" a="1"/>
  <c r="C212" i="9" s="1"/>
  <c r="D212" i="9" a="1"/>
  <c r="D212" i="9" s="1"/>
  <c r="F212" i="9" a="1"/>
  <c r="F212" i="9" s="1"/>
  <c r="G212" i="9" a="1"/>
  <c r="G212" i="9" s="1"/>
  <c r="H212" i="9" a="1"/>
  <c r="H212" i="9" s="1"/>
  <c r="I212" i="9" a="1"/>
  <c r="I212" i="9" s="1"/>
  <c r="J212" i="9" a="1"/>
  <c r="J212" i="9" s="1"/>
  <c r="A213" i="9" a="1"/>
  <c r="A213" i="9" s="1"/>
  <c r="B213" i="9" a="1"/>
  <c r="B213" i="9" s="1"/>
  <c r="C213" i="9" a="1"/>
  <c r="C213" i="9" s="1"/>
  <c r="D213" i="9" a="1"/>
  <c r="D213" i="9" s="1"/>
  <c r="F213" i="9" a="1"/>
  <c r="F213" i="9" s="1"/>
  <c r="G213" i="9" a="1"/>
  <c r="G213" i="9" s="1"/>
  <c r="H213" i="9" a="1"/>
  <c r="H213" i="9" s="1"/>
  <c r="I213" i="9" a="1"/>
  <c r="I213" i="9" s="1"/>
  <c r="J213" i="9" a="1"/>
  <c r="J213" i="9" s="1"/>
  <c r="A214" i="9" a="1"/>
  <c r="A214" i="9" s="1"/>
  <c r="B214" i="9" a="1"/>
  <c r="B214" i="9" s="1"/>
  <c r="C214" i="9" a="1"/>
  <c r="C214" i="9" s="1"/>
  <c r="D214" i="9" a="1"/>
  <c r="D214" i="9" s="1"/>
  <c r="F214" i="9" a="1"/>
  <c r="F214" i="9" s="1"/>
  <c r="G214" i="9" a="1"/>
  <c r="G214" i="9" s="1"/>
  <c r="H214" i="9" a="1"/>
  <c r="H214" i="9" s="1"/>
  <c r="I214" i="9" a="1"/>
  <c r="I214" i="9" s="1"/>
  <c r="J214" i="9" a="1"/>
  <c r="J214" i="9" s="1"/>
  <c r="A215" i="9" a="1"/>
  <c r="A215" i="9" s="1"/>
  <c r="B215" i="9" a="1"/>
  <c r="B215" i="9" s="1"/>
  <c r="C215" i="9" a="1"/>
  <c r="C215" i="9" s="1"/>
  <c r="D215" i="9" a="1"/>
  <c r="D215" i="9" s="1"/>
  <c r="F215" i="9" a="1"/>
  <c r="F215" i="9" s="1"/>
  <c r="G215" i="9" a="1"/>
  <c r="G215" i="9" s="1"/>
  <c r="H215" i="9" a="1"/>
  <c r="H215" i="9" s="1"/>
  <c r="I215" i="9" a="1"/>
  <c r="I215" i="9" s="1"/>
  <c r="J215" i="9" a="1"/>
  <c r="J215" i="9" s="1"/>
  <c r="A216" i="9" a="1"/>
  <c r="A216" i="9" s="1"/>
  <c r="B216" i="9" a="1"/>
  <c r="B216" i="9" s="1"/>
  <c r="C216" i="9" a="1"/>
  <c r="C216" i="9" s="1"/>
  <c r="D216" i="9" a="1"/>
  <c r="D216" i="9" s="1"/>
  <c r="F216" i="9" a="1"/>
  <c r="F216" i="9" s="1"/>
  <c r="G216" i="9" a="1"/>
  <c r="G216" i="9" s="1"/>
  <c r="H216" i="9" a="1"/>
  <c r="H216" i="9" s="1"/>
  <c r="I216" i="9" a="1"/>
  <c r="I216" i="9" s="1"/>
  <c r="J216" i="9" a="1"/>
  <c r="J216" i="9" s="1"/>
  <c r="A217" i="9" a="1"/>
  <c r="A217" i="9" s="1"/>
  <c r="B217" i="9" a="1"/>
  <c r="B217" i="9" s="1"/>
  <c r="C217" i="9" a="1"/>
  <c r="C217" i="9" s="1"/>
  <c r="D217" i="9" a="1"/>
  <c r="D217" i="9" s="1"/>
  <c r="F217" i="9" a="1"/>
  <c r="F217" i="9" s="1"/>
  <c r="G217" i="9" a="1"/>
  <c r="G217" i="9" s="1"/>
  <c r="H217" i="9" a="1"/>
  <c r="H217" i="9" s="1"/>
  <c r="I217" i="9" a="1"/>
  <c r="I217" i="9" s="1"/>
  <c r="J217" i="9" a="1"/>
  <c r="J217" i="9" s="1"/>
  <c r="A218" i="9" a="1"/>
  <c r="A218" i="9" s="1"/>
  <c r="B218" i="9" a="1"/>
  <c r="B218" i="9" s="1"/>
  <c r="C218" i="9" a="1"/>
  <c r="C218" i="9" s="1"/>
  <c r="D218" i="9" a="1"/>
  <c r="D218" i="9" s="1"/>
  <c r="F218" i="9" a="1"/>
  <c r="F218" i="9" s="1"/>
  <c r="G218" i="9" a="1"/>
  <c r="G218" i="9" s="1"/>
  <c r="H218" i="9" a="1"/>
  <c r="H218" i="9" s="1"/>
  <c r="I218" i="9" a="1"/>
  <c r="I218" i="9" s="1"/>
  <c r="J218" i="9" a="1"/>
  <c r="J218" i="9" s="1"/>
  <c r="A219" i="9" a="1"/>
  <c r="A219" i="9" s="1"/>
  <c r="B219" i="9" a="1"/>
  <c r="B219" i="9" s="1"/>
  <c r="C219" i="9" a="1"/>
  <c r="C219" i="9" s="1"/>
  <c r="D219" i="9" a="1"/>
  <c r="D219" i="9" s="1"/>
  <c r="F219" i="9" a="1"/>
  <c r="F219" i="9" s="1"/>
  <c r="G219" i="9" a="1"/>
  <c r="G219" i="9" s="1"/>
  <c r="H219" i="9" a="1"/>
  <c r="H219" i="9" s="1"/>
  <c r="I219" i="9" a="1"/>
  <c r="I219" i="9" s="1"/>
  <c r="J219" i="9" a="1"/>
  <c r="J219" i="9" s="1"/>
  <c r="A220" i="9" a="1"/>
  <c r="A220" i="9" s="1"/>
  <c r="B220" i="9" a="1"/>
  <c r="B220" i="9" s="1"/>
  <c r="C220" i="9" a="1"/>
  <c r="C220" i="9" s="1"/>
  <c r="D220" i="9" a="1"/>
  <c r="D220" i="9" s="1"/>
  <c r="F220" i="9" a="1"/>
  <c r="F220" i="9" s="1"/>
  <c r="G220" i="9" a="1"/>
  <c r="G220" i="9" s="1"/>
  <c r="H220" i="9" a="1"/>
  <c r="H220" i="9" s="1"/>
  <c r="I220" i="9" a="1"/>
  <c r="I220" i="9" s="1"/>
  <c r="J220" i="9" a="1"/>
  <c r="J220" i="9" s="1"/>
  <c r="A221" i="9" a="1"/>
  <c r="A221" i="9" s="1"/>
  <c r="B221" i="9" a="1"/>
  <c r="B221" i="9" s="1"/>
  <c r="C221" i="9" a="1"/>
  <c r="C221" i="9" s="1"/>
  <c r="D221" i="9" a="1"/>
  <c r="D221" i="9" s="1"/>
  <c r="F221" i="9" a="1"/>
  <c r="F221" i="9" s="1"/>
  <c r="G221" i="9" a="1"/>
  <c r="G221" i="9" s="1"/>
  <c r="H221" i="9" a="1"/>
  <c r="H221" i="9" s="1"/>
  <c r="I221" i="9" a="1"/>
  <c r="I221" i="9" s="1"/>
  <c r="J221" i="9" a="1"/>
  <c r="J221" i="9" s="1"/>
  <c r="A222" i="9" a="1"/>
  <c r="A222" i="9" s="1"/>
  <c r="B222" i="9" a="1"/>
  <c r="B222" i="9" s="1"/>
  <c r="C222" i="9" a="1"/>
  <c r="C222" i="9" s="1"/>
  <c r="D222" i="9" a="1"/>
  <c r="D222" i="9" s="1"/>
  <c r="F222" i="9" a="1"/>
  <c r="F222" i="9" s="1"/>
  <c r="G222" i="9" a="1"/>
  <c r="G222" i="9" s="1"/>
  <c r="H222" i="9" a="1"/>
  <c r="H222" i="9" s="1"/>
  <c r="I222" i="9" a="1"/>
  <c r="I222" i="9" s="1"/>
  <c r="J222" i="9" a="1"/>
  <c r="J222" i="9" s="1"/>
  <c r="A223" i="9" a="1"/>
  <c r="A223" i="9" s="1"/>
  <c r="B223" i="9" a="1"/>
  <c r="B223" i="9" s="1"/>
  <c r="C223" i="9" a="1"/>
  <c r="C223" i="9" s="1"/>
  <c r="D223" i="9" a="1"/>
  <c r="D223" i="9" s="1"/>
  <c r="F223" i="9" a="1"/>
  <c r="F223" i="9" s="1"/>
  <c r="G223" i="9" a="1"/>
  <c r="G223" i="9" s="1"/>
  <c r="H223" i="9" a="1"/>
  <c r="H223" i="9" s="1"/>
  <c r="I223" i="9" a="1"/>
  <c r="I223" i="9" s="1"/>
  <c r="J223" i="9" a="1"/>
  <c r="J223" i="9" s="1"/>
  <c r="A224" i="9" a="1"/>
  <c r="A224" i="9" s="1"/>
  <c r="B224" i="9" a="1"/>
  <c r="B224" i="9" s="1"/>
  <c r="C224" i="9" a="1"/>
  <c r="C224" i="9" s="1"/>
  <c r="D224" i="9" a="1"/>
  <c r="D224" i="9" s="1"/>
  <c r="F224" i="9" a="1"/>
  <c r="F224" i="9" s="1"/>
  <c r="G224" i="9" a="1"/>
  <c r="G224" i="9" s="1"/>
  <c r="H224" i="9" a="1"/>
  <c r="H224" i="9" s="1"/>
  <c r="I224" i="9" a="1"/>
  <c r="I224" i="9" s="1"/>
  <c r="J224" i="9" a="1"/>
  <c r="J224" i="9" s="1"/>
  <c r="A225" i="9" a="1"/>
  <c r="A225" i="9" s="1"/>
  <c r="B225" i="9" a="1"/>
  <c r="B225" i="9" s="1"/>
  <c r="C225" i="9" a="1"/>
  <c r="C225" i="9" s="1"/>
  <c r="D225" i="9" a="1"/>
  <c r="D225" i="9" s="1"/>
  <c r="F225" i="9" a="1"/>
  <c r="F225" i="9" s="1"/>
  <c r="G225" i="9" a="1"/>
  <c r="G225" i="9" s="1"/>
  <c r="H225" i="9" a="1"/>
  <c r="H225" i="9" s="1"/>
  <c r="I225" i="9" a="1"/>
  <c r="I225" i="9" s="1"/>
  <c r="J225" i="9" a="1"/>
  <c r="J225" i="9" s="1"/>
  <c r="A226" i="9" a="1"/>
  <c r="A226" i="9" s="1"/>
  <c r="B226" i="9" a="1"/>
  <c r="B226" i="9" s="1"/>
  <c r="C226" i="9" a="1"/>
  <c r="C226" i="9" s="1"/>
  <c r="D226" i="9" a="1"/>
  <c r="D226" i="9" s="1"/>
  <c r="F226" i="9" a="1"/>
  <c r="F226" i="9" s="1"/>
  <c r="G226" i="9" a="1"/>
  <c r="G226" i="9" s="1"/>
  <c r="H226" i="9" a="1"/>
  <c r="H226" i="9" s="1"/>
  <c r="I226" i="9" a="1"/>
  <c r="I226" i="9" s="1"/>
  <c r="J226" i="9" a="1"/>
  <c r="J226" i="9" s="1"/>
  <c r="A227" i="9" a="1"/>
  <c r="A227" i="9" s="1"/>
  <c r="B227" i="9" a="1"/>
  <c r="B227" i="9" s="1"/>
  <c r="C227" i="9" a="1"/>
  <c r="C227" i="9" s="1"/>
  <c r="D227" i="9" a="1"/>
  <c r="D227" i="9" s="1"/>
  <c r="F227" i="9" a="1"/>
  <c r="F227" i="9" s="1"/>
  <c r="G227" i="9" a="1"/>
  <c r="G227" i="9" s="1"/>
  <c r="H227" i="9" a="1"/>
  <c r="H227" i="9" s="1"/>
  <c r="I227" i="9" a="1"/>
  <c r="I227" i="9" s="1"/>
  <c r="J227" i="9" a="1"/>
  <c r="J227" i="9" s="1"/>
  <c r="A228" i="9" a="1"/>
  <c r="A228" i="9" s="1"/>
  <c r="B228" i="9" a="1"/>
  <c r="B228" i="9" s="1"/>
  <c r="C228" i="9" a="1"/>
  <c r="C228" i="9" s="1"/>
  <c r="D228" i="9" a="1"/>
  <c r="D228" i="9" s="1"/>
  <c r="F228" i="9" a="1"/>
  <c r="F228" i="9" s="1"/>
  <c r="G228" i="9" a="1"/>
  <c r="G228" i="9" s="1"/>
  <c r="H228" i="9" a="1"/>
  <c r="H228" i="9" s="1"/>
  <c r="I228" i="9" a="1"/>
  <c r="I228" i="9" s="1"/>
  <c r="J228" i="9" a="1"/>
  <c r="J228" i="9" s="1"/>
  <c r="A229" i="9" a="1"/>
  <c r="A229" i="9" s="1"/>
  <c r="B229" i="9" a="1"/>
  <c r="B229" i="9" s="1"/>
  <c r="C229" i="9" a="1"/>
  <c r="C229" i="9" s="1"/>
  <c r="D229" i="9" a="1"/>
  <c r="D229" i="9" s="1"/>
  <c r="F229" i="9" a="1"/>
  <c r="F229" i="9" s="1"/>
  <c r="G229" i="9" a="1"/>
  <c r="G229" i="9" s="1"/>
  <c r="H229" i="9" a="1"/>
  <c r="H229" i="9" s="1"/>
  <c r="I229" i="9" a="1"/>
  <c r="I229" i="9" s="1"/>
  <c r="J229" i="9" a="1"/>
  <c r="J229" i="9" s="1"/>
  <c r="A230" i="9" a="1"/>
  <c r="A230" i="9" s="1"/>
  <c r="B230" i="9" a="1"/>
  <c r="B230" i="9" s="1"/>
  <c r="C230" i="9" a="1"/>
  <c r="C230" i="9" s="1"/>
  <c r="D230" i="9" a="1"/>
  <c r="D230" i="9" s="1"/>
  <c r="F230" i="9" a="1"/>
  <c r="F230" i="9" s="1"/>
  <c r="G230" i="9" a="1"/>
  <c r="G230" i="9" s="1"/>
  <c r="H230" i="9" a="1"/>
  <c r="H230" i="9" s="1"/>
  <c r="I230" i="9" a="1"/>
  <c r="I230" i="9" s="1"/>
  <c r="J230" i="9" a="1"/>
  <c r="J230" i="9" s="1"/>
  <c r="A231" i="9" a="1"/>
  <c r="A231" i="9" s="1"/>
  <c r="B231" i="9" a="1"/>
  <c r="B231" i="9" s="1"/>
  <c r="C231" i="9" a="1"/>
  <c r="C231" i="9" s="1"/>
  <c r="D231" i="9" a="1"/>
  <c r="D231" i="9" s="1"/>
  <c r="F231" i="9" a="1"/>
  <c r="F231" i="9" s="1"/>
  <c r="G231" i="9" a="1"/>
  <c r="G231" i="9" s="1"/>
  <c r="H231" i="9" a="1"/>
  <c r="H231" i="9" s="1"/>
  <c r="I231" i="9" a="1"/>
  <c r="I231" i="9" s="1"/>
  <c r="J231" i="9" a="1"/>
  <c r="J231" i="9" s="1"/>
  <c r="A232" i="9" a="1"/>
  <c r="A232" i="9" s="1"/>
  <c r="B232" i="9" a="1"/>
  <c r="B232" i="9" s="1"/>
  <c r="C232" i="9" a="1"/>
  <c r="C232" i="9" s="1"/>
  <c r="D232" i="9" a="1"/>
  <c r="D232" i="9" s="1"/>
  <c r="F232" i="9" a="1"/>
  <c r="F232" i="9" s="1"/>
  <c r="G232" i="9" a="1"/>
  <c r="G232" i="9" s="1"/>
  <c r="H232" i="9" a="1"/>
  <c r="H232" i="9" s="1"/>
  <c r="I232" i="9" a="1"/>
  <c r="I232" i="9" s="1"/>
  <c r="J232" i="9" a="1"/>
  <c r="J232" i="9" s="1"/>
  <c r="A233" i="9" a="1"/>
  <c r="A233" i="9" s="1"/>
  <c r="B233" i="9" a="1"/>
  <c r="B233" i="9" s="1"/>
  <c r="C233" i="9" a="1"/>
  <c r="C233" i="9" s="1"/>
  <c r="D233" i="9" a="1"/>
  <c r="D233" i="9" s="1"/>
  <c r="F233" i="9" a="1"/>
  <c r="F233" i="9" s="1"/>
  <c r="G233" i="9" a="1"/>
  <c r="G233" i="9" s="1"/>
  <c r="H233" i="9" a="1"/>
  <c r="H233" i="9" s="1"/>
  <c r="I233" i="9" a="1"/>
  <c r="I233" i="9" s="1"/>
  <c r="J233" i="9" a="1"/>
  <c r="J233" i="9" s="1"/>
  <c r="A234" i="9" a="1"/>
  <c r="A234" i="9" s="1"/>
  <c r="B234" i="9" a="1"/>
  <c r="B234" i="9" s="1"/>
  <c r="C234" i="9" a="1"/>
  <c r="C234" i="9" s="1"/>
  <c r="D234" i="9" a="1"/>
  <c r="D234" i="9" s="1"/>
  <c r="F234" i="9" a="1"/>
  <c r="F234" i="9" s="1"/>
  <c r="G234" i="9" a="1"/>
  <c r="G234" i="9" s="1"/>
  <c r="H234" i="9" a="1"/>
  <c r="H234" i="9" s="1"/>
  <c r="I234" i="9" a="1"/>
  <c r="I234" i="9" s="1"/>
  <c r="J234" i="9" a="1"/>
  <c r="J234" i="9" s="1"/>
  <c r="A235" i="9" a="1"/>
  <c r="A235" i="9" s="1"/>
  <c r="B235" i="9" a="1"/>
  <c r="B235" i="9" s="1"/>
  <c r="C235" i="9" a="1"/>
  <c r="C235" i="9" s="1"/>
  <c r="D235" i="9" a="1"/>
  <c r="D235" i="9" s="1"/>
  <c r="F235" i="9" a="1"/>
  <c r="F235" i="9" s="1"/>
  <c r="G235" i="9" a="1"/>
  <c r="G235" i="9" s="1"/>
  <c r="H235" i="9" a="1"/>
  <c r="H235" i="9" s="1"/>
  <c r="I235" i="9" a="1"/>
  <c r="I235" i="9" s="1"/>
  <c r="J235" i="9" a="1"/>
  <c r="J235" i="9" s="1"/>
  <c r="A236" i="9" a="1"/>
  <c r="A236" i="9" s="1"/>
  <c r="B236" i="9" a="1"/>
  <c r="B236" i="9" s="1"/>
  <c r="C236" i="9" a="1"/>
  <c r="C236" i="9" s="1"/>
  <c r="D236" i="9" a="1"/>
  <c r="D236" i="9" s="1"/>
  <c r="F236" i="9" a="1"/>
  <c r="F236" i="9" s="1"/>
  <c r="G236" i="9" a="1"/>
  <c r="G236" i="9" s="1"/>
  <c r="H236" i="9" a="1"/>
  <c r="H236" i="9" s="1"/>
  <c r="I236" i="9" a="1"/>
  <c r="I236" i="9" s="1"/>
  <c r="J236" i="9" a="1"/>
  <c r="J236" i="9" s="1"/>
  <c r="A237" i="9" a="1"/>
  <c r="A237" i="9" s="1"/>
  <c r="B237" i="9" a="1"/>
  <c r="B237" i="9" s="1"/>
  <c r="C237" i="9" a="1"/>
  <c r="C237" i="9" s="1"/>
  <c r="D237" i="9" a="1"/>
  <c r="D237" i="9" s="1"/>
  <c r="F237" i="9" a="1"/>
  <c r="F237" i="9" s="1"/>
  <c r="G237" i="9" a="1"/>
  <c r="G237" i="9" s="1"/>
  <c r="H237" i="9" a="1"/>
  <c r="H237" i="9" s="1"/>
  <c r="I237" i="9" a="1"/>
  <c r="I237" i="9" s="1"/>
  <c r="J237" i="9" a="1"/>
  <c r="J237" i="9" s="1"/>
  <c r="A238" i="9" a="1"/>
  <c r="A238" i="9" s="1"/>
  <c r="B238" i="9" a="1"/>
  <c r="B238" i="9" s="1"/>
  <c r="C238" i="9" a="1"/>
  <c r="C238" i="9" s="1"/>
  <c r="D238" i="9" a="1"/>
  <c r="D238" i="9" s="1"/>
  <c r="F238" i="9" a="1"/>
  <c r="F238" i="9" s="1"/>
  <c r="G238" i="9" a="1"/>
  <c r="G238" i="9" s="1"/>
  <c r="H238" i="9" a="1"/>
  <c r="H238" i="9" s="1"/>
  <c r="I238" i="9" a="1"/>
  <c r="I238" i="9" s="1"/>
  <c r="J238" i="9" a="1"/>
  <c r="J238" i="9" s="1"/>
  <c r="A239" i="9" a="1"/>
  <c r="A239" i="9" s="1"/>
  <c r="B239" i="9" a="1"/>
  <c r="B239" i="9" s="1"/>
  <c r="C239" i="9" a="1"/>
  <c r="C239" i="9" s="1"/>
  <c r="D239" i="9" a="1"/>
  <c r="D239" i="9" s="1"/>
  <c r="F239" i="9" a="1"/>
  <c r="F239" i="9" s="1"/>
  <c r="G239" i="9" a="1"/>
  <c r="G239" i="9" s="1"/>
  <c r="H239" i="9" a="1"/>
  <c r="H239" i="9" s="1"/>
  <c r="I239" i="9" a="1"/>
  <c r="I239" i="9" s="1"/>
  <c r="J239" i="9" a="1"/>
  <c r="J239" i="9" s="1"/>
  <c r="A240" i="9" a="1"/>
  <c r="A240" i="9" s="1"/>
  <c r="B240" i="9" a="1"/>
  <c r="B240" i="9" s="1"/>
  <c r="C240" i="9" a="1"/>
  <c r="C240" i="9" s="1"/>
  <c r="D240" i="9" a="1"/>
  <c r="D240" i="9" s="1"/>
  <c r="F240" i="9" a="1"/>
  <c r="F240" i="9" s="1"/>
  <c r="G240" i="9" a="1"/>
  <c r="G240" i="9" s="1"/>
  <c r="H240" i="9" a="1"/>
  <c r="H240" i="9" s="1"/>
  <c r="I240" i="9" a="1"/>
  <c r="I240" i="9" s="1"/>
  <c r="J240" i="9" a="1"/>
  <c r="J240" i="9" s="1"/>
  <c r="A241" i="9" a="1"/>
  <c r="A241" i="9" s="1"/>
  <c r="B241" i="9" a="1"/>
  <c r="B241" i="9" s="1"/>
  <c r="C241" i="9" a="1"/>
  <c r="C241" i="9" s="1"/>
  <c r="D241" i="9" a="1"/>
  <c r="D241" i="9" s="1"/>
  <c r="F241" i="9" a="1"/>
  <c r="F241" i="9" s="1"/>
  <c r="G241" i="9" a="1"/>
  <c r="G241" i="9" s="1"/>
  <c r="H241" i="9" a="1"/>
  <c r="H241" i="9" s="1"/>
  <c r="I241" i="9" a="1"/>
  <c r="I241" i="9" s="1"/>
  <c r="J241" i="9" a="1"/>
  <c r="J241" i="9" s="1"/>
  <c r="A242" i="9" a="1"/>
  <c r="A242" i="9" s="1"/>
  <c r="B242" i="9" a="1"/>
  <c r="B242" i="9" s="1"/>
  <c r="C242" i="9" a="1"/>
  <c r="C242" i="9" s="1"/>
  <c r="D242" i="9" a="1"/>
  <c r="D242" i="9" s="1"/>
  <c r="F242" i="9" a="1"/>
  <c r="F242" i="9" s="1"/>
  <c r="G242" i="9" a="1"/>
  <c r="G242" i="9" s="1"/>
  <c r="H242" i="9" a="1"/>
  <c r="H242" i="9" s="1"/>
  <c r="I242" i="9" a="1"/>
  <c r="I242" i="9" s="1"/>
  <c r="J242" i="9" a="1"/>
  <c r="J242" i="9" s="1"/>
  <c r="A243" i="9" a="1"/>
  <c r="A243" i="9" s="1"/>
  <c r="B243" i="9" a="1"/>
  <c r="B243" i="9" s="1"/>
  <c r="C243" i="9" a="1"/>
  <c r="C243" i="9" s="1"/>
  <c r="D243" i="9" a="1"/>
  <c r="D243" i="9" s="1"/>
  <c r="F243" i="9" a="1"/>
  <c r="F243" i="9" s="1"/>
  <c r="G243" i="9" a="1"/>
  <c r="G243" i="9" s="1"/>
  <c r="H243" i="9" a="1"/>
  <c r="H243" i="9" s="1"/>
  <c r="I243" i="9" a="1"/>
  <c r="I243" i="9" s="1"/>
  <c r="J243" i="9" a="1"/>
  <c r="J243" i="9" s="1"/>
  <c r="A244" i="9" a="1"/>
  <c r="A244" i="9" s="1"/>
  <c r="B244" i="9" a="1"/>
  <c r="B244" i="9" s="1"/>
  <c r="C244" i="9" a="1"/>
  <c r="C244" i="9" s="1"/>
  <c r="D244" i="9" a="1"/>
  <c r="D244" i="9" s="1"/>
  <c r="F244" i="9" a="1"/>
  <c r="F244" i="9" s="1"/>
  <c r="G244" i="9" a="1"/>
  <c r="G244" i="9" s="1"/>
  <c r="H244" i="9" a="1"/>
  <c r="H244" i="9" s="1"/>
  <c r="I244" i="9" a="1"/>
  <c r="I244" i="9" s="1"/>
  <c r="J244" i="9" a="1"/>
  <c r="J244" i="9" s="1"/>
  <c r="A245" i="9" a="1"/>
  <c r="A245" i="9" s="1"/>
  <c r="B245" i="9" a="1"/>
  <c r="B245" i="9" s="1"/>
  <c r="C245" i="9" a="1"/>
  <c r="C245" i="9" s="1"/>
  <c r="D245" i="9" a="1"/>
  <c r="D245" i="9" s="1"/>
  <c r="F245" i="9" a="1"/>
  <c r="F245" i="9" s="1"/>
  <c r="G245" i="9" a="1"/>
  <c r="G245" i="9" s="1"/>
  <c r="H245" i="9" a="1"/>
  <c r="H245" i="9" s="1"/>
  <c r="I245" i="9" a="1"/>
  <c r="I245" i="9" s="1"/>
  <c r="J245" i="9" a="1"/>
  <c r="J245" i="9" s="1"/>
  <c r="A246" i="9" a="1"/>
  <c r="A246" i="9" s="1"/>
  <c r="B246" i="9" a="1"/>
  <c r="B246" i="9" s="1"/>
  <c r="C246" i="9" a="1"/>
  <c r="C246" i="9" s="1"/>
  <c r="D246" i="9" a="1"/>
  <c r="D246" i="9" s="1"/>
  <c r="F246" i="9" a="1"/>
  <c r="F246" i="9" s="1"/>
  <c r="G246" i="9" a="1"/>
  <c r="G246" i="9" s="1"/>
  <c r="H246" i="9" a="1"/>
  <c r="H246" i="9" s="1"/>
  <c r="I246" i="9" a="1"/>
  <c r="I246" i="9" s="1"/>
  <c r="J246" i="9" a="1"/>
  <c r="J246" i="9" s="1"/>
  <c r="A247" i="9" a="1"/>
  <c r="A247" i="9" s="1"/>
  <c r="B247" i="9" a="1"/>
  <c r="B247" i="9" s="1"/>
  <c r="C247" i="9" a="1"/>
  <c r="C247" i="9" s="1"/>
  <c r="D247" i="9" a="1"/>
  <c r="D247" i="9" s="1"/>
  <c r="F247" i="9" a="1"/>
  <c r="F247" i="9" s="1"/>
  <c r="G247" i="9" a="1"/>
  <c r="G247" i="9" s="1"/>
  <c r="H247" i="9" a="1"/>
  <c r="H247" i="9" s="1"/>
  <c r="I247" i="9" a="1"/>
  <c r="I247" i="9" s="1"/>
  <c r="J247" i="9" a="1"/>
  <c r="J247" i="9" s="1"/>
  <c r="A248" i="9" a="1"/>
  <c r="A248" i="9" s="1"/>
  <c r="B248" i="9" a="1"/>
  <c r="B248" i="9" s="1"/>
  <c r="C248" i="9" a="1"/>
  <c r="C248" i="9" s="1"/>
  <c r="D248" i="9" a="1"/>
  <c r="D248" i="9" s="1"/>
  <c r="F248" i="9" a="1"/>
  <c r="F248" i="9" s="1"/>
  <c r="G248" i="9" a="1"/>
  <c r="G248" i="9" s="1"/>
  <c r="H248" i="9" a="1"/>
  <c r="H248" i="9" s="1"/>
  <c r="I248" i="9" a="1"/>
  <c r="I248" i="9" s="1"/>
  <c r="J248" i="9" a="1"/>
  <c r="J248" i="9" s="1"/>
  <c r="A249" i="9" a="1"/>
  <c r="A249" i="9" s="1"/>
  <c r="B249" i="9" a="1"/>
  <c r="B249" i="9" s="1"/>
  <c r="C249" i="9" a="1"/>
  <c r="C249" i="9" s="1"/>
  <c r="D249" i="9" a="1"/>
  <c r="D249" i="9" s="1"/>
  <c r="F249" i="9" a="1"/>
  <c r="F249" i="9" s="1"/>
  <c r="G249" i="9" a="1"/>
  <c r="G249" i="9" s="1"/>
  <c r="H249" i="9" a="1"/>
  <c r="H249" i="9" s="1"/>
  <c r="I249" i="9" a="1"/>
  <c r="I249" i="9" s="1"/>
  <c r="J249" i="9" a="1"/>
  <c r="J249" i="9" s="1"/>
  <c r="A250" i="9" a="1"/>
  <c r="A250" i="9" s="1"/>
  <c r="B250" i="9" a="1"/>
  <c r="B250" i="9" s="1"/>
  <c r="C250" i="9" a="1"/>
  <c r="C250" i="9" s="1"/>
  <c r="D250" i="9" a="1"/>
  <c r="D250" i="9" s="1"/>
  <c r="F250" i="9" a="1"/>
  <c r="F250" i="9" s="1"/>
  <c r="G250" i="9" a="1"/>
  <c r="G250" i="9" s="1"/>
  <c r="H250" i="9" a="1"/>
  <c r="H250" i="9" s="1"/>
  <c r="I250" i="9" a="1"/>
  <c r="I250" i="9" s="1"/>
  <c r="J250" i="9" a="1"/>
  <c r="J250" i="9" s="1"/>
  <c r="A251" i="9" a="1"/>
  <c r="A251" i="9" s="1"/>
  <c r="B251" i="9" a="1"/>
  <c r="B251" i="9" s="1"/>
  <c r="C251" i="9" a="1"/>
  <c r="C251" i="9" s="1"/>
  <c r="D251" i="9" a="1"/>
  <c r="D251" i="9" s="1"/>
  <c r="F251" i="9" a="1"/>
  <c r="F251" i="9" s="1"/>
  <c r="G251" i="9" a="1"/>
  <c r="G251" i="9" s="1"/>
  <c r="H251" i="9" a="1"/>
  <c r="H251" i="9" s="1"/>
  <c r="I251" i="9" a="1"/>
  <c r="I251" i="9" s="1"/>
  <c r="J251" i="9" a="1"/>
  <c r="J251" i="9" s="1"/>
  <c r="A252" i="9" a="1"/>
  <c r="A252" i="9" s="1"/>
  <c r="B252" i="9" a="1"/>
  <c r="B252" i="9" s="1"/>
  <c r="C252" i="9" a="1"/>
  <c r="C252" i="9" s="1"/>
  <c r="D252" i="9" a="1"/>
  <c r="D252" i="9" s="1"/>
  <c r="F252" i="9" a="1"/>
  <c r="F252" i="9" s="1"/>
  <c r="G252" i="9" a="1"/>
  <c r="G252" i="9" s="1"/>
  <c r="H252" i="9" a="1"/>
  <c r="H252" i="9" s="1"/>
  <c r="I252" i="9" a="1"/>
  <c r="I252" i="9" s="1"/>
  <c r="J252" i="9" a="1"/>
  <c r="J252" i="9" s="1"/>
  <c r="A253" i="9" a="1"/>
  <c r="A253" i="9" s="1"/>
  <c r="B253" i="9" a="1"/>
  <c r="B253" i="9" s="1"/>
  <c r="C253" i="9" a="1"/>
  <c r="C253" i="9" s="1"/>
  <c r="D253" i="9" a="1"/>
  <c r="D253" i="9" s="1"/>
  <c r="F253" i="9" a="1"/>
  <c r="F253" i="9" s="1"/>
  <c r="G253" i="9" a="1"/>
  <c r="G253" i="9" s="1"/>
  <c r="H253" i="9" a="1"/>
  <c r="H253" i="9" s="1"/>
  <c r="I253" i="9" a="1"/>
  <c r="I253" i="9" s="1"/>
  <c r="J253" i="9" a="1"/>
  <c r="J253" i="9" s="1"/>
  <c r="A254" i="9" a="1"/>
  <c r="A254" i="9" s="1"/>
  <c r="B254" i="9" a="1"/>
  <c r="B254" i="9" s="1"/>
  <c r="C254" i="9" a="1"/>
  <c r="C254" i="9" s="1"/>
  <c r="D254" i="9" a="1"/>
  <c r="D254" i="9" s="1"/>
  <c r="F254" i="9" a="1"/>
  <c r="F254" i="9" s="1"/>
  <c r="G254" i="9" a="1"/>
  <c r="G254" i="9" s="1"/>
  <c r="H254" i="9" a="1"/>
  <c r="H254" i="9" s="1"/>
  <c r="I254" i="9" a="1"/>
  <c r="I254" i="9" s="1"/>
  <c r="J254" i="9" a="1"/>
  <c r="J254" i="9" s="1"/>
  <c r="A255" i="9" a="1"/>
  <c r="A255" i="9" s="1"/>
  <c r="B255" i="9" a="1"/>
  <c r="B255" i="9" s="1"/>
  <c r="C255" i="9" a="1"/>
  <c r="C255" i="9" s="1"/>
  <c r="D255" i="9" a="1"/>
  <c r="D255" i="9" s="1"/>
  <c r="F255" i="9" a="1"/>
  <c r="F255" i="9" s="1"/>
  <c r="G255" i="9" a="1"/>
  <c r="G255" i="9" s="1"/>
  <c r="H255" i="9" a="1"/>
  <c r="H255" i="9" s="1"/>
  <c r="I255" i="9" a="1"/>
  <c r="I255" i="9" s="1"/>
  <c r="J255" i="9" a="1"/>
  <c r="J255" i="9" s="1"/>
  <c r="A256" i="9" a="1"/>
  <c r="A256" i="9" s="1"/>
  <c r="B256" i="9" a="1"/>
  <c r="B256" i="9" s="1"/>
  <c r="C256" i="9" a="1"/>
  <c r="C256" i="9" s="1"/>
  <c r="D256" i="9" a="1"/>
  <c r="D256" i="9" s="1"/>
  <c r="F256" i="9" a="1"/>
  <c r="F256" i="9" s="1"/>
  <c r="G256" i="9" a="1"/>
  <c r="G256" i="9" s="1"/>
  <c r="H256" i="9" a="1"/>
  <c r="H256" i="9" s="1"/>
  <c r="I256" i="9" a="1"/>
  <c r="I256" i="9" s="1"/>
  <c r="J256" i="9" a="1"/>
  <c r="J256" i="9" s="1"/>
  <c r="A257" i="9" a="1"/>
  <c r="A257" i="9" s="1"/>
  <c r="B257" i="9" a="1"/>
  <c r="B257" i="9" s="1"/>
  <c r="C257" i="9" a="1"/>
  <c r="C257" i="9" s="1"/>
  <c r="D257" i="9" a="1"/>
  <c r="D257" i="9" s="1"/>
  <c r="F257" i="9" a="1"/>
  <c r="F257" i="9" s="1"/>
  <c r="G257" i="9" a="1"/>
  <c r="G257" i="9" s="1"/>
  <c r="H257" i="9" a="1"/>
  <c r="H257" i="9" s="1"/>
  <c r="I257" i="9" a="1"/>
  <c r="I257" i="9" s="1"/>
  <c r="J257" i="9" a="1"/>
  <c r="J257" i="9" s="1"/>
  <c r="A258" i="9" a="1"/>
  <c r="A258" i="9" s="1"/>
  <c r="B258" i="9" a="1"/>
  <c r="B258" i="9" s="1"/>
  <c r="C258" i="9" a="1"/>
  <c r="C258" i="9" s="1"/>
  <c r="D258" i="9" a="1"/>
  <c r="D258" i="9" s="1"/>
  <c r="F258" i="9" a="1"/>
  <c r="F258" i="9" s="1"/>
  <c r="G258" i="9" a="1"/>
  <c r="G258" i="9" s="1"/>
  <c r="H258" i="9" a="1"/>
  <c r="H258" i="9" s="1"/>
  <c r="I258" i="9" a="1"/>
  <c r="I258" i="9" s="1"/>
  <c r="J258" i="9" a="1"/>
  <c r="J258" i="9" s="1"/>
  <c r="A259" i="9" a="1"/>
  <c r="A259" i="9" s="1"/>
  <c r="B259" i="9" a="1"/>
  <c r="B259" i="9" s="1"/>
  <c r="C259" i="9" a="1"/>
  <c r="C259" i="9" s="1"/>
  <c r="D259" i="9" a="1"/>
  <c r="D259" i="9" s="1"/>
  <c r="F259" i="9" a="1"/>
  <c r="F259" i="9" s="1"/>
  <c r="G259" i="9" a="1"/>
  <c r="G259" i="9" s="1"/>
  <c r="H259" i="9" a="1"/>
  <c r="H259" i="9" s="1"/>
  <c r="I259" i="9" a="1"/>
  <c r="I259" i="9" s="1"/>
  <c r="J259" i="9" a="1"/>
  <c r="J259" i="9" s="1"/>
  <c r="A260" i="9" a="1"/>
  <c r="A260" i="9" s="1"/>
  <c r="B260" i="9" a="1"/>
  <c r="B260" i="9" s="1"/>
  <c r="C260" i="9" a="1"/>
  <c r="C260" i="9" s="1"/>
  <c r="D260" i="9" a="1"/>
  <c r="D260" i="9" s="1"/>
  <c r="F260" i="9" a="1"/>
  <c r="F260" i="9" s="1"/>
  <c r="G260" i="9" a="1"/>
  <c r="G260" i="9" s="1"/>
  <c r="H260" i="9" a="1"/>
  <c r="H260" i="9" s="1"/>
  <c r="I260" i="9" a="1"/>
  <c r="I260" i="9" s="1"/>
  <c r="J260" i="9" a="1"/>
  <c r="J260" i="9" s="1"/>
  <c r="A261" i="9" a="1"/>
  <c r="A261" i="9" s="1"/>
  <c r="B261" i="9" a="1"/>
  <c r="B261" i="9" s="1"/>
  <c r="C261" i="9" a="1"/>
  <c r="C261" i="9" s="1"/>
  <c r="D261" i="9" a="1"/>
  <c r="D261" i="9" s="1"/>
  <c r="F261" i="9" a="1"/>
  <c r="F261" i="9" s="1"/>
  <c r="G261" i="9" a="1"/>
  <c r="G261" i="9" s="1"/>
  <c r="H261" i="9" a="1"/>
  <c r="H261" i="9" s="1"/>
  <c r="I261" i="9" a="1"/>
  <c r="I261" i="9" s="1"/>
  <c r="J261" i="9" a="1"/>
  <c r="J261" i="9" s="1"/>
  <c r="A262" i="9" a="1"/>
  <c r="A262" i="9" s="1"/>
  <c r="B262" i="9" a="1"/>
  <c r="B262" i="9" s="1"/>
  <c r="C262" i="9" a="1"/>
  <c r="C262" i="9" s="1"/>
  <c r="D262" i="9" a="1"/>
  <c r="D262" i="9" s="1"/>
  <c r="F262" i="9" a="1"/>
  <c r="F262" i="9" s="1"/>
  <c r="G262" i="9" a="1"/>
  <c r="G262" i="9" s="1"/>
  <c r="H262" i="9" a="1"/>
  <c r="H262" i="9" s="1"/>
  <c r="I262" i="9" a="1"/>
  <c r="I262" i="9" s="1"/>
  <c r="J262" i="9" a="1"/>
  <c r="J262" i="9" s="1"/>
  <c r="A263" i="9" a="1"/>
  <c r="A263" i="9" s="1"/>
  <c r="B263" i="9" a="1"/>
  <c r="B263" i="9" s="1"/>
  <c r="C263" i="9" a="1"/>
  <c r="C263" i="9" s="1"/>
  <c r="D263" i="9" a="1"/>
  <c r="D263" i="9" s="1"/>
  <c r="F263" i="9" a="1"/>
  <c r="F263" i="9" s="1"/>
  <c r="G263" i="9" a="1"/>
  <c r="G263" i="9" s="1"/>
  <c r="H263" i="9" a="1"/>
  <c r="H263" i="9" s="1"/>
  <c r="I263" i="9" a="1"/>
  <c r="I263" i="9" s="1"/>
  <c r="J263" i="9" a="1"/>
  <c r="J263" i="9" s="1"/>
  <c r="A264" i="9" a="1"/>
  <c r="A264" i="9" s="1"/>
  <c r="B264" i="9" a="1"/>
  <c r="B264" i="9" s="1"/>
  <c r="C264" i="9" a="1"/>
  <c r="C264" i="9" s="1"/>
  <c r="D264" i="9" a="1"/>
  <c r="D264" i="9" s="1"/>
  <c r="F264" i="9" a="1"/>
  <c r="F264" i="9" s="1"/>
  <c r="G264" i="9" a="1"/>
  <c r="G264" i="9" s="1"/>
  <c r="H264" i="9" a="1"/>
  <c r="H264" i="9" s="1"/>
  <c r="I264" i="9" a="1"/>
  <c r="I264" i="9" s="1"/>
  <c r="J264" i="9" a="1"/>
  <c r="J264" i="9" s="1"/>
  <c r="A265" i="9" a="1"/>
  <c r="A265" i="9" s="1"/>
  <c r="B265" i="9" a="1"/>
  <c r="B265" i="9" s="1"/>
  <c r="C265" i="9" a="1"/>
  <c r="C265" i="9" s="1"/>
  <c r="D265" i="9" a="1"/>
  <c r="D265" i="9" s="1"/>
  <c r="F265" i="9" a="1"/>
  <c r="F265" i="9" s="1"/>
  <c r="G265" i="9" a="1"/>
  <c r="G265" i="9" s="1"/>
  <c r="H265" i="9" a="1"/>
  <c r="H265" i="9" s="1"/>
  <c r="I265" i="9" a="1"/>
  <c r="I265" i="9" s="1"/>
  <c r="J265" i="9" a="1"/>
  <c r="J265" i="9" s="1"/>
  <c r="A266" i="9" a="1"/>
  <c r="A266" i="9" s="1"/>
  <c r="B266" i="9" a="1"/>
  <c r="B266" i="9" s="1"/>
  <c r="C266" i="9" a="1"/>
  <c r="C266" i="9" s="1"/>
  <c r="D266" i="9" a="1"/>
  <c r="D266" i="9" s="1"/>
  <c r="F266" i="9" a="1"/>
  <c r="F266" i="9" s="1"/>
  <c r="G266" i="9" a="1"/>
  <c r="G266" i="9" s="1"/>
  <c r="H266" i="9" a="1"/>
  <c r="H266" i="9" s="1"/>
  <c r="I266" i="9" a="1"/>
  <c r="I266" i="9" s="1"/>
  <c r="J266" i="9" a="1"/>
  <c r="J266" i="9" s="1"/>
  <c r="A267" i="9" a="1"/>
  <c r="A267" i="9" s="1"/>
  <c r="B267" i="9" a="1"/>
  <c r="B267" i="9" s="1"/>
  <c r="C267" i="9" a="1"/>
  <c r="C267" i="9" s="1"/>
  <c r="D267" i="9" a="1"/>
  <c r="D267" i="9" s="1"/>
  <c r="F267" i="9" a="1"/>
  <c r="F267" i="9" s="1"/>
  <c r="G267" i="9" a="1"/>
  <c r="G267" i="9" s="1"/>
  <c r="H267" i="9" a="1"/>
  <c r="H267" i="9" s="1"/>
  <c r="I267" i="9" a="1"/>
  <c r="I267" i="9" s="1"/>
  <c r="J267" i="9" a="1"/>
  <c r="J267" i="9" s="1"/>
  <c r="A268" i="9" a="1"/>
  <c r="A268" i="9" s="1"/>
  <c r="B268" i="9" a="1"/>
  <c r="B268" i="9" s="1"/>
  <c r="C268" i="9" a="1"/>
  <c r="C268" i="9" s="1"/>
  <c r="D268" i="9" a="1"/>
  <c r="D268" i="9" s="1"/>
  <c r="F268" i="9" a="1"/>
  <c r="F268" i="9" s="1"/>
  <c r="G268" i="9" a="1"/>
  <c r="G268" i="9" s="1"/>
  <c r="H268" i="9" a="1"/>
  <c r="H268" i="9" s="1"/>
  <c r="I268" i="9" a="1"/>
  <c r="I268" i="9" s="1"/>
  <c r="J268" i="9" a="1"/>
  <c r="J268" i="9" s="1"/>
  <c r="A269" i="9" a="1"/>
  <c r="A269" i="9" s="1"/>
  <c r="B269" i="9" a="1"/>
  <c r="B269" i="9" s="1"/>
  <c r="C269" i="9" a="1"/>
  <c r="C269" i="9" s="1"/>
  <c r="D269" i="9" a="1"/>
  <c r="D269" i="9" s="1"/>
  <c r="F269" i="9" a="1"/>
  <c r="F269" i="9" s="1"/>
  <c r="G269" i="9" a="1"/>
  <c r="G269" i="9" s="1"/>
  <c r="H269" i="9" a="1"/>
  <c r="H269" i="9" s="1"/>
  <c r="I269" i="9" a="1"/>
  <c r="I269" i="9" s="1"/>
  <c r="J269" i="9" a="1"/>
  <c r="J269" i="9" s="1"/>
  <c r="A270" i="9" a="1"/>
  <c r="A270" i="9" s="1"/>
  <c r="B270" i="9" a="1"/>
  <c r="B270" i="9" s="1"/>
  <c r="C270" i="9" a="1"/>
  <c r="C270" i="9" s="1"/>
  <c r="D270" i="9" a="1"/>
  <c r="D270" i="9" s="1"/>
  <c r="F270" i="9" a="1"/>
  <c r="F270" i="9" s="1"/>
  <c r="G270" i="9" a="1"/>
  <c r="G270" i="9" s="1"/>
  <c r="H270" i="9" a="1"/>
  <c r="H270" i="9" s="1"/>
  <c r="I270" i="9" a="1"/>
  <c r="I270" i="9" s="1"/>
  <c r="J270" i="9" a="1"/>
  <c r="J270" i="9" s="1"/>
  <c r="A271" i="9" a="1"/>
  <c r="A271" i="9" s="1"/>
  <c r="B271" i="9" a="1"/>
  <c r="B271" i="9" s="1"/>
  <c r="C271" i="9" a="1"/>
  <c r="C271" i="9" s="1"/>
  <c r="D271" i="9" a="1"/>
  <c r="D271" i="9" s="1"/>
  <c r="F271" i="9" a="1"/>
  <c r="F271" i="9" s="1"/>
  <c r="G271" i="9" a="1"/>
  <c r="G271" i="9" s="1"/>
  <c r="H271" i="9" a="1"/>
  <c r="H271" i="9" s="1"/>
  <c r="I271" i="9" a="1"/>
  <c r="I271" i="9" s="1"/>
  <c r="J271" i="9" a="1"/>
  <c r="J271" i="9" s="1"/>
  <c r="A272" i="9" a="1"/>
  <c r="A272" i="9" s="1"/>
  <c r="B272" i="9" a="1"/>
  <c r="B272" i="9" s="1"/>
  <c r="C272" i="9" a="1"/>
  <c r="C272" i="9" s="1"/>
  <c r="D272" i="9" a="1"/>
  <c r="D272" i="9" s="1"/>
  <c r="F272" i="9" a="1"/>
  <c r="F272" i="9" s="1"/>
  <c r="G272" i="9" a="1"/>
  <c r="G272" i="9" s="1"/>
  <c r="H272" i="9" a="1"/>
  <c r="H272" i="9" s="1"/>
  <c r="I272" i="9" a="1"/>
  <c r="I272" i="9" s="1"/>
  <c r="J272" i="9" a="1"/>
  <c r="J272" i="9" s="1"/>
  <c r="A273" i="9" a="1"/>
  <c r="A273" i="9" s="1"/>
  <c r="B273" i="9" a="1"/>
  <c r="B273" i="9" s="1"/>
  <c r="C273" i="9" a="1"/>
  <c r="C273" i="9" s="1"/>
  <c r="D273" i="9" a="1"/>
  <c r="D273" i="9" s="1"/>
  <c r="F273" i="9" a="1"/>
  <c r="F273" i="9" s="1"/>
  <c r="G273" i="9" a="1"/>
  <c r="G273" i="9" s="1"/>
  <c r="H273" i="9" a="1"/>
  <c r="H273" i="9" s="1"/>
  <c r="I273" i="9" a="1"/>
  <c r="I273" i="9" s="1"/>
  <c r="J273" i="9" a="1"/>
  <c r="J273" i="9" s="1"/>
  <c r="A274" i="9" a="1"/>
  <c r="A274" i="9" s="1"/>
  <c r="B274" i="9" a="1"/>
  <c r="B274" i="9" s="1"/>
  <c r="C274" i="9" a="1"/>
  <c r="C274" i="9" s="1"/>
  <c r="D274" i="9" a="1"/>
  <c r="D274" i="9" s="1"/>
  <c r="F274" i="9" a="1"/>
  <c r="F274" i="9" s="1"/>
  <c r="G274" i="9" a="1"/>
  <c r="G274" i="9" s="1"/>
  <c r="H274" i="9" a="1"/>
  <c r="H274" i="9" s="1"/>
  <c r="I274" i="9" a="1"/>
  <c r="I274" i="9" s="1"/>
  <c r="J274" i="9" a="1"/>
  <c r="J274" i="9" s="1"/>
  <c r="A275" i="9" a="1"/>
  <c r="A275" i="9" s="1"/>
  <c r="B275" i="9" a="1"/>
  <c r="B275" i="9" s="1"/>
  <c r="C275" i="9" a="1"/>
  <c r="C275" i="9" s="1"/>
  <c r="D275" i="9" a="1"/>
  <c r="D275" i="9" s="1"/>
  <c r="F275" i="9" a="1"/>
  <c r="F275" i="9" s="1"/>
  <c r="G275" i="9" a="1"/>
  <c r="G275" i="9" s="1"/>
  <c r="H275" i="9" a="1"/>
  <c r="H275" i="9" s="1"/>
  <c r="I275" i="9" a="1"/>
  <c r="I275" i="9" s="1"/>
  <c r="J275" i="9" a="1"/>
  <c r="J275" i="9" s="1"/>
  <c r="A276" i="9" a="1"/>
  <c r="A276" i="9" s="1"/>
  <c r="B276" i="9" a="1"/>
  <c r="B276" i="9" s="1"/>
  <c r="C276" i="9" a="1"/>
  <c r="C276" i="9" s="1"/>
  <c r="D276" i="9" a="1"/>
  <c r="D276" i="9" s="1"/>
  <c r="F276" i="9" a="1"/>
  <c r="F276" i="9" s="1"/>
  <c r="G276" i="9" a="1"/>
  <c r="G276" i="9" s="1"/>
  <c r="H276" i="9" a="1"/>
  <c r="H276" i="9" s="1"/>
  <c r="I276" i="9" a="1"/>
  <c r="I276" i="9" s="1"/>
  <c r="J276" i="9" a="1"/>
  <c r="J276" i="9" s="1"/>
  <c r="A277" i="9" a="1"/>
  <c r="A277" i="9" s="1"/>
  <c r="B277" i="9" a="1"/>
  <c r="B277" i="9" s="1"/>
  <c r="C277" i="9" a="1"/>
  <c r="C277" i="9" s="1"/>
  <c r="D277" i="9" a="1"/>
  <c r="D277" i="9" s="1"/>
  <c r="F277" i="9" a="1"/>
  <c r="F277" i="9" s="1"/>
  <c r="G277" i="9" a="1"/>
  <c r="G277" i="9" s="1"/>
  <c r="H277" i="9" a="1"/>
  <c r="H277" i="9" s="1"/>
  <c r="I277" i="9" a="1"/>
  <c r="I277" i="9" s="1"/>
  <c r="J277" i="9" a="1"/>
  <c r="J277" i="9" s="1"/>
  <c r="A278" i="9" a="1"/>
  <c r="A278" i="9" s="1"/>
  <c r="B278" i="9" a="1"/>
  <c r="B278" i="9" s="1"/>
  <c r="C278" i="9" a="1"/>
  <c r="C278" i="9" s="1"/>
  <c r="D278" i="9" a="1"/>
  <c r="D278" i="9" s="1"/>
  <c r="F278" i="9" a="1"/>
  <c r="F278" i="9" s="1"/>
  <c r="G278" i="9" a="1"/>
  <c r="G278" i="9" s="1"/>
  <c r="H278" i="9" a="1"/>
  <c r="H278" i="9" s="1"/>
  <c r="I278" i="9" a="1"/>
  <c r="I278" i="9" s="1"/>
  <c r="J278" i="9" a="1"/>
  <c r="J278" i="9" s="1"/>
  <c r="A279" i="9" a="1"/>
  <c r="A279" i="9" s="1"/>
  <c r="B279" i="9" a="1"/>
  <c r="B279" i="9" s="1"/>
  <c r="C279" i="9" a="1"/>
  <c r="C279" i="9" s="1"/>
  <c r="D279" i="9" a="1"/>
  <c r="D279" i="9" s="1"/>
  <c r="F279" i="9" a="1"/>
  <c r="F279" i="9" s="1"/>
  <c r="G279" i="9" a="1"/>
  <c r="G279" i="9" s="1"/>
  <c r="H279" i="9" a="1"/>
  <c r="H279" i="9" s="1"/>
  <c r="I279" i="9" a="1"/>
  <c r="I279" i="9" s="1"/>
  <c r="J279" i="9" a="1"/>
  <c r="J279" i="9" s="1"/>
  <c r="A280" i="9" a="1"/>
  <c r="A280" i="9" s="1"/>
  <c r="B280" i="9" a="1"/>
  <c r="B280" i="9" s="1"/>
  <c r="C280" i="9" a="1"/>
  <c r="C280" i="9" s="1"/>
  <c r="D280" i="9" a="1"/>
  <c r="D280" i="9" s="1"/>
  <c r="F280" i="9" a="1"/>
  <c r="F280" i="9" s="1"/>
  <c r="G280" i="9" a="1"/>
  <c r="G280" i="9" s="1"/>
  <c r="H280" i="9" a="1"/>
  <c r="H280" i="9" s="1"/>
  <c r="I280" i="9" a="1"/>
  <c r="I280" i="9" s="1"/>
  <c r="J280" i="9" a="1"/>
  <c r="J280" i="9" s="1"/>
  <c r="A281" i="9" a="1"/>
  <c r="A281" i="9" s="1"/>
  <c r="B281" i="9" a="1"/>
  <c r="B281" i="9" s="1"/>
  <c r="C281" i="9" a="1"/>
  <c r="C281" i="9" s="1"/>
  <c r="D281" i="9" a="1"/>
  <c r="D281" i="9" s="1"/>
  <c r="F281" i="9" a="1"/>
  <c r="F281" i="9" s="1"/>
  <c r="G281" i="9" a="1"/>
  <c r="G281" i="9" s="1"/>
  <c r="H281" i="9" a="1"/>
  <c r="H281" i="9" s="1"/>
  <c r="I281" i="9" a="1"/>
  <c r="I281" i="9" s="1"/>
  <c r="J281" i="9" a="1"/>
  <c r="J281" i="9" s="1"/>
  <c r="A282" i="9" a="1"/>
  <c r="A282" i="9" s="1"/>
  <c r="B282" i="9" a="1"/>
  <c r="B282" i="9" s="1"/>
  <c r="C282" i="9" a="1"/>
  <c r="C282" i="9" s="1"/>
  <c r="D282" i="9" a="1"/>
  <c r="D282" i="9" s="1"/>
  <c r="F282" i="9" a="1"/>
  <c r="F282" i="9" s="1"/>
  <c r="G282" i="9" a="1"/>
  <c r="G282" i="9" s="1"/>
  <c r="H282" i="9" a="1"/>
  <c r="H282" i="9" s="1"/>
  <c r="I282" i="9" a="1"/>
  <c r="I282" i="9" s="1"/>
  <c r="J282" i="9" a="1"/>
  <c r="J282" i="9" s="1"/>
  <c r="A283" i="9" a="1"/>
  <c r="A283" i="9" s="1"/>
  <c r="B283" i="9" a="1"/>
  <c r="B283" i="9" s="1"/>
  <c r="C283" i="9" a="1"/>
  <c r="C283" i="9" s="1"/>
  <c r="D283" i="9" a="1"/>
  <c r="D283" i="9" s="1"/>
  <c r="F283" i="9" a="1"/>
  <c r="F283" i="9" s="1"/>
  <c r="G283" i="9" a="1"/>
  <c r="G283" i="9" s="1"/>
  <c r="H283" i="9" a="1"/>
  <c r="H283" i="9" s="1"/>
  <c r="I283" i="9" a="1"/>
  <c r="I283" i="9" s="1"/>
  <c r="J283" i="9" a="1"/>
  <c r="J283" i="9" s="1"/>
  <c r="A284" i="9" a="1"/>
  <c r="A284" i="9" s="1"/>
  <c r="B284" i="9" a="1"/>
  <c r="B284" i="9" s="1"/>
  <c r="C284" i="9" a="1"/>
  <c r="C284" i="9" s="1"/>
  <c r="D284" i="9" a="1"/>
  <c r="D284" i="9" s="1"/>
  <c r="F284" i="9" a="1"/>
  <c r="F284" i="9" s="1"/>
  <c r="G284" i="9" a="1"/>
  <c r="G284" i="9" s="1"/>
  <c r="H284" i="9" a="1"/>
  <c r="H284" i="9" s="1"/>
  <c r="I284" i="9" a="1"/>
  <c r="I284" i="9" s="1"/>
  <c r="J284" i="9" a="1"/>
  <c r="J284" i="9" s="1"/>
  <c r="A285" i="9" a="1"/>
  <c r="A285" i="9" s="1"/>
  <c r="B285" i="9" a="1"/>
  <c r="B285" i="9" s="1"/>
  <c r="C285" i="9" a="1"/>
  <c r="C285" i="9" s="1"/>
  <c r="D285" i="9" a="1"/>
  <c r="D285" i="9" s="1"/>
  <c r="F285" i="9" a="1"/>
  <c r="F285" i="9" s="1"/>
  <c r="G285" i="9" a="1"/>
  <c r="G285" i="9" s="1"/>
  <c r="H285" i="9" a="1"/>
  <c r="H285" i="9" s="1"/>
  <c r="I285" i="9" a="1"/>
  <c r="I285" i="9" s="1"/>
  <c r="J285" i="9" a="1"/>
  <c r="J285" i="9" s="1"/>
  <c r="A286" i="9" a="1"/>
  <c r="A286" i="9" s="1"/>
  <c r="B286" i="9" a="1"/>
  <c r="B286" i="9" s="1"/>
  <c r="C286" i="9" a="1"/>
  <c r="C286" i="9" s="1"/>
  <c r="D286" i="9" a="1"/>
  <c r="D286" i="9" s="1"/>
  <c r="F286" i="9" a="1"/>
  <c r="F286" i="9" s="1"/>
  <c r="G286" i="9" a="1"/>
  <c r="G286" i="9" s="1"/>
  <c r="H286" i="9" a="1"/>
  <c r="H286" i="9" s="1"/>
  <c r="I286" i="9" a="1"/>
  <c r="I286" i="9" s="1"/>
  <c r="J286" i="9" a="1"/>
  <c r="J286" i="9" s="1"/>
  <c r="A287" i="9" a="1"/>
  <c r="A287" i="9" s="1"/>
  <c r="B287" i="9" a="1"/>
  <c r="B287" i="9" s="1"/>
  <c r="C287" i="9" a="1"/>
  <c r="C287" i="9" s="1"/>
  <c r="D287" i="9" a="1"/>
  <c r="D287" i="9" s="1"/>
  <c r="F287" i="9" a="1"/>
  <c r="F287" i="9" s="1"/>
  <c r="G287" i="9" a="1"/>
  <c r="G287" i="9" s="1"/>
  <c r="H287" i="9" a="1"/>
  <c r="H287" i="9" s="1"/>
  <c r="I287" i="9" a="1"/>
  <c r="I287" i="9" s="1"/>
  <c r="J287" i="9" a="1"/>
  <c r="J287" i="9" s="1"/>
  <c r="A288" i="9" a="1"/>
  <c r="A288" i="9" s="1"/>
  <c r="B288" i="9" a="1"/>
  <c r="B288" i="9" s="1"/>
  <c r="C288" i="9" a="1"/>
  <c r="C288" i="9" s="1"/>
  <c r="D288" i="9" a="1"/>
  <c r="D288" i="9" s="1"/>
  <c r="F288" i="9" a="1"/>
  <c r="F288" i="9" s="1"/>
  <c r="G288" i="9" a="1"/>
  <c r="G288" i="9" s="1"/>
  <c r="H288" i="9" a="1"/>
  <c r="H288" i="9" s="1"/>
  <c r="I288" i="9" a="1"/>
  <c r="I288" i="9" s="1"/>
  <c r="J288" i="9" a="1"/>
  <c r="J288" i="9" s="1"/>
  <c r="A289" i="9" a="1"/>
  <c r="A289" i="9" s="1"/>
  <c r="B289" i="9" a="1"/>
  <c r="B289" i="9" s="1"/>
  <c r="C289" i="9" a="1"/>
  <c r="C289" i="9" s="1"/>
  <c r="D289" i="9" a="1"/>
  <c r="D289" i="9" s="1"/>
  <c r="F289" i="9" a="1"/>
  <c r="F289" i="9" s="1"/>
  <c r="G289" i="9" a="1"/>
  <c r="G289" i="9" s="1"/>
  <c r="H289" i="9" a="1"/>
  <c r="H289" i="9" s="1"/>
  <c r="I289" i="9" a="1"/>
  <c r="I289" i="9" s="1"/>
  <c r="J289" i="9" a="1"/>
  <c r="J289" i="9" s="1"/>
  <c r="A290" i="9" a="1"/>
  <c r="A290" i="9" s="1"/>
  <c r="B290" i="9" a="1"/>
  <c r="B290" i="9" s="1"/>
  <c r="C290" i="9" a="1"/>
  <c r="C290" i="9" s="1"/>
  <c r="D290" i="9" a="1"/>
  <c r="D290" i="9" s="1"/>
  <c r="F290" i="9" a="1"/>
  <c r="F290" i="9" s="1"/>
  <c r="G290" i="9" a="1"/>
  <c r="G290" i="9" s="1"/>
  <c r="H290" i="9" a="1"/>
  <c r="H290" i="9" s="1"/>
  <c r="I290" i="9" a="1"/>
  <c r="I290" i="9" s="1"/>
  <c r="J290" i="9" a="1"/>
  <c r="J290" i="9" s="1"/>
  <c r="A291" i="9" a="1"/>
  <c r="A291" i="9" s="1"/>
  <c r="B291" i="9" a="1"/>
  <c r="B291" i="9" s="1"/>
  <c r="C291" i="9" a="1"/>
  <c r="C291" i="9" s="1"/>
  <c r="D291" i="9" a="1"/>
  <c r="D291" i="9" s="1"/>
  <c r="F291" i="9" a="1"/>
  <c r="F291" i="9" s="1"/>
  <c r="G291" i="9" a="1"/>
  <c r="G291" i="9" s="1"/>
  <c r="H291" i="9" a="1"/>
  <c r="H291" i="9" s="1"/>
  <c r="I291" i="9" a="1"/>
  <c r="I291" i="9" s="1"/>
  <c r="J291" i="9" a="1"/>
  <c r="J291" i="9" s="1"/>
  <c r="A292" i="9" a="1"/>
  <c r="A292" i="9" s="1"/>
  <c r="B292" i="9" a="1"/>
  <c r="B292" i="9" s="1"/>
  <c r="C292" i="9" a="1"/>
  <c r="C292" i="9" s="1"/>
  <c r="D292" i="9" a="1"/>
  <c r="D292" i="9" s="1"/>
  <c r="F292" i="9" a="1"/>
  <c r="F292" i="9" s="1"/>
  <c r="G292" i="9" a="1"/>
  <c r="G292" i="9" s="1"/>
  <c r="H292" i="9" a="1"/>
  <c r="H292" i="9" s="1"/>
  <c r="I292" i="9" a="1"/>
  <c r="I292" i="9" s="1"/>
  <c r="J292" i="9" a="1"/>
  <c r="J292" i="9" s="1"/>
  <c r="A293" i="9" a="1"/>
  <c r="A293" i="9" s="1"/>
  <c r="B293" i="9" a="1"/>
  <c r="B293" i="9" s="1"/>
  <c r="C293" i="9" a="1"/>
  <c r="C293" i="9" s="1"/>
  <c r="D293" i="9" a="1"/>
  <c r="D293" i="9" s="1"/>
  <c r="F293" i="9" a="1"/>
  <c r="F293" i="9" s="1"/>
  <c r="G293" i="9" a="1"/>
  <c r="G293" i="9" s="1"/>
  <c r="H293" i="9" a="1"/>
  <c r="H293" i="9" s="1"/>
  <c r="I293" i="9" a="1"/>
  <c r="I293" i="9" s="1"/>
  <c r="J293" i="9" a="1"/>
  <c r="J293" i="9" s="1"/>
  <c r="A294" i="9" a="1"/>
  <c r="A294" i="9" s="1"/>
  <c r="B294" i="9" a="1"/>
  <c r="B294" i="9" s="1"/>
  <c r="C294" i="9" a="1"/>
  <c r="C294" i="9" s="1"/>
  <c r="D294" i="9" a="1"/>
  <c r="D294" i="9" s="1"/>
  <c r="F294" i="9" a="1"/>
  <c r="F294" i="9" s="1"/>
  <c r="G294" i="9" a="1"/>
  <c r="G294" i="9" s="1"/>
  <c r="H294" i="9" a="1"/>
  <c r="H294" i="9" s="1"/>
  <c r="I294" i="9" a="1"/>
  <c r="I294" i="9" s="1"/>
  <c r="J294" i="9" a="1"/>
  <c r="J294" i="9" s="1"/>
  <c r="A295" i="9" a="1"/>
  <c r="A295" i="9" s="1"/>
  <c r="B295" i="9" a="1"/>
  <c r="B295" i="9" s="1"/>
  <c r="C295" i="9" a="1"/>
  <c r="C295" i="9" s="1"/>
  <c r="D295" i="9" a="1"/>
  <c r="D295" i="9" s="1"/>
  <c r="F295" i="9" a="1"/>
  <c r="F295" i="9" s="1"/>
  <c r="G295" i="9" a="1"/>
  <c r="G295" i="9" s="1"/>
  <c r="H295" i="9" a="1"/>
  <c r="H295" i="9" s="1"/>
  <c r="I295" i="9" a="1"/>
  <c r="I295" i="9" s="1"/>
  <c r="J295" i="9" a="1"/>
  <c r="J295" i="9" s="1"/>
  <c r="A296" i="9" a="1"/>
  <c r="A296" i="9" s="1"/>
  <c r="B296" i="9" a="1"/>
  <c r="B296" i="9" s="1"/>
  <c r="C296" i="9" a="1"/>
  <c r="C296" i="9" s="1"/>
  <c r="D296" i="9" a="1"/>
  <c r="D296" i="9" s="1"/>
  <c r="F296" i="9" a="1"/>
  <c r="F296" i="9" s="1"/>
  <c r="G296" i="9" a="1"/>
  <c r="G296" i="9" s="1"/>
  <c r="H296" i="9" a="1"/>
  <c r="H296" i="9" s="1"/>
  <c r="I296" i="9" a="1"/>
  <c r="I296" i="9" s="1"/>
  <c r="J296" i="9" a="1"/>
  <c r="J296" i="9" s="1"/>
  <c r="A297" i="9" a="1"/>
  <c r="A297" i="9" s="1"/>
  <c r="B297" i="9" a="1"/>
  <c r="B297" i="9" s="1"/>
  <c r="C297" i="9" a="1"/>
  <c r="C297" i="9" s="1"/>
  <c r="D297" i="9" a="1"/>
  <c r="D297" i="9" s="1"/>
  <c r="F297" i="9" a="1"/>
  <c r="F297" i="9" s="1"/>
  <c r="G297" i="9" a="1"/>
  <c r="G297" i="9" s="1"/>
  <c r="H297" i="9" a="1"/>
  <c r="H297" i="9" s="1"/>
  <c r="I297" i="9" a="1"/>
  <c r="I297" i="9" s="1"/>
  <c r="J297" i="9" a="1"/>
  <c r="J297" i="9" s="1"/>
  <c r="A298" i="9" a="1"/>
  <c r="A298" i="9" s="1"/>
  <c r="B298" i="9" a="1"/>
  <c r="B298" i="9" s="1"/>
  <c r="C298" i="9" a="1"/>
  <c r="C298" i="9" s="1"/>
  <c r="D298" i="9" a="1"/>
  <c r="D298" i="9" s="1"/>
  <c r="F298" i="9" a="1"/>
  <c r="F298" i="9" s="1"/>
  <c r="G298" i="9" a="1"/>
  <c r="G298" i="9" s="1"/>
  <c r="H298" i="9" a="1"/>
  <c r="H298" i="9" s="1"/>
  <c r="I298" i="9" a="1"/>
  <c r="I298" i="9" s="1"/>
  <c r="J298" i="9" a="1"/>
  <c r="J298" i="9" s="1"/>
  <c r="A299" i="9" a="1"/>
  <c r="A299" i="9" s="1"/>
  <c r="B299" i="9" a="1"/>
  <c r="B299" i="9" s="1"/>
  <c r="C299" i="9" a="1"/>
  <c r="C299" i="9" s="1"/>
  <c r="D299" i="9" a="1"/>
  <c r="D299" i="9" s="1"/>
  <c r="F299" i="9" a="1"/>
  <c r="F299" i="9" s="1"/>
  <c r="G299" i="9" a="1"/>
  <c r="G299" i="9" s="1"/>
  <c r="H299" i="9" a="1"/>
  <c r="H299" i="9" s="1"/>
  <c r="I299" i="9" a="1"/>
  <c r="I299" i="9" s="1"/>
  <c r="J299" i="9" a="1"/>
  <c r="J299" i="9" s="1"/>
  <c r="A300" i="9" a="1"/>
  <c r="A300" i="9" s="1"/>
  <c r="B300" i="9" a="1"/>
  <c r="B300" i="9" s="1"/>
  <c r="C300" i="9" a="1"/>
  <c r="C300" i="9" s="1"/>
  <c r="D300" i="9" a="1"/>
  <c r="D300" i="9" s="1"/>
  <c r="F300" i="9" a="1"/>
  <c r="F300" i="9" s="1"/>
  <c r="G300" i="9" a="1"/>
  <c r="G300" i="9" s="1"/>
  <c r="H300" i="9" a="1"/>
  <c r="H300" i="9" s="1"/>
  <c r="I300" i="9" a="1"/>
  <c r="I300" i="9" s="1"/>
  <c r="J300" i="9" a="1"/>
  <c r="J300" i="9" s="1"/>
  <c r="A301" i="9" a="1"/>
  <c r="A301" i="9" s="1"/>
  <c r="B301" i="9" a="1"/>
  <c r="B301" i="9" s="1"/>
  <c r="C301" i="9" a="1"/>
  <c r="C301" i="9" s="1"/>
  <c r="D301" i="9" a="1"/>
  <c r="D301" i="9" s="1"/>
  <c r="F301" i="9" a="1"/>
  <c r="F301" i="9" s="1"/>
  <c r="G301" i="9" a="1"/>
  <c r="G301" i="9" s="1"/>
  <c r="H301" i="9" a="1"/>
  <c r="H301" i="9" s="1"/>
  <c r="I301" i="9" a="1"/>
  <c r="I301" i="9" s="1"/>
  <c r="J301" i="9" a="1"/>
  <c r="J301" i="9" s="1"/>
  <c r="A302" i="9" a="1"/>
  <c r="A302" i="9" s="1"/>
  <c r="B302" i="9" a="1"/>
  <c r="B302" i="9" s="1"/>
  <c r="C302" i="9" a="1"/>
  <c r="C302" i="9" s="1"/>
  <c r="D302" i="9" a="1"/>
  <c r="D302" i="9" s="1"/>
  <c r="F302" i="9" a="1"/>
  <c r="F302" i="9" s="1"/>
  <c r="G302" i="9" a="1"/>
  <c r="G302" i="9" s="1"/>
  <c r="H302" i="9" a="1"/>
  <c r="H302" i="9" s="1"/>
  <c r="I302" i="9" a="1"/>
  <c r="I302" i="9" s="1"/>
  <c r="J302" i="9" a="1"/>
  <c r="J302" i="9" s="1"/>
  <c r="A303" i="9" a="1"/>
  <c r="A303" i="9" s="1"/>
  <c r="B303" i="9" a="1"/>
  <c r="B303" i="9" s="1"/>
  <c r="C303" i="9" a="1"/>
  <c r="C303" i="9" s="1"/>
  <c r="D303" i="9" a="1"/>
  <c r="D303" i="9" s="1"/>
  <c r="F303" i="9" a="1"/>
  <c r="F303" i="9" s="1"/>
  <c r="G303" i="9" a="1"/>
  <c r="G303" i="9" s="1"/>
  <c r="H303" i="9" a="1"/>
  <c r="H303" i="9" s="1"/>
  <c r="I303" i="9" a="1"/>
  <c r="I303" i="9" s="1"/>
  <c r="J303" i="9" a="1"/>
  <c r="J303" i="9" s="1"/>
  <c r="A304" i="9" a="1"/>
  <c r="A304" i="9" s="1"/>
  <c r="B304" i="9" a="1"/>
  <c r="B304" i="9" s="1"/>
  <c r="C304" i="9" a="1"/>
  <c r="C304" i="9" s="1"/>
  <c r="D304" i="9" a="1"/>
  <c r="D304" i="9" s="1"/>
  <c r="F304" i="9" a="1"/>
  <c r="F304" i="9" s="1"/>
  <c r="G304" i="9" a="1"/>
  <c r="G304" i="9" s="1"/>
  <c r="H304" i="9" a="1"/>
  <c r="H304" i="9" s="1"/>
  <c r="I304" i="9" a="1"/>
  <c r="I304" i="9" s="1"/>
  <c r="J304" i="9" a="1"/>
  <c r="J304" i="9" s="1"/>
  <c r="A305" i="9" a="1"/>
  <c r="A305" i="9" s="1"/>
  <c r="B305" i="9" a="1"/>
  <c r="B305" i="9" s="1"/>
  <c r="C305" i="9" a="1"/>
  <c r="C305" i="9" s="1"/>
  <c r="D305" i="9" a="1"/>
  <c r="D305" i="9" s="1"/>
  <c r="F305" i="9" a="1"/>
  <c r="F305" i="9" s="1"/>
  <c r="G305" i="9" a="1"/>
  <c r="G305" i="9" s="1"/>
  <c r="H305" i="9" a="1"/>
  <c r="H305" i="9" s="1"/>
  <c r="I305" i="9" a="1"/>
  <c r="I305" i="9" s="1"/>
  <c r="J305" i="9" a="1"/>
  <c r="J305" i="9" s="1"/>
  <c r="A306" i="9" a="1"/>
  <c r="A306" i="9" s="1"/>
  <c r="B306" i="9" a="1"/>
  <c r="B306" i="9" s="1"/>
  <c r="C306" i="9" a="1"/>
  <c r="C306" i="9" s="1"/>
  <c r="D306" i="9" a="1"/>
  <c r="D306" i="9" s="1"/>
  <c r="F306" i="9" a="1"/>
  <c r="F306" i="9" s="1"/>
  <c r="G306" i="9" a="1"/>
  <c r="G306" i="9" s="1"/>
  <c r="H306" i="9" a="1"/>
  <c r="H306" i="9" s="1"/>
  <c r="I306" i="9" a="1"/>
  <c r="I306" i="9" s="1"/>
  <c r="J306" i="9" a="1"/>
  <c r="J306" i="9" s="1"/>
  <c r="A307" i="9" a="1"/>
  <c r="A307" i="9" s="1"/>
  <c r="B307" i="9" a="1"/>
  <c r="B307" i="9" s="1"/>
  <c r="C307" i="9" a="1"/>
  <c r="C307" i="9" s="1"/>
  <c r="D307" i="9" a="1"/>
  <c r="D307" i="9" s="1"/>
  <c r="F307" i="9" a="1"/>
  <c r="F307" i="9" s="1"/>
  <c r="G307" i="9" a="1"/>
  <c r="G307" i="9" s="1"/>
  <c r="H307" i="9" a="1"/>
  <c r="H307" i="9" s="1"/>
  <c r="I307" i="9" a="1"/>
  <c r="I307" i="9" s="1"/>
  <c r="J307" i="9" a="1"/>
  <c r="J307" i="9" s="1"/>
  <c r="A308" i="9" a="1"/>
  <c r="A308" i="9" s="1"/>
  <c r="B308" i="9" a="1"/>
  <c r="B308" i="9" s="1"/>
  <c r="C308" i="9" a="1"/>
  <c r="C308" i="9" s="1"/>
  <c r="D308" i="9" a="1"/>
  <c r="D308" i="9" s="1"/>
  <c r="F308" i="9" a="1"/>
  <c r="F308" i="9" s="1"/>
  <c r="G308" i="9" a="1"/>
  <c r="G308" i="9" s="1"/>
  <c r="H308" i="9" a="1"/>
  <c r="H308" i="9" s="1"/>
  <c r="I308" i="9" a="1"/>
  <c r="I308" i="9" s="1"/>
  <c r="J308" i="9" a="1"/>
  <c r="J308" i="9" s="1"/>
  <c r="A309" i="9" a="1"/>
  <c r="A309" i="9" s="1"/>
  <c r="B309" i="9" a="1"/>
  <c r="B309" i="9" s="1"/>
  <c r="C309" i="9" a="1"/>
  <c r="C309" i="9" s="1"/>
  <c r="D309" i="9" a="1"/>
  <c r="D309" i="9" s="1"/>
  <c r="F309" i="9" a="1"/>
  <c r="F309" i="9" s="1"/>
  <c r="G309" i="9" a="1"/>
  <c r="G309" i="9" s="1"/>
  <c r="H309" i="9" a="1"/>
  <c r="H309" i="9" s="1"/>
  <c r="I309" i="9" a="1"/>
  <c r="I309" i="9" s="1"/>
  <c r="J309" i="9" a="1"/>
  <c r="J309" i="9" s="1"/>
  <c r="A310" i="9" a="1"/>
  <c r="A310" i="9" s="1"/>
  <c r="B310" i="9" a="1"/>
  <c r="B310" i="9" s="1"/>
  <c r="C310" i="9" a="1"/>
  <c r="C310" i="9" s="1"/>
  <c r="D310" i="9" a="1"/>
  <c r="D310" i="9" s="1"/>
  <c r="F310" i="9" a="1"/>
  <c r="F310" i="9" s="1"/>
  <c r="G310" i="9" a="1"/>
  <c r="G310" i="9" s="1"/>
  <c r="H310" i="9" a="1"/>
  <c r="H310" i="9" s="1"/>
  <c r="I310" i="9" a="1"/>
  <c r="I310" i="9" s="1"/>
  <c r="J310" i="9" a="1"/>
  <c r="J310" i="9" s="1"/>
  <c r="A311" i="9" a="1"/>
  <c r="A311" i="9" s="1"/>
  <c r="B311" i="9" a="1"/>
  <c r="B311" i="9" s="1"/>
  <c r="C311" i="9" a="1"/>
  <c r="C311" i="9" s="1"/>
  <c r="D311" i="9" a="1"/>
  <c r="D311" i="9" s="1"/>
  <c r="F311" i="9" a="1"/>
  <c r="F311" i="9" s="1"/>
  <c r="G311" i="9" a="1"/>
  <c r="G311" i="9" s="1"/>
  <c r="H311" i="9" a="1"/>
  <c r="H311" i="9" s="1"/>
  <c r="I311" i="9" a="1"/>
  <c r="I311" i="9" s="1"/>
  <c r="J311" i="9" a="1"/>
  <c r="J311" i="9" s="1"/>
  <c r="A312" i="9" a="1"/>
  <c r="A312" i="9" s="1"/>
  <c r="B312" i="9" a="1"/>
  <c r="B312" i="9" s="1"/>
  <c r="C312" i="9" a="1"/>
  <c r="C312" i="9" s="1"/>
  <c r="D312" i="9" a="1"/>
  <c r="D312" i="9" s="1"/>
  <c r="F312" i="9" a="1"/>
  <c r="F312" i="9" s="1"/>
  <c r="G312" i="9" a="1"/>
  <c r="G312" i="9" s="1"/>
  <c r="H312" i="9" a="1"/>
  <c r="H312" i="9" s="1"/>
  <c r="I312" i="9" a="1"/>
  <c r="I312" i="9" s="1"/>
  <c r="J312" i="9" a="1"/>
  <c r="J312" i="9" s="1"/>
  <c r="A313" i="9" a="1"/>
  <c r="A313" i="9" s="1"/>
  <c r="B313" i="9" a="1"/>
  <c r="B313" i="9" s="1"/>
  <c r="C313" i="9" a="1"/>
  <c r="C313" i="9" s="1"/>
  <c r="D313" i="9" a="1"/>
  <c r="D313" i="9" s="1"/>
  <c r="F313" i="9" a="1"/>
  <c r="F313" i="9" s="1"/>
  <c r="G313" i="9" a="1"/>
  <c r="G313" i="9" s="1"/>
  <c r="H313" i="9" a="1"/>
  <c r="H313" i="9" s="1"/>
  <c r="I313" i="9" a="1"/>
  <c r="I313" i="9" s="1"/>
  <c r="J313" i="9" a="1"/>
  <c r="J313" i="9" s="1"/>
  <c r="A314" i="9" a="1"/>
  <c r="A314" i="9" s="1"/>
  <c r="B314" i="9" a="1"/>
  <c r="B314" i="9" s="1"/>
  <c r="C314" i="9" a="1"/>
  <c r="C314" i="9" s="1"/>
  <c r="D314" i="9" a="1"/>
  <c r="D314" i="9" s="1"/>
  <c r="F314" i="9" a="1"/>
  <c r="F314" i="9" s="1"/>
  <c r="G314" i="9" a="1"/>
  <c r="G314" i="9" s="1"/>
  <c r="H314" i="9" a="1"/>
  <c r="H314" i="9" s="1"/>
  <c r="I314" i="9" a="1"/>
  <c r="I314" i="9" s="1"/>
  <c r="J314" i="9" a="1"/>
  <c r="J314" i="9" s="1"/>
  <c r="A315" i="9" a="1"/>
  <c r="A315" i="9" s="1"/>
  <c r="B315" i="9" a="1"/>
  <c r="B315" i="9" s="1"/>
  <c r="C315" i="9" a="1"/>
  <c r="C315" i="9" s="1"/>
  <c r="D315" i="9" a="1"/>
  <c r="D315" i="9" s="1"/>
  <c r="F315" i="9" a="1"/>
  <c r="F315" i="9" s="1"/>
  <c r="G315" i="9" a="1"/>
  <c r="G315" i="9" s="1"/>
  <c r="H315" i="9" a="1"/>
  <c r="H315" i="9" s="1"/>
  <c r="I315" i="9" a="1"/>
  <c r="I315" i="9" s="1"/>
  <c r="J315" i="9" a="1"/>
  <c r="J315" i="9" s="1"/>
  <c r="A316" i="9" a="1"/>
  <c r="A316" i="9" s="1"/>
  <c r="B316" i="9" a="1"/>
  <c r="B316" i="9" s="1"/>
  <c r="C316" i="9" a="1"/>
  <c r="C316" i="9" s="1"/>
  <c r="D316" i="9" a="1"/>
  <c r="D316" i="9" s="1"/>
  <c r="F316" i="9" a="1"/>
  <c r="F316" i="9" s="1"/>
  <c r="G316" i="9" a="1"/>
  <c r="G316" i="9" s="1"/>
  <c r="H316" i="9" a="1"/>
  <c r="H316" i="9" s="1"/>
  <c r="I316" i="9" a="1"/>
  <c r="I316" i="9" s="1"/>
  <c r="J316" i="9" a="1"/>
  <c r="J316" i="9" s="1"/>
  <c r="A317" i="9" a="1"/>
  <c r="A317" i="9" s="1"/>
  <c r="B317" i="9" a="1"/>
  <c r="B317" i="9" s="1"/>
  <c r="C317" i="9" a="1"/>
  <c r="C317" i="9" s="1"/>
  <c r="D317" i="9" a="1"/>
  <c r="D317" i="9" s="1"/>
  <c r="F317" i="9" a="1"/>
  <c r="F317" i="9" s="1"/>
  <c r="G317" i="9" a="1"/>
  <c r="G317" i="9" s="1"/>
  <c r="H317" i="9" a="1"/>
  <c r="H317" i="9" s="1"/>
  <c r="I317" i="9" a="1"/>
  <c r="I317" i="9" s="1"/>
  <c r="J317" i="9" a="1"/>
  <c r="J317" i="9" s="1"/>
  <c r="A318" i="9" a="1"/>
  <c r="A318" i="9" s="1"/>
  <c r="B318" i="9" a="1"/>
  <c r="B318" i="9" s="1"/>
  <c r="C318" i="9" a="1"/>
  <c r="C318" i="9" s="1"/>
  <c r="D318" i="9" a="1"/>
  <c r="D318" i="9" s="1"/>
  <c r="F318" i="9" a="1"/>
  <c r="F318" i="9" s="1"/>
  <c r="G318" i="9" a="1"/>
  <c r="G318" i="9" s="1"/>
  <c r="H318" i="9" a="1"/>
  <c r="H318" i="9" s="1"/>
  <c r="I318" i="9" a="1"/>
  <c r="I318" i="9" s="1"/>
  <c r="J318" i="9" a="1"/>
  <c r="J318" i="9" s="1"/>
  <c r="A319" i="9" a="1"/>
  <c r="A319" i="9" s="1"/>
  <c r="B319" i="9" a="1"/>
  <c r="B319" i="9" s="1"/>
  <c r="C319" i="9" a="1"/>
  <c r="C319" i="9" s="1"/>
  <c r="D319" i="9" a="1"/>
  <c r="D319" i="9" s="1"/>
  <c r="F319" i="9" a="1"/>
  <c r="F319" i="9" s="1"/>
  <c r="G319" i="9" a="1"/>
  <c r="G319" i="9" s="1"/>
  <c r="H319" i="9" a="1"/>
  <c r="H319" i="9" s="1"/>
  <c r="I319" i="9" a="1"/>
  <c r="I319" i="9" s="1"/>
  <c r="J319" i="9" a="1"/>
  <c r="J319" i="9" s="1"/>
  <c r="A320" i="9" a="1"/>
  <c r="A320" i="9" s="1"/>
  <c r="B320" i="9" a="1"/>
  <c r="B320" i="9" s="1"/>
  <c r="C320" i="9" a="1"/>
  <c r="C320" i="9" s="1"/>
  <c r="D320" i="9" a="1"/>
  <c r="D320" i="9" s="1"/>
  <c r="F320" i="9" a="1"/>
  <c r="F320" i="9" s="1"/>
  <c r="G320" i="9" a="1"/>
  <c r="G320" i="9" s="1"/>
  <c r="H320" i="9" a="1"/>
  <c r="H320" i="9" s="1"/>
  <c r="I320" i="9" a="1"/>
  <c r="I320" i="9" s="1"/>
  <c r="J320" i="9" a="1"/>
  <c r="J320" i="9" s="1"/>
  <c r="A321" i="9" a="1"/>
  <c r="A321" i="9" s="1"/>
  <c r="B321" i="9" a="1"/>
  <c r="B321" i="9" s="1"/>
  <c r="C321" i="9" a="1"/>
  <c r="C321" i="9" s="1"/>
  <c r="D321" i="9" a="1"/>
  <c r="D321" i="9" s="1"/>
  <c r="F321" i="9" a="1"/>
  <c r="F321" i="9" s="1"/>
  <c r="G321" i="9" a="1"/>
  <c r="G321" i="9" s="1"/>
  <c r="H321" i="9" a="1"/>
  <c r="H321" i="9" s="1"/>
  <c r="I321" i="9" a="1"/>
  <c r="I321" i="9" s="1"/>
  <c r="J321" i="9" a="1"/>
  <c r="J321" i="9" s="1"/>
  <c r="A322" i="9" a="1"/>
  <c r="A322" i="9" s="1"/>
  <c r="B322" i="9" a="1"/>
  <c r="B322" i="9" s="1"/>
  <c r="C322" i="9" a="1"/>
  <c r="C322" i="9" s="1"/>
  <c r="D322" i="9" a="1"/>
  <c r="D322" i="9" s="1"/>
  <c r="F322" i="9" a="1"/>
  <c r="F322" i="9" s="1"/>
  <c r="G322" i="9" a="1"/>
  <c r="G322" i="9" s="1"/>
  <c r="H322" i="9" a="1"/>
  <c r="H322" i="9" s="1"/>
  <c r="I322" i="9" a="1"/>
  <c r="I322" i="9" s="1"/>
  <c r="J322" i="9" a="1"/>
  <c r="J322" i="9" s="1"/>
  <c r="A323" i="9" a="1"/>
  <c r="A323" i="9" s="1"/>
  <c r="B323" i="9" a="1"/>
  <c r="B323" i="9" s="1"/>
  <c r="C323" i="9" a="1"/>
  <c r="C323" i="9" s="1"/>
  <c r="D323" i="9" a="1"/>
  <c r="D323" i="9" s="1"/>
  <c r="F323" i="9" a="1"/>
  <c r="F323" i="9" s="1"/>
  <c r="G323" i="9" a="1"/>
  <c r="G323" i="9" s="1"/>
  <c r="H323" i="9" a="1"/>
  <c r="H323" i="9" s="1"/>
  <c r="I323" i="9" a="1"/>
  <c r="I323" i="9" s="1"/>
  <c r="J323" i="9" a="1"/>
  <c r="J323" i="9" s="1"/>
  <c r="A324" i="9" a="1"/>
  <c r="A324" i="9" s="1"/>
  <c r="B324" i="9" a="1"/>
  <c r="B324" i="9" s="1"/>
  <c r="C324" i="9" a="1"/>
  <c r="C324" i="9" s="1"/>
  <c r="D324" i="9" a="1"/>
  <c r="D324" i="9" s="1"/>
  <c r="F324" i="9" a="1"/>
  <c r="F324" i="9" s="1"/>
  <c r="G324" i="9" a="1"/>
  <c r="G324" i="9" s="1"/>
  <c r="H324" i="9" a="1"/>
  <c r="H324" i="9" s="1"/>
  <c r="I324" i="9" a="1"/>
  <c r="I324" i="9" s="1"/>
  <c r="J324" i="9" a="1"/>
  <c r="J324" i="9" s="1"/>
  <c r="A325" i="9" a="1"/>
  <c r="A325" i="9" s="1"/>
  <c r="B325" i="9" a="1"/>
  <c r="B325" i="9" s="1"/>
  <c r="C325" i="9" a="1"/>
  <c r="C325" i="9" s="1"/>
  <c r="D325" i="9" a="1"/>
  <c r="D325" i="9" s="1"/>
  <c r="F325" i="9" a="1"/>
  <c r="F325" i="9" s="1"/>
  <c r="G325" i="9" a="1"/>
  <c r="G325" i="9" s="1"/>
  <c r="H325" i="9" a="1"/>
  <c r="H325" i="9" s="1"/>
  <c r="I325" i="9" a="1"/>
  <c r="I325" i="9" s="1"/>
  <c r="J325" i="9" a="1"/>
  <c r="J325" i="9" s="1"/>
  <c r="A326" i="9" a="1"/>
  <c r="A326" i="9" s="1"/>
  <c r="B326" i="9" a="1"/>
  <c r="B326" i="9" s="1"/>
  <c r="C326" i="9" a="1"/>
  <c r="C326" i="9" s="1"/>
  <c r="D326" i="9" a="1"/>
  <c r="D326" i="9" s="1"/>
  <c r="F326" i="9" a="1"/>
  <c r="F326" i="9" s="1"/>
  <c r="G326" i="9" a="1"/>
  <c r="G326" i="9" s="1"/>
  <c r="H326" i="9" a="1"/>
  <c r="H326" i="9" s="1"/>
  <c r="I326" i="9" a="1"/>
  <c r="I326" i="9" s="1"/>
  <c r="J326" i="9" a="1"/>
  <c r="J326" i="9" s="1"/>
  <c r="A327" i="9" a="1"/>
  <c r="A327" i="9" s="1"/>
  <c r="B327" i="9" a="1"/>
  <c r="B327" i="9" s="1"/>
  <c r="C327" i="9" a="1"/>
  <c r="C327" i="9" s="1"/>
  <c r="D327" i="9" a="1"/>
  <c r="D327" i="9" s="1"/>
  <c r="F327" i="9" a="1"/>
  <c r="F327" i="9" s="1"/>
  <c r="G327" i="9" a="1"/>
  <c r="G327" i="9" s="1"/>
  <c r="H327" i="9" a="1"/>
  <c r="H327" i="9" s="1"/>
  <c r="I327" i="9" a="1"/>
  <c r="I327" i="9" s="1"/>
  <c r="J327" i="9" a="1"/>
  <c r="J327" i="9" s="1"/>
  <c r="A328" i="9" a="1"/>
  <c r="A328" i="9" s="1"/>
  <c r="B328" i="9" a="1"/>
  <c r="B328" i="9" s="1"/>
  <c r="C328" i="9" a="1"/>
  <c r="C328" i="9" s="1"/>
  <c r="D328" i="9" a="1"/>
  <c r="D328" i="9" s="1"/>
  <c r="F328" i="9" a="1"/>
  <c r="F328" i="9" s="1"/>
  <c r="G328" i="9" a="1"/>
  <c r="G328" i="9" s="1"/>
  <c r="H328" i="9" a="1"/>
  <c r="H328" i="9" s="1"/>
  <c r="I328" i="9" a="1"/>
  <c r="I328" i="9" s="1"/>
  <c r="J328" i="9" a="1"/>
  <c r="J328" i="9" s="1"/>
  <c r="A329" i="9" a="1"/>
  <c r="A329" i="9" s="1"/>
  <c r="B329" i="9" a="1"/>
  <c r="B329" i="9" s="1"/>
  <c r="C329" i="9" a="1"/>
  <c r="C329" i="9" s="1"/>
  <c r="D329" i="9" a="1"/>
  <c r="D329" i="9" s="1"/>
  <c r="F329" i="9" a="1"/>
  <c r="F329" i="9" s="1"/>
  <c r="G329" i="9" a="1"/>
  <c r="G329" i="9" s="1"/>
  <c r="H329" i="9" a="1"/>
  <c r="H329" i="9" s="1"/>
  <c r="I329" i="9" a="1"/>
  <c r="I329" i="9" s="1"/>
  <c r="J329" i="9" a="1"/>
  <c r="J329" i="9" s="1"/>
  <c r="A330" i="9" a="1"/>
  <c r="A330" i="9" s="1"/>
  <c r="B330" i="9" a="1"/>
  <c r="B330" i="9" s="1"/>
  <c r="C330" i="9" a="1"/>
  <c r="C330" i="9" s="1"/>
  <c r="D330" i="9" a="1"/>
  <c r="D330" i="9" s="1"/>
  <c r="F330" i="9" a="1"/>
  <c r="F330" i="9" s="1"/>
  <c r="G330" i="9" a="1"/>
  <c r="G330" i="9" s="1"/>
  <c r="H330" i="9" a="1"/>
  <c r="H330" i="9" s="1"/>
  <c r="I330" i="9" a="1"/>
  <c r="I330" i="9" s="1"/>
  <c r="J330" i="9" a="1"/>
  <c r="J330" i="9" s="1"/>
  <c r="A331" i="9" a="1"/>
  <c r="A331" i="9" s="1"/>
  <c r="B331" i="9" a="1"/>
  <c r="B331" i="9" s="1"/>
  <c r="C331" i="9" a="1"/>
  <c r="C331" i="9" s="1"/>
  <c r="D331" i="9" a="1"/>
  <c r="D331" i="9" s="1"/>
  <c r="F331" i="9" a="1"/>
  <c r="F331" i="9" s="1"/>
  <c r="G331" i="9" a="1"/>
  <c r="G331" i="9" s="1"/>
  <c r="H331" i="9" a="1"/>
  <c r="H331" i="9" s="1"/>
  <c r="I331" i="9" a="1"/>
  <c r="I331" i="9" s="1"/>
  <c r="J331" i="9" a="1"/>
  <c r="J331" i="9" s="1"/>
  <c r="A332" i="9" a="1"/>
  <c r="A332" i="9" s="1"/>
  <c r="B332" i="9" a="1"/>
  <c r="B332" i="9" s="1"/>
  <c r="C332" i="9" a="1"/>
  <c r="C332" i="9" s="1"/>
  <c r="D332" i="9" a="1"/>
  <c r="D332" i="9" s="1"/>
  <c r="F332" i="9" a="1"/>
  <c r="F332" i="9" s="1"/>
  <c r="G332" i="9" a="1"/>
  <c r="G332" i="9" s="1"/>
  <c r="H332" i="9" a="1"/>
  <c r="H332" i="9" s="1"/>
  <c r="I332" i="9" a="1"/>
  <c r="I332" i="9" s="1"/>
  <c r="J332" i="9" a="1"/>
  <c r="J332" i="9" s="1"/>
  <c r="A333" i="9" a="1"/>
  <c r="A333" i="9" s="1"/>
  <c r="B333" i="9" a="1"/>
  <c r="B333" i="9" s="1"/>
  <c r="C333" i="9" a="1"/>
  <c r="C333" i="9" s="1"/>
  <c r="D333" i="9" a="1"/>
  <c r="D333" i="9" s="1"/>
  <c r="F333" i="9" a="1"/>
  <c r="F333" i="9" s="1"/>
  <c r="G333" i="9" a="1"/>
  <c r="G333" i="9" s="1"/>
  <c r="H333" i="9" a="1"/>
  <c r="H333" i="9" s="1"/>
  <c r="I333" i="9" a="1"/>
  <c r="I333" i="9" s="1"/>
  <c r="J333" i="9" a="1"/>
  <c r="J333" i="9" s="1"/>
  <c r="A334" i="9" a="1"/>
  <c r="A334" i="9" s="1"/>
  <c r="B334" i="9" a="1"/>
  <c r="B334" i="9" s="1"/>
  <c r="C334" i="9" a="1"/>
  <c r="C334" i="9" s="1"/>
  <c r="D334" i="9" a="1"/>
  <c r="D334" i="9" s="1"/>
  <c r="F334" i="9" a="1"/>
  <c r="F334" i="9" s="1"/>
  <c r="G334" i="9" a="1"/>
  <c r="G334" i="9" s="1"/>
  <c r="H334" i="9" a="1"/>
  <c r="H334" i="9" s="1"/>
  <c r="I334" i="9" a="1"/>
  <c r="I334" i="9" s="1"/>
  <c r="J334" i="9" a="1"/>
  <c r="J334" i="9" s="1"/>
  <c r="A335" i="9" a="1"/>
  <c r="A335" i="9" s="1"/>
  <c r="B335" i="9" a="1"/>
  <c r="B335" i="9" s="1"/>
  <c r="C335" i="9" a="1"/>
  <c r="C335" i="9" s="1"/>
  <c r="D335" i="9" a="1"/>
  <c r="D335" i="9" s="1"/>
  <c r="F335" i="9" a="1"/>
  <c r="F335" i="9" s="1"/>
  <c r="G335" i="9" a="1"/>
  <c r="G335" i="9" s="1"/>
  <c r="H335" i="9" a="1"/>
  <c r="H335" i="9" s="1"/>
  <c r="I335" i="9" a="1"/>
  <c r="I335" i="9" s="1"/>
  <c r="J335" i="9" a="1"/>
  <c r="J335" i="9" s="1"/>
  <c r="A336" i="9" a="1"/>
  <c r="A336" i="9" s="1"/>
  <c r="B336" i="9" a="1"/>
  <c r="B336" i="9" s="1"/>
  <c r="C336" i="9" a="1"/>
  <c r="C336" i="9" s="1"/>
  <c r="D336" i="9" a="1"/>
  <c r="D336" i="9" s="1"/>
  <c r="F336" i="9" a="1"/>
  <c r="F336" i="9" s="1"/>
  <c r="G336" i="9" a="1"/>
  <c r="G336" i="9" s="1"/>
  <c r="H336" i="9" a="1"/>
  <c r="H336" i="9" s="1"/>
  <c r="I336" i="9" a="1"/>
  <c r="I336" i="9" s="1"/>
  <c r="J336" i="9" a="1"/>
  <c r="J336" i="9" s="1"/>
  <c r="A337" i="9" a="1"/>
  <c r="A337" i="9" s="1"/>
  <c r="B337" i="9" a="1"/>
  <c r="B337" i="9" s="1"/>
  <c r="C337" i="9" a="1"/>
  <c r="C337" i="9" s="1"/>
  <c r="D337" i="9" a="1"/>
  <c r="D337" i="9" s="1"/>
  <c r="F337" i="9" a="1"/>
  <c r="F337" i="9" s="1"/>
  <c r="G337" i="9" a="1"/>
  <c r="G337" i="9" s="1"/>
  <c r="H337" i="9" a="1"/>
  <c r="H337" i="9" s="1"/>
  <c r="I337" i="9" a="1"/>
  <c r="I337" i="9" s="1"/>
  <c r="J337" i="9" a="1"/>
  <c r="J337" i="9" s="1"/>
  <c r="A338" i="9" a="1"/>
  <c r="A338" i="9" s="1"/>
  <c r="B338" i="9" a="1"/>
  <c r="B338" i="9" s="1"/>
  <c r="C338" i="9" a="1"/>
  <c r="C338" i="9" s="1"/>
  <c r="D338" i="9" a="1"/>
  <c r="D338" i="9" s="1"/>
  <c r="F338" i="9" a="1"/>
  <c r="F338" i="9" s="1"/>
  <c r="G338" i="9" a="1"/>
  <c r="G338" i="9" s="1"/>
  <c r="H338" i="9" a="1"/>
  <c r="H338" i="9" s="1"/>
  <c r="I338" i="9" a="1"/>
  <c r="I338" i="9" s="1"/>
  <c r="J338" i="9" a="1"/>
  <c r="J338" i="9" s="1"/>
  <c r="A339" i="9" a="1"/>
  <c r="A339" i="9" s="1"/>
  <c r="B339" i="9" a="1"/>
  <c r="B339" i="9" s="1"/>
  <c r="C339" i="9" a="1"/>
  <c r="C339" i="9" s="1"/>
  <c r="D339" i="9" a="1"/>
  <c r="D339" i="9" s="1"/>
  <c r="F339" i="9" a="1"/>
  <c r="F339" i="9" s="1"/>
  <c r="G339" i="9" a="1"/>
  <c r="G339" i="9" s="1"/>
  <c r="H339" i="9" a="1"/>
  <c r="H339" i="9" s="1"/>
  <c r="I339" i="9" a="1"/>
  <c r="I339" i="9" s="1"/>
  <c r="J339" i="9" a="1"/>
  <c r="J339" i="9" s="1"/>
  <c r="A340" i="9" a="1"/>
  <c r="A340" i="9" s="1"/>
  <c r="B340" i="9" a="1"/>
  <c r="B340" i="9" s="1"/>
  <c r="C340" i="9" a="1"/>
  <c r="C340" i="9" s="1"/>
  <c r="D340" i="9" a="1"/>
  <c r="D340" i="9" s="1"/>
  <c r="F340" i="9" a="1"/>
  <c r="F340" i="9" s="1"/>
  <c r="G340" i="9" a="1"/>
  <c r="G340" i="9" s="1"/>
  <c r="H340" i="9" a="1"/>
  <c r="H340" i="9" s="1"/>
  <c r="I340" i="9" a="1"/>
  <c r="I340" i="9" s="1"/>
  <c r="J340" i="9" a="1"/>
  <c r="J340" i="9" s="1"/>
  <c r="A341" i="9" a="1"/>
  <c r="A341" i="9" s="1"/>
  <c r="B341" i="9" a="1"/>
  <c r="B341" i="9" s="1"/>
  <c r="C341" i="9" a="1"/>
  <c r="C341" i="9" s="1"/>
  <c r="D341" i="9" a="1"/>
  <c r="D341" i="9" s="1"/>
  <c r="F341" i="9" a="1"/>
  <c r="F341" i="9" s="1"/>
  <c r="G341" i="9" a="1"/>
  <c r="G341" i="9" s="1"/>
  <c r="H341" i="9" a="1"/>
  <c r="H341" i="9" s="1"/>
  <c r="I341" i="9" a="1"/>
  <c r="I341" i="9" s="1"/>
  <c r="J341" i="9" a="1"/>
  <c r="J341" i="9" s="1"/>
  <c r="A342" i="9" a="1"/>
  <c r="A342" i="9" s="1"/>
  <c r="B342" i="9" a="1"/>
  <c r="B342" i="9" s="1"/>
  <c r="C342" i="9" a="1"/>
  <c r="C342" i="9" s="1"/>
  <c r="D342" i="9" a="1"/>
  <c r="D342" i="9" s="1"/>
  <c r="F342" i="9" a="1"/>
  <c r="F342" i="9" s="1"/>
  <c r="G342" i="9" a="1"/>
  <c r="G342" i="9" s="1"/>
  <c r="H342" i="9" a="1"/>
  <c r="H342" i="9" s="1"/>
  <c r="I342" i="9" a="1"/>
  <c r="I342" i="9" s="1"/>
  <c r="J342" i="9" a="1"/>
  <c r="J342" i="9" s="1"/>
  <c r="A343" i="9" a="1"/>
  <c r="A343" i="9" s="1"/>
  <c r="B343" i="9" a="1"/>
  <c r="B343" i="9" s="1"/>
  <c r="C343" i="9" a="1"/>
  <c r="C343" i="9" s="1"/>
  <c r="D343" i="9" a="1"/>
  <c r="D343" i="9" s="1"/>
  <c r="F343" i="9" a="1"/>
  <c r="F343" i="9" s="1"/>
  <c r="G343" i="9" a="1"/>
  <c r="G343" i="9" s="1"/>
  <c r="H343" i="9" a="1"/>
  <c r="H343" i="9" s="1"/>
  <c r="I343" i="9" a="1"/>
  <c r="I343" i="9" s="1"/>
  <c r="J343" i="9" a="1"/>
  <c r="J343" i="9" s="1"/>
  <c r="A344" i="9" a="1"/>
  <c r="A344" i="9" s="1"/>
  <c r="B344" i="9" a="1"/>
  <c r="B344" i="9" s="1"/>
  <c r="C344" i="9" a="1"/>
  <c r="C344" i="9" s="1"/>
  <c r="D344" i="9" a="1"/>
  <c r="D344" i="9" s="1"/>
  <c r="F344" i="9" a="1"/>
  <c r="F344" i="9" s="1"/>
  <c r="G344" i="9" a="1"/>
  <c r="G344" i="9" s="1"/>
  <c r="H344" i="9" a="1"/>
  <c r="H344" i="9" s="1"/>
  <c r="I344" i="9" a="1"/>
  <c r="I344" i="9" s="1"/>
  <c r="J344" i="9" a="1"/>
  <c r="J344" i="9" s="1"/>
  <c r="A345" i="9" a="1"/>
  <c r="A345" i="9" s="1"/>
  <c r="B345" i="9" a="1"/>
  <c r="B345" i="9" s="1"/>
  <c r="C345" i="9" a="1"/>
  <c r="C345" i="9" s="1"/>
  <c r="D345" i="9" a="1"/>
  <c r="D345" i="9" s="1"/>
  <c r="F345" i="9" a="1"/>
  <c r="F345" i="9" s="1"/>
  <c r="G345" i="9" a="1"/>
  <c r="G345" i="9" s="1"/>
  <c r="H345" i="9" a="1"/>
  <c r="H345" i="9" s="1"/>
  <c r="I345" i="9" a="1"/>
  <c r="I345" i="9" s="1"/>
  <c r="J345" i="9" a="1"/>
  <c r="J345" i="9" s="1"/>
  <c r="A346" i="9" a="1"/>
  <c r="A346" i="9" s="1"/>
  <c r="B346" i="9" a="1"/>
  <c r="B346" i="9" s="1"/>
  <c r="C346" i="9" a="1"/>
  <c r="C346" i="9" s="1"/>
  <c r="D346" i="9" a="1"/>
  <c r="D346" i="9" s="1"/>
  <c r="F346" i="9" a="1"/>
  <c r="F346" i="9" s="1"/>
  <c r="G346" i="9" a="1"/>
  <c r="G346" i="9" s="1"/>
  <c r="H346" i="9" a="1"/>
  <c r="H346" i="9" s="1"/>
  <c r="I346" i="9" a="1"/>
  <c r="I346" i="9" s="1"/>
  <c r="J346" i="9" a="1"/>
  <c r="J346" i="9" s="1"/>
  <c r="A347" i="9" a="1"/>
  <c r="A347" i="9" s="1"/>
  <c r="B347" i="9" a="1"/>
  <c r="B347" i="9" s="1"/>
  <c r="C347" i="9" a="1"/>
  <c r="C347" i="9" s="1"/>
  <c r="D347" i="9" a="1"/>
  <c r="D347" i="9" s="1"/>
  <c r="F347" i="9" a="1"/>
  <c r="F347" i="9" s="1"/>
  <c r="G347" i="9" a="1"/>
  <c r="G347" i="9" s="1"/>
  <c r="H347" i="9" a="1"/>
  <c r="H347" i="9" s="1"/>
  <c r="I347" i="9" a="1"/>
  <c r="I347" i="9" s="1"/>
  <c r="J347" i="9" a="1"/>
  <c r="J347" i="9" s="1"/>
  <c r="A348" i="9" a="1"/>
  <c r="A348" i="9" s="1"/>
  <c r="B348" i="9" a="1"/>
  <c r="B348" i="9" s="1"/>
  <c r="C348" i="9" a="1"/>
  <c r="C348" i="9" s="1"/>
  <c r="D348" i="9" a="1"/>
  <c r="D348" i="9" s="1"/>
  <c r="F348" i="9" a="1"/>
  <c r="F348" i="9" s="1"/>
  <c r="G348" i="9" a="1"/>
  <c r="G348" i="9" s="1"/>
  <c r="H348" i="9" a="1"/>
  <c r="H348" i="9" s="1"/>
  <c r="I348" i="9" a="1"/>
  <c r="I348" i="9" s="1"/>
  <c r="J348" i="9" a="1"/>
  <c r="J348" i="9" s="1"/>
  <c r="A349" i="9" a="1"/>
  <c r="A349" i="9" s="1"/>
  <c r="B349" i="9" a="1"/>
  <c r="B349" i="9" s="1"/>
  <c r="C349" i="9" a="1"/>
  <c r="C349" i="9" s="1"/>
  <c r="D349" i="9" a="1"/>
  <c r="D349" i="9" s="1"/>
  <c r="F349" i="9" a="1"/>
  <c r="F349" i="9" s="1"/>
  <c r="G349" i="9" a="1"/>
  <c r="G349" i="9" s="1"/>
  <c r="H349" i="9" a="1"/>
  <c r="H349" i="9" s="1"/>
  <c r="I349" i="9" a="1"/>
  <c r="I349" i="9" s="1"/>
  <c r="J349" i="9" a="1"/>
  <c r="J349" i="9" s="1"/>
  <c r="A350" i="9" a="1"/>
  <c r="A350" i="9" s="1"/>
  <c r="B350" i="9" a="1"/>
  <c r="B350" i="9" s="1"/>
  <c r="C350" i="9" a="1"/>
  <c r="C350" i="9" s="1"/>
  <c r="D350" i="9" a="1"/>
  <c r="D350" i="9" s="1"/>
  <c r="F350" i="9" a="1"/>
  <c r="F350" i="9" s="1"/>
  <c r="G350" i="9" a="1"/>
  <c r="G350" i="9" s="1"/>
  <c r="H350" i="9" a="1"/>
  <c r="H350" i="9" s="1"/>
  <c r="I350" i="9" a="1"/>
  <c r="I350" i="9" s="1"/>
  <c r="J350" i="9" a="1"/>
  <c r="J350" i="9" s="1"/>
  <c r="A351" i="9" a="1"/>
  <c r="A351" i="9" s="1"/>
  <c r="B351" i="9" a="1"/>
  <c r="B351" i="9" s="1"/>
  <c r="C351" i="9" a="1"/>
  <c r="C351" i="9" s="1"/>
  <c r="D351" i="9" a="1"/>
  <c r="D351" i="9" s="1"/>
  <c r="F351" i="9" a="1"/>
  <c r="F351" i="9" s="1"/>
  <c r="G351" i="9" a="1"/>
  <c r="G351" i="9" s="1"/>
  <c r="H351" i="9" a="1"/>
  <c r="H351" i="9" s="1"/>
  <c r="I351" i="9" a="1"/>
  <c r="I351" i="9" s="1"/>
  <c r="J351" i="9" a="1"/>
  <c r="J351" i="9" s="1"/>
  <c r="A352" i="9" a="1"/>
  <c r="A352" i="9" s="1"/>
  <c r="B352" i="9" a="1"/>
  <c r="B352" i="9" s="1"/>
  <c r="C352" i="9" a="1"/>
  <c r="C352" i="9" s="1"/>
  <c r="D352" i="9" a="1"/>
  <c r="D352" i="9" s="1"/>
  <c r="F352" i="9" a="1"/>
  <c r="F352" i="9" s="1"/>
  <c r="G352" i="9" a="1"/>
  <c r="G352" i="9" s="1"/>
  <c r="H352" i="9" a="1"/>
  <c r="H352" i="9" s="1"/>
  <c r="I352" i="9" a="1"/>
  <c r="I352" i="9" s="1"/>
  <c r="J352" i="9" a="1"/>
  <c r="J352" i="9" s="1"/>
  <c r="A353" i="9" a="1"/>
  <c r="A353" i="9" s="1"/>
  <c r="B353" i="9" a="1"/>
  <c r="B353" i="9" s="1"/>
  <c r="C353" i="9" a="1"/>
  <c r="C353" i="9" s="1"/>
  <c r="D353" i="9" a="1"/>
  <c r="D353" i="9" s="1"/>
  <c r="F353" i="9" a="1"/>
  <c r="F353" i="9" s="1"/>
  <c r="G353" i="9" a="1"/>
  <c r="G353" i="9" s="1"/>
  <c r="H353" i="9" a="1"/>
  <c r="H353" i="9" s="1"/>
  <c r="I353" i="9" a="1"/>
  <c r="I353" i="9" s="1"/>
  <c r="J353" i="9" a="1"/>
  <c r="J353" i="9" s="1"/>
  <c r="A354" i="9" a="1"/>
  <c r="A354" i="9" s="1"/>
  <c r="B354" i="9" a="1"/>
  <c r="B354" i="9" s="1"/>
  <c r="C354" i="9" a="1"/>
  <c r="C354" i="9" s="1"/>
  <c r="D354" i="9" a="1"/>
  <c r="D354" i="9" s="1"/>
  <c r="F354" i="9" a="1"/>
  <c r="F354" i="9" s="1"/>
  <c r="G354" i="9" a="1"/>
  <c r="G354" i="9" s="1"/>
  <c r="H354" i="9" a="1"/>
  <c r="H354" i="9" s="1"/>
  <c r="I354" i="9" a="1"/>
  <c r="I354" i="9" s="1"/>
  <c r="J354" i="9" a="1"/>
  <c r="J354" i="9" s="1"/>
  <c r="A355" i="9" a="1"/>
  <c r="A355" i="9" s="1"/>
  <c r="B355" i="9" a="1"/>
  <c r="B355" i="9" s="1"/>
  <c r="C355" i="9" a="1"/>
  <c r="C355" i="9" s="1"/>
  <c r="D355" i="9" a="1"/>
  <c r="D355" i="9" s="1"/>
  <c r="F355" i="9" a="1"/>
  <c r="F355" i="9" s="1"/>
  <c r="G355" i="9" a="1"/>
  <c r="G355" i="9" s="1"/>
  <c r="H355" i="9" a="1"/>
  <c r="H355" i="9" s="1"/>
  <c r="I355" i="9" a="1"/>
  <c r="I355" i="9" s="1"/>
  <c r="J355" i="9" a="1"/>
  <c r="J355" i="9" s="1"/>
  <c r="A356" i="9" a="1"/>
  <c r="A356" i="9" s="1"/>
  <c r="B356" i="9" a="1"/>
  <c r="B356" i="9" s="1"/>
  <c r="C356" i="9" a="1"/>
  <c r="C356" i="9" s="1"/>
  <c r="D356" i="9" a="1"/>
  <c r="D356" i="9" s="1"/>
  <c r="F356" i="9" a="1"/>
  <c r="F356" i="9" s="1"/>
  <c r="G356" i="9" a="1"/>
  <c r="G356" i="9" s="1"/>
  <c r="H356" i="9" a="1"/>
  <c r="H356" i="9" s="1"/>
  <c r="I356" i="9" a="1"/>
  <c r="I356" i="9" s="1"/>
  <c r="J356" i="9" a="1"/>
  <c r="J356" i="9" s="1"/>
  <c r="A357" i="9" a="1"/>
  <c r="A357" i="9" s="1"/>
  <c r="B357" i="9" a="1"/>
  <c r="B357" i="9" s="1"/>
  <c r="C357" i="9" a="1"/>
  <c r="C357" i="9" s="1"/>
  <c r="D357" i="9" a="1"/>
  <c r="D357" i="9" s="1"/>
  <c r="F357" i="9" a="1"/>
  <c r="F357" i="9" s="1"/>
  <c r="G357" i="9" a="1"/>
  <c r="G357" i="9" s="1"/>
  <c r="H357" i="9" a="1"/>
  <c r="H357" i="9" s="1"/>
  <c r="I357" i="9" a="1"/>
  <c r="I357" i="9" s="1"/>
  <c r="J357" i="9" a="1"/>
  <c r="J357" i="9" s="1"/>
  <c r="A358" i="9" a="1"/>
  <c r="A358" i="9" s="1"/>
  <c r="B358" i="9" a="1"/>
  <c r="B358" i="9" s="1"/>
  <c r="C358" i="9" a="1"/>
  <c r="C358" i="9" s="1"/>
  <c r="D358" i="9" a="1"/>
  <c r="D358" i="9" s="1"/>
  <c r="F358" i="9" a="1"/>
  <c r="F358" i="9" s="1"/>
  <c r="G358" i="9" a="1"/>
  <c r="G358" i="9" s="1"/>
  <c r="H358" i="9" a="1"/>
  <c r="H358" i="9" s="1"/>
  <c r="I358" i="9" a="1"/>
  <c r="I358" i="9" s="1"/>
  <c r="J358" i="9" a="1"/>
  <c r="J358" i="9" s="1"/>
  <c r="A359" i="9" a="1"/>
  <c r="A359" i="9" s="1"/>
  <c r="B359" i="9" a="1"/>
  <c r="B359" i="9" s="1"/>
  <c r="C359" i="9" a="1"/>
  <c r="C359" i="9" s="1"/>
  <c r="D359" i="9" a="1"/>
  <c r="D359" i="9" s="1"/>
  <c r="F359" i="9" a="1"/>
  <c r="F359" i="9" s="1"/>
  <c r="G359" i="9" a="1"/>
  <c r="G359" i="9" s="1"/>
  <c r="H359" i="9" a="1"/>
  <c r="H359" i="9" s="1"/>
  <c r="I359" i="9" a="1"/>
  <c r="I359" i="9" s="1"/>
  <c r="J359" i="9" a="1"/>
  <c r="J359" i="9" s="1"/>
  <c r="A360" i="9" a="1"/>
  <c r="A360" i="9" s="1"/>
  <c r="B360" i="9" a="1"/>
  <c r="B360" i="9" s="1"/>
  <c r="C360" i="9" a="1"/>
  <c r="C360" i="9" s="1"/>
  <c r="D360" i="9" a="1"/>
  <c r="D360" i="9" s="1"/>
  <c r="F360" i="9" a="1"/>
  <c r="F360" i="9" s="1"/>
  <c r="G360" i="9" a="1"/>
  <c r="G360" i="9" s="1"/>
  <c r="H360" i="9" a="1"/>
  <c r="H360" i="9" s="1"/>
  <c r="I360" i="9" a="1"/>
  <c r="I360" i="9" s="1"/>
  <c r="J360" i="9" a="1"/>
  <c r="J360" i="9" s="1"/>
  <c r="A361" i="9" a="1"/>
  <c r="A361" i="9" s="1"/>
  <c r="B361" i="9" a="1"/>
  <c r="B361" i="9" s="1"/>
  <c r="C361" i="9" a="1"/>
  <c r="C361" i="9" s="1"/>
  <c r="D361" i="9" a="1"/>
  <c r="D361" i="9" s="1"/>
  <c r="F361" i="9" a="1"/>
  <c r="F361" i="9" s="1"/>
  <c r="G361" i="9" a="1"/>
  <c r="G361" i="9" s="1"/>
  <c r="H361" i="9" a="1"/>
  <c r="H361" i="9" s="1"/>
  <c r="I361" i="9" a="1"/>
  <c r="I361" i="9" s="1"/>
  <c r="J361" i="9" a="1"/>
  <c r="J361" i="9" s="1"/>
  <c r="A362" i="9" a="1"/>
  <c r="A362" i="9" s="1"/>
  <c r="B362" i="9" a="1"/>
  <c r="B362" i="9" s="1"/>
  <c r="C362" i="9" a="1"/>
  <c r="C362" i="9" s="1"/>
  <c r="D362" i="9" a="1"/>
  <c r="D362" i="9" s="1"/>
  <c r="F362" i="9" a="1"/>
  <c r="F362" i="9" s="1"/>
  <c r="G362" i="9" a="1"/>
  <c r="G362" i="9" s="1"/>
  <c r="H362" i="9" a="1"/>
  <c r="H362" i="9" s="1"/>
  <c r="I362" i="9" a="1"/>
  <c r="I362" i="9" s="1"/>
  <c r="J362" i="9" a="1"/>
  <c r="J362" i="9" s="1"/>
  <c r="A363" i="9" a="1"/>
  <c r="A363" i="9" s="1"/>
  <c r="B363" i="9" a="1"/>
  <c r="B363" i="9" s="1"/>
  <c r="C363" i="9" a="1"/>
  <c r="C363" i="9" s="1"/>
  <c r="D363" i="9" a="1"/>
  <c r="D363" i="9" s="1"/>
  <c r="F363" i="9" a="1"/>
  <c r="F363" i="9" s="1"/>
  <c r="G363" i="9" a="1"/>
  <c r="G363" i="9" s="1"/>
  <c r="H363" i="9" a="1"/>
  <c r="H363" i="9" s="1"/>
  <c r="I363" i="9" a="1"/>
  <c r="I363" i="9" s="1"/>
  <c r="J363" i="9" a="1"/>
  <c r="J363" i="9" s="1"/>
  <c r="A364" i="9" a="1"/>
  <c r="A364" i="9" s="1"/>
  <c r="B364" i="9" a="1"/>
  <c r="B364" i="9" s="1"/>
  <c r="C364" i="9" a="1"/>
  <c r="C364" i="9" s="1"/>
  <c r="D364" i="9" a="1"/>
  <c r="D364" i="9" s="1"/>
  <c r="F364" i="9" a="1"/>
  <c r="F364" i="9" s="1"/>
  <c r="G364" i="9" a="1"/>
  <c r="G364" i="9" s="1"/>
  <c r="H364" i="9" a="1"/>
  <c r="H364" i="9" s="1"/>
  <c r="I364" i="9" a="1"/>
  <c r="I364" i="9" s="1"/>
  <c r="J364" i="9" a="1"/>
  <c r="J364" i="9" s="1"/>
  <c r="A365" i="9" a="1"/>
  <c r="A365" i="9" s="1"/>
  <c r="B365" i="9" a="1"/>
  <c r="B365" i="9" s="1"/>
  <c r="C365" i="9" a="1"/>
  <c r="C365" i="9" s="1"/>
  <c r="D365" i="9" a="1"/>
  <c r="D365" i="9" s="1"/>
  <c r="F365" i="9" a="1"/>
  <c r="F365" i="9" s="1"/>
  <c r="G365" i="9" a="1"/>
  <c r="G365" i="9" s="1"/>
  <c r="H365" i="9" a="1"/>
  <c r="H365" i="9" s="1"/>
  <c r="I365" i="9" a="1"/>
  <c r="I365" i="9" s="1"/>
  <c r="J365" i="9" a="1"/>
  <c r="J365" i="9" s="1"/>
  <c r="A366" i="9" a="1"/>
  <c r="A366" i="9" s="1"/>
  <c r="B366" i="9" a="1"/>
  <c r="B366" i="9" s="1"/>
  <c r="C366" i="9" a="1"/>
  <c r="C366" i="9" s="1"/>
  <c r="D366" i="9" a="1"/>
  <c r="D366" i="9" s="1"/>
  <c r="F366" i="9" a="1"/>
  <c r="F366" i="9" s="1"/>
  <c r="G366" i="9" a="1"/>
  <c r="G366" i="9" s="1"/>
  <c r="H366" i="9" a="1"/>
  <c r="H366" i="9" s="1"/>
  <c r="I366" i="9" a="1"/>
  <c r="I366" i="9" s="1"/>
  <c r="J366" i="9" a="1"/>
  <c r="J366" i="9" s="1"/>
  <c r="A367" i="9" a="1"/>
  <c r="A367" i="9" s="1"/>
  <c r="B367" i="9" a="1"/>
  <c r="B367" i="9" s="1"/>
  <c r="C367" i="9" a="1"/>
  <c r="C367" i="9" s="1"/>
  <c r="D367" i="9" a="1"/>
  <c r="D367" i="9" s="1"/>
  <c r="F367" i="9" a="1"/>
  <c r="F367" i="9" s="1"/>
  <c r="G367" i="9" a="1"/>
  <c r="G367" i="9" s="1"/>
  <c r="H367" i="9" a="1"/>
  <c r="H367" i="9" s="1"/>
  <c r="I367" i="9" a="1"/>
  <c r="I367" i="9" s="1"/>
  <c r="J367" i="9" a="1"/>
  <c r="J367" i="9" s="1"/>
  <c r="A368" i="9" a="1"/>
  <c r="A368" i="9" s="1"/>
  <c r="B368" i="9" a="1"/>
  <c r="B368" i="9" s="1"/>
  <c r="C368" i="9" a="1"/>
  <c r="C368" i="9" s="1"/>
  <c r="D368" i="9" a="1"/>
  <c r="D368" i="9" s="1"/>
  <c r="F368" i="9" a="1"/>
  <c r="F368" i="9" s="1"/>
  <c r="G368" i="9" a="1"/>
  <c r="G368" i="9" s="1"/>
  <c r="H368" i="9" a="1"/>
  <c r="H368" i="9" s="1"/>
  <c r="I368" i="9" a="1"/>
  <c r="I368" i="9" s="1"/>
  <c r="J368" i="9" a="1"/>
  <c r="J368" i="9" s="1"/>
  <c r="A369" i="9" a="1"/>
  <c r="A369" i="9" s="1"/>
  <c r="B369" i="9" a="1"/>
  <c r="B369" i="9" s="1"/>
  <c r="C369" i="9" a="1"/>
  <c r="C369" i="9" s="1"/>
  <c r="D369" i="9" a="1"/>
  <c r="D369" i="9" s="1"/>
  <c r="F369" i="9" a="1"/>
  <c r="F369" i="9" s="1"/>
  <c r="G369" i="9" a="1"/>
  <c r="G369" i="9" s="1"/>
  <c r="H369" i="9" a="1"/>
  <c r="H369" i="9" s="1"/>
  <c r="I369" i="9" a="1"/>
  <c r="I369" i="9" s="1"/>
  <c r="J369" i="9" a="1"/>
  <c r="J369" i="9" s="1"/>
  <c r="A370" i="9" a="1"/>
  <c r="A370" i="9" s="1"/>
  <c r="B370" i="9" a="1"/>
  <c r="B370" i="9" s="1"/>
  <c r="C370" i="9" a="1"/>
  <c r="C370" i="9" s="1"/>
  <c r="D370" i="9" a="1"/>
  <c r="D370" i="9" s="1"/>
  <c r="F370" i="9" a="1"/>
  <c r="F370" i="9" s="1"/>
  <c r="G370" i="9" a="1"/>
  <c r="G370" i="9" s="1"/>
  <c r="H370" i="9" a="1"/>
  <c r="H370" i="9" s="1"/>
  <c r="I370" i="9" a="1"/>
  <c r="I370" i="9" s="1"/>
  <c r="J370" i="9" a="1"/>
  <c r="J370" i="9" s="1"/>
  <c r="A371" i="9" a="1"/>
  <c r="A371" i="9" s="1"/>
  <c r="B371" i="9" a="1"/>
  <c r="B371" i="9" s="1"/>
  <c r="C371" i="9" a="1"/>
  <c r="C371" i="9" s="1"/>
  <c r="D371" i="9" a="1"/>
  <c r="D371" i="9" s="1"/>
  <c r="F371" i="9" a="1"/>
  <c r="F371" i="9" s="1"/>
  <c r="G371" i="9" a="1"/>
  <c r="G371" i="9" s="1"/>
  <c r="H371" i="9" a="1"/>
  <c r="H371" i="9" s="1"/>
  <c r="I371" i="9" a="1"/>
  <c r="I371" i="9" s="1"/>
  <c r="J371" i="9" a="1"/>
  <c r="J371" i="9" s="1"/>
  <c r="A372" i="9" a="1"/>
  <c r="A372" i="9" s="1"/>
  <c r="B372" i="9" a="1"/>
  <c r="B372" i="9" s="1"/>
  <c r="C372" i="9" a="1"/>
  <c r="C372" i="9" s="1"/>
  <c r="D372" i="9" a="1"/>
  <c r="D372" i="9" s="1"/>
  <c r="F372" i="9" a="1"/>
  <c r="F372" i="9" s="1"/>
  <c r="G372" i="9" a="1"/>
  <c r="G372" i="9" s="1"/>
  <c r="H372" i="9" a="1"/>
  <c r="H372" i="9" s="1"/>
  <c r="I372" i="9" a="1"/>
  <c r="I372" i="9" s="1"/>
  <c r="J372" i="9" a="1"/>
  <c r="J372" i="9" s="1"/>
  <c r="A373" i="9" a="1"/>
  <c r="A373" i="9" s="1"/>
  <c r="B373" i="9" a="1"/>
  <c r="B373" i="9" s="1"/>
  <c r="C373" i="9" a="1"/>
  <c r="C373" i="9" s="1"/>
  <c r="D373" i="9" a="1"/>
  <c r="D373" i="9" s="1"/>
  <c r="F373" i="9" a="1"/>
  <c r="F373" i="9" s="1"/>
  <c r="G373" i="9" a="1"/>
  <c r="G373" i="9" s="1"/>
  <c r="H373" i="9" a="1"/>
  <c r="H373" i="9" s="1"/>
  <c r="I373" i="9" a="1"/>
  <c r="I373" i="9" s="1"/>
  <c r="J373" i="9" a="1"/>
  <c r="J373" i="9" s="1"/>
  <c r="A374" i="9" a="1"/>
  <c r="A374" i="9" s="1"/>
  <c r="B374" i="9" a="1"/>
  <c r="B374" i="9" s="1"/>
  <c r="C374" i="9" a="1"/>
  <c r="C374" i="9" s="1"/>
  <c r="D374" i="9" a="1"/>
  <c r="D374" i="9" s="1"/>
  <c r="F374" i="9" a="1"/>
  <c r="F374" i="9" s="1"/>
  <c r="G374" i="9" a="1"/>
  <c r="G374" i="9" s="1"/>
  <c r="H374" i="9" a="1"/>
  <c r="H374" i="9" s="1"/>
  <c r="I374" i="9" a="1"/>
  <c r="I374" i="9" s="1"/>
  <c r="J374" i="9" a="1"/>
  <c r="J374" i="9" s="1"/>
  <c r="A375" i="9" a="1"/>
  <c r="A375" i="9" s="1"/>
  <c r="B375" i="9" a="1"/>
  <c r="B375" i="9" s="1"/>
  <c r="C375" i="9" a="1"/>
  <c r="C375" i="9" s="1"/>
  <c r="D375" i="9" a="1"/>
  <c r="D375" i="9" s="1"/>
  <c r="F375" i="9" a="1"/>
  <c r="F375" i="9" s="1"/>
  <c r="G375" i="9" a="1"/>
  <c r="G375" i="9" s="1"/>
  <c r="H375" i="9" a="1"/>
  <c r="H375" i="9" s="1"/>
  <c r="I375" i="9" a="1"/>
  <c r="I375" i="9" s="1"/>
  <c r="J375" i="9" a="1"/>
  <c r="J375" i="9" s="1"/>
  <c r="A376" i="9" a="1"/>
  <c r="A376" i="9" s="1"/>
  <c r="B376" i="9" a="1"/>
  <c r="B376" i="9" s="1"/>
  <c r="C376" i="9" a="1"/>
  <c r="C376" i="9" s="1"/>
  <c r="D376" i="9" a="1"/>
  <c r="D376" i="9" s="1"/>
  <c r="F376" i="9" a="1"/>
  <c r="F376" i="9" s="1"/>
  <c r="G376" i="9" a="1"/>
  <c r="G376" i="9" s="1"/>
  <c r="H376" i="9" a="1"/>
  <c r="H376" i="9" s="1"/>
  <c r="I376" i="9" a="1"/>
  <c r="I376" i="9" s="1"/>
  <c r="J376" i="9" a="1"/>
  <c r="J376" i="9" s="1"/>
  <c r="A377" i="9" a="1"/>
  <c r="A377" i="9" s="1"/>
  <c r="B377" i="9" a="1"/>
  <c r="B377" i="9" s="1"/>
  <c r="C377" i="9" a="1"/>
  <c r="C377" i="9" s="1"/>
  <c r="D377" i="9" a="1"/>
  <c r="D377" i="9" s="1"/>
  <c r="F377" i="9" a="1"/>
  <c r="F377" i="9" s="1"/>
  <c r="G377" i="9" a="1"/>
  <c r="G377" i="9" s="1"/>
  <c r="H377" i="9" a="1"/>
  <c r="H377" i="9" s="1"/>
  <c r="I377" i="9" a="1"/>
  <c r="I377" i="9" s="1"/>
  <c r="J377" i="9" a="1"/>
  <c r="J377" i="9" s="1"/>
  <c r="A378" i="9" a="1"/>
  <c r="A378" i="9" s="1"/>
  <c r="B378" i="9" a="1"/>
  <c r="B378" i="9" s="1"/>
  <c r="C378" i="9" a="1"/>
  <c r="C378" i="9" s="1"/>
  <c r="D378" i="9" a="1"/>
  <c r="D378" i="9" s="1"/>
  <c r="F378" i="9" a="1"/>
  <c r="F378" i="9" s="1"/>
  <c r="G378" i="9" a="1"/>
  <c r="G378" i="9" s="1"/>
  <c r="H378" i="9" a="1"/>
  <c r="H378" i="9" s="1"/>
  <c r="I378" i="9" a="1"/>
  <c r="I378" i="9" s="1"/>
  <c r="J378" i="9" a="1"/>
  <c r="J378" i="9" s="1"/>
  <c r="A379" i="9" a="1"/>
  <c r="A379" i="9" s="1"/>
  <c r="B379" i="9" a="1"/>
  <c r="B379" i="9" s="1"/>
  <c r="C379" i="9" a="1"/>
  <c r="C379" i="9" s="1"/>
  <c r="D379" i="9" a="1"/>
  <c r="D379" i="9" s="1"/>
  <c r="F379" i="9" a="1"/>
  <c r="F379" i="9" s="1"/>
  <c r="G379" i="9" a="1"/>
  <c r="G379" i="9" s="1"/>
  <c r="H379" i="9" a="1"/>
  <c r="H379" i="9" s="1"/>
  <c r="I379" i="9" a="1"/>
  <c r="I379" i="9" s="1"/>
  <c r="J379" i="9" a="1"/>
  <c r="J379" i="9" s="1"/>
  <c r="A380" i="9" a="1"/>
  <c r="A380" i="9" s="1"/>
  <c r="B380" i="9" a="1"/>
  <c r="B380" i="9" s="1"/>
  <c r="C380" i="9" a="1"/>
  <c r="C380" i="9" s="1"/>
  <c r="D380" i="9" a="1"/>
  <c r="D380" i="9" s="1"/>
  <c r="F380" i="9" a="1"/>
  <c r="F380" i="9" s="1"/>
  <c r="G380" i="9" a="1"/>
  <c r="G380" i="9" s="1"/>
  <c r="H380" i="9" a="1"/>
  <c r="H380" i="9" s="1"/>
  <c r="I380" i="9" a="1"/>
  <c r="I380" i="9" s="1"/>
  <c r="J380" i="9" a="1"/>
  <c r="J380" i="9" s="1"/>
  <c r="A381" i="9" a="1"/>
  <c r="A381" i="9" s="1"/>
  <c r="B381" i="9" a="1"/>
  <c r="B381" i="9" s="1"/>
  <c r="C381" i="9" a="1"/>
  <c r="C381" i="9" s="1"/>
  <c r="D381" i="9" a="1"/>
  <c r="D381" i="9" s="1"/>
  <c r="F381" i="9" a="1"/>
  <c r="F381" i="9" s="1"/>
  <c r="G381" i="9" a="1"/>
  <c r="G381" i="9" s="1"/>
  <c r="H381" i="9" a="1"/>
  <c r="H381" i="9" s="1"/>
  <c r="I381" i="9" a="1"/>
  <c r="I381" i="9" s="1"/>
  <c r="J381" i="9" a="1"/>
  <c r="J381" i="9" s="1"/>
  <c r="A382" i="9" a="1"/>
  <c r="A382" i="9" s="1"/>
  <c r="B382" i="9" a="1"/>
  <c r="B382" i="9" s="1"/>
  <c r="C382" i="9" a="1"/>
  <c r="C382" i="9" s="1"/>
  <c r="D382" i="9" a="1"/>
  <c r="D382" i="9" s="1"/>
  <c r="F382" i="9" a="1"/>
  <c r="F382" i="9" s="1"/>
  <c r="G382" i="9" a="1"/>
  <c r="G382" i="9" s="1"/>
  <c r="H382" i="9" a="1"/>
  <c r="H382" i="9" s="1"/>
  <c r="I382" i="9" a="1"/>
  <c r="I382" i="9" s="1"/>
  <c r="J382" i="9" a="1"/>
  <c r="J382" i="9" s="1"/>
  <c r="A383" i="9" a="1"/>
  <c r="A383" i="9" s="1"/>
  <c r="B383" i="9" a="1"/>
  <c r="B383" i="9" s="1"/>
  <c r="C383" i="9" a="1"/>
  <c r="C383" i="9" s="1"/>
  <c r="D383" i="9" a="1"/>
  <c r="D383" i="9" s="1"/>
  <c r="F383" i="9" a="1"/>
  <c r="F383" i="9" s="1"/>
  <c r="G383" i="9" a="1"/>
  <c r="G383" i="9" s="1"/>
  <c r="H383" i="9" a="1"/>
  <c r="H383" i="9" s="1"/>
  <c r="I383" i="9" a="1"/>
  <c r="I383" i="9" s="1"/>
  <c r="J383" i="9" a="1"/>
  <c r="J383" i="9" s="1"/>
  <c r="A384" i="9" a="1"/>
  <c r="A384" i="9" s="1"/>
  <c r="B384" i="9" a="1"/>
  <c r="B384" i="9" s="1"/>
  <c r="C384" i="9" a="1"/>
  <c r="C384" i="9" s="1"/>
  <c r="D384" i="9" a="1"/>
  <c r="D384" i="9" s="1"/>
  <c r="F384" i="9" a="1"/>
  <c r="F384" i="9" s="1"/>
  <c r="G384" i="9" a="1"/>
  <c r="G384" i="9" s="1"/>
  <c r="H384" i="9" a="1"/>
  <c r="H384" i="9" s="1"/>
  <c r="I384" i="9" a="1"/>
  <c r="I384" i="9" s="1"/>
  <c r="J384" i="9" a="1"/>
  <c r="J384" i="9" s="1"/>
  <c r="A385" i="9" a="1"/>
  <c r="A385" i="9" s="1"/>
  <c r="B385" i="9" a="1"/>
  <c r="B385" i="9" s="1"/>
  <c r="C385" i="9" a="1"/>
  <c r="C385" i="9" s="1"/>
  <c r="D385" i="9" a="1"/>
  <c r="D385" i="9" s="1"/>
  <c r="F385" i="9" a="1"/>
  <c r="F385" i="9" s="1"/>
  <c r="G385" i="9" a="1"/>
  <c r="G385" i="9" s="1"/>
  <c r="H385" i="9" a="1"/>
  <c r="H385" i="9" s="1"/>
  <c r="I385" i="9" a="1"/>
  <c r="I385" i="9" s="1"/>
  <c r="J385" i="9" a="1"/>
  <c r="J385" i="9" s="1"/>
  <c r="A386" i="9" a="1"/>
  <c r="A386" i="9" s="1"/>
  <c r="B386" i="9" a="1"/>
  <c r="B386" i="9" s="1"/>
  <c r="C386" i="9" a="1"/>
  <c r="C386" i="9" s="1"/>
  <c r="D386" i="9" a="1"/>
  <c r="D386" i="9" s="1"/>
  <c r="F386" i="9" a="1"/>
  <c r="F386" i="9" s="1"/>
  <c r="G386" i="9" a="1"/>
  <c r="G386" i="9" s="1"/>
  <c r="H386" i="9" a="1"/>
  <c r="H386" i="9" s="1"/>
  <c r="I386" i="9" a="1"/>
  <c r="I386" i="9" s="1"/>
  <c r="J386" i="9" a="1"/>
  <c r="J386" i="9" s="1"/>
  <c r="A387" i="9" a="1"/>
  <c r="A387" i="9" s="1"/>
  <c r="B387" i="9" a="1"/>
  <c r="B387" i="9" s="1"/>
  <c r="C387" i="9" a="1"/>
  <c r="C387" i="9" s="1"/>
  <c r="D387" i="9" a="1"/>
  <c r="D387" i="9" s="1"/>
  <c r="F387" i="9" a="1"/>
  <c r="F387" i="9" s="1"/>
  <c r="G387" i="9" a="1"/>
  <c r="G387" i="9" s="1"/>
  <c r="H387" i="9" a="1"/>
  <c r="H387" i="9" s="1"/>
  <c r="I387" i="9" a="1"/>
  <c r="I387" i="9" s="1"/>
  <c r="J387" i="9" a="1"/>
  <c r="J387" i="9" s="1"/>
  <c r="A388" i="9" a="1"/>
  <c r="A388" i="9" s="1"/>
  <c r="B388" i="9" a="1"/>
  <c r="B388" i="9" s="1"/>
  <c r="C388" i="9" a="1"/>
  <c r="C388" i="9" s="1"/>
  <c r="D388" i="9" a="1"/>
  <c r="D388" i="9" s="1"/>
  <c r="F388" i="9" a="1"/>
  <c r="F388" i="9" s="1"/>
  <c r="G388" i="9" a="1"/>
  <c r="G388" i="9" s="1"/>
  <c r="H388" i="9" a="1"/>
  <c r="H388" i="9" s="1"/>
  <c r="I388" i="9" a="1"/>
  <c r="I388" i="9" s="1"/>
  <c r="J388" i="9" a="1"/>
  <c r="J388" i="9" s="1"/>
  <c r="A389" i="9" a="1"/>
  <c r="A389" i="9" s="1"/>
  <c r="B389" i="9" a="1"/>
  <c r="B389" i="9" s="1"/>
  <c r="C389" i="9" a="1"/>
  <c r="C389" i="9" s="1"/>
  <c r="D389" i="9" a="1"/>
  <c r="D389" i="9" s="1"/>
  <c r="F389" i="9" a="1"/>
  <c r="F389" i="9" s="1"/>
  <c r="G389" i="9" a="1"/>
  <c r="G389" i="9" s="1"/>
  <c r="H389" i="9" a="1"/>
  <c r="H389" i="9" s="1"/>
  <c r="I389" i="9" a="1"/>
  <c r="I389" i="9" s="1"/>
  <c r="J389" i="9" a="1"/>
  <c r="J389" i="9" s="1"/>
  <c r="A390" i="9" a="1"/>
  <c r="A390" i="9" s="1"/>
  <c r="B390" i="9" a="1"/>
  <c r="B390" i="9" s="1"/>
  <c r="C390" i="9" a="1"/>
  <c r="C390" i="9" s="1"/>
  <c r="D390" i="9" a="1"/>
  <c r="D390" i="9" s="1"/>
  <c r="F390" i="9" a="1"/>
  <c r="F390" i="9" s="1"/>
  <c r="G390" i="9" a="1"/>
  <c r="G390" i="9" s="1"/>
  <c r="H390" i="9" a="1"/>
  <c r="H390" i="9" s="1"/>
  <c r="I390" i="9" a="1"/>
  <c r="I390" i="9" s="1"/>
  <c r="J390" i="9" a="1"/>
  <c r="J390" i="9" s="1"/>
  <c r="A391" i="9" a="1"/>
  <c r="A391" i="9" s="1"/>
  <c r="B391" i="9" a="1"/>
  <c r="B391" i="9" s="1"/>
  <c r="C391" i="9" a="1"/>
  <c r="C391" i="9" s="1"/>
  <c r="D391" i="9" a="1"/>
  <c r="D391" i="9" s="1"/>
  <c r="F391" i="9" a="1"/>
  <c r="F391" i="9" s="1"/>
  <c r="G391" i="9" a="1"/>
  <c r="G391" i="9" s="1"/>
  <c r="H391" i="9" a="1"/>
  <c r="H391" i="9" s="1"/>
  <c r="I391" i="9" a="1"/>
  <c r="I391" i="9" s="1"/>
  <c r="J391" i="9" a="1"/>
  <c r="J391" i="9" s="1"/>
  <c r="A392" i="9" a="1"/>
  <c r="A392" i="9" s="1"/>
  <c r="B392" i="9" a="1"/>
  <c r="B392" i="9" s="1"/>
  <c r="C392" i="9" a="1"/>
  <c r="C392" i="9" s="1"/>
  <c r="D392" i="9" a="1"/>
  <c r="D392" i="9" s="1"/>
  <c r="F392" i="9" a="1"/>
  <c r="F392" i="9" s="1"/>
  <c r="G392" i="9" a="1"/>
  <c r="G392" i="9" s="1"/>
  <c r="H392" i="9" a="1"/>
  <c r="H392" i="9" s="1"/>
  <c r="I392" i="9" a="1"/>
  <c r="I392" i="9" s="1"/>
  <c r="J392" i="9" a="1"/>
  <c r="J392" i="9" s="1"/>
  <c r="A393" i="9" a="1"/>
  <c r="A393" i="9" s="1"/>
  <c r="B393" i="9" a="1"/>
  <c r="B393" i="9" s="1"/>
  <c r="C393" i="9" a="1"/>
  <c r="C393" i="9" s="1"/>
  <c r="D393" i="9" a="1"/>
  <c r="D393" i="9" s="1"/>
  <c r="F393" i="9" a="1"/>
  <c r="F393" i="9" s="1"/>
  <c r="G393" i="9" a="1"/>
  <c r="G393" i="9" s="1"/>
  <c r="H393" i="9" a="1"/>
  <c r="H393" i="9" s="1"/>
  <c r="I393" i="9" a="1"/>
  <c r="I393" i="9" s="1"/>
  <c r="J393" i="9" a="1"/>
  <c r="J393" i="9" s="1"/>
  <c r="A394" i="9" a="1"/>
  <c r="A394" i="9" s="1"/>
  <c r="B394" i="9" a="1"/>
  <c r="B394" i="9" s="1"/>
  <c r="C394" i="9" a="1"/>
  <c r="C394" i="9" s="1"/>
  <c r="D394" i="9" a="1"/>
  <c r="D394" i="9" s="1"/>
  <c r="F394" i="9" a="1"/>
  <c r="F394" i="9" s="1"/>
  <c r="G394" i="9" a="1"/>
  <c r="G394" i="9" s="1"/>
  <c r="H394" i="9" a="1"/>
  <c r="H394" i="9" s="1"/>
  <c r="I394" i="9" a="1"/>
  <c r="I394" i="9" s="1"/>
  <c r="J394" i="9" a="1"/>
  <c r="J394" i="9" s="1"/>
  <c r="A395" i="9" a="1"/>
  <c r="A395" i="9" s="1"/>
  <c r="B395" i="9" a="1"/>
  <c r="B395" i="9" s="1"/>
  <c r="C395" i="9" a="1"/>
  <c r="C395" i="9" s="1"/>
  <c r="D395" i="9" a="1"/>
  <c r="D395" i="9" s="1"/>
  <c r="F395" i="9" a="1"/>
  <c r="F395" i="9" s="1"/>
  <c r="G395" i="9" a="1"/>
  <c r="G395" i="9" s="1"/>
  <c r="H395" i="9" a="1"/>
  <c r="H395" i="9" s="1"/>
  <c r="I395" i="9" a="1"/>
  <c r="I395" i="9" s="1"/>
  <c r="J395" i="9" a="1"/>
  <c r="J395" i="9" s="1"/>
  <c r="A396" i="9" a="1"/>
  <c r="A396" i="9" s="1"/>
  <c r="B396" i="9" a="1"/>
  <c r="B396" i="9" s="1"/>
  <c r="C396" i="9" a="1"/>
  <c r="C396" i="9" s="1"/>
  <c r="D396" i="9" a="1"/>
  <c r="D396" i="9" s="1"/>
  <c r="F396" i="9" a="1"/>
  <c r="F396" i="9" s="1"/>
  <c r="G396" i="9" a="1"/>
  <c r="G396" i="9" s="1"/>
  <c r="H396" i="9" a="1"/>
  <c r="H396" i="9" s="1"/>
  <c r="I396" i="9" a="1"/>
  <c r="I396" i="9" s="1"/>
  <c r="J396" i="9" a="1"/>
  <c r="J396" i="9" s="1"/>
  <c r="A397" i="9" a="1"/>
  <c r="A397" i="9" s="1"/>
  <c r="B397" i="9" a="1"/>
  <c r="B397" i="9" s="1"/>
  <c r="C397" i="9" a="1"/>
  <c r="C397" i="9" s="1"/>
  <c r="D397" i="9" a="1"/>
  <c r="D397" i="9" s="1"/>
  <c r="F397" i="9" a="1"/>
  <c r="F397" i="9" s="1"/>
  <c r="G397" i="9" a="1"/>
  <c r="G397" i="9" s="1"/>
  <c r="H397" i="9" a="1"/>
  <c r="H397" i="9" s="1"/>
  <c r="I397" i="9" a="1"/>
  <c r="I397" i="9" s="1"/>
  <c r="J397" i="9" a="1"/>
  <c r="J397" i="9" s="1"/>
  <c r="A398" i="9" a="1"/>
  <c r="A398" i="9" s="1"/>
  <c r="B398" i="9" a="1"/>
  <c r="B398" i="9" s="1"/>
  <c r="C398" i="9" a="1"/>
  <c r="C398" i="9" s="1"/>
  <c r="D398" i="9" a="1"/>
  <c r="D398" i="9" s="1"/>
  <c r="F398" i="9" a="1"/>
  <c r="F398" i="9" s="1"/>
  <c r="G398" i="9" a="1"/>
  <c r="G398" i="9" s="1"/>
  <c r="H398" i="9" a="1"/>
  <c r="H398" i="9" s="1"/>
  <c r="I398" i="9" a="1"/>
  <c r="I398" i="9" s="1"/>
  <c r="J398" i="9" a="1"/>
  <c r="J398" i="9" s="1"/>
  <c r="A399" i="9" a="1"/>
  <c r="A399" i="9" s="1"/>
  <c r="B399" i="9" a="1"/>
  <c r="B399" i="9" s="1"/>
  <c r="C399" i="9" a="1"/>
  <c r="C399" i="9" s="1"/>
  <c r="D399" i="9" a="1"/>
  <c r="D399" i="9" s="1"/>
  <c r="F399" i="9" a="1"/>
  <c r="F399" i="9" s="1"/>
  <c r="G399" i="9" a="1"/>
  <c r="G399" i="9" s="1"/>
  <c r="H399" i="9" a="1"/>
  <c r="H399" i="9" s="1"/>
  <c r="I399" i="9" a="1"/>
  <c r="I399" i="9" s="1"/>
  <c r="J399" i="9" a="1"/>
  <c r="J399" i="9" s="1"/>
  <c r="A400" i="9" a="1"/>
  <c r="A400" i="9" s="1"/>
  <c r="B400" i="9" a="1"/>
  <c r="B400" i="9" s="1"/>
  <c r="C400" i="9" a="1"/>
  <c r="C400" i="9" s="1"/>
  <c r="D400" i="9" a="1"/>
  <c r="D400" i="9" s="1"/>
  <c r="F400" i="9" a="1"/>
  <c r="F400" i="9" s="1"/>
  <c r="G400" i="9" a="1"/>
  <c r="G400" i="9" s="1"/>
  <c r="H400" i="9" a="1"/>
  <c r="H400" i="9" s="1"/>
  <c r="I400" i="9" a="1"/>
  <c r="I400" i="9" s="1"/>
  <c r="J400" i="9" a="1"/>
  <c r="J400" i="9" s="1"/>
  <c r="A401" i="9" a="1"/>
  <c r="A401" i="9" s="1"/>
  <c r="B401" i="9" a="1"/>
  <c r="B401" i="9" s="1"/>
  <c r="C401" i="9" a="1"/>
  <c r="C401" i="9" s="1"/>
  <c r="D401" i="9" a="1"/>
  <c r="D401" i="9" s="1"/>
  <c r="F401" i="9" a="1"/>
  <c r="F401" i="9" s="1"/>
  <c r="G401" i="9" a="1"/>
  <c r="G401" i="9" s="1"/>
  <c r="H401" i="9" a="1"/>
  <c r="H401" i="9" s="1"/>
  <c r="I401" i="9" a="1"/>
  <c r="I401" i="9" s="1"/>
  <c r="J401" i="9" a="1"/>
  <c r="J401" i="9" s="1"/>
  <c r="A402" i="9" a="1"/>
  <c r="A402" i="9" s="1"/>
  <c r="B402" i="9" a="1"/>
  <c r="B402" i="9" s="1"/>
  <c r="C402" i="9" a="1"/>
  <c r="C402" i="9" s="1"/>
  <c r="D402" i="9" a="1"/>
  <c r="D402" i="9" s="1"/>
  <c r="F402" i="9" a="1"/>
  <c r="F402" i="9" s="1"/>
  <c r="G402" i="9" a="1"/>
  <c r="G402" i="9" s="1"/>
  <c r="H402" i="9" a="1"/>
  <c r="H402" i="9" s="1"/>
  <c r="I402" i="9" a="1"/>
  <c r="I402" i="9" s="1"/>
  <c r="J402" i="9" a="1"/>
  <c r="J402" i="9" s="1"/>
  <c r="A403" i="9" a="1"/>
  <c r="A403" i="9" s="1"/>
  <c r="B403" i="9" a="1"/>
  <c r="B403" i="9" s="1"/>
  <c r="C403" i="9" a="1"/>
  <c r="C403" i="9" s="1"/>
  <c r="D403" i="9" a="1"/>
  <c r="D403" i="9" s="1"/>
  <c r="F403" i="9" a="1"/>
  <c r="F403" i="9" s="1"/>
  <c r="G403" i="9" a="1"/>
  <c r="G403" i="9" s="1"/>
  <c r="H403" i="9" a="1"/>
  <c r="H403" i="9" s="1"/>
  <c r="I403" i="9" a="1"/>
  <c r="I403" i="9" s="1"/>
  <c r="J403" i="9" a="1"/>
  <c r="J403" i="9" s="1"/>
  <c r="A404" i="9" a="1"/>
  <c r="A404" i="9" s="1"/>
  <c r="B404" i="9" a="1"/>
  <c r="B404" i="9" s="1"/>
  <c r="C404" i="9" a="1"/>
  <c r="C404" i="9" s="1"/>
  <c r="D404" i="9" a="1"/>
  <c r="D404" i="9" s="1"/>
  <c r="F404" i="9" a="1"/>
  <c r="F404" i="9" s="1"/>
  <c r="G404" i="9" a="1"/>
  <c r="G404" i="9" s="1"/>
  <c r="H404" i="9" a="1"/>
  <c r="H404" i="9" s="1"/>
  <c r="I404" i="9" a="1"/>
  <c r="I404" i="9" s="1"/>
  <c r="J404" i="9" a="1"/>
  <c r="J404" i="9" s="1"/>
  <c r="A405" i="9" a="1"/>
  <c r="A405" i="9" s="1"/>
  <c r="B405" i="9" a="1"/>
  <c r="B405" i="9" s="1"/>
  <c r="C405" i="9" a="1"/>
  <c r="C405" i="9" s="1"/>
  <c r="D405" i="9" a="1"/>
  <c r="D405" i="9" s="1"/>
  <c r="F405" i="9" a="1"/>
  <c r="F405" i="9" s="1"/>
  <c r="G405" i="9" a="1"/>
  <c r="G405" i="9" s="1"/>
  <c r="H405" i="9" a="1"/>
  <c r="H405" i="9" s="1"/>
  <c r="I405" i="9" a="1"/>
  <c r="I405" i="9" s="1"/>
  <c r="J405" i="9" a="1"/>
  <c r="J405" i="9" s="1"/>
  <c r="A406" i="9" a="1"/>
  <c r="A406" i="9" s="1"/>
  <c r="B406" i="9" a="1"/>
  <c r="B406" i="9" s="1"/>
  <c r="C406" i="9" a="1"/>
  <c r="C406" i="9" s="1"/>
  <c r="D406" i="9" a="1"/>
  <c r="D406" i="9" s="1"/>
  <c r="F406" i="9" a="1"/>
  <c r="F406" i="9" s="1"/>
  <c r="G406" i="9" a="1"/>
  <c r="G406" i="9" s="1"/>
  <c r="H406" i="9" a="1"/>
  <c r="H406" i="9" s="1"/>
  <c r="I406" i="9" a="1"/>
  <c r="I406" i="9" s="1"/>
  <c r="J406" i="9" a="1"/>
  <c r="J406" i="9" s="1"/>
  <c r="A407" i="9" a="1"/>
  <c r="A407" i="9" s="1"/>
  <c r="B407" i="9" a="1"/>
  <c r="B407" i="9" s="1"/>
  <c r="C407" i="9" a="1"/>
  <c r="C407" i="9" s="1"/>
  <c r="D407" i="9" a="1"/>
  <c r="D407" i="9" s="1"/>
  <c r="F407" i="9" a="1"/>
  <c r="F407" i="9" s="1"/>
  <c r="G407" i="9" a="1"/>
  <c r="G407" i="9" s="1"/>
  <c r="H407" i="9" a="1"/>
  <c r="H407" i="9" s="1"/>
  <c r="I407" i="9" a="1"/>
  <c r="I407" i="9" s="1"/>
  <c r="J407" i="9" a="1"/>
  <c r="J407" i="9" s="1"/>
  <c r="A408" i="9" a="1"/>
  <c r="A408" i="9" s="1"/>
  <c r="B408" i="9" a="1"/>
  <c r="B408" i="9" s="1"/>
  <c r="C408" i="9" a="1"/>
  <c r="C408" i="9" s="1"/>
  <c r="D408" i="9" a="1"/>
  <c r="D408" i="9" s="1"/>
  <c r="F408" i="9" a="1"/>
  <c r="F408" i="9" s="1"/>
  <c r="G408" i="9" a="1"/>
  <c r="G408" i="9" s="1"/>
  <c r="H408" i="9" a="1"/>
  <c r="H408" i="9" s="1"/>
  <c r="I408" i="9" a="1"/>
  <c r="I408" i="9" s="1"/>
  <c r="J408" i="9" a="1"/>
  <c r="J408" i="9" s="1"/>
  <c r="A409" i="9" a="1"/>
  <c r="A409" i="9" s="1"/>
  <c r="B409" i="9" a="1"/>
  <c r="B409" i="9" s="1"/>
  <c r="C409" i="9" a="1"/>
  <c r="C409" i="9" s="1"/>
  <c r="D409" i="9" a="1"/>
  <c r="D409" i="9" s="1"/>
  <c r="F409" i="9" a="1"/>
  <c r="F409" i="9" s="1"/>
  <c r="G409" i="9" a="1"/>
  <c r="G409" i="9" s="1"/>
  <c r="H409" i="9" a="1"/>
  <c r="H409" i="9" s="1"/>
  <c r="I409" i="9" a="1"/>
  <c r="I409" i="9" s="1"/>
  <c r="J409" i="9" a="1"/>
  <c r="J409" i="9" s="1"/>
  <c r="A410" i="9" a="1"/>
  <c r="A410" i="9" s="1"/>
  <c r="B410" i="9" a="1"/>
  <c r="B410" i="9" s="1"/>
  <c r="C410" i="9" a="1"/>
  <c r="C410" i="9" s="1"/>
  <c r="D410" i="9" a="1"/>
  <c r="D410" i="9" s="1"/>
  <c r="F410" i="9" a="1"/>
  <c r="F410" i="9" s="1"/>
  <c r="G410" i="9" a="1"/>
  <c r="G410" i="9" s="1"/>
  <c r="H410" i="9" a="1"/>
  <c r="H410" i="9" s="1"/>
  <c r="I410" i="9" a="1"/>
  <c r="I410" i="9" s="1"/>
  <c r="J410" i="9" a="1"/>
  <c r="J410" i="9" s="1"/>
  <c r="A411" i="9" a="1"/>
  <c r="A411" i="9" s="1"/>
  <c r="B411" i="9" a="1"/>
  <c r="B411" i="9" s="1"/>
  <c r="C411" i="9" a="1"/>
  <c r="C411" i="9" s="1"/>
  <c r="D411" i="9" a="1"/>
  <c r="D411" i="9" s="1"/>
  <c r="F411" i="9" a="1"/>
  <c r="F411" i="9" s="1"/>
  <c r="G411" i="9" a="1"/>
  <c r="G411" i="9" s="1"/>
  <c r="H411" i="9" a="1"/>
  <c r="H411" i="9" s="1"/>
  <c r="I411" i="9" a="1"/>
  <c r="I411" i="9" s="1"/>
  <c r="J411" i="9" a="1"/>
  <c r="J411" i="9" s="1"/>
  <c r="A412" i="9" a="1"/>
  <c r="A412" i="9" s="1"/>
  <c r="B412" i="9" a="1"/>
  <c r="B412" i="9" s="1"/>
  <c r="C412" i="9" a="1"/>
  <c r="C412" i="9" s="1"/>
  <c r="D412" i="9" a="1"/>
  <c r="D412" i="9" s="1"/>
  <c r="F412" i="9" a="1"/>
  <c r="F412" i="9" s="1"/>
  <c r="G412" i="9" a="1"/>
  <c r="G412" i="9" s="1"/>
  <c r="H412" i="9" a="1"/>
  <c r="H412" i="9" s="1"/>
  <c r="I412" i="9" a="1"/>
  <c r="I412" i="9" s="1"/>
  <c r="J412" i="9" a="1"/>
  <c r="J412" i="9" s="1"/>
  <c r="A413" i="9" a="1"/>
  <c r="A413" i="9" s="1"/>
  <c r="B413" i="9" a="1"/>
  <c r="B413" i="9" s="1"/>
  <c r="C413" i="9" a="1"/>
  <c r="C413" i="9" s="1"/>
  <c r="D413" i="9" a="1"/>
  <c r="D413" i="9" s="1"/>
  <c r="F413" i="9" a="1"/>
  <c r="F413" i="9" s="1"/>
  <c r="G413" i="9" a="1"/>
  <c r="G413" i="9" s="1"/>
  <c r="H413" i="9" a="1"/>
  <c r="H413" i="9" s="1"/>
  <c r="I413" i="9" a="1"/>
  <c r="I413" i="9" s="1"/>
  <c r="J413" i="9" a="1"/>
  <c r="J413" i="9" s="1"/>
  <c r="A414" i="9" a="1"/>
  <c r="A414" i="9" s="1"/>
  <c r="B414" i="9" a="1"/>
  <c r="B414" i="9" s="1"/>
  <c r="C414" i="9" a="1"/>
  <c r="C414" i="9" s="1"/>
  <c r="D414" i="9" a="1"/>
  <c r="D414" i="9" s="1"/>
  <c r="F414" i="9" a="1"/>
  <c r="F414" i="9" s="1"/>
  <c r="G414" i="9" a="1"/>
  <c r="G414" i="9" s="1"/>
  <c r="H414" i="9" a="1"/>
  <c r="H414" i="9" s="1"/>
  <c r="I414" i="9" a="1"/>
  <c r="I414" i="9" s="1"/>
  <c r="J414" i="9" a="1"/>
  <c r="J414" i="9" s="1"/>
  <c r="A415" i="9" a="1"/>
  <c r="A415" i="9" s="1"/>
  <c r="B415" i="9" a="1"/>
  <c r="B415" i="9" s="1"/>
  <c r="C415" i="9" a="1"/>
  <c r="C415" i="9" s="1"/>
  <c r="D415" i="9" a="1"/>
  <c r="D415" i="9" s="1"/>
  <c r="F415" i="9" a="1"/>
  <c r="F415" i="9" s="1"/>
  <c r="G415" i="9" a="1"/>
  <c r="G415" i="9" s="1"/>
  <c r="H415" i="9" a="1"/>
  <c r="H415" i="9" s="1"/>
  <c r="I415" i="9" a="1"/>
  <c r="I415" i="9" s="1"/>
  <c r="J415" i="9" a="1"/>
  <c r="J415" i="9" s="1"/>
  <c r="A416" i="9" a="1"/>
  <c r="A416" i="9" s="1"/>
  <c r="B416" i="9" a="1"/>
  <c r="B416" i="9" s="1"/>
  <c r="C416" i="9" a="1"/>
  <c r="C416" i="9" s="1"/>
  <c r="D416" i="9" a="1"/>
  <c r="D416" i="9" s="1"/>
  <c r="F416" i="9" a="1"/>
  <c r="F416" i="9" s="1"/>
  <c r="G416" i="9" a="1"/>
  <c r="G416" i="9" s="1"/>
  <c r="H416" i="9" a="1"/>
  <c r="H416" i="9" s="1"/>
  <c r="I416" i="9" a="1"/>
  <c r="I416" i="9" s="1"/>
  <c r="J416" i="9" a="1"/>
  <c r="J416" i="9" s="1"/>
  <c r="A417" i="9" a="1"/>
  <c r="A417" i="9" s="1"/>
  <c r="B417" i="9" a="1"/>
  <c r="B417" i="9" s="1"/>
  <c r="C417" i="9" a="1"/>
  <c r="C417" i="9" s="1"/>
  <c r="D417" i="9" a="1"/>
  <c r="D417" i="9" s="1"/>
  <c r="F417" i="9" a="1"/>
  <c r="F417" i="9" s="1"/>
  <c r="G417" i="9" a="1"/>
  <c r="G417" i="9" s="1"/>
  <c r="H417" i="9" a="1"/>
  <c r="H417" i="9" s="1"/>
  <c r="I417" i="9" a="1"/>
  <c r="I417" i="9" s="1"/>
  <c r="J417" i="9" a="1"/>
  <c r="J417" i="9" s="1"/>
  <c r="A418" i="9" a="1"/>
  <c r="A418" i="9" s="1"/>
  <c r="B418" i="9" a="1"/>
  <c r="B418" i="9" s="1"/>
  <c r="C418" i="9" a="1"/>
  <c r="C418" i="9" s="1"/>
  <c r="D418" i="9" a="1"/>
  <c r="D418" i="9" s="1"/>
  <c r="F418" i="9" a="1"/>
  <c r="F418" i="9" s="1"/>
  <c r="G418" i="9" a="1"/>
  <c r="G418" i="9" s="1"/>
  <c r="H418" i="9" a="1"/>
  <c r="H418" i="9" s="1"/>
  <c r="I418" i="9" a="1"/>
  <c r="I418" i="9" s="1"/>
  <c r="J418" i="9" a="1"/>
  <c r="J418" i="9" s="1"/>
  <c r="A419" i="9" a="1"/>
  <c r="A419" i="9" s="1"/>
  <c r="B419" i="9" a="1"/>
  <c r="B419" i="9" s="1"/>
  <c r="C419" i="9" a="1"/>
  <c r="C419" i="9" s="1"/>
  <c r="D419" i="9" a="1"/>
  <c r="D419" i="9" s="1"/>
  <c r="F419" i="9" a="1"/>
  <c r="F419" i="9" s="1"/>
  <c r="G419" i="9" a="1"/>
  <c r="G419" i="9" s="1"/>
  <c r="H419" i="9" a="1"/>
  <c r="H419" i="9" s="1"/>
  <c r="I419" i="9" a="1"/>
  <c r="I419" i="9" s="1"/>
  <c r="J419" i="9" a="1"/>
  <c r="J419" i="9" s="1"/>
  <c r="A420" i="9" a="1"/>
  <c r="A420" i="9" s="1"/>
  <c r="B420" i="9" a="1"/>
  <c r="B420" i="9" s="1"/>
  <c r="C420" i="9" a="1"/>
  <c r="C420" i="9" s="1"/>
  <c r="D420" i="9" a="1"/>
  <c r="D420" i="9" s="1"/>
  <c r="F420" i="9" a="1"/>
  <c r="F420" i="9" s="1"/>
  <c r="G420" i="9" a="1"/>
  <c r="G420" i="9" s="1"/>
  <c r="H420" i="9" a="1"/>
  <c r="H420" i="9" s="1"/>
  <c r="I420" i="9" a="1"/>
  <c r="I420" i="9" s="1"/>
  <c r="J420" i="9" a="1"/>
  <c r="J420" i="9" s="1"/>
  <c r="A421" i="9" a="1"/>
  <c r="A421" i="9" s="1"/>
  <c r="B421" i="9" a="1"/>
  <c r="B421" i="9" s="1"/>
  <c r="C421" i="9" a="1"/>
  <c r="C421" i="9" s="1"/>
  <c r="D421" i="9" a="1"/>
  <c r="D421" i="9" s="1"/>
  <c r="F421" i="9" a="1"/>
  <c r="F421" i="9" s="1"/>
  <c r="G421" i="9" a="1"/>
  <c r="G421" i="9" s="1"/>
  <c r="H421" i="9" a="1"/>
  <c r="H421" i="9" s="1"/>
  <c r="I421" i="9" a="1"/>
  <c r="I421" i="9" s="1"/>
  <c r="J421" i="9" a="1"/>
  <c r="J421" i="9" s="1"/>
  <c r="A422" i="9" a="1"/>
  <c r="A422" i="9" s="1"/>
  <c r="B422" i="9" a="1"/>
  <c r="B422" i="9" s="1"/>
  <c r="C422" i="9" a="1"/>
  <c r="C422" i="9" s="1"/>
  <c r="D422" i="9" a="1"/>
  <c r="D422" i="9" s="1"/>
  <c r="F422" i="9" a="1"/>
  <c r="F422" i="9" s="1"/>
  <c r="G422" i="9" a="1"/>
  <c r="G422" i="9" s="1"/>
  <c r="H422" i="9" a="1"/>
  <c r="H422" i="9" s="1"/>
  <c r="I422" i="9" a="1"/>
  <c r="I422" i="9" s="1"/>
  <c r="J422" i="9" a="1"/>
  <c r="J422" i="9" s="1"/>
  <c r="A423" i="9" a="1"/>
  <c r="A423" i="9" s="1"/>
  <c r="B423" i="9" a="1"/>
  <c r="B423" i="9" s="1"/>
  <c r="C423" i="9" a="1"/>
  <c r="C423" i="9" s="1"/>
  <c r="D423" i="9" a="1"/>
  <c r="D423" i="9" s="1"/>
  <c r="F423" i="9" a="1"/>
  <c r="F423" i="9" s="1"/>
  <c r="G423" i="9" a="1"/>
  <c r="G423" i="9" s="1"/>
  <c r="H423" i="9" a="1"/>
  <c r="H423" i="9" s="1"/>
  <c r="I423" i="9" a="1"/>
  <c r="I423" i="9" s="1"/>
  <c r="J423" i="9" a="1"/>
  <c r="J423" i="9" s="1"/>
  <c r="A424" i="9" a="1"/>
  <c r="A424" i="9" s="1"/>
  <c r="B424" i="9" a="1"/>
  <c r="B424" i="9" s="1"/>
  <c r="C424" i="9" a="1"/>
  <c r="C424" i="9" s="1"/>
  <c r="D424" i="9" a="1"/>
  <c r="D424" i="9" s="1"/>
  <c r="F424" i="9" a="1"/>
  <c r="F424" i="9" s="1"/>
  <c r="G424" i="9" a="1"/>
  <c r="G424" i="9" s="1"/>
  <c r="H424" i="9" a="1"/>
  <c r="H424" i="9" s="1"/>
  <c r="I424" i="9" a="1"/>
  <c r="I424" i="9" s="1"/>
  <c r="J424" i="9" a="1"/>
  <c r="J424" i="9" s="1"/>
  <c r="A425" i="9" a="1"/>
  <c r="A425" i="9" s="1"/>
  <c r="B425" i="9" a="1"/>
  <c r="B425" i="9" s="1"/>
  <c r="C425" i="9" a="1"/>
  <c r="C425" i="9" s="1"/>
  <c r="D425" i="9" a="1"/>
  <c r="D425" i="9" s="1"/>
  <c r="F425" i="9" a="1"/>
  <c r="F425" i="9" s="1"/>
  <c r="G425" i="9" a="1"/>
  <c r="G425" i="9" s="1"/>
  <c r="H425" i="9" a="1"/>
  <c r="H425" i="9" s="1"/>
  <c r="I425" i="9" a="1"/>
  <c r="I425" i="9" s="1"/>
  <c r="J425" i="9" a="1"/>
  <c r="J425" i="9" s="1"/>
  <c r="A426" i="9" a="1"/>
  <c r="A426" i="9" s="1"/>
  <c r="B426" i="9" a="1"/>
  <c r="B426" i="9" s="1"/>
  <c r="C426" i="9" a="1"/>
  <c r="C426" i="9" s="1"/>
  <c r="D426" i="9" a="1"/>
  <c r="D426" i="9" s="1"/>
  <c r="F426" i="9" a="1"/>
  <c r="F426" i="9" s="1"/>
  <c r="G426" i="9" a="1"/>
  <c r="G426" i="9" s="1"/>
  <c r="H426" i="9" a="1"/>
  <c r="H426" i="9" s="1"/>
  <c r="I426" i="9" a="1"/>
  <c r="I426" i="9" s="1"/>
  <c r="J426" i="9" a="1"/>
  <c r="J426" i="9" s="1"/>
  <c r="A427" i="9" a="1"/>
  <c r="A427" i="9" s="1"/>
  <c r="B427" i="9" a="1"/>
  <c r="B427" i="9" s="1"/>
  <c r="C427" i="9" a="1"/>
  <c r="C427" i="9" s="1"/>
  <c r="D427" i="9" a="1"/>
  <c r="D427" i="9" s="1"/>
  <c r="F427" i="9" a="1"/>
  <c r="F427" i="9" s="1"/>
  <c r="G427" i="9" a="1"/>
  <c r="G427" i="9" s="1"/>
  <c r="H427" i="9" a="1"/>
  <c r="H427" i="9" s="1"/>
  <c r="I427" i="9" a="1"/>
  <c r="I427" i="9" s="1"/>
  <c r="J427" i="9" a="1"/>
  <c r="J427" i="9" s="1"/>
  <c r="A428" i="9" a="1"/>
  <c r="A428" i="9" s="1"/>
  <c r="B428" i="9" a="1"/>
  <c r="B428" i="9" s="1"/>
  <c r="C428" i="9" a="1"/>
  <c r="C428" i="9" s="1"/>
  <c r="D428" i="9" a="1"/>
  <c r="D428" i="9" s="1"/>
  <c r="F428" i="9" a="1"/>
  <c r="F428" i="9" s="1"/>
  <c r="G428" i="9" a="1"/>
  <c r="G428" i="9" s="1"/>
  <c r="H428" i="9" a="1"/>
  <c r="H428" i="9" s="1"/>
  <c r="I428" i="9" a="1"/>
  <c r="I428" i="9" s="1"/>
  <c r="J428" i="9" a="1"/>
  <c r="J428" i="9" s="1"/>
  <c r="A429" i="9" a="1"/>
  <c r="A429" i="9" s="1"/>
  <c r="B429" i="9" a="1"/>
  <c r="B429" i="9" s="1"/>
  <c r="C429" i="9" a="1"/>
  <c r="C429" i="9" s="1"/>
  <c r="D429" i="9" a="1"/>
  <c r="D429" i="9" s="1"/>
  <c r="F429" i="9" a="1"/>
  <c r="F429" i="9" s="1"/>
  <c r="G429" i="9" a="1"/>
  <c r="G429" i="9" s="1"/>
  <c r="H429" i="9" a="1"/>
  <c r="H429" i="9" s="1"/>
  <c r="I429" i="9" a="1"/>
  <c r="I429" i="9" s="1"/>
  <c r="J429" i="9" a="1"/>
  <c r="J429" i="9" s="1"/>
  <c r="A430" i="9" a="1"/>
  <c r="A430" i="9" s="1"/>
  <c r="B430" i="9" a="1"/>
  <c r="B430" i="9" s="1"/>
  <c r="C430" i="9" a="1"/>
  <c r="C430" i="9" s="1"/>
  <c r="D430" i="9" a="1"/>
  <c r="D430" i="9" s="1"/>
  <c r="F430" i="9" a="1"/>
  <c r="F430" i="9" s="1"/>
  <c r="G430" i="9" a="1"/>
  <c r="G430" i="9" s="1"/>
  <c r="H430" i="9" a="1"/>
  <c r="H430" i="9" s="1"/>
  <c r="I430" i="9" a="1"/>
  <c r="I430" i="9" s="1"/>
  <c r="J430" i="9" a="1"/>
  <c r="J430" i="9" s="1"/>
  <c r="A431" i="9" a="1"/>
  <c r="A431" i="9" s="1"/>
  <c r="B431" i="9" a="1"/>
  <c r="B431" i="9" s="1"/>
  <c r="C431" i="9" a="1"/>
  <c r="C431" i="9" s="1"/>
  <c r="D431" i="9" a="1"/>
  <c r="D431" i="9" s="1"/>
  <c r="F431" i="9" a="1"/>
  <c r="F431" i="9" s="1"/>
  <c r="G431" i="9" a="1"/>
  <c r="G431" i="9" s="1"/>
  <c r="H431" i="9" a="1"/>
  <c r="H431" i="9" s="1"/>
  <c r="I431" i="9" a="1"/>
  <c r="I431" i="9" s="1"/>
  <c r="J431" i="9" a="1"/>
  <c r="J431" i="9" s="1"/>
  <c r="A432" i="9" a="1"/>
  <c r="A432" i="9" s="1"/>
  <c r="B432" i="9" a="1"/>
  <c r="B432" i="9" s="1"/>
  <c r="C432" i="9" a="1"/>
  <c r="C432" i="9" s="1"/>
  <c r="D432" i="9" a="1"/>
  <c r="D432" i="9" s="1"/>
  <c r="F432" i="9" a="1"/>
  <c r="F432" i="9" s="1"/>
  <c r="G432" i="9" a="1"/>
  <c r="G432" i="9" s="1"/>
  <c r="H432" i="9" a="1"/>
  <c r="H432" i="9" s="1"/>
  <c r="I432" i="9" a="1"/>
  <c r="I432" i="9" s="1"/>
  <c r="J432" i="9" a="1"/>
  <c r="J432" i="9" s="1"/>
  <c r="A433" i="9" a="1"/>
  <c r="A433" i="9" s="1"/>
  <c r="B433" i="9" a="1"/>
  <c r="B433" i="9" s="1"/>
  <c r="C433" i="9" a="1"/>
  <c r="C433" i="9" s="1"/>
  <c r="D433" i="9" a="1"/>
  <c r="D433" i="9" s="1"/>
  <c r="F433" i="9" a="1"/>
  <c r="F433" i="9" s="1"/>
  <c r="G433" i="9" a="1"/>
  <c r="G433" i="9" s="1"/>
  <c r="H433" i="9" a="1"/>
  <c r="H433" i="9" s="1"/>
  <c r="I433" i="9" a="1"/>
  <c r="I433" i="9" s="1"/>
  <c r="J433" i="9" a="1"/>
  <c r="J433" i="9" s="1"/>
  <c r="A434" i="9" a="1"/>
  <c r="A434" i="9" s="1"/>
  <c r="B434" i="9" a="1"/>
  <c r="B434" i="9" s="1"/>
  <c r="C434" i="9" a="1"/>
  <c r="C434" i="9" s="1"/>
  <c r="D434" i="9" a="1"/>
  <c r="D434" i="9" s="1"/>
  <c r="F434" i="9" a="1"/>
  <c r="F434" i="9" s="1"/>
  <c r="G434" i="9" a="1"/>
  <c r="G434" i="9" s="1"/>
  <c r="H434" i="9" a="1"/>
  <c r="H434" i="9" s="1"/>
  <c r="I434" i="9" a="1"/>
  <c r="I434" i="9" s="1"/>
  <c r="J434" i="9" a="1"/>
  <c r="J434" i="9" s="1"/>
  <c r="A435" i="9" a="1"/>
  <c r="A435" i="9" s="1"/>
  <c r="B435" i="9" a="1"/>
  <c r="B435" i="9" s="1"/>
  <c r="C435" i="9" a="1"/>
  <c r="C435" i="9" s="1"/>
  <c r="D435" i="9" a="1"/>
  <c r="D435" i="9" s="1"/>
  <c r="F435" i="9" a="1"/>
  <c r="F435" i="9" s="1"/>
  <c r="G435" i="9" a="1"/>
  <c r="G435" i="9" s="1"/>
  <c r="H435" i="9" a="1"/>
  <c r="H435" i="9" s="1"/>
  <c r="I435" i="9" a="1"/>
  <c r="I435" i="9" s="1"/>
  <c r="J435" i="9" a="1"/>
  <c r="J435" i="9" s="1"/>
  <c r="A436" i="9" a="1"/>
  <c r="A436" i="9" s="1"/>
  <c r="B436" i="9" a="1"/>
  <c r="B436" i="9" s="1"/>
  <c r="C436" i="9" a="1"/>
  <c r="C436" i="9" s="1"/>
  <c r="D436" i="9" a="1"/>
  <c r="D436" i="9" s="1"/>
  <c r="F436" i="9" a="1"/>
  <c r="F436" i="9" s="1"/>
  <c r="G436" i="9" a="1"/>
  <c r="G436" i="9" s="1"/>
  <c r="H436" i="9" a="1"/>
  <c r="H436" i="9" s="1"/>
  <c r="I436" i="9" a="1"/>
  <c r="I436" i="9" s="1"/>
  <c r="J436" i="9" a="1"/>
  <c r="J436" i="9" s="1"/>
  <c r="A437" i="9" a="1"/>
  <c r="A437" i="9" s="1"/>
  <c r="B437" i="9" a="1"/>
  <c r="B437" i="9" s="1"/>
  <c r="C437" i="9" a="1"/>
  <c r="C437" i="9" s="1"/>
  <c r="D437" i="9" a="1"/>
  <c r="D437" i="9" s="1"/>
  <c r="F437" i="9" a="1"/>
  <c r="F437" i="9" s="1"/>
  <c r="G437" i="9" a="1"/>
  <c r="G437" i="9" s="1"/>
  <c r="H437" i="9" a="1"/>
  <c r="H437" i="9" s="1"/>
  <c r="I437" i="9" a="1"/>
  <c r="I437" i="9" s="1"/>
  <c r="J437" i="9" a="1"/>
  <c r="J437" i="9" s="1"/>
  <c r="A438" i="9" a="1"/>
  <c r="A438" i="9" s="1"/>
  <c r="B438" i="9" a="1"/>
  <c r="B438" i="9" s="1"/>
  <c r="C438" i="9" a="1"/>
  <c r="C438" i="9" s="1"/>
  <c r="D438" i="9" a="1"/>
  <c r="D438" i="9" s="1"/>
  <c r="F438" i="9" a="1"/>
  <c r="F438" i="9" s="1"/>
  <c r="G438" i="9" a="1"/>
  <c r="G438" i="9" s="1"/>
  <c r="H438" i="9" a="1"/>
  <c r="H438" i="9" s="1"/>
  <c r="I438" i="9" a="1"/>
  <c r="I438" i="9" s="1"/>
  <c r="J438" i="9" a="1"/>
  <c r="J438" i="9" s="1"/>
  <c r="A439" i="9" a="1"/>
  <c r="A439" i="9" s="1"/>
  <c r="B439" i="9" a="1"/>
  <c r="B439" i="9" s="1"/>
  <c r="C439" i="9" a="1"/>
  <c r="C439" i="9" s="1"/>
  <c r="D439" i="9" a="1"/>
  <c r="D439" i="9" s="1"/>
  <c r="F439" i="9" a="1"/>
  <c r="F439" i="9" s="1"/>
  <c r="G439" i="9" a="1"/>
  <c r="G439" i="9" s="1"/>
  <c r="H439" i="9" a="1"/>
  <c r="H439" i="9" s="1"/>
  <c r="I439" i="9" a="1"/>
  <c r="I439" i="9" s="1"/>
  <c r="J439" i="9" a="1"/>
  <c r="J439" i="9" s="1"/>
  <c r="A440" i="9" a="1"/>
  <c r="A440" i="9" s="1"/>
  <c r="B440" i="9" a="1"/>
  <c r="B440" i="9" s="1"/>
  <c r="C440" i="9" a="1"/>
  <c r="C440" i="9" s="1"/>
  <c r="D440" i="9" a="1"/>
  <c r="D440" i="9" s="1"/>
  <c r="F440" i="9" a="1"/>
  <c r="F440" i="9" s="1"/>
  <c r="G440" i="9" a="1"/>
  <c r="G440" i="9" s="1"/>
  <c r="H440" i="9" a="1"/>
  <c r="H440" i="9" s="1"/>
  <c r="I440" i="9" a="1"/>
  <c r="I440" i="9" s="1"/>
  <c r="J440" i="9" a="1"/>
  <c r="J440" i="9" s="1"/>
  <c r="A441" i="9" a="1"/>
  <c r="A441" i="9" s="1"/>
  <c r="B441" i="9" a="1"/>
  <c r="B441" i="9" s="1"/>
  <c r="C441" i="9" a="1"/>
  <c r="C441" i="9" s="1"/>
  <c r="D441" i="9" a="1"/>
  <c r="D441" i="9" s="1"/>
  <c r="F441" i="9" a="1"/>
  <c r="F441" i="9" s="1"/>
  <c r="G441" i="9" a="1"/>
  <c r="G441" i="9" s="1"/>
  <c r="H441" i="9" a="1"/>
  <c r="H441" i="9" s="1"/>
  <c r="I441" i="9" a="1"/>
  <c r="I441" i="9" s="1"/>
  <c r="J441" i="9" a="1"/>
  <c r="J441" i="9" s="1"/>
  <c r="A442" i="9" a="1"/>
  <c r="A442" i="9" s="1"/>
  <c r="B442" i="9" a="1"/>
  <c r="B442" i="9" s="1"/>
  <c r="C442" i="9" a="1"/>
  <c r="C442" i="9" s="1"/>
  <c r="D442" i="9" a="1"/>
  <c r="D442" i="9" s="1"/>
  <c r="F442" i="9" a="1"/>
  <c r="F442" i="9" s="1"/>
  <c r="G442" i="9" a="1"/>
  <c r="G442" i="9" s="1"/>
  <c r="H442" i="9" a="1"/>
  <c r="H442" i="9" s="1"/>
  <c r="I442" i="9" a="1"/>
  <c r="I442" i="9" s="1"/>
  <c r="J442" i="9" a="1"/>
  <c r="J442" i="9" s="1"/>
  <c r="A443" i="9" a="1"/>
  <c r="A443" i="9" s="1"/>
  <c r="B443" i="9" a="1"/>
  <c r="B443" i="9" s="1"/>
  <c r="C443" i="9" a="1"/>
  <c r="C443" i="9" s="1"/>
  <c r="D443" i="9" a="1"/>
  <c r="D443" i="9" s="1"/>
  <c r="F443" i="9" a="1"/>
  <c r="F443" i="9" s="1"/>
  <c r="G443" i="9" a="1"/>
  <c r="G443" i="9" s="1"/>
  <c r="H443" i="9" a="1"/>
  <c r="H443" i="9" s="1"/>
  <c r="I443" i="9" a="1"/>
  <c r="I443" i="9" s="1"/>
  <c r="J443" i="9" a="1"/>
  <c r="J443" i="9" s="1"/>
  <c r="A444" i="9" a="1"/>
  <c r="A444" i="9" s="1"/>
  <c r="B444" i="9" a="1"/>
  <c r="B444" i="9" s="1"/>
  <c r="C444" i="9" a="1"/>
  <c r="C444" i="9" s="1"/>
  <c r="D444" i="9" a="1"/>
  <c r="D444" i="9" s="1"/>
  <c r="F444" i="9" a="1"/>
  <c r="F444" i="9" s="1"/>
  <c r="G444" i="9" a="1"/>
  <c r="G444" i="9" s="1"/>
  <c r="H444" i="9" a="1"/>
  <c r="H444" i="9" s="1"/>
  <c r="I444" i="9" a="1"/>
  <c r="I444" i="9" s="1"/>
  <c r="J444" i="9" a="1"/>
  <c r="J444" i="9" s="1"/>
  <c r="A445" i="9" a="1"/>
  <c r="A445" i="9" s="1"/>
  <c r="B445" i="9" a="1"/>
  <c r="B445" i="9" s="1"/>
  <c r="C445" i="9" a="1"/>
  <c r="C445" i="9" s="1"/>
  <c r="D445" i="9" a="1"/>
  <c r="D445" i="9" s="1"/>
  <c r="F445" i="9" a="1"/>
  <c r="F445" i="9" s="1"/>
  <c r="G445" i="9" a="1"/>
  <c r="G445" i="9" s="1"/>
  <c r="H445" i="9" a="1"/>
  <c r="H445" i="9" s="1"/>
  <c r="I445" i="9" a="1"/>
  <c r="I445" i="9" s="1"/>
  <c r="J445" i="9" a="1"/>
  <c r="J445" i="9" s="1"/>
  <c r="A446" i="9" a="1"/>
  <c r="A446" i="9" s="1"/>
  <c r="B446" i="9" a="1"/>
  <c r="B446" i="9" s="1"/>
  <c r="C446" i="9" a="1"/>
  <c r="C446" i="9" s="1"/>
  <c r="D446" i="9" a="1"/>
  <c r="D446" i="9" s="1"/>
  <c r="F446" i="9" a="1"/>
  <c r="F446" i="9" s="1"/>
  <c r="G446" i="9" a="1"/>
  <c r="G446" i="9" s="1"/>
  <c r="H446" i="9" a="1"/>
  <c r="H446" i="9" s="1"/>
  <c r="I446" i="9" a="1"/>
  <c r="I446" i="9" s="1"/>
  <c r="J446" i="9" a="1"/>
  <c r="J446" i="9" s="1"/>
  <c r="A447" i="9" a="1"/>
  <c r="A447" i="9" s="1"/>
  <c r="B447" i="9" a="1"/>
  <c r="B447" i="9" s="1"/>
  <c r="C447" i="9" a="1"/>
  <c r="C447" i="9" s="1"/>
  <c r="D447" i="9" a="1"/>
  <c r="D447" i="9" s="1"/>
  <c r="F447" i="9" a="1"/>
  <c r="F447" i="9" s="1"/>
  <c r="G447" i="9" a="1"/>
  <c r="G447" i="9" s="1"/>
  <c r="H447" i="9" a="1"/>
  <c r="H447" i="9" s="1"/>
  <c r="I447" i="9" a="1"/>
  <c r="I447" i="9" s="1"/>
  <c r="J447" i="9" a="1"/>
  <c r="J447" i="9" s="1"/>
  <c r="A448" i="9" a="1"/>
  <c r="A448" i="9" s="1"/>
  <c r="B448" i="9" a="1"/>
  <c r="B448" i="9" s="1"/>
  <c r="C448" i="9" a="1"/>
  <c r="C448" i="9" s="1"/>
  <c r="D448" i="9" a="1"/>
  <c r="D448" i="9" s="1"/>
  <c r="F448" i="9" a="1"/>
  <c r="F448" i="9" s="1"/>
  <c r="G448" i="9" a="1"/>
  <c r="G448" i="9" s="1"/>
  <c r="H448" i="9" a="1"/>
  <c r="H448" i="9" s="1"/>
  <c r="I448" i="9" a="1"/>
  <c r="I448" i="9" s="1"/>
  <c r="J448" i="9" a="1"/>
  <c r="J448" i="9" s="1"/>
  <c r="A449" i="9" a="1"/>
  <c r="A449" i="9" s="1"/>
  <c r="B449" i="9" a="1"/>
  <c r="B449" i="9" s="1"/>
  <c r="C449" i="9" a="1"/>
  <c r="C449" i="9" s="1"/>
  <c r="D449" i="9" a="1"/>
  <c r="D449" i="9" s="1"/>
  <c r="F449" i="9" a="1"/>
  <c r="F449" i="9" s="1"/>
  <c r="G449" i="9" a="1"/>
  <c r="G449" i="9" s="1"/>
  <c r="H449" i="9" a="1"/>
  <c r="H449" i="9" s="1"/>
  <c r="I449" i="9" a="1"/>
  <c r="I449" i="9" s="1"/>
  <c r="J449" i="9" a="1"/>
  <c r="J449" i="9" s="1"/>
  <c r="A450" i="9" a="1"/>
  <c r="A450" i="9" s="1"/>
  <c r="B450" i="9" a="1"/>
  <c r="B450" i="9" s="1"/>
  <c r="C450" i="9" a="1"/>
  <c r="C450" i="9" s="1"/>
  <c r="D450" i="9" a="1"/>
  <c r="D450" i="9" s="1"/>
  <c r="F450" i="9" a="1"/>
  <c r="F450" i="9" s="1"/>
  <c r="G450" i="9" a="1"/>
  <c r="G450" i="9" s="1"/>
  <c r="H450" i="9" a="1"/>
  <c r="H450" i="9" s="1"/>
  <c r="I450" i="9" a="1"/>
  <c r="I450" i="9" s="1"/>
  <c r="J450" i="9" a="1"/>
  <c r="J450" i="9" s="1"/>
  <c r="A451" i="9" a="1"/>
  <c r="A451" i="9" s="1"/>
  <c r="B451" i="9" a="1"/>
  <c r="B451" i="9" s="1"/>
  <c r="C451" i="9" a="1"/>
  <c r="C451" i="9" s="1"/>
  <c r="D451" i="9" a="1"/>
  <c r="D451" i="9" s="1"/>
  <c r="F451" i="9" a="1"/>
  <c r="F451" i="9" s="1"/>
  <c r="G451" i="9" a="1"/>
  <c r="G451" i="9" s="1"/>
  <c r="H451" i="9" a="1"/>
  <c r="H451" i="9" s="1"/>
  <c r="I451" i="9" a="1"/>
  <c r="I451" i="9" s="1"/>
  <c r="J451" i="9" a="1"/>
  <c r="J451" i="9" s="1"/>
  <c r="A452" i="9" a="1"/>
  <c r="A452" i="9" s="1"/>
  <c r="B452" i="9" a="1"/>
  <c r="B452" i="9" s="1"/>
  <c r="C452" i="9" a="1"/>
  <c r="C452" i="9" s="1"/>
  <c r="D452" i="9" a="1"/>
  <c r="D452" i="9" s="1"/>
  <c r="F452" i="9" a="1"/>
  <c r="F452" i="9" s="1"/>
  <c r="G452" i="9" a="1"/>
  <c r="G452" i="9" s="1"/>
  <c r="H452" i="9" a="1"/>
  <c r="H452" i="9" s="1"/>
  <c r="I452" i="9" a="1"/>
  <c r="I452" i="9" s="1"/>
  <c r="J452" i="9" a="1"/>
  <c r="J452" i="9" s="1"/>
  <c r="A453" i="9" a="1"/>
  <c r="A453" i="9" s="1"/>
  <c r="B453" i="9" a="1"/>
  <c r="B453" i="9" s="1"/>
  <c r="C453" i="9" a="1"/>
  <c r="C453" i="9" s="1"/>
  <c r="D453" i="9" a="1"/>
  <c r="D453" i="9" s="1"/>
  <c r="F453" i="9" a="1"/>
  <c r="F453" i="9" s="1"/>
  <c r="G453" i="9" a="1"/>
  <c r="G453" i="9" s="1"/>
  <c r="H453" i="9" a="1"/>
  <c r="H453" i="9" s="1"/>
  <c r="I453" i="9" a="1"/>
  <c r="I453" i="9" s="1"/>
  <c r="J453" i="9" a="1"/>
  <c r="J453" i="9" s="1"/>
  <c r="A454" i="9" a="1"/>
  <c r="A454" i="9" s="1"/>
  <c r="B454" i="9" a="1"/>
  <c r="B454" i="9" s="1"/>
  <c r="C454" i="9" a="1"/>
  <c r="C454" i="9" s="1"/>
  <c r="D454" i="9" a="1"/>
  <c r="D454" i="9" s="1"/>
  <c r="F454" i="9" a="1"/>
  <c r="F454" i="9" s="1"/>
  <c r="G454" i="9" a="1"/>
  <c r="G454" i="9" s="1"/>
  <c r="H454" i="9" a="1"/>
  <c r="H454" i="9" s="1"/>
  <c r="I454" i="9" a="1"/>
  <c r="I454" i="9" s="1"/>
  <c r="J454" i="9" a="1"/>
  <c r="J454" i="9" s="1"/>
  <c r="A455" i="9" a="1"/>
  <c r="A455" i="9" s="1"/>
  <c r="B455" i="9" a="1"/>
  <c r="B455" i="9" s="1"/>
  <c r="C455" i="9" a="1"/>
  <c r="C455" i="9" s="1"/>
  <c r="D455" i="9" a="1"/>
  <c r="D455" i="9" s="1"/>
  <c r="F455" i="9" a="1"/>
  <c r="F455" i="9" s="1"/>
  <c r="G455" i="9" a="1"/>
  <c r="G455" i="9" s="1"/>
  <c r="H455" i="9" a="1"/>
  <c r="H455" i="9" s="1"/>
  <c r="I455" i="9" a="1"/>
  <c r="I455" i="9" s="1"/>
  <c r="J455" i="9" a="1"/>
  <c r="J455" i="9" s="1"/>
  <c r="A456" i="9" a="1"/>
  <c r="A456" i="9" s="1"/>
  <c r="B456" i="9" a="1"/>
  <c r="B456" i="9" s="1"/>
  <c r="C456" i="9" a="1"/>
  <c r="C456" i="9" s="1"/>
  <c r="D456" i="9" a="1"/>
  <c r="D456" i="9" s="1"/>
  <c r="F456" i="9" a="1"/>
  <c r="F456" i="9" s="1"/>
  <c r="G456" i="9" a="1"/>
  <c r="G456" i="9" s="1"/>
  <c r="H456" i="9" a="1"/>
  <c r="H456" i="9" s="1"/>
  <c r="I456" i="9" a="1"/>
  <c r="I456" i="9" s="1"/>
  <c r="J456" i="9" a="1"/>
  <c r="J456" i="9" s="1"/>
  <c r="A457" i="9" a="1"/>
  <c r="A457" i="9" s="1"/>
  <c r="B457" i="9" a="1"/>
  <c r="B457" i="9" s="1"/>
  <c r="C457" i="9" a="1"/>
  <c r="C457" i="9" s="1"/>
  <c r="D457" i="9" a="1"/>
  <c r="D457" i="9" s="1"/>
  <c r="F457" i="9" a="1"/>
  <c r="F457" i="9" s="1"/>
  <c r="G457" i="9" a="1"/>
  <c r="G457" i="9" s="1"/>
  <c r="H457" i="9" a="1"/>
  <c r="H457" i="9" s="1"/>
  <c r="I457" i="9" a="1"/>
  <c r="I457" i="9" s="1"/>
  <c r="J457" i="9" a="1"/>
  <c r="J457" i="9" s="1"/>
  <c r="A458" i="9" a="1"/>
  <c r="A458" i="9" s="1"/>
  <c r="B458" i="9" a="1"/>
  <c r="B458" i="9" s="1"/>
  <c r="C458" i="9" a="1"/>
  <c r="C458" i="9" s="1"/>
  <c r="D458" i="9" a="1"/>
  <c r="D458" i="9" s="1"/>
  <c r="F458" i="9" a="1"/>
  <c r="F458" i="9" s="1"/>
  <c r="G458" i="9" a="1"/>
  <c r="G458" i="9" s="1"/>
  <c r="H458" i="9" a="1"/>
  <c r="H458" i="9" s="1"/>
  <c r="I458" i="9" a="1"/>
  <c r="I458" i="9" s="1"/>
  <c r="J458" i="9" a="1"/>
  <c r="J458" i="9" s="1"/>
  <c r="A459" i="9" a="1"/>
  <c r="A459" i="9" s="1"/>
  <c r="B459" i="9" a="1"/>
  <c r="B459" i="9" s="1"/>
  <c r="C459" i="9" a="1"/>
  <c r="C459" i="9" s="1"/>
  <c r="D459" i="9" a="1"/>
  <c r="D459" i="9" s="1"/>
  <c r="F459" i="9" a="1"/>
  <c r="F459" i="9" s="1"/>
  <c r="G459" i="9" a="1"/>
  <c r="G459" i="9" s="1"/>
  <c r="H459" i="9" a="1"/>
  <c r="H459" i="9" s="1"/>
  <c r="I459" i="9" a="1"/>
  <c r="I459" i="9" s="1"/>
  <c r="J459" i="9" a="1"/>
  <c r="J459" i="9" s="1"/>
  <c r="A460" i="9" a="1"/>
  <c r="A460" i="9" s="1"/>
  <c r="B460" i="9" a="1"/>
  <c r="B460" i="9" s="1"/>
  <c r="C460" i="9" a="1"/>
  <c r="C460" i="9" s="1"/>
  <c r="D460" i="9" a="1"/>
  <c r="D460" i="9" s="1"/>
  <c r="F460" i="9" a="1"/>
  <c r="F460" i="9" s="1"/>
  <c r="G460" i="9" a="1"/>
  <c r="G460" i="9" s="1"/>
  <c r="H460" i="9" a="1"/>
  <c r="H460" i="9" s="1"/>
  <c r="I460" i="9" a="1"/>
  <c r="I460" i="9" s="1"/>
  <c r="J460" i="9" a="1"/>
  <c r="J460" i="9" s="1"/>
  <c r="A461" i="9" a="1"/>
  <c r="A461" i="9" s="1"/>
  <c r="B461" i="9" a="1"/>
  <c r="B461" i="9" s="1"/>
  <c r="C461" i="9" a="1"/>
  <c r="C461" i="9" s="1"/>
  <c r="D461" i="9" a="1"/>
  <c r="D461" i="9" s="1"/>
  <c r="F461" i="9" a="1"/>
  <c r="F461" i="9" s="1"/>
  <c r="G461" i="9" a="1"/>
  <c r="G461" i="9" s="1"/>
  <c r="H461" i="9" a="1"/>
  <c r="H461" i="9" s="1"/>
  <c r="I461" i="9" a="1"/>
  <c r="I461" i="9" s="1"/>
  <c r="J461" i="9" a="1"/>
  <c r="J461" i="9" s="1"/>
  <c r="A462" i="9" a="1"/>
  <c r="A462" i="9" s="1"/>
  <c r="B462" i="9" a="1"/>
  <c r="B462" i="9" s="1"/>
  <c r="C462" i="9" a="1"/>
  <c r="C462" i="9" s="1"/>
  <c r="D462" i="9" a="1"/>
  <c r="D462" i="9" s="1"/>
  <c r="F462" i="9" a="1"/>
  <c r="F462" i="9" s="1"/>
  <c r="G462" i="9" a="1"/>
  <c r="G462" i="9" s="1"/>
  <c r="H462" i="9" a="1"/>
  <c r="H462" i="9" s="1"/>
  <c r="I462" i="9" a="1"/>
  <c r="I462" i="9" s="1"/>
  <c r="J462" i="9" a="1"/>
  <c r="J462" i="9" s="1"/>
  <c r="A463" i="9" a="1"/>
  <c r="A463" i="9" s="1"/>
  <c r="B463" i="9" a="1"/>
  <c r="B463" i="9" s="1"/>
  <c r="C463" i="9" a="1"/>
  <c r="C463" i="9" s="1"/>
  <c r="D463" i="9" a="1"/>
  <c r="D463" i="9" s="1"/>
  <c r="F463" i="9" a="1"/>
  <c r="F463" i="9" s="1"/>
  <c r="G463" i="9" a="1"/>
  <c r="G463" i="9" s="1"/>
  <c r="H463" i="9" a="1"/>
  <c r="H463" i="9" s="1"/>
  <c r="I463" i="9" a="1"/>
  <c r="I463" i="9" s="1"/>
  <c r="J463" i="9" a="1"/>
  <c r="J463" i="9" s="1"/>
  <c r="A464" i="9" a="1"/>
  <c r="A464" i="9" s="1"/>
  <c r="B464" i="9" a="1"/>
  <c r="B464" i="9" s="1"/>
  <c r="C464" i="9" a="1"/>
  <c r="C464" i="9" s="1"/>
  <c r="D464" i="9" a="1"/>
  <c r="D464" i="9" s="1"/>
  <c r="F464" i="9" a="1"/>
  <c r="F464" i="9" s="1"/>
  <c r="G464" i="9" a="1"/>
  <c r="G464" i="9" s="1"/>
  <c r="H464" i="9" a="1"/>
  <c r="H464" i="9" s="1"/>
  <c r="I464" i="9" a="1"/>
  <c r="I464" i="9" s="1"/>
  <c r="J464" i="9" a="1"/>
  <c r="J464" i="9" s="1"/>
  <c r="A465" i="9" a="1"/>
  <c r="A465" i="9" s="1"/>
  <c r="B465" i="9" a="1"/>
  <c r="B465" i="9" s="1"/>
  <c r="C465" i="9" a="1"/>
  <c r="C465" i="9" s="1"/>
  <c r="D465" i="9" a="1"/>
  <c r="D465" i="9" s="1"/>
  <c r="F465" i="9" a="1"/>
  <c r="F465" i="9" s="1"/>
  <c r="G465" i="9" a="1"/>
  <c r="G465" i="9" s="1"/>
  <c r="H465" i="9" a="1"/>
  <c r="H465" i="9" s="1"/>
  <c r="I465" i="9" a="1"/>
  <c r="I465" i="9" s="1"/>
  <c r="J465" i="9" a="1"/>
  <c r="J465" i="9" s="1"/>
  <c r="A466" i="9" a="1"/>
  <c r="A466" i="9" s="1"/>
  <c r="B466" i="9" a="1"/>
  <c r="B466" i="9" s="1"/>
  <c r="C466" i="9" a="1"/>
  <c r="C466" i="9" s="1"/>
  <c r="D466" i="9" a="1"/>
  <c r="D466" i="9" s="1"/>
  <c r="F466" i="9" a="1"/>
  <c r="F466" i="9" s="1"/>
  <c r="G466" i="9" a="1"/>
  <c r="G466" i="9" s="1"/>
  <c r="H466" i="9" a="1"/>
  <c r="H466" i="9" s="1"/>
  <c r="I466" i="9" a="1"/>
  <c r="I466" i="9" s="1"/>
  <c r="J466" i="9" a="1"/>
  <c r="J466" i="9" s="1"/>
  <c r="A467" i="9" a="1"/>
  <c r="A467" i="9" s="1"/>
  <c r="B467" i="9" a="1"/>
  <c r="B467" i="9" s="1"/>
  <c r="C467" i="9" a="1"/>
  <c r="C467" i="9" s="1"/>
  <c r="D467" i="9" a="1"/>
  <c r="D467" i="9" s="1"/>
  <c r="F467" i="9" a="1"/>
  <c r="F467" i="9" s="1"/>
  <c r="G467" i="9" a="1"/>
  <c r="G467" i="9" s="1"/>
  <c r="H467" i="9" a="1"/>
  <c r="H467" i="9" s="1"/>
  <c r="I467" i="9" a="1"/>
  <c r="I467" i="9" s="1"/>
  <c r="J467" i="9" a="1"/>
  <c r="J467" i="9" s="1"/>
  <c r="A468" i="9" a="1"/>
  <c r="A468" i="9" s="1"/>
  <c r="B468" i="9" a="1"/>
  <c r="B468" i="9" s="1"/>
  <c r="C468" i="9" a="1"/>
  <c r="C468" i="9" s="1"/>
  <c r="D468" i="9" a="1"/>
  <c r="D468" i="9" s="1"/>
  <c r="F468" i="9" a="1"/>
  <c r="F468" i="9" s="1"/>
  <c r="G468" i="9" a="1"/>
  <c r="G468" i="9" s="1"/>
  <c r="H468" i="9" a="1"/>
  <c r="H468" i="9" s="1"/>
  <c r="I468" i="9" a="1"/>
  <c r="I468" i="9" s="1"/>
  <c r="J468" i="9" a="1"/>
  <c r="J468" i="9" s="1"/>
  <c r="A469" i="9" a="1"/>
  <c r="A469" i="9" s="1"/>
  <c r="B469" i="9" a="1"/>
  <c r="B469" i="9" s="1"/>
  <c r="C469" i="9" a="1"/>
  <c r="C469" i="9" s="1"/>
  <c r="D469" i="9" a="1"/>
  <c r="D469" i="9" s="1"/>
  <c r="F469" i="9" a="1"/>
  <c r="F469" i="9" s="1"/>
  <c r="G469" i="9" a="1"/>
  <c r="G469" i="9" s="1"/>
  <c r="H469" i="9" a="1"/>
  <c r="H469" i="9" s="1"/>
  <c r="I469" i="9" a="1"/>
  <c r="I469" i="9" s="1"/>
  <c r="J469" i="9" a="1"/>
  <c r="J469" i="9" s="1"/>
  <c r="A470" i="9" a="1"/>
  <c r="A470" i="9" s="1"/>
  <c r="B470" i="9" a="1"/>
  <c r="B470" i="9" s="1"/>
  <c r="C470" i="9" a="1"/>
  <c r="C470" i="9" s="1"/>
  <c r="D470" i="9" a="1"/>
  <c r="D470" i="9" s="1"/>
  <c r="F470" i="9" a="1"/>
  <c r="F470" i="9" s="1"/>
  <c r="G470" i="9" a="1"/>
  <c r="G470" i="9" s="1"/>
  <c r="H470" i="9" a="1"/>
  <c r="H470" i="9" s="1"/>
  <c r="I470" i="9" a="1"/>
  <c r="I470" i="9" s="1"/>
  <c r="J470" i="9" a="1"/>
  <c r="J470" i="9" s="1"/>
  <c r="A471" i="9" a="1"/>
  <c r="A471" i="9" s="1"/>
  <c r="B471" i="9" a="1"/>
  <c r="B471" i="9" s="1"/>
  <c r="C471" i="9" a="1"/>
  <c r="C471" i="9" s="1"/>
  <c r="D471" i="9" a="1"/>
  <c r="D471" i="9" s="1"/>
  <c r="F471" i="9" a="1"/>
  <c r="F471" i="9" s="1"/>
  <c r="G471" i="9" a="1"/>
  <c r="G471" i="9" s="1"/>
  <c r="H471" i="9" a="1"/>
  <c r="H471" i="9" s="1"/>
  <c r="I471" i="9" a="1"/>
  <c r="I471" i="9" s="1"/>
  <c r="J471" i="9" a="1"/>
  <c r="J471" i="9" s="1"/>
  <c r="A472" i="9" a="1"/>
  <c r="A472" i="9" s="1"/>
  <c r="B472" i="9" a="1"/>
  <c r="B472" i="9" s="1"/>
  <c r="C472" i="9" a="1"/>
  <c r="C472" i="9" s="1"/>
  <c r="D472" i="9" a="1"/>
  <c r="D472" i="9" s="1"/>
  <c r="F472" i="9" a="1"/>
  <c r="F472" i="9" s="1"/>
  <c r="G472" i="9" a="1"/>
  <c r="G472" i="9" s="1"/>
  <c r="H472" i="9" a="1"/>
  <c r="H472" i="9" s="1"/>
  <c r="I472" i="9" a="1"/>
  <c r="I472" i="9" s="1"/>
  <c r="J472" i="9" a="1"/>
  <c r="J472" i="9" s="1"/>
  <c r="A473" i="9" a="1"/>
  <c r="A473" i="9" s="1"/>
  <c r="B473" i="9" a="1"/>
  <c r="B473" i="9" s="1"/>
  <c r="C473" i="9" a="1"/>
  <c r="C473" i="9" s="1"/>
  <c r="D473" i="9" a="1"/>
  <c r="D473" i="9" s="1"/>
  <c r="F473" i="9" a="1"/>
  <c r="F473" i="9" s="1"/>
  <c r="G473" i="9" a="1"/>
  <c r="G473" i="9" s="1"/>
  <c r="H473" i="9" a="1"/>
  <c r="H473" i="9" s="1"/>
  <c r="I473" i="9" a="1"/>
  <c r="I473" i="9" s="1"/>
  <c r="J473" i="9" a="1"/>
  <c r="J473" i="9" s="1"/>
  <c r="A474" i="9" a="1"/>
  <c r="A474" i="9" s="1"/>
  <c r="B474" i="9" a="1"/>
  <c r="B474" i="9" s="1"/>
  <c r="C474" i="9" a="1"/>
  <c r="C474" i="9" s="1"/>
  <c r="D474" i="9" a="1"/>
  <c r="D474" i="9" s="1"/>
  <c r="F474" i="9" a="1"/>
  <c r="F474" i="9" s="1"/>
  <c r="G474" i="9" a="1"/>
  <c r="G474" i="9" s="1"/>
  <c r="H474" i="9" a="1"/>
  <c r="H474" i="9" s="1"/>
  <c r="I474" i="9" a="1"/>
  <c r="I474" i="9" s="1"/>
  <c r="J474" i="9" a="1"/>
  <c r="J474" i="9" s="1"/>
  <c r="A475" i="9" a="1"/>
  <c r="A475" i="9" s="1"/>
  <c r="B475" i="9" a="1"/>
  <c r="B475" i="9" s="1"/>
  <c r="C475" i="9" a="1"/>
  <c r="C475" i="9" s="1"/>
  <c r="D475" i="9" a="1"/>
  <c r="D475" i="9" s="1"/>
  <c r="F475" i="9" a="1"/>
  <c r="F475" i="9" s="1"/>
  <c r="G475" i="9" a="1"/>
  <c r="G475" i="9" s="1"/>
  <c r="H475" i="9" a="1"/>
  <c r="H475" i="9" s="1"/>
  <c r="I475" i="9" a="1"/>
  <c r="I475" i="9" s="1"/>
  <c r="J475" i="9" a="1"/>
  <c r="J475" i="9" s="1"/>
  <c r="A476" i="9" a="1"/>
  <c r="A476" i="9" s="1"/>
  <c r="B476" i="9" a="1"/>
  <c r="B476" i="9" s="1"/>
  <c r="C476" i="9" a="1"/>
  <c r="C476" i="9" s="1"/>
  <c r="D476" i="9" a="1"/>
  <c r="D476" i="9" s="1"/>
  <c r="F476" i="9" a="1"/>
  <c r="F476" i="9" s="1"/>
  <c r="G476" i="9" a="1"/>
  <c r="G476" i="9" s="1"/>
  <c r="H476" i="9" a="1"/>
  <c r="H476" i="9" s="1"/>
  <c r="I476" i="9" a="1"/>
  <c r="I476" i="9" s="1"/>
  <c r="J476" i="9" a="1"/>
  <c r="J476" i="9" s="1"/>
  <c r="A477" i="9" a="1"/>
  <c r="A477" i="9" s="1"/>
  <c r="B477" i="9" a="1"/>
  <c r="B477" i="9" s="1"/>
  <c r="C477" i="9" a="1"/>
  <c r="C477" i="9" s="1"/>
  <c r="D477" i="9" a="1"/>
  <c r="D477" i="9" s="1"/>
  <c r="F477" i="9" a="1"/>
  <c r="F477" i="9" s="1"/>
  <c r="G477" i="9" a="1"/>
  <c r="G477" i="9" s="1"/>
  <c r="H477" i="9" a="1"/>
  <c r="H477" i="9" s="1"/>
  <c r="I477" i="9" a="1"/>
  <c r="I477" i="9" s="1"/>
  <c r="J477" i="9" a="1"/>
  <c r="J477" i="9" s="1"/>
  <c r="A478" i="9" a="1"/>
  <c r="A478" i="9" s="1"/>
  <c r="B478" i="9" a="1"/>
  <c r="B478" i="9" s="1"/>
  <c r="C478" i="9" a="1"/>
  <c r="C478" i="9" s="1"/>
  <c r="D478" i="9" a="1"/>
  <c r="D478" i="9" s="1"/>
  <c r="F478" i="9" a="1"/>
  <c r="F478" i="9" s="1"/>
  <c r="G478" i="9" a="1"/>
  <c r="G478" i="9" s="1"/>
  <c r="H478" i="9" a="1"/>
  <c r="H478" i="9" s="1"/>
  <c r="I478" i="9" a="1"/>
  <c r="I478" i="9" s="1"/>
  <c r="J478" i="9" a="1"/>
  <c r="J478" i="9" s="1"/>
  <c r="A479" i="9" a="1"/>
  <c r="A479" i="9" s="1"/>
  <c r="B479" i="9" a="1"/>
  <c r="B479" i="9" s="1"/>
  <c r="C479" i="9" a="1"/>
  <c r="C479" i="9" s="1"/>
  <c r="D479" i="9" a="1"/>
  <c r="D479" i="9" s="1"/>
  <c r="F479" i="9" a="1"/>
  <c r="F479" i="9" s="1"/>
  <c r="G479" i="9" a="1"/>
  <c r="G479" i="9" s="1"/>
  <c r="H479" i="9" a="1"/>
  <c r="H479" i="9" s="1"/>
  <c r="I479" i="9" a="1"/>
  <c r="I479" i="9" s="1"/>
  <c r="J479" i="9" a="1"/>
  <c r="J479" i="9" s="1"/>
  <c r="A480" i="9" a="1"/>
  <c r="A480" i="9" s="1"/>
  <c r="B480" i="9" a="1"/>
  <c r="B480" i="9" s="1"/>
  <c r="C480" i="9" a="1"/>
  <c r="C480" i="9" s="1"/>
  <c r="D480" i="9" a="1"/>
  <c r="D480" i="9" s="1"/>
  <c r="F480" i="9" a="1"/>
  <c r="F480" i="9" s="1"/>
  <c r="G480" i="9" a="1"/>
  <c r="G480" i="9" s="1"/>
  <c r="H480" i="9" a="1"/>
  <c r="H480" i="9" s="1"/>
  <c r="I480" i="9" a="1"/>
  <c r="I480" i="9" s="1"/>
  <c r="J480" i="9" a="1"/>
  <c r="J480" i="9" s="1"/>
  <c r="A481" i="9" a="1"/>
  <c r="A481" i="9" s="1"/>
  <c r="B481" i="9" a="1"/>
  <c r="B481" i="9" s="1"/>
  <c r="C481" i="9" a="1"/>
  <c r="C481" i="9" s="1"/>
  <c r="D481" i="9" a="1"/>
  <c r="D481" i="9" s="1"/>
  <c r="F481" i="9" a="1"/>
  <c r="F481" i="9" s="1"/>
  <c r="G481" i="9" a="1"/>
  <c r="G481" i="9" s="1"/>
  <c r="H481" i="9" a="1"/>
  <c r="H481" i="9" s="1"/>
  <c r="I481" i="9" a="1"/>
  <c r="I481" i="9" s="1"/>
  <c r="J481" i="9" a="1"/>
  <c r="J481" i="9" s="1"/>
  <c r="A482" i="9" a="1"/>
  <c r="A482" i="9" s="1"/>
  <c r="B482" i="9" a="1"/>
  <c r="B482" i="9" s="1"/>
  <c r="C482" i="9" a="1"/>
  <c r="C482" i="9" s="1"/>
  <c r="D482" i="9" a="1"/>
  <c r="D482" i="9" s="1"/>
  <c r="F482" i="9" a="1"/>
  <c r="F482" i="9" s="1"/>
  <c r="G482" i="9" a="1"/>
  <c r="G482" i="9" s="1"/>
  <c r="H482" i="9" a="1"/>
  <c r="H482" i="9" s="1"/>
  <c r="I482" i="9" a="1"/>
  <c r="I482" i="9" s="1"/>
  <c r="J482" i="9" a="1"/>
  <c r="J482" i="9" s="1"/>
  <c r="A483" i="9" a="1"/>
  <c r="A483" i="9" s="1"/>
  <c r="B483" i="9" a="1"/>
  <c r="B483" i="9" s="1"/>
  <c r="C483" i="9" a="1"/>
  <c r="C483" i="9" s="1"/>
  <c r="D483" i="9" a="1"/>
  <c r="D483" i="9" s="1"/>
  <c r="F483" i="9" a="1"/>
  <c r="F483" i="9" s="1"/>
  <c r="G483" i="9" a="1"/>
  <c r="G483" i="9" s="1"/>
  <c r="H483" i="9" a="1"/>
  <c r="H483" i="9" s="1"/>
  <c r="I483" i="9" a="1"/>
  <c r="I483" i="9" s="1"/>
  <c r="J483" i="9" a="1"/>
  <c r="J483" i="9" s="1"/>
  <c r="A484" i="9" a="1"/>
  <c r="A484" i="9" s="1"/>
  <c r="B484" i="9" a="1"/>
  <c r="B484" i="9" s="1"/>
  <c r="C484" i="9" a="1"/>
  <c r="C484" i="9" s="1"/>
  <c r="D484" i="9" a="1"/>
  <c r="D484" i="9" s="1"/>
  <c r="F484" i="9" a="1"/>
  <c r="F484" i="9" s="1"/>
  <c r="G484" i="9" a="1"/>
  <c r="G484" i="9" s="1"/>
  <c r="H484" i="9" a="1"/>
  <c r="H484" i="9" s="1"/>
  <c r="I484" i="9" a="1"/>
  <c r="I484" i="9" s="1"/>
  <c r="J484" i="9" a="1"/>
  <c r="J484" i="9" s="1"/>
  <c r="A485" i="9" a="1"/>
  <c r="A485" i="9" s="1"/>
  <c r="B485" i="9" a="1"/>
  <c r="B485" i="9" s="1"/>
  <c r="C485" i="9" a="1"/>
  <c r="C485" i="9" s="1"/>
  <c r="D485" i="9" a="1"/>
  <c r="D485" i="9" s="1"/>
  <c r="F485" i="9" a="1"/>
  <c r="F485" i="9" s="1"/>
  <c r="G485" i="9" a="1"/>
  <c r="G485" i="9" s="1"/>
  <c r="H485" i="9" a="1"/>
  <c r="H485" i="9" s="1"/>
  <c r="I485" i="9" a="1"/>
  <c r="I485" i="9" s="1"/>
  <c r="J485" i="9" a="1"/>
  <c r="J485" i="9" s="1"/>
  <c r="A486" i="9" a="1"/>
  <c r="A486" i="9" s="1"/>
  <c r="B486" i="9" a="1"/>
  <c r="B486" i="9" s="1"/>
  <c r="C486" i="9" a="1"/>
  <c r="C486" i="9" s="1"/>
  <c r="D486" i="9" a="1"/>
  <c r="D486" i="9" s="1"/>
  <c r="F486" i="9" a="1"/>
  <c r="F486" i="9" s="1"/>
  <c r="G486" i="9" a="1"/>
  <c r="G486" i="9" s="1"/>
  <c r="H486" i="9" a="1"/>
  <c r="H486" i="9" s="1"/>
  <c r="I486" i="9" a="1"/>
  <c r="I486" i="9" s="1"/>
  <c r="J486" i="9" a="1"/>
  <c r="J486" i="9" s="1"/>
  <c r="A487" i="9" a="1"/>
  <c r="A487" i="9" s="1"/>
  <c r="B487" i="9" a="1"/>
  <c r="B487" i="9" s="1"/>
  <c r="C487" i="9" a="1"/>
  <c r="C487" i="9" s="1"/>
  <c r="D487" i="9" a="1"/>
  <c r="D487" i="9" s="1"/>
  <c r="F487" i="9" a="1"/>
  <c r="F487" i="9" s="1"/>
  <c r="G487" i="9" a="1"/>
  <c r="G487" i="9" s="1"/>
  <c r="H487" i="9" a="1"/>
  <c r="H487" i="9" s="1"/>
  <c r="I487" i="9" a="1"/>
  <c r="I487" i="9" s="1"/>
  <c r="J487" i="9" a="1"/>
  <c r="J487" i="9" s="1"/>
  <c r="A488" i="9" a="1"/>
  <c r="A488" i="9" s="1"/>
  <c r="B488" i="9" a="1"/>
  <c r="B488" i="9" s="1"/>
  <c r="C488" i="9" a="1"/>
  <c r="C488" i="9" s="1"/>
  <c r="D488" i="9" a="1"/>
  <c r="D488" i="9" s="1"/>
  <c r="F488" i="9" a="1"/>
  <c r="F488" i="9" s="1"/>
  <c r="G488" i="9" a="1"/>
  <c r="G488" i="9" s="1"/>
  <c r="H488" i="9" a="1"/>
  <c r="H488" i="9" s="1"/>
  <c r="I488" i="9" a="1"/>
  <c r="I488" i="9" s="1"/>
  <c r="J488" i="9" a="1"/>
  <c r="J488" i="9" s="1"/>
  <c r="A489" i="9" a="1"/>
  <c r="A489" i="9" s="1"/>
  <c r="B489" i="9" a="1"/>
  <c r="B489" i="9" s="1"/>
  <c r="C489" i="9" a="1"/>
  <c r="C489" i="9" s="1"/>
  <c r="D489" i="9" a="1"/>
  <c r="D489" i="9" s="1"/>
  <c r="F489" i="9" a="1"/>
  <c r="F489" i="9" s="1"/>
  <c r="G489" i="9" a="1"/>
  <c r="G489" i="9" s="1"/>
  <c r="H489" i="9" a="1"/>
  <c r="H489" i="9" s="1"/>
  <c r="I489" i="9" a="1"/>
  <c r="I489" i="9" s="1"/>
  <c r="J489" i="9" a="1"/>
  <c r="J489" i="9" s="1"/>
  <c r="A490" i="9" a="1"/>
  <c r="A490" i="9" s="1"/>
  <c r="B490" i="9" a="1"/>
  <c r="B490" i="9" s="1"/>
  <c r="C490" i="9" a="1"/>
  <c r="C490" i="9" s="1"/>
  <c r="D490" i="9" a="1"/>
  <c r="D490" i="9" s="1"/>
  <c r="F490" i="9" a="1"/>
  <c r="F490" i="9" s="1"/>
  <c r="G490" i="9" a="1"/>
  <c r="G490" i="9" s="1"/>
  <c r="H490" i="9" a="1"/>
  <c r="H490" i="9" s="1"/>
  <c r="I490" i="9" a="1"/>
  <c r="I490" i="9" s="1"/>
  <c r="J490" i="9" a="1"/>
  <c r="J490" i="9" s="1"/>
  <c r="A491" i="9" a="1"/>
  <c r="A491" i="9" s="1"/>
  <c r="B491" i="9" a="1"/>
  <c r="B491" i="9" s="1"/>
  <c r="C491" i="9" a="1"/>
  <c r="C491" i="9" s="1"/>
  <c r="D491" i="9" a="1"/>
  <c r="D491" i="9" s="1"/>
  <c r="F491" i="9" a="1"/>
  <c r="F491" i="9" s="1"/>
  <c r="G491" i="9" a="1"/>
  <c r="G491" i="9" s="1"/>
  <c r="H491" i="9" a="1"/>
  <c r="H491" i="9" s="1"/>
  <c r="I491" i="9" a="1"/>
  <c r="I491" i="9" s="1"/>
  <c r="J491" i="9" a="1"/>
  <c r="J491" i="9" s="1"/>
  <c r="A492" i="9" a="1"/>
  <c r="A492" i="9" s="1"/>
  <c r="B492" i="9" a="1"/>
  <c r="B492" i="9" s="1"/>
  <c r="C492" i="9" a="1"/>
  <c r="C492" i="9" s="1"/>
  <c r="D492" i="9" a="1"/>
  <c r="D492" i="9" s="1"/>
  <c r="F492" i="9" a="1"/>
  <c r="F492" i="9" s="1"/>
  <c r="G492" i="9" a="1"/>
  <c r="G492" i="9" s="1"/>
  <c r="H492" i="9" a="1"/>
  <c r="H492" i="9" s="1"/>
  <c r="I492" i="9" a="1"/>
  <c r="I492" i="9" s="1"/>
  <c r="J492" i="9" a="1"/>
  <c r="J492" i="9" s="1"/>
  <c r="A493" i="9" a="1"/>
  <c r="A493" i="9" s="1"/>
  <c r="B493" i="9" a="1"/>
  <c r="B493" i="9" s="1"/>
  <c r="C493" i="9" a="1"/>
  <c r="C493" i="9" s="1"/>
  <c r="D493" i="9" a="1"/>
  <c r="D493" i="9" s="1"/>
  <c r="F493" i="9" a="1"/>
  <c r="F493" i="9" s="1"/>
  <c r="G493" i="9" a="1"/>
  <c r="G493" i="9" s="1"/>
  <c r="H493" i="9" a="1"/>
  <c r="H493" i="9" s="1"/>
  <c r="I493" i="9" a="1"/>
  <c r="I493" i="9" s="1"/>
  <c r="J493" i="9" a="1"/>
  <c r="J493" i="9" s="1"/>
  <c r="A494" i="9" a="1"/>
  <c r="A494" i="9" s="1"/>
  <c r="B494" i="9" a="1"/>
  <c r="B494" i="9" s="1"/>
  <c r="C494" i="9" a="1"/>
  <c r="C494" i="9" s="1"/>
  <c r="D494" i="9" a="1"/>
  <c r="D494" i="9" s="1"/>
  <c r="F494" i="9" a="1"/>
  <c r="F494" i="9" s="1"/>
  <c r="G494" i="9" a="1"/>
  <c r="G494" i="9" s="1"/>
  <c r="H494" i="9" a="1"/>
  <c r="H494" i="9" s="1"/>
  <c r="I494" i="9" a="1"/>
  <c r="I494" i="9" s="1"/>
  <c r="J494" i="9" a="1"/>
  <c r="J494" i="9" s="1"/>
  <c r="A495" i="9" a="1"/>
  <c r="A495" i="9" s="1"/>
  <c r="B495" i="9" a="1"/>
  <c r="B495" i="9" s="1"/>
  <c r="C495" i="9" a="1"/>
  <c r="C495" i="9" s="1"/>
  <c r="D495" i="9" a="1"/>
  <c r="D495" i="9" s="1"/>
  <c r="F495" i="9" a="1"/>
  <c r="F495" i="9" s="1"/>
  <c r="G495" i="9" a="1"/>
  <c r="G495" i="9" s="1"/>
  <c r="H495" i="9" a="1"/>
  <c r="H495" i="9" s="1"/>
  <c r="I495" i="9" a="1"/>
  <c r="I495" i="9" s="1"/>
  <c r="J495" i="9" a="1"/>
  <c r="J495" i="9" s="1"/>
  <c r="A496" i="9" a="1"/>
  <c r="A496" i="9" s="1"/>
  <c r="B496" i="9" a="1"/>
  <c r="B496" i="9" s="1"/>
  <c r="C496" i="9" a="1"/>
  <c r="C496" i="9" s="1"/>
  <c r="D496" i="9" a="1"/>
  <c r="D496" i="9" s="1"/>
  <c r="F496" i="9" a="1"/>
  <c r="F496" i="9" s="1"/>
  <c r="G496" i="9" a="1"/>
  <c r="G496" i="9" s="1"/>
  <c r="H496" i="9" a="1"/>
  <c r="H496" i="9" s="1"/>
  <c r="I496" i="9" a="1"/>
  <c r="I496" i="9" s="1"/>
  <c r="J496" i="9" a="1"/>
  <c r="J496" i="9" s="1"/>
  <c r="A497" i="9" a="1"/>
  <c r="A497" i="9" s="1"/>
  <c r="B497" i="9" a="1"/>
  <c r="B497" i="9" s="1"/>
  <c r="C497" i="9" a="1"/>
  <c r="C497" i="9" s="1"/>
  <c r="D497" i="9" a="1"/>
  <c r="D497" i="9" s="1"/>
  <c r="F497" i="9" a="1"/>
  <c r="F497" i="9" s="1"/>
  <c r="G497" i="9" a="1"/>
  <c r="G497" i="9" s="1"/>
  <c r="H497" i="9" a="1"/>
  <c r="H497" i="9" s="1"/>
  <c r="I497" i="9" a="1"/>
  <c r="I497" i="9" s="1"/>
  <c r="J497" i="9" a="1"/>
  <c r="J497" i="9" s="1"/>
  <c r="A498" i="9" a="1"/>
  <c r="A498" i="9" s="1"/>
  <c r="B498" i="9" a="1"/>
  <c r="B498" i="9" s="1"/>
  <c r="C498" i="9" a="1"/>
  <c r="C498" i="9" s="1"/>
  <c r="D498" i="9" a="1"/>
  <c r="D498" i="9" s="1"/>
  <c r="F498" i="9" a="1"/>
  <c r="F498" i="9" s="1"/>
  <c r="G498" i="9" a="1"/>
  <c r="G498" i="9" s="1"/>
  <c r="H498" i="9" a="1"/>
  <c r="H498" i="9" s="1"/>
  <c r="I498" i="9" a="1"/>
  <c r="I498" i="9" s="1"/>
  <c r="J498" i="9" a="1"/>
  <c r="J498" i="9" s="1"/>
  <c r="A499" i="9" a="1"/>
  <c r="A499" i="9" s="1"/>
  <c r="B499" i="9" a="1"/>
  <c r="B499" i="9" s="1"/>
  <c r="C499" i="9" a="1"/>
  <c r="C499" i="9" s="1"/>
  <c r="D499" i="9" a="1"/>
  <c r="D499" i="9" s="1"/>
  <c r="F499" i="9" a="1"/>
  <c r="F499" i="9" s="1"/>
  <c r="G499" i="9" a="1"/>
  <c r="G499" i="9" s="1"/>
  <c r="H499" i="9" a="1"/>
  <c r="H499" i="9" s="1"/>
  <c r="I499" i="9" a="1"/>
  <c r="I499" i="9" s="1"/>
  <c r="J499" i="9" a="1"/>
  <c r="J499" i="9" s="1"/>
  <c r="A500" i="9" a="1"/>
  <c r="A500" i="9" s="1"/>
  <c r="B500" i="9" a="1"/>
  <c r="B500" i="9" s="1"/>
  <c r="C500" i="9" a="1"/>
  <c r="C500" i="9" s="1"/>
  <c r="D500" i="9" a="1"/>
  <c r="D500" i="9" s="1"/>
  <c r="F500" i="9" a="1"/>
  <c r="F500" i="9" s="1"/>
  <c r="G500" i="9" a="1"/>
  <c r="G500" i="9" s="1"/>
  <c r="H500" i="9" a="1"/>
  <c r="H500" i="9" s="1"/>
  <c r="I500" i="9" a="1"/>
  <c r="I500" i="9" s="1"/>
  <c r="J500" i="9" a="1"/>
  <c r="J500" i="9" s="1"/>
  <c r="F2" i="9" a="1"/>
  <c r="F2" i="9" s="1"/>
  <c r="G2" i="9" a="1"/>
  <c r="G2" i="9" s="1"/>
  <c r="H2" i="9" a="1"/>
  <c r="H2" i="9" s="1"/>
  <c r="I2" i="9" a="1"/>
  <c r="I2" i="9" s="1"/>
  <c r="J2" i="9" a="1"/>
  <c r="J2" i="9" s="1"/>
  <c r="A2" i="9" a="1"/>
  <c r="A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74098C70-E16B-43B8-9202-F732D4A06F3B}" keepAlive="1" name="Query - DepletionOfFunds" description="Connection to the 'DepletionOfFunds' query in the workbook." type="5" refreshedVersion="8" background="1" saveData="1">
    <dbPr connection="Provider=Microsoft.Mashup.OleDb.1;Data Source=$Workbook$;Location=DepletionOfFunds;Extended Properties=&quot;&quot;" command="SELECT * FROM [DepletionOfFunds]"/>
  </connection>
  <connection id="3" xr16:uid="{E042C2BC-0D83-4FD4-84E5-01A2B18E0CE8}" keepAlive="1" name="Query - Errors in Query2" description="Connection to the 'Errors in Query2' query in the workbook." type="5" refreshedVersion="0" background="1">
    <dbPr connection="Provider=Microsoft.Mashup.OleDb.1;Data Source=$Workbook$;Location=&quot;Errors in Query2&quot;;Extended Properties=&quot;&quot;" command="SELECT * FROM [Errors in Query2]"/>
  </connection>
  <connection id="4" xr16:uid="{5510F846-367C-4FC0-B979-A0159F204278}" keepAlive="1" name="Query - Errors in Query2 (2)" description="Connection to the 'Errors in Query2 (2)' query in the workbook." type="5" refreshedVersion="0" background="1">
    <dbPr connection="Provider=Microsoft.Mashup.OleDb.1;Data Source=$Workbook$;Location=&quot;Errors in Query2 (2)&quot;;Extended Properties=&quot;&quot;" command="SELECT * FROM [Errors in Query2 (2)]"/>
  </connection>
  <connection id="5" xr16:uid="{D3781321-FA04-41C5-A5F8-A74CE8596CF3}" keepAlive="1" name="Query - ExhaustionChartData" description="Connection to the 'ExhaustionChartData' query in the workbook." type="5" refreshedVersion="8" background="1" saveData="1">
    <dbPr connection="Provider=Microsoft.Mashup.OleDb.1;Data Source=$Workbook$;Location=ExhaustionChartData;Extended Properties=&quot;&quot;" command="SELECT * FROM [ExhaustionChartData]"/>
  </connection>
  <connection id="6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7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8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9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10" xr16:uid="{29C0DBB5-2041-4462-9D8C-A64F20CA7CD6}" keepAlive="1" name="Query - Pivoted_By_Year" description="Connection to the 'Pivoted_By_Year' query in the workbook." type="5" refreshedVersion="8" background="1" saveData="1">
    <dbPr connection="Provider=Microsoft.Mashup.OleDb.1;Data Source=$Workbook$;Location=Pivoted_By_Year;Extended Properties=&quot;&quot;" command="SELECT * FROM [Pivoted_By_Year]"/>
  </connection>
  <connection id="11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12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<sst xmlns="http://schemas.openxmlformats.org/spreadsheetml/2006/main" count="3968" uniqueCount="732">
  <si>
    <t>Item Name</t>
  </si>
  <si>
    <t>Start Year</t>
  </si>
  <si>
    <t>Year</t>
  </si>
  <si>
    <t>YearList</t>
  </si>
  <si>
    <t>Time To Marity</t>
  </si>
  <si>
    <t>2026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</si>
  <si>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</si>
  <si>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</si>
  <si>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</si>
  <si>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</si>
  <si>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</si>
  <si>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</si>
  <si>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</si>
  <si>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</si>
  <si>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</si>
  <si>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</si>
  <si>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</si>
  <si>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</si>
  <si>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</si>
  <si>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</si>
  <si>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</si>
  <si>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</si>
  <si>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</si>
  <si>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</si>
  <si>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</si>
  <si>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</si>
  <si>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</si>
  <si>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</si>
  <si>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</si>
  <si>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</si>
  <si>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</si>
  <si>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</si>
  <si>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</si>
  <si>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</si>
  <si>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</si>
  <si>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</si>
  <si>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</si>
  <si>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</si>
  <si>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</si>
  <si>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</si>
  <si>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</si>
  <si>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</si>
  <si>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</si>
  <si>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</si>
  <si>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</si>
  <si>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</si>
  <si>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</si>
  <si>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</si>
  <si>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</si>
  <si>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</si>
  <si>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</si>
  <si>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</si>
  <si>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</si>
  <si>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</si>
  <si>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</si>
  <si>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</si>
  <si>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</si>
  <si>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</si>
  <si>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</si>
  <si>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</si>
  <si>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</si>
  <si>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</si>
  <si>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</si>
  <si>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</si>
  <si>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</si>
  <si>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Duration</t>
  </si>
  <si>
    <t>Frequency</t>
  </si>
  <si>
    <t>Growth</t>
  </si>
  <si>
    <t>Discount Rate (Nominal)</t>
  </si>
  <si>
    <t>Present Value</t>
  </si>
  <si>
    <t>Interval (Years)</t>
  </si>
  <si>
    <t>Setting</t>
  </si>
  <si>
    <t>Value</t>
  </si>
  <si>
    <t>Max Yield Years</t>
  </si>
  <si>
    <t>Fallback Rate (%)</t>
  </si>
  <si>
    <t>Sort Order</t>
  </si>
  <si>
    <t>PV Total</t>
  </si>
  <si>
    <t>Option Name</t>
  </si>
  <si>
    <t>DiscountSource</t>
  </si>
  <si>
    <t>StaticRate</t>
  </si>
  <si>
    <t>UseAlternativeCurve</t>
  </si>
  <si>
    <t>Name</t>
  </si>
  <si>
    <t>2.62%</t>
  </si>
  <si>
    <t>Low Cost per Use</t>
  </si>
  <si>
    <t>High Cost per Use</t>
  </si>
  <si>
    <t>Year Total (Low)</t>
  </si>
  <si>
    <t>Year Total (Mid)</t>
  </si>
  <si>
    <t>Year Total (High)</t>
  </si>
  <si>
    <t>Lower</t>
  </si>
  <si>
    <t>Midpoint</t>
  </si>
  <si>
    <t>Upper</t>
  </si>
  <si>
    <t>Grand Total</t>
  </si>
  <si>
    <t>Total</t>
  </si>
  <si>
    <t>Total Present Value (Low)</t>
  </si>
  <si>
    <t>Total Present Value (Mid)</t>
  </si>
  <si>
    <t>Total Present Value (High)</t>
  </si>
  <si>
    <t>Annual Cost Low</t>
  </si>
  <si>
    <t>Annual Cost High</t>
  </si>
  <si>
    <t>Present Value Low</t>
  </si>
  <si>
    <t>Present Value High</t>
  </si>
  <si>
    <t>Include Base Age</t>
  </si>
  <si>
    <t>Base Age</t>
  </si>
  <si>
    <t>Include</t>
  </si>
  <si>
    <t>Age</t>
  </si>
  <si>
    <t>Column1</t>
  </si>
  <si>
    <t>Adjusted Rate</t>
  </si>
  <si>
    <t>TotalCostLow</t>
  </si>
  <si>
    <t>CostType</t>
  </si>
  <si>
    <t>Continuous</t>
  </si>
  <si>
    <t>Total Nominal Annual Cost</t>
  </si>
  <si>
    <t>Beginning Fund Balance</t>
  </si>
  <si>
    <t>Ending Fund Balance</t>
  </si>
  <si>
    <t>TotalCostHigh</t>
  </si>
  <si>
    <t>TotalCostMid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</si>
  <si>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</si>
  <si>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</si>
  <si>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</si>
  <si>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</si>
  <si>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</si>
  <si>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</si>
  <si>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</si>
  <si>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</si>
  <si>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</si>
  <si>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</si>
  <si>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AdjustedRate</t>
  </si>
  <si>
    <t>Notes</t>
  </si>
  <si>
    <t>Present Value Mid</t>
  </si>
  <si>
    <t>InitialCostLow</t>
  </si>
  <si>
    <t>InitialCostHigh</t>
  </si>
  <si>
    <t>Balance Low</t>
  </si>
  <si>
    <t>Balance Mid</t>
  </si>
  <si>
    <t>Balance High</t>
  </si>
  <si>
    <t>3.644</t>
  </si>
  <si>
    <t>3.846</t>
  </si>
  <si>
    <t>3.912</t>
  </si>
  <si>
    <t>3.993</t>
  </si>
  <si>
    <t>4.210</t>
  </si>
  <si>
    <t>4.255</t>
  </si>
  <si>
    <t>Discount Rate</t>
  </si>
  <si>
    <t>Laddered</t>
  </si>
  <si>
    <t>Item 1</t>
  </si>
  <si>
    <t>2.664</t>
  </si>
  <si>
    <t>2.683</t>
  </si>
  <si>
    <t>2.722</t>
  </si>
  <si>
    <t>2.743</t>
  </si>
  <si>
    <t>2.789</t>
  </si>
  <si>
    <t>2.836</t>
  </si>
  <si>
    <t>2.947</t>
  </si>
  <si>
    <t>3.071</t>
  </si>
  <si>
    <t>3.162</t>
  </si>
  <si>
    <t>3.272</t>
  </si>
  <si>
    <t>3.329</t>
  </si>
  <si>
    <t>3.430</t>
  </si>
  <si>
    <t>3.538</t>
  </si>
  <si>
    <t>3.749</t>
  </si>
  <si>
    <t>4.070</t>
  </si>
  <si>
    <t>4.152</t>
  </si>
  <si>
    <t>4.304</t>
  </si>
  <si>
    <t>4.345</t>
  </si>
  <si>
    <t>4.392</t>
  </si>
  <si>
    <t>4.418</t>
  </si>
  <si>
    <t>4.423</t>
  </si>
  <si>
    <t>4.458</t>
  </si>
  <si>
    <t>4.471</t>
  </si>
  <si>
    <t>4.496</t>
  </si>
  <si>
    <t>Item 1 (Low)</t>
  </si>
  <si>
    <t>Item 1 (Mid)</t>
  </si>
  <si>
    <t>Item 1 (High)</t>
  </si>
  <si>
    <t>Inputs</t>
  </si>
  <si>
    <t xml:space="preserve">Claimant  </t>
  </si>
  <si>
    <t>Salutation</t>
  </si>
  <si>
    <t>Claimant Name First</t>
  </si>
  <si>
    <t>Client Name Last</t>
  </si>
  <si>
    <t>Gender</t>
  </si>
  <si>
    <t>Male</t>
  </si>
  <si>
    <t>Ethnicity</t>
  </si>
  <si>
    <t>Birth Date</t>
  </si>
  <si>
    <t>Report Date</t>
  </si>
  <si>
    <t>Reference Date</t>
  </si>
  <si>
    <t>Age at Reference</t>
  </si>
  <si>
    <t>Life Expectancy</t>
  </si>
  <si>
    <t>Attorney</t>
  </si>
  <si>
    <t>Attorney First Name</t>
  </si>
  <si>
    <t>Attorney Last Name</t>
  </si>
  <si>
    <t>Firm Name</t>
  </si>
  <si>
    <t>Firm Address</t>
  </si>
  <si>
    <t>Firm Phone</t>
  </si>
  <si>
    <t>Firm Email</t>
  </si>
  <si>
    <t>Firm Fax</t>
  </si>
  <si>
    <t>Introduction</t>
  </si>
  <si>
    <t>Life Care Plan/Future Medicals Prepared By</t>
  </si>
  <si>
    <t>Life Care Plan Report Date</t>
  </si>
  <si>
    <t>Lower Bound of Estimate</t>
  </si>
  <si>
    <t>Upper Bound of Estimate</t>
  </si>
  <si>
    <t>Midpoint of Estimate</t>
  </si>
  <si>
    <t>Bullet Points/Data</t>
  </si>
  <si>
    <t xml:space="preserve">Duration </t>
  </si>
  <si>
    <t>lifecare plan.</t>
  </si>
  <si>
    <t>US Life Tables (2021).</t>
  </si>
  <si>
    <t xml:space="preserve">The discount rate </t>
  </si>
  <si>
    <r>
      <t xml:space="preserve">The </t>
    </r>
    <r>
      <rPr>
        <b/>
        <sz val="9"/>
        <color rgb="FF333333"/>
        <rFont val="Times New Roman"/>
        <family val="1"/>
      </rPr>
      <t>REAL Discount Rate</t>
    </r>
  </si>
  <si>
    <t>Adjusted for Inflation (Inflation Rate)</t>
  </si>
  <si>
    <t>Consistent With</t>
  </si>
  <si>
    <t>Category</t>
  </si>
  <si>
    <t>Growth Rates</t>
  </si>
  <si>
    <t>Series Id</t>
  </si>
  <si>
    <t>Growth Rate</t>
  </si>
  <si>
    <t>Series ID</t>
  </si>
  <si>
    <t>Hospital Services</t>
  </si>
  <si>
    <t>CUSR0000SEMF</t>
  </si>
  <si>
    <t>Medical Care</t>
  </si>
  <si>
    <t>CUSR0000SAM3</t>
  </si>
  <si>
    <t>Medical Care Commodities</t>
  </si>
  <si>
    <t>CUSR0000SAM2</t>
  </si>
  <si>
    <t>Medical Care Services</t>
  </si>
  <si>
    <t>CUSR0000SAM1</t>
  </si>
  <si>
    <t>Nonprescription Medical Equipment/ Supplies</t>
  </si>
  <si>
    <t>CUSR0000SEMB</t>
  </si>
  <si>
    <t>Nursing Home and Adult Day Care Services</t>
  </si>
  <si>
    <t>CUSR0000SEME</t>
  </si>
  <si>
    <t>Outpatient Hospital Service</t>
  </si>
  <si>
    <t>CUSR0000SEMG</t>
  </si>
  <si>
    <t>Physician's Services</t>
  </si>
  <si>
    <t>CUSR0000SEMC</t>
  </si>
  <si>
    <t>Prescription Drugs</t>
  </si>
  <si>
    <t>CUSR0000SEMD</t>
  </si>
  <si>
    <t>Services By Other Medical Professionals</t>
  </si>
  <si>
    <t>CUSR0000SEMJ</t>
  </si>
  <si>
    <t>Real Rate</t>
  </si>
  <si>
    <t>Real Growth Rate</t>
  </si>
  <si>
    <t>Real Rate Text</t>
  </si>
  <si>
    <t>Adjusted Growth Rate Text</t>
  </si>
  <si>
    <t>Table 1. Life table for the total population: United States, 2022</t>
  </si>
  <si>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</si>
  <si>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</si>
  <si>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</si>
  <si>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</si>
  <si>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t>Person-years lived between ages x and x + 1</t>
  </si>
  <si>
    <t>Total number of person-years lived above age x</t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</si>
  <si>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</si>
  <si>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</si>
  <si>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</si>
  <si>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</si>
  <si>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</si>
  <si>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</si>
  <si>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</si>
  <si>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</si>
  <si>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</si>
  <si>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</si>
  <si>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</si>
  <si>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</si>
  <si>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</si>
  <si>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</si>
  <si>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</si>
  <si>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</si>
  <si>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</si>
  <si>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</si>
  <si>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</si>
  <si>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</si>
  <si>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</si>
  <si>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</si>
  <si>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</si>
  <si>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</si>
  <si>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</si>
  <si>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</si>
  <si>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</si>
  <si>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</si>
  <si>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</si>
  <si>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</si>
  <si>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</si>
  <si>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</si>
  <si>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</si>
  <si>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</si>
  <si>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</si>
  <si>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</si>
  <si>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</si>
  <si>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</si>
  <si>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</si>
  <si>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</si>
  <si>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</si>
  <si>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</si>
  <si>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</si>
  <si>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</si>
  <si>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</si>
  <si>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</si>
  <si>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</si>
  <si>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</si>
  <si>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</si>
  <si>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</si>
  <si>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</si>
  <si>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</si>
  <si>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</si>
  <si>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</si>
  <si>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</si>
  <si>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</si>
  <si>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</si>
  <si>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</si>
  <si>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</si>
  <si>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</si>
  <si>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</si>
  <si>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</si>
  <si>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</si>
  <si>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</si>
  <si>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</si>
  <si>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</si>
  <si>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</si>
  <si>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</si>
  <si>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</si>
  <si>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</si>
  <si>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</si>
  <si>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</si>
  <si>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</si>
  <si>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</si>
  <si>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</si>
  <si>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</si>
  <si>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</si>
  <si>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</si>
  <si>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</si>
  <si>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</si>
  <si>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</si>
  <si>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</si>
  <si>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</si>
  <si>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</si>
  <si>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</si>
  <si>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</si>
  <si>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</si>
  <si>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</si>
  <si>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</si>
  <si>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</si>
  <si>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</si>
  <si>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</si>
  <si>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</si>
  <si>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</si>
  <si>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</si>
  <si>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</si>
  <si>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</si>
  <si>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</si>
  <si>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</si>
  <si>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</si>
  <si>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</si>
  <si>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</si>
  <si>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</si>
  <si>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</si>
  <si>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</si>
  <si>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</si>
  <si>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</si>
  <si>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over</t>
  </si>
  <si>
    <t>SOURCE: National Center Health Statistics, National Vital Statistics System, mortality data file.</t>
  </si>
  <si>
    <t>College</t>
  </si>
  <si>
    <t>Age To Lookup</t>
  </si>
  <si>
    <t>Female</t>
  </si>
  <si>
    <t xml:space="preserve">Male </t>
  </si>
  <si>
    <t>Femal</t>
  </si>
  <si>
    <t>All</t>
  </si>
  <si>
    <t>10-12</t>
  </si>
  <si>
    <t>HSD</t>
  </si>
  <si>
    <t>GED</t>
  </si>
  <si>
    <t>SC</t>
  </si>
  <si>
    <t>ASS</t>
  </si>
  <si>
    <t>C</t>
  </si>
  <si>
    <t>Prof</t>
  </si>
  <si>
    <t>DOA-DOT</t>
  </si>
  <si>
    <t>LE</t>
  </si>
  <si>
    <t>WLE</t>
  </si>
  <si>
    <t>DOD</t>
  </si>
  <si>
    <t>To Age</t>
  </si>
  <si>
    <t>FB%</t>
  </si>
  <si>
    <t>Tax rate1</t>
  </si>
  <si>
    <t>Business</t>
  </si>
  <si>
    <t>Professional</t>
  </si>
  <si>
    <t>Office</t>
  </si>
  <si>
    <t>Service</t>
  </si>
  <si>
    <t>All PI</t>
  </si>
  <si>
    <t>Business PI</t>
  </si>
  <si>
    <t>Service PI</t>
  </si>
  <si>
    <t>State &amp;Local</t>
  </si>
  <si>
    <t>Prof &amp; Related</t>
  </si>
  <si>
    <t>PI Sales</t>
  </si>
  <si>
    <t>Tax rate2</t>
  </si>
  <si>
    <t>Tax rate3</t>
  </si>
  <si>
    <t>DOB</t>
  </si>
  <si>
    <t>Month</t>
  </si>
  <si>
    <t>Beginning</t>
  </si>
  <si>
    <t>Day</t>
  </si>
  <si>
    <t>End</t>
  </si>
  <si>
    <t>Le</t>
  </si>
  <si>
    <t>Years</t>
  </si>
  <si>
    <t>DOR</t>
  </si>
  <si>
    <t>All Civilian</t>
  </si>
  <si>
    <t>Private Industry</t>
  </si>
  <si>
    <t>State &amp; Local</t>
  </si>
  <si>
    <t xml:space="preserve">Day </t>
  </si>
  <si>
    <t>All Workers</t>
  </si>
  <si>
    <t>DOA</t>
  </si>
  <si>
    <t>Sales &amp; Related</t>
  </si>
  <si>
    <t>At Accident</t>
  </si>
  <si>
    <t>43.8 at trial</t>
  </si>
  <si>
    <t xml:space="preserve">Medical Growth </t>
  </si>
  <si>
    <t>Other MPS</t>
  </si>
  <si>
    <t>Phys Servs</t>
  </si>
  <si>
    <t>MC Commod</t>
  </si>
  <si>
    <t>Inpatient Hosp</t>
  </si>
  <si>
    <t>Outpatient Hosp</t>
  </si>
  <si>
    <t>Nursing Homes</t>
  </si>
  <si>
    <t>CPI</t>
  </si>
  <si>
    <t>Other Medical Professionals</t>
  </si>
  <si>
    <t>ltt1</t>
  </si>
  <si>
    <t xml:space="preserve">  Therapists, Chiropractics</t>
  </si>
  <si>
    <t>Physician Services</t>
  </si>
  <si>
    <t>Inpatient Hospital</t>
  </si>
  <si>
    <t>Outpatient Hospital</t>
  </si>
  <si>
    <t>Nursing Homes &amp; Adultt</t>
  </si>
  <si>
    <t>Private Transportation</t>
  </si>
  <si>
    <t>CPI ALL</t>
  </si>
  <si>
    <t>ECEC</t>
  </si>
  <si>
    <t>Wages</t>
  </si>
  <si>
    <t>Health Insurance</t>
  </si>
  <si>
    <t>DC</t>
  </si>
  <si>
    <t>Health &amp; DC</t>
  </si>
  <si>
    <t>Private</t>
  </si>
  <si>
    <t>Date of Accident</t>
  </si>
  <si>
    <t>Date of Trial</t>
  </si>
  <si>
    <t>LTB1 - Loss to trial base 1</t>
  </si>
  <si>
    <t>AC1 - After Credit 1</t>
  </si>
  <si>
    <t>Place of Trial</t>
  </si>
  <si>
    <t>Place of Employment</t>
  </si>
  <si>
    <t>Job Title</t>
  </si>
  <si>
    <t>3 months from now</t>
  </si>
  <si>
    <t>Primary Earnings Base 1</t>
  </si>
  <si>
    <t>Primary Earnings Base 2</t>
  </si>
  <si>
    <t>Alternative Earnings Base</t>
  </si>
  <si>
    <t>Earnings reported per hour</t>
  </si>
  <si>
    <t>Weekly wage</t>
  </si>
  <si>
    <t>PV Employer Fringe Contrib</t>
  </si>
  <si>
    <t>BLS Medical Care CAGR Analysis: NSA vs SA Comparison</t>
  </si>
  <si>
    <t>Comprehensive Analysis of Non-Seasonally Adjusted and Seasonally Adjusted Series</t>
  </si>
  <si>
    <t>Analysis Date: June 20, 2025</t>
  </si>
  <si>
    <t>Reference Period: May 2025</t>
  </si>
  <si>
    <t>Data Source: BLS Consumer Price Index via FRED</t>
  </si>
  <si>
    <t>KEY METRICS</t>
  </si>
  <si>
    <t>Total Series Analyzed</t>
  </si>
  <si>
    <t>11 (6 NSA + 5 SA)</t>
  </si>
  <si>
    <t>Total CAGR Calculations</t>
  </si>
  <si>
    <t>Verification Rate</t>
  </si>
  <si>
    <t>100.0%</t>
  </si>
  <si>
    <t>NSA/SA Matching Pairs</t>
  </si>
  <si>
    <t>Overall Mean CAGR</t>
  </si>
  <si>
    <t>3.49%</t>
  </si>
  <si>
    <t>CAGR Range</t>
  </si>
  <si>
    <t>0.28% to 6.69%</t>
  </si>
  <si>
    <t>Date Range</t>
  </si>
  <si>
    <t>1947-2025</t>
  </si>
  <si>
    <t>NSA vs SA COMPARISON</t>
  </si>
  <si>
    <t>NSA Series Count</t>
  </si>
  <si>
    <t>SA Series Count</t>
  </si>
  <si>
    <t>NSA Mean CAGR</t>
  </si>
  <si>
    <t>3.47%</t>
  </si>
  <si>
    <t>SA Mean CAGR</t>
  </si>
  <si>
    <t>3.27%</t>
  </si>
  <si>
    <t>NSA CAGR Range</t>
  </si>
  <si>
    <t>1.83% to 5.10%</t>
  </si>
  <si>
    <t>SA CAGR Range</t>
  </si>
  <si>
    <t>1.79% to 5.10%</t>
  </si>
  <si>
    <t>PERFORMANCE RANKING BY AVERAGE CAGR</t>
  </si>
  <si>
    <t>1. Hospital and Related Services (Overall) - NSA</t>
  </si>
  <si>
    <t>5.10%</t>
  </si>
  <si>
    <t>NSA</t>
  </si>
  <si>
    <t>2. Hospital and Related Services (Overall) - SA</t>
  </si>
  <si>
    <t>SA</t>
  </si>
  <si>
    <t>3. Medical Care Services - SA</t>
  </si>
  <si>
    <t>4.15%</t>
  </si>
  <si>
    <t>4. Medical Care Services - NSA</t>
  </si>
  <si>
    <t>5. Medical Care (Overall) - NSA</t>
  </si>
  <si>
    <t>4.02%</t>
  </si>
  <si>
    <t>6. Professional Services (Overall) - NSA</t>
  </si>
  <si>
    <t>2.99%</t>
  </si>
  <si>
    <t>7. Medical Care Commodities - SA</t>
  </si>
  <si>
    <t>2.73%</t>
  </si>
  <si>
    <t>8. Medical Care Commodities - NSA</t>
  </si>
  <si>
    <t>2.72%</t>
  </si>
  <si>
    <t>9. Professional Services (Overall) - SA</t>
  </si>
  <si>
    <t>2.58%</t>
  </si>
  <si>
    <t>10. Services by Other Medical Professionals - NSA</t>
  </si>
  <si>
    <t>1.83%</t>
  </si>
  <si>
    <t>11. Services by Other Medical Professionals - SA</t>
  </si>
  <si>
    <t>1.79%</t>
  </si>
  <si>
    <t>Direct NSA vs SA Component Comparison</t>
  </si>
  <si>
    <t>Component</t>
  </si>
  <si>
    <t>NSA Series ID</t>
  </si>
  <si>
    <t>NSA Avg CAGR (%)</t>
  </si>
  <si>
    <t>SA Series ID</t>
  </si>
  <si>
    <t>SA Avg CAGR (%)</t>
  </si>
  <si>
    <t>Difference (SA - NSA)</t>
  </si>
  <si>
    <t>NSA Calculations</t>
  </si>
  <si>
    <t>SA Calculations</t>
  </si>
  <si>
    <t>CUUR0000SAM1</t>
  </si>
  <si>
    <t>CUUR0000SAM2</t>
  </si>
  <si>
    <t>Professional Services (Overall)</t>
  </si>
  <si>
    <t>CUUR0000SEMC</t>
  </si>
  <si>
    <t>Services by Other Medical Professionals</t>
  </si>
  <si>
    <t>CUUR0000SEMC04</t>
  </si>
  <si>
    <t>CUSR0000SEMC04</t>
  </si>
  <si>
    <t>Hospital and Related Services (Overall)</t>
  </si>
  <si>
    <t>CUUR0000SEMD</t>
  </si>
  <si>
    <t>Series Name</t>
  </si>
  <si>
    <t>Adjustment Type</t>
  </si>
  <si>
    <t>Beginning Year</t>
  </si>
  <si>
    <t>Beginning Month</t>
  </si>
  <si>
    <t>Beginning Index Value</t>
  </si>
  <si>
    <t>Ending Year</t>
  </si>
  <si>
    <t>Ending Month</t>
  </si>
  <si>
    <t>Ending Index Value</t>
  </si>
  <si>
    <t>CAGR (%)</t>
  </si>
  <si>
    <t>CPIMEDNS</t>
  </si>
  <si>
    <t>Medical Care (Overall) - NSA</t>
  </si>
  <si>
    <t>(Ending Index Value/Beginning Index Value)^(1/(endingyear-beginningyear))</t>
  </si>
  <si>
    <t>Medical Care Commodities - NSA</t>
  </si>
  <si>
    <t>Medical Care Services - NSA</t>
  </si>
  <si>
    <t>Professional Services (Overall) - NSA</t>
  </si>
  <si>
    <t>Services by Other Medical Professionals - NSA</t>
  </si>
  <si>
    <t>Hospital and Related Services (Overall) - NSA</t>
  </si>
  <si>
    <t>Medical Care Commodities - SA</t>
  </si>
  <si>
    <t>Medical Care Services - SA</t>
  </si>
  <si>
    <t>Professional Services (Overall) - SA</t>
  </si>
  <si>
    <t>Services by Other Medical Professionals - SA</t>
  </si>
  <si>
    <t>Hospital and Related Services (Overall) - SA</t>
  </si>
  <si>
    <t>Total Calculations</t>
  </si>
  <si>
    <t>Ending Value</t>
  </si>
  <si>
    <t>Min CAGR (%)</t>
  </si>
  <si>
    <t>Max CAGR (%)</t>
  </si>
  <si>
    <t>Avg CAGR (%)</t>
  </si>
  <si>
    <t>Std Dev (%)</t>
  </si>
  <si>
    <t>Verification Rate (%)</t>
  </si>
  <si>
    <t>1947-2024</t>
  </si>
  <si>
    <t>1967-2024</t>
  </si>
  <si>
    <t>1956-2024</t>
  </si>
  <si>
    <t>1987-2024</t>
  </si>
  <si>
    <t>1978-2024</t>
  </si>
  <si>
    <t>1980-2024</t>
  </si>
  <si>
    <t>1989-2024</t>
  </si>
  <si>
    <t>Column2</t>
  </si>
  <si>
    <t>BLS MEDICAL CARE CAGR ANALYSIS - NSA vs SA METHODOLOGY</t>
  </si>
  <si>
    <t>DATA SOURCES</t>
  </si>
  <si>
    <t>Primary Source</t>
  </si>
  <si>
    <t>Federal Reserve Economic Data (FRED)</t>
  </si>
  <si>
    <t>Original Data</t>
  </si>
  <si>
    <t>Bureau of Labor Statistics Consumer Price Index</t>
  </si>
  <si>
    <t>Series Types</t>
  </si>
  <si>
    <t>Non-Seasonally Adjusted (CUUR) and Seasonally Adjusted (CUSR)</t>
  </si>
  <si>
    <t>Reference Period</t>
  </si>
  <si>
    <t>May 2025</t>
  </si>
  <si>
    <t>SERIES COVERAGE</t>
  </si>
  <si>
    <t>NSA Series</t>
  </si>
  <si>
    <t>SA Series</t>
  </si>
  <si>
    <t>Matching Pairs</t>
  </si>
  <si>
    <t>Total Series</t>
  </si>
  <si>
    <t>CAGR CALCULATION FORMULA</t>
  </si>
  <si>
    <t>Primary Method</t>
  </si>
  <si>
    <t>CAGR = ((Ending Value / Beginning Value)^(1/n)) - 1</t>
  </si>
  <si>
    <t>Verification Method</t>
  </si>
  <si>
    <t>CAGR = exp(ln(Ending Value / Beginning Value) / n) - 1</t>
  </si>
  <si>
    <t>Where n equals</t>
  </si>
  <si>
    <t>Exact number of years between dates</t>
  </si>
  <si>
    <t>QUALITY CONTROL</t>
  </si>
  <si>
    <t>Verification Tolerance</t>
  </si>
  <si>
    <t>±0.01%</t>
  </si>
  <si>
    <t>603</t>
  </si>
  <si>
    <t>Verified Calculations</t>
  </si>
  <si>
    <t>Matching Components</t>
  </si>
  <si>
    <t>Average Difference (SA - NSA)</t>
  </si>
  <si>
    <t>-0.088%</t>
  </si>
  <si>
    <t>Largest Difference</t>
  </si>
  <si>
    <t>0.410%</t>
  </si>
  <si>
    <t>Components with Identical CAGR</t>
  </si>
  <si>
    <t>ANALYSIS SPECIFICATIONS</t>
  </si>
  <si>
    <t>Reference Month</t>
  </si>
  <si>
    <t>May (Month 5)</t>
  </si>
  <si>
    <t>Reference Year</t>
  </si>
  <si>
    <t>2025</t>
  </si>
  <si>
    <t>Calculation Precision</t>
  </si>
  <si>
    <t>4+ decimal places</t>
  </si>
  <si>
    <t>Final Rounding</t>
  </si>
  <si>
    <t>2 decimal places for percentages</t>
  </si>
  <si>
    <t>DATA QUALITY</t>
  </si>
  <si>
    <t>Missing Data</t>
  </si>
  <si>
    <t>Minimal impact on calculations</t>
  </si>
  <si>
    <t>Data Gaps</t>
  </si>
  <si>
    <t>No significant gaps identified</t>
  </si>
  <si>
    <t>Outlier Detection</t>
  </si>
  <si>
    <t>2+ standard deviations from mean</t>
  </si>
  <si>
    <t>Outliers Found</t>
  </si>
  <si>
    <t>Loss from Trial wo return to Work</t>
  </si>
  <si>
    <t>Loss from Trial after Credit 1</t>
  </si>
  <si>
    <t>PV Meds Low</t>
  </si>
  <si>
    <t>PV Meds Mid</t>
  </si>
  <si>
    <t>PV Meds High</t>
  </si>
  <si>
    <t>Aaron M. Wolfson, PhD, CLCP</t>
  </si>
  <si>
    <t>courier (delivery driver)</t>
  </si>
  <si>
    <t>Job Title 2</t>
  </si>
  <si>
    <t>food server</t>
  </si>
  <si>
    <t>Pronoun</t>
  </si>
  <si>
    <t>Long_DOB</t>
  </si>
  <si>
    <t>MASTERTEMPLATE OUTPUTS</t>
  </si>
  <si>
    <t>Variable Name</t>
  </si>
  <si>
    <t>Worksheet Name</t>
  </si>
  <si>
    <t>Cell Reference</t>
  </si>
  <si>
    <t>claimant_salutation</t>
  </si>
  <si>
    <t>B4</t>
  </si>
  <si>
    <t>claimant_name_first</t>
  </si>
  <si>
    <t>B5</t>
  </si>
  <si>
    <t>claimant_name_last</t>
  </si>
  <si>
    <t>B6</t>
  </si>
  <si>
    <t>claimant_pronoun</t>
  </si>
  <si>
    <t>B7</t>
  </si>
  <si>
    <t>claimant_gender</t>
  </si>
  <si>
    <t>B8</t>
  </si>
  <si>
    <t>claimant_ethnicity</t>
  </si>
  <si>
    <t>B9</t>
  </si>
  <si>
    <t>claimant_long_DOB</t>
  </si>
  <si>
    <t>B10</t>
  </si>
  <si>
    <t>claimant_short_DOB</t>
  </si>
  <si>
    <t>B11</t>
  </si>
  <si>
    <t>report_date</t>
  </si>
  <si>
    <t>B12</t>
  </si>
  <si>
    <t>reference_date</t>
  </si>
  <si>
    <t>B13</t>
  </si>
  <si>
    <t>date_of_accident</t>
  </si>
  <si>
    <t>B14</t>
  </si>
  <si>
    <t>date_of_trial_short</t>
  </si>
  <si>
    <t>B15</t>
  </si>
  <si>
    <t>date_of_trial_long</t>
  </si>
  <si>
    <t>LTB1_loss_to_trial_base_1</t>
  </si>
  <si>
    <t>B16</t>
  </si>
  <si>
    <t>ac1_after_credit_1</t>
  </si>
  <si>
    <t>B17</t>
  </si>
  <si>
    <t>place_of_trial</t>
  </si>
  <si>
    <t>B18</t>
  </si>
  <si>
    <t>claimant_employer</t>
  </si>
  <si>
    <t>B19</t>
  </si>
  <si>
    <t>job_title_1</t>
  </si>
  <si>
    <t>B20</t>
  </si>
  <si>
    <t>job_title_2</t>
  </si>
  <si>
    <t>B21</t>
  </si>
  <si>
    <t>age_at_reference</t>
  </si>
  <si>
    <t>B22</t>
  </si>
  <si>
    <t>life_expectancy</t>
  </si>
  <si>
    <t>B23</t>
  </si>
  <si>
    <t>primary_earnings_base_1</t>
  </si>
  <si>
    <t>B24</t>
  </si>
  <si>
    <t>primary_earnings_base_2</t>
  </si>
  <si>
    <t>B25</t>
  </si>
  <si>
    <t>alternative_earnings_base</t>
  </si>
  <si>
    <t>B26</t>
  </si>
  <si>
    <t>hourly_wage</t>
  </si>
  <si>
    <t>B27</t>
  </si>
  <si>
    <t>weekly_wage</t>
  </si>
  <si>
    <t>B28</t>
  </si>
  <si>
    <t>pv_employer_fringe_contrib</t>
  </si>
  <si>
    <t>B29</t>
  </si>
  <si>
    <t>loss_from_trial_wo_return_to_work</t>
  </si>
  <si>
    <t>B30</t>
  </si>
  <si>
    <t>loss_from_trial_after_credit_1</t>
  </si>
  <si>
    <t>B31</t>
  </si>
  <si>
    <t>pv_meds_low</t>
  </si>
  <si>
    <t>B32</t>
  </si>
  <si>
    <t>pv_meds_mid</t>
  </si>
  <si>
    <t>B33</t>
  </si>
  <si>
    <t>pv_meds_high</t>
  </si>
  <si>
    <t>B34</t>
  </si>
  <si>
    <t>attorney_salutation</t>
  </si>
  <si>
    <t>B38</t>
  </si>
  <si>
    <t>attorney_name_first</t>
  </si>
  <si>
    <t>B39</t>
  </si>
  <si>
    <t>attorney_name_last</t>
  </si>
  <si>
    <t>B40</t>
  </si>
  <si>
    <t>firm_name</t>
  </si>
  <si>
    <t>B41</t>
  </si>
  <si>
    <t>firm_street_address</t>
  </si>
  <si>
    <t>B42</t>
  </si>
  <si>
    <t>firm_city</t>
  </si>
  <si>
    <t>B43</t>
  </si>
  <si>
    <t>firm_state</t>
  </si>
  <si>
    <t>B44</t>
  </si>
  <si>
    <t>firm_zip_code</t>
  </si>
  <si>
    <t>B45</t>
  </si>
  <si>
    <t>firm_phone</t>
  </si>
  <si>
    <t>B46</t>
  </si>
  <si>
    <t>firm_email</t>
  </si>
  <si>
    <t>B47</t>
  </si>
  <si>
    <t>firm_fax</t>
  </si>
  <si>
    <t>B48</t>
  </si>
  <si>
    <t>LCP_preparer</t>
  </si>
  <si>
    <t>B51</t>
  </si>
  <si>
    <t>LCP_report_date</t>
  </si>
  <si>
    <t>B52</t>
  </si>
  <si>
    <t>estimate_lower_bound</t>
  </si>
  <si>
    <t>B53</t>
  </si>
  <si>
    <t>estimate_upper_bound</t>
  </si>
  <si>
    <t>B54</t>
  </si>
  <si>
    <t>estimate_midpoint</t>
  </si>
  <si>
    <t>B55</t>
  </si>
  <si>
    <t>duration_of_projection</t>
  </si>
  <si>
    <t>B57</t>
  </si>
  <si>
    <t>default_discount_rate</t>
  </si>
  <si>
    <t>B59</t>
  </si>
  <si>
    <t>real_discount_rate</t>
  </si>
  <si>
    <t>B60</t>
  </si>
  <si>
    <t>inflation_rate</t>
  </si>
  <si>
    <t>B61</t>
  </si>
  <si>
    <t>consistent_with</t>
  </si>
  <si>
    <t>B62</t>
  </si>
  <si>
    <t>Live Cell Value</t>
  </si>
  <si>
    <t>[[claimant_name_first]]</t>
  </si>
  <si>
    <t>[[claimant_name_last]</t>
  </si>
  <si>
    <t>[[claimant_gender_possessive]]</t>
  </si>
  <si>
    <t>[[claimant_sex]]</t>
  </si>
  <si>
    <t>[[claimant_DOB_long]]</t>
  </si>
  <si>
    <t>[[trial_date_short]]</t>
  </si>
  <si>
    <t>[[claimant_DOI_short]]</t>
  </si>
  <si>
    <t>[[claimant_salutation]]</t>
  </si>
  <si>
    <t>&lt;- need to determine final date format</t>
  </si>
  <si>
    <t>[[court_jurisdiction]]</t>
  </si>
  <si>
    <t>&lt;- either from LCP report or econ worksheet</t>
  </si>
  <si>
    <t>[[attorney_salutation]]</t>
  </si>
  <si>
    <t>[[attorney_name_first]]</t>
  </si>
  <si>
    <t>[[firm_name]]</t>
  </si>
  <si>
    <t>[[attorney_name_last]]</t>
  </si>
  <si>
    <t>[[firm_address_1]]</t>
  </si>
  <si>
    <t>Firm City, State, ZIP</t>
  </si>
  <si>
    <t>[[firm_address_2]]</t>
  </si>
  <si>
    <t>[[attorney_phone_#]]</t>
  </si>
  <si>
    <t>[[attorney_email]]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</si>
</sst>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[$-409]mmmm\ d\,\ yyyy;@"/>
    <numFmt numFmtId="167" formatCode="0.0%"/>
    <numFmt numFmtId="168" formatCode="0.000000"/>
    <numFmt numFmtId="169" formatCode="0.0"/>
    <numFmt numFmtId="170" formatCode="0.00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63"/>
      <name val="Verdana"/>
      <family val="2"/>
    </font>
    <font>
      <b/>
      <sz val="9"/>
      <color indexed="63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b/>
      <sz val="9"/>
      <name val="Times New Roman"/>
      <family val="1"/>
    </font>
    <font>
      <b/>
      <sz val="9"/>
      <color rgb="FF333333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sz val="10"/>
      <color theme="1"/>
      <name val="Courier New"/>
      <family val="3"/>
    </font>
    <font>
      <sz val="10"/>
      <name val="Arial"/>
      <family val="2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Arial"/>
      <family val="2"/>
    </font>
    <font>
      <sz val="12"/>
      <color rgb="FF9C0006"/>
      <name val="Calibri"/>
      <family val="2"/>
      <scheme val="minor"/>
    </font>
    <font>
      <b/>
      <sz val="8"/>
      <name val="Arial"/>
      <family val="2"/>
    </font>
    <font>
      <b/>
      <sz val="16"/>
      <name val="Calibri"/>
      <family val="2"/>
    </font>
    <font>
      <i/>
      <sz val="12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6"/>
      <color theme="1"/>
      <name val="Aptos Display"/>
      <family val="2"/>
    </font>
    <font>
      <b/>
      <u/>
      <sz val="12"/>
      <color theme="1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9"/>
      <color rgb="FFC00000"/>
      <name val=".AppleSystemUIFont"/>
    </font>
  </fonts>
  <fills count="2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E8F4FD"/>
        <bgColor rgb="FFE8F4FD"/>
      </patternFill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>
      <alignment horizontal="left" vertical="center"/>
    </xf>
    <xf numFmtId="3" fontId="16" fillId="0" borderId="0"/>
    <xf numFmtId="0" fontId="21" fillId="0" borderId="0"/>
    <xf numFmtId="0" fontId="22" fillId="5" borderId="0" applyNumberFormat="0" applyBorder="0" applyAlignment="0" applyProtection="0"/>
    <xf numFmtId="0" fontId="23" fillId="7" borderId="0" applyNumberFormat="0" applyBorder="0" applyAlignment="0" applyProtection="0"/>
    <xf numFmtId="0" fontId="25" fillId="6" borderId="0" applyNumberFormat="0" applyBorder="0" applyAlignment="0" applyProtection="0"/>
  </cellStyleXfs>
  <cellXfs count="163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64" fontId="3" fillId="0" borderId="0" xfId="0" applyNumberFormat="1" applyFont="1"/>
    <xf numFmtId="165" fontId="3" fillId="0" borderId="0" xfId="1" applyNumberFormat="1" applyFont="1" applyBorder="1" applyAlignment="1">
      <alignment horizontal="right"/>
    </xf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8" fillId="8" borderId="0" xfId="4" applyFont="1">
      <alignment horizontal="left" vertical="center"/>
    </xf>
    <xf numFmtId="0" fontId="8" fillId="8" borderId="0" xfId="4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8" fillId="9" borderId="0" xfId="0" applyFont="1" applyFill="1" applyAlignment="1">
      <alignment horizontal="left" vertical="center"/>
    </xf>
    <xf numFmtId="0" fontId="8" fillId="9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49" fontId="10" fillId="10" borderId="0" xfId="0" applyNumberFormat="1" applyFont="1" applyFill="1" applyAlignment="1">
      <alignment vertical="center"/>
    </xf>
    <xf numFmtId="0" fontId="10" fillId="10" borderId="0" xfId="0" applyFont="1" applyFill="1" applyAlignment="1">
      <alignment vertical="center"/>
    </xf>
    <xf numFmtId="166" fontId="10" fillId="10" borderId="0" xfId="0" applyNumberFormat="1" applyFont="1" applyFill="1" applyAlignment="1">
      <alignment vertical="center"/>
    </xf>
    <xf numFmtId="0" fontId="8" fillId="10" borderId="0" xfId="0" applyFont="1" applyFill="1" applyAlignment="1">
      <alignment horizontal="left" vertical="center"/>
    </xf>
    <xf numFmtId="2" fontId="10" fillId="10" borderId="0" xfId="0" applyNumberFormat="1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9" fillId="0" borderId="0" xfId="0" applyFont="1" applyAlignment="1">
      <alignment horizontal="left"/>
    </xf>
    <xf numFmtId="9" fontId="9" fillId="0" borderId="0" xfId="2" applyFont="1" applyBorder="1" applyAlignment="1">
      <alignment horizontal="center"/>
    </xf>
    <xf numFmtId="0" fontId="6" fillId="10" borderId="0" xfId="3" applyFill="1" applyAlignment="1">
      <alignment vertical="center"/>
    </xf>
    <xf numFmtId="165" fontId="10" fillId="10" borderId="0" xfId="1" applyNumberFormat="1" applyFont="1" applyFill="1" applyAlignment="1">
      <alignment horizontal="left" vertical="center"/>
    </xf>
    <xf numFmtId="165" fontId="10" fillId="10" borderId="0" xfId="1" applyNumberFormat="1" applyFont="1" applyFill="1" applyAlignment="1">
      <alignment vertical="center"/>
    </xf>
    <xf numFmtId="9" fontId="9" fillId="0" borderId="0" xfId="2" applyFont="1" applyAlignment="1">
      <alignment horizontal="center"/>
    </xf>
    <xf numFmtId="0" fontId="12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vertical="center"/>
    </xf>
    <xf numFmtId="0" fontId="12" fillId="12" borderId="0" xfId="0" applyFont="1" applyFill="1" applyAlignment="1">
      <alignment horizontal="left" vertical="center"/>
    </xf>
    <xf numFmtId="49" fontId="10" fillId="12" borderId="0" xfId="0" applyNumberFormat="1" applyFont="1" applyFill="1" applyAlignment="1">
      <alignment vertical="center"/>
    </xf>
    <xf numFmtId="0" fontId="10" fillId="12" borderId="0" xfId="0" applyFont="1" applyFill="1" applyAlignment="1">
      <alignment vertical="center"/>
    </xf>
    <xf numFmtId="167" fontId="10" fillId="12" borderId="0" xfId="0" applyNumberFormat="1" applyFont="1" applyFill="1" applyAlignment="1">
      <alignment vertical="center"/>
    </xf>
    <xf numFmtId="9" fontId="10" fillId="12" borderId="0" xfId="2" applyFont="1" applyFill="1" applyAlignment="1">
      <alignment vertical="center"/>
    </xf>
    <xf numFmtId="9" fontId="9" fillId="0" borderId="0" xfId="2" applyFont="1"/>
    <xf numFmtId="14" fontId="10" fillId="10" borderId="0" xfId="0" applyNumberFormat="1" applyFont="1" applyFill="1" applyAlignment="1">
      <alignment vertical="center"/>
    </xf>
    <xf numFmtId="9" fontId="3" fillId="0" borderId="0" xfId="2" applyFont="1"/>
    <xf numFmtId="0" fontId="9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vertical="center"/>
    </xf>
    <xf numFmtId="0" fontId="3" fillId="0" borderId="7" xfId="0" applyFont="1" applyBorder="1" applyAlignment="1">
      <alignment horizontal="center"/>
    </xf>
    <xf numFmtId="9" fontId="3" fillId="0" borderId="7" xfId="2" applyFont="1" applyBorder="1" applyAlignment="1">
      <alignment horizontal="center"/>
    </xf>
    <xf numFmtId="0" fontId="3" fillId="0" borderId="7" xfId="0" applyFont="1" applyBorder="1"/>
    <xf numFmtId="0" fontId="11" fillId="0" borderId="0" xfId="0" applyFont="1" applyAlignment="1">
      <alignment horizontal="left" vertical="center"/>
    </xf>
    <xf numFmtId="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3" fillId="0" borderId="0" xfId="2" applyFont="1" applyBorder="1" applyAlignment="1">
      <alignment horizontal="center"/>
    </xf>
    <xf numFmtId="9" fontId="3" fillId="0" borderId="0" xfId="2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9" fillId="11" borderId="0" xfId="0" applyFont="1" applyFill="1"/>
    <xf numFmtId="168" fontId="17" fillId="0" borderId="9" xfId="5" applyNumberFormat="1" applyFont="1" applyBorder="1" applyAlignment="1">
      <alignment horizontal="center" wrapText="1"/>
    </xf>
    <xf numFmtId="3" fontId="17" fillId="0" borderId="8" xfId="5" applyFont="1" applyBorder="1" applyAlignment="1">
      <alignment horizontal="center" wrapText="1"/>
    </xf>
    <xf numFmtId="3" fontId="17" fillId="0" borderId="10" xfId="5" applyFont="1" applyBorder="1" applyAlignment="1">
      <alignment horizontal="center" wrapText="1"/>
    </xf>
    <xf numFmtId="168" fontId="18" fillId="0" borderId="12" xfId="5" applyNumberFormat="1" applyFont="1" applyBorder="1" applyAlignment="1">
      <alignment horizontal="center"/>
    </xf>
    <xf numFmtId="3" fontId="18" fillId="0" borderId="12" xfId="5" applyFont="1" applyBorder="1" applyAlignment="1">
      <alignment horizontal="center"/>
    </xf>
    <xf numFmtId="3" fontId="18" fillId="0" borderId="13" xfId="5" applyFont="1" applyBorder="1" applyAlignment="1">
      <alignment horizontal="center"/>
    </xf>
    <xf numFmtId="0" fontId="15" fillId="0" borderId="9" xfId="0" applyFont="1" applyBorder="1"/>
    <xf numFmtId="168" fontId="15" fillId="0" borderId="0" xfId="0" applyNumberFormat="1" applyFont="1"/>
    <xf numFmtId="3" fontId="15" fillId="0" borderId="14" xfId="0" applyNumberFormat="1" applyFont="1" applyBorder="1"/>
    <xf numFmtId="169" fontId="15" fillId="0" borderId="10" xfId="0" applyNumberFormat="1" applyFont="1" applyBorder="1"/>
    <xf numFmtId="16" fontId="15" fillId="0" borderId="15" xfId="0" quotePrefix="1" applyNumberFormat="1" applyFont="1" applyBorder="1"/>
    <xf numFmtId="3" fontId="15" fillId="0" borderId="0" xfId="0" applyNumberFormat="1" applyFont="1"/>
    <xf numFmtId="169" fontId="15" fillId="0" borderId="16" xfId="0" applyNumberFormat="1" applyFont="1" applyBorder="1"/>
    <xf numFmtId="16" fontId="15" fillId="0" borderId="17" xfId="0" applyNumberFormat="1" applyFont="1" applyBorder="1"/>
    <xf numFmtId="168" fontId="15" fillId="0" borderId="7" xfId="0" applyNumberFormat="1" applyFont="1" applyBorder="1"/>
    <xf numFmtId="3" fontId="15" fillId="0" borderId="7" xfId="0" applyNumberFormat="1" applyFont="1" applyBorder="1"/>
    <xf numFmtId="169" fontId="15" fillId="0" borderId="18" xfId="0" applyNumberFormat="1" applyFont="1" applyBorder="1"/>
    <xf numFmtId="0" fontId="20" fillId="0" borderId="0" xfId="0" applyFont="1"/>
    <xf numFmtId="0" fontId="21" fillId="0" borderId="0" xfId="6"/>
    <xf numFmtId="169" fontId="22" fillId="5" borderId="0" xfId="7" applyNumberFormat="1"/>
    <xf numFmtId="1" fontId="23" fillId="7" borderId="0" xfId="8" applyNumberFormat="1"/>
    <xf numFmtId="0" fontId="24" fillId="0" borderId="0" xfId="6" applyFont="1"/>
    <xf numFmtId="16" fontId="24" fillId="0" borderId="0" xfId="6" quotePrefix="1" applyNumberFormat="1" applyFont="1"/>
    <xf numFmtId="2" fontId="22" fillId="5" borderId="0" xfId="7" applyNumberFormat="1"/>
    <xf numFmtId="169" fontId="21" fillId="0" borderId="0" xfId="6" applyNumberFormat="1"/>
    <xf numFmtId="0" fontId="22" fillId="5" borderId="0" xfId="7"/>
    <xf numFmtId="0" fontId="25" fillId="6" borderId="0" xfId="9"/>
    <xf numFmtId="169" fontId="24" fillId="0" borderId="0" xfId="6" applyNumberFormat="1" applyFont="1"/>
    <xf numFmtId="169" fontId="22" fillId="0" borderId="0" xfId="7" applyNumberFormat="1" applyFill="1"/>
    <xf numFmtId="0" fontId="22" fillId="0" borderId="0" xfId="7" applyFill="1"/>
    <xf numFmtId="0" fontId="23" fillId="7" borderId="0" xfId="8"/>
    <xf numFmtId="14" fontId="21" fillId="0" borderId="0" xfId="6" applyNumberFormat="1"/>
    <xf numFmtId="10" fontId="21" fillId="0" borderId="0" xfId="6" applyNumberFormat="1"/>
    <xf numFmtId="0" fontId="26" fillId="0" borderId="19" xfId="6" applyFont="1" applyBorder="1" applyAlignment="1">
      <alignment horizontal="center" vertical="center" wrapText="1"/>
    </xf>
    <xf numFmtId="6" fontId="26" fillId="0" borderId="20" xfId="6" applyNumberFormat="1" applyFont="1" applyBorder="1" applyAlignment="1">
      <alignment horizontal="center" vertical="center" wrapText="1"/>
    </xf>
    <xf numFmtId="0" fontId="26" fillId="0" borderId="21" xfId="6" applyFont="1" applyBorder="1" applyAlignment="1">
      <alignment horizontal="center" vertical="center" wrapText="1"/>
    </xf>
    <xf numFmtId="6" fontId="26" fillId="0" borderId="22" xfId="6" applyNumberFormat="1" applyFont="1" applyBorder="1" applyAlignment="1">
      <alignment horizontal="center" vertical="center" wrapText="1"/>
    </xf>
    <xf numFmtId="0" fontId="21" fillId="13" borderId="0" xfId="6" applyFill="1"/>
    <xf numFmtId="44" fontId="10" fillId="10" borderId="0" xfId="1" applyFont="1" applyFill="1" applyAlignment="1">
      <alignment vertical="center"/>
    </xf>
    <xf numFmtId="0" fontId="27" fillId="0" borderId="0" xfId="0" applyFont="1"/>
    <xf numFmtId="0" fontId="28" fillId="0" borderId="0" xfId="0" applyFont="1"/>
    <xf numFmtId="0" fontId="29" fillId="14" borderId="0" xfId="0" applyFont="1" applyFill="1"/>
    <xf numFmtId="0" fontId="30" fillId="0" borderId="0" xfId="0" applyFont="1"/>
    <xf numFmtId="0" fontId="30" fillId="15" borderId="0" xfId="0" applyFont="1" applyFill="1"/>
    <xf numFmtId="0" fontId="0" fillId="15" borderId="0" xfId="0" applyFill="1"/>
    <xf numFmtId="0" fontId="30" fillId="16" borderId="0" xfId="0" applyFont="1" applyFill="1"/>
    <xf numFmtId="0" fontId="0" fillId="16" borderId="0" xfId="0" applyFill="1"/>
    <xf numFmtId="0" fontId="31" fillId="0" borderId="0" xfId="0" applyFont="1"/>
    <xf numFmtId="0" fontId="32" fillId="17" borderId="12" xfId="0" applyFont="1" applyFill="1" applyBorder="1" applyAlignment="1">
      <alignment horizontal="center" vertical="center"/>
    </xf>
    <xf numFmtId="0" fontId="0" fillId="0" borderId="12" xfId="0" applyBorder="1"/>
    <xf numFmtId="0" fontId="0" fillId="15" borderId="12" xfId="0" applyFill="1" applyBorder="1"/>
    <xf numFmtId="2" fontId="0" fillId="15" borderId="12" xfId="0" applyNumberFormat="1" applyFill="1" applyBorder="1" applyAlignment="1">
      <alignment horizontal="right" vertical="center"/>
    </xf>
    <xf numFmtId="0" fontId="0" fillId="16" borderId="12" xfId="0" applyFill="1" applyBorder="1"/>
    <xf numFmtId="2" fontId="0" fillId="16" borderId="12" xfId="0" applyNumberFormat="1" applyFill="1" applyBorder="1" applyAlignment="1">
      <alignment horizontal="right" vertical="center"/>
    </xf>
    <xf numFmtId="0" fontId="0" fillId="15" borderId="12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170" fontId="0" fillId="15" borderId="12" xfId="0" applyNumberFormat="1" applyFill="1" applyBorder="1" applyAlignment="1">
      <alignment horizontal="right" vertical="center"/>
    </xf>
    <xf numFmtId="0" fontId="0" fillId="0" borderId="0" xfId="0" quotePrefix="1"/>
    <xf numFmtId="170" fontId="0" fillId="16" borderId="12" xfId="0" applyNumberFormat="1" applyFill="1" applyBorder="1" applyAlignment="1">
      <alignment horizontal="right" vertical="center"/>
    </xf>
    <xf numFmtId="0" fontId="33" fillId="14" borderId="0" xfId="0" applyFont="1" applyFill="1"/>
    <xf numFmtId="169" fontId="10" fillId="1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27" xfId="0" applyBorder="1"/>
    <xf numFmtId="0" fontId="36" fillId="18" borderId="28" xfId="0" applyFont="1" applyFill="1" applyBorder="1" applyAlignment="1">
      <alignment horizontal="center" vertical="center"/>
    </xf>
    <xf numFmtId="0" fontId="37" fillId="21" borderId="28" xfId="0" applyFont="1" applyFill="1" applyBorder="1" applyAlignment="1">
      <alignment horizontal="center" vertical="center"/>
    </xf>
    <xf numFmtId="0" fontId="36" fillId="19" borderId="28" xfId="0" applyFont="1" applyFill="1" applyBorder="1" applyAlignment="1">
      <alignment horizontal="center" vertical="center"/>
    </xf>
    <xf numFmtId="0" fontId="37" fillId="20" borderId="28" xfId="0" applyFont="1" applyFill="1" applyBorder="1" applyAlignment="1">
      <alignment horizontal="center" vertical="center"/>
    </xf>
    <xf numFmtId="0" fontId="36" fillId="18" borderId="29" xfId="0" applyFont="1" applyFill="1" applyBorder="1" applyAlignment="1">
      <alignment horizontal="center" vertical="center"/>
    </xf>
    <xf numFmtId="0" fontId="35" fillId="12" borderId="12" xfId="0" applyFont="1" applyFill="1" applyBorder="1" applyAlignment="1">
      <alignment horizontal="center" vertical="center"/>
    </xf>
    <xf numFmtId="0" fontId="35" fillId="12" borderId="30" xfId="0" applyFont="1" applyFill="1" applyBorder="1" applyAlignment="1">
      <alignment horizontal="center" vertical="center"/>
    </xf>
    <xf numFmtId="0" fontId="35" fillId="12" borderId="26" xfId="0" applyFont="1" applyFill="1" applyBorder="1" applyAlignment="1">
      <alignment horizontal="center" vertical="center"/>
    </xf>
    <xf numFmtId="0" fontId="36" fillId="18" borderId="31" xfId="0" applyFont="1" applyFill="1" applyBorder="1" applyAlignment="1">
      <alignment horizontal="left" vertical="center"/>
    </xf>
    <xf numFmtId="0" fontId="37" fillId="21" borderId="32" xfId="0" applyFont="1" applyFill="1" applyBorder="1" applyAlignment="1">
      <alignment horizontal="center" vertical="center"/>
    </xf>
    <xf numFmtId="0" fontId="36" fillId="19" borderId="33" xfId="0" applyFont="1" applyFill="1" applyBorder="1" applyAlignment="1">
      <alignment horizontal="left" vertical="center"/>
    </xf>
    <xf numFmtId="0" fontId="36" fillId="18" borderId="33" xfId="0" applyFont="1" applyFill="1" applyBorder="1" applyAlignment="1">
      <alignment horizontal="left" vertical="center"/>
    </xf>
    <xf numFmtId="0" fontId="37" fillId="20" borderId="33" xfId="0" applyFont="1" applyFill="1" applyBorder="1" applyAlignment="1">
      <alignment horizontal="center" vertical="center"/>
    </xf>
    <xf numFmtId="0" fontId="37" fillId="21" borderId="33" xfId="0" applyFont="1" applyFill="1" applyBorder="1" applyAlignment="1">
      <alignment horizontal="center" vertical="center"/>
    </xf>
    <xf numFmtId="0" fontId="37" fillId="20" borderId="34" xfId="0" applyFont="1" applyFill="1" applyBorder="1" applyAlignment="1">
      <alignment horizontal="center" vertical="center"/>
    </xf>
    <xf numFmtId="0" fontId="37" fillId="20" borderId="35" xfId="0" applyFont="1" applyFill="1" applyBorder="1" applyAlignment="1">
      <alignment horizontal="center" vertical="center"/>
    </xf>
    <xf numFmtId="0" fontId="37" fillId="20" borderId="32" xfId="0" applyFont="1" applyFill="1" applyBorder="1" applyAlignment="1">
      <alignment horizontal="center" vertical="center"/>
    </xf>
    <xf numFmtId="0" fontId="37" fillId="20" borderId="36" xfId="0" applyFont="1" applyFill="1" applyBorder="1" applyAlignment="1">
      <alignment horizontal="center" vertical="center"/>
    </xf>
    <xf numFmtId="0" fontId="34" fillId="22" borderId="23" xfId="0" applyFont="1" applyFill="1" applyBorder="1" applyAlignment="1">
      <alignment horizontal="center" vertical="center"/>
    </xf>
    <xf numFmtId="0" fontId="34" fillId="22" borderId="24" xfId="0" applyFont="1" applyFill="1" applyBorder="1" applyAlignment="1">
      <alignment horizontal="center" vertical="center"/>
    </xf>
    <xf numFmtId="0" fontId="34" fillId="22" borderId="25" xfId="0" applyFont="1" applyFill="1" applyBorder="1" applyAlignment="1">
      <alignment horizontal="center" vertical="center"/>
    </xf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wrapText="1"/>
    </xf>
    <xf numFmtId="3" fontId="17" fillId="0" borderId="8" xfId="5" applyFont="1" applyBorder="1" applyAlignment="1">
      <alignment horizontal="center"/>
    </xf>
    <xf numFmtId="0" fontId="15" fillId="0" borderId="11" xfId="0" applyFont="1" applyBorder="1"/>
    <xf numFmtId="0" fontId="15" fillId="0" borderId="0" xfId="0" applyFont="1" applyAlignment="1">
      <alignment wrapText="1"/>
    </xf>
    <xf numFmtId="0" fontId="21" fillId="0" borderId="0" xfId="6" applyAlignment="1">
      <alignment horizontal="center"/>
    </xf>
    <xf numFmtId="0" fontId="3" fillId="0" borderId="0" xfId="0" applyFont="1" applyAlignment="1">
      <alignment horizontal="center"/>
    </xf>
    <xf numFmtId="165" fontId="10" fillId="23" borderId="0" xfId="1" applyNumberFormat="1" applyFont="1" applyFill="1" applyAlignment="1">
      <alignment vertical="center"/>
    </xf>
    <xf numFmtId="44" fontId="10" fillId="23" borderId="0" xfId="1" applyFont="1" applyFill="1" applyAlignment="1">
      <alignment vertical="center"/>
    </xf>
    <xf numFmtId="44" fontId="10" fillId="24" borderId="0" xfId="1" applyFont="1" applyFill="1" applyAlignment="1">
      <alignment vertical="center"/>
    </xf>
    <xf numFmtId="0" fontId="10" fillId="10" borderId="0" xfId="0" applyNumberFormat="1" applyFont="1" applyFill="1" applyAlignment="1">
      <alignment vertical="center"/>
    </xf>
    <xf numFmtId="169" fontId="10" fillId="24" borderId="0" xfId="0" applyNumberFormat="1" applyFont="1" applyFill="1" applyAlignment="1">
      <alignment vertical="center"/>
    </xf>
    <xf numFmtId="165" fontId="10" fillId="24" borderId="0" xfId="1" applyNumberFormat="1" applyFont="1" applyFill="1" applyAlignment="1">
      <alignment vertical="center"/>
    </xf>
    <xf numFmtId="165" fontId="10" fillId="25" borderId="0" xfId="1" applyNumberFormat="1" applyFont="1" applyFill="1" applyAlignment="1">
      <alignment vertical="center"/>
    </xf>
    <xf numFmtId="166" fontId="38" fillId="0" borderId="0" xfId="0" applyNumberFormat="1" applyFont="1" applyAlignment="1">
      <alignment vertical="center"/>
    </xf>
    <xf numFmtId="0" fontId="10" fillId="24" borderId="0" xfId="0" applyFont="1" applyFill="1" applyAlignment="1">
      <alignment vertical="center"/>
    </xf>
    <xf numFmtId="166" fontId="10" fillId="24" borderId="0" xfId="0" applyNumberFormat="1" applyFont="1" applyFill="1" applyAlignment="1">
      <alignment vertical="center"/>
    </xf>
    <xf numFmtId="14" fontId="37" fillId="21" borderId="32" xfId="0" applyNumberFormat="1" applyFont="1" applyFill="1" applyBorder="1" applyAlignment="1">
      <alignment horizontal="center" vertical="center"/>
    </xf>
  </cellXfs>
  <cellStyles count="10">
    <cellStyle name="Bad 2" xfId="9" xr:uid="{02D7F429-A8B7-48E5-85EA-3835EAD7A7F0}"/>
    <cellStyle name="Currency" xfId="1" builtinId="4"/>
    <cellStyle name="Good 2" xfId="7" xr:uid="{94B4A079-A100-428D-B09E-00460D4F688A}"/>
    <cellStyle name="Header 1" xfId="4" xr:uid="{B7568E03-33DE-4D07-A90B-C464009FB392}"/>
    <cellStyle name="Hyperlink" xfId="3" builtinId="8"/>
    <cellStyle name="Neutral 2" xfId="8" xr:uid="{D7F6A8A6-B5C3-4BAA-A97A-F45734DD60A2}"/>
    <cellStyle name="Normal" xfId="0" builtinId="0"/>
    <cellStyle name="Normal 2" xfId="6" xr:uid="{A64DAB37-A123-4CDF-82E3-3AE56F213F2C}"/>
    <cellStyle name="Normal_Tb 2" xfId="5" xr:uid="{7D46180A-2496-4CE1-BA79-756DD74A18EB}"/>
    <cellStyle name="Percent" xfId="2" builtinId="5"/>
  </cellStyles>
  <dxfs count="2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Exhaustion</a:t>
            </a:r>
            <a:r>
              <a:rPr lang="en-US" baseline="0"/>
              <a:t> of Funds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ExhaustionChartData!$B$1</c:f>
              <c:strCache>
                <c:ptCount val="1"/>
                <c:pt idx="0">
                  <c:v>Balance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ExhaustionChartData!$B$2:$B$39</c:f>
              <c:numCache>
                <c:formatCode>General</c:formatCode>
                <c:ptCount val="38"/>
                <c:pt idx="0">
                  <c:v>301325.46804082906</c:v>
                </c:pt>
                <c:pt idx="1">
                  <c:v>291842.53224939737</c:v>
                </c:pt>
                <c:pt idx="2">
                  <c:v>282297.73095260531</c:v>
                </c:pt>
                <c:pt idx="3">
                  <c:v>272699.86293780868</c:v>
                </c:pt>
                <c:pt idx="4">
                  <c:v>263047.63956878049</c:v>
                </c:pt>
                <c:pt idx="5">
                  <c:v>253356.17608149984</c:v>
                </c:pt>
                <c:pt idx="6">
                  <c:v>243634.52367008489</c:v>
                </c:pt>
                <c:pt idx="7">
                  <c:v>233932.7153320123</c:v>
                </c:pt>
                <c:pt idx="8">
                  <c:v>224282.86802071202</c:v>
                </c:pt>
                <c:pt idx="9">
                  <c:v>214678.32973254388</c:v>
                </c:pt>
                <c:pt idx="10">
                  <c:v>205153.71716902606</c:v>
                </c:pt>
                <c:pt idx="11">
                  <c:v>195675.81822542142</c:v>
                </c:pt>
                <c:pt idx="12">
                  <c:v>186302.70192978546</c:v>
                </c:pt>
                <c:pt idx="13">
                  <c:v>177059.26751434398</c:v>
                </c:pt>
                <c:pt idx="14">
                  <c:v>167958.8527696387</c:v>
                </c:pt>
                <c:pt idx="15">
                  <c:v>159015.91046397929</c:v>
                </c:pt>
                <c:pt idx="16">
                  <c:v>150237.02597060567</c:v>
                </c:pt>
                <c:pt idx="17">
                  <c:v>141590.12767153623</c:v>
                </c:pt>
                <c:pt idx="18">
                  <c:v>133105.99692077626</c:v>
                </c:pt>
                <c:pt idx="19">
                  <c:v>124789.8383248469</c:v>
                </c:pt>
                <c:pt idx="20">
                  <c:v>116656.65481583631</c:v>
                </c:pt>
                <c:pt idx="21">
                  <c:v>108674.68755592719</c:v>
                </c:pt>
                <c:pt idx="22">
                  <c:v>100829.7592587423</c:v>
                </c:pt>
                <c:pt idx="23">
                  <c:v>93131.191605509812</c:v>
                </c:pt>
                <c:pt idx="24">
                  <c:v>85570.96441595022</c:v>
                </c:pt>
                <c:pt idx="25">
                  <c:v>78161.234439140273</c:v>
                </c:pt>
                <c:pt idx="26">
                  <c:v>70867.29099773601</c:v>
                </c:pt>
                <c:pt idx="27">
                  <c:v>63655.371777753629</c:v>
                </c:pt>
                <c:pt idx="28">
                  <c:v>56580.55323917808</c:v>
                </c:pt>
                <c:pt idx="29">
                  <c:v>49602.336728709546</c:v>
                </c:pt>
                <c:pt idx="30">
                  <c:v>43138.179357244779</c:v>
                </c:pt>
                <c:pt idx="31">
                  <c:v>36754.076836865577</c:v>
                </c:pt>
                <c:pt idx="32">
                  <c:v>30449.003261123522</c:v>
                </c:pt>
                <c:pt idx="33">
                  <c:v>24221.946236086762</c:v>
                </c:pt>
                <c:pt idx="34">
                  <c:v>18071.906695992646</c:v>
                </c:pt>
                <c:pt idx="35">
                  <c:v>11997.898721538309</c:v>
                </c:pt>
                <c:pt idx="36">
                  <c:v>5998.9493607691493</c:v>
                </c:pt>
                <c:pt idx="37">
                  <c:v>-1.0913936421275139E-11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4CF-456A-8C7D-8F2E762A9C2B}"/>
            </c:ext>
          </c:extLst>
        </c:ser>
        <c:ser>
          <c:idx val="2"/>
          <c:order val="2"/>
          <c:tx>
            <c:strRef>
              <c:f>ExhaustionChartData!$C$1</c:f>
              <c:strCache>
                <c:ptCount val="1"/>
                <c:pt idx="0">
                  <c:v>Balance Mid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ExhaustionChartData!$C$2:$C$39</c:f>
              <c:numCache>
                <c:formatCode>General</c:formatCode>
                <c:ptCount val="38"/>
                <c:pt idx="0">
                  <c:v>498021.90625621949</c:v>
                </c:pt>
                <c:pt idx="1">
                  <c:v>482333.57946742699</c:v>
                </c:pt>
                <c:pt idx="2">
                  <c:v>466543.92687841575</c:v>
                </c:pt>
                <c:pt idx="3">
                  <c:v>450667.50824137789</c:v>
                </c:pt>
                <c:pt idx="4">
                  <c:v>434702.19526840025</c:v>
                </c:pt>
                <c:pt idx="5">
                  <c:v>418672.9911999621</c:v>
                </c:pt>
                <c:pt idx="6">
                  <c:v>402594.86549458647</c:v>
                </c:pt>
                <c:pt idx="7">
                  <c:v>386550.55818693526</c:v>
                </c:pt>
                <c:pt idx="8">
                  <c:v>370593.16723804019</c:v>
                </c:pt>
                <c:pt idx="9">
                  <c:v>354711.67490924208</c:v>
                </c:pt>
                <c:pt idx="10">
                  <c:v>338963.30097342032</c:v>
                </c:pt>
                <c:pt idx="11">
                  <c:v>323293.1109235654</c:v>
                </c:pt>
                <c:pt idx="12">
                  <c:v>307797.09007988666</c:v>
                </c:pt>
                <c:pt idx="13">
                  <c:v>292516.37240876025</c:v>
                </c:pt>
                <c:pt idx="14">
                  <c:v>277472.97331064573</c:v>
                </c:pt>
                <c:pt idx="15">
                  <c:v>262690.74767487007</c:v>
                </c:pt>
                <c:pt idx="16">
                  <c:v>248180.54296912879</c:v>
                </c:pt>
                <c:pt idx="17">
                  <c:v>233889.3145509715</c:v>
                </c:pt>
                <c:pt idx="18">
                  <c:v>219867.90208762477</c:v>
                </c:pt>
                <c:pt idx="19">
                  <c:v>206124.8695879296</c:v>
                </c:pt>
                <c:pt idx="20">
                  <c:v>192684.97152994678</c:v>
                </c:pt>
                <c:pt idx="21">
                  <c:v>179495.69022764143</c:v>
                </c:pt>
                <c:pt idx="22">
                  <c:v>166533.56703340431</c:v>
                </c:pt>
                <c:pt idx="23">
                  <c:v>153813.97258959716</c:v>
                </c:pt>
                <c:pt idx="24">
                  <c:v>141323.6246532668</c:v>
                </c:pt>
                <c:pt idx="25">
                  <c:v>129082.57624861099</c:v>
                </c:pt>
                <c:pt idx="26">
                  <c:v>117033.45556535135</c:v>
                </c:pt>
                <c:pt idx="27">
                  <c:v>105120.46684827231</c:v>
                </c:pt>
                <c:pt idx="28">
                  <c:v>93434.563791657507</c:v>
                </c:pt>
                <c:pt idx="29">
                  <c:v>81908.827121102848</c:v>
                </c:pt>
                <c:pt idx="30">
                  <c:v>71232.702532968004</c:v>
                </c:pt>
                <c:pt idx="31">
                  <c:v>60689.338459193837</c:v>
                </c:pt>
                <c:pt idx="32">
                  <c:v>50277.022795582976</c:v>
                </c:pt>
                <c:pt idx="33">
                  <c:v>39994.066204885152</c:v>
                </c:pt>
                <c:pt idx="34">
                  <c:v>29838.801801922804</c:v>
                </c:pt>
                <c:pt idx="35">
                  <c:v>19809.58484330407</c:v>
                </c:pt>
                <c:pt idx="36">
                  <c:v>9904.7924216519987</c:v>
                </c:pt>
                <c:pt idx="37">
                  <c:v>-7.2759576141834259E-11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F-456A-8C7D-8F2E762A9C2B}"/>
            </c:ext>
          </c:extLst>
        </c:ser>
        <c:ser>
          <c:idx val="3"/>
          <c:order val="3"/>
          <c:tx>
            <c:strRef>
              <c:f>ExhaustionChartData!$D$1</c:f>
              <c:strCache>
                <c:ptCount val="1"/>
                <c:pt idx="0">
                  <c:v>Balance High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ExhaustionChartData!$D$2:$D$39</c:f>
              <c:numCache>
                <c:formatCode>General</c:formatCode>
                <c:ptCount val="38"/>
                <c:pt idx="0">
                  <c:v>694718.34447161027</c:v>
                </c:pt>
                <c:pt idx="1">
                  <c:v>672824.62668545707</c:v>
                </c:pt>
                <c:pt idx="2">
                  <c:v>650790.1228042267</c:v>
                </c:pt>
                <c:pt idx="3">
                  <c:v>628635.15354494762</c:v>
                </c:pt>
                <c:pt idx="4">
                  <c:v>606356.75096802053</c:v>
                </c:pt>
                <c:pt idx="5">
                  <c:v>583989.80631842487</c:v>
                </c:pt>
                <c:pt idx="6">
                  <c:v>561555.20731908851</c:v>
                </c:pt>
                <c:pt idx="7">
                  <c:v>539168.40104185871</c:v>
                </c:pt>
                <c:pt idx="8">
                  <c:v>516903.46645536885</c:v>
                </c:pt>
                <c:pt idx="9">
                  <c:v>494745.02008594072</c:v>
                </c:pt>
                <c:pt idx="10">
                  <c:v>472772.88477781496</c:v>
                </c:pt>
                <c:pt idx="11">
                  <c:v>450910.40362170973</c:v>
                </c:pt>
                <c:pt idx="12">
                  <c:v>429291.47822998825</c:v>
                </c:pt>
                <c:pt idx="13">
                  <c:v>407973.47730317689</c:v>
                </c:pt>
                <c:pt idx="14">
                  <c:v>386987.09385165316</c:v>
                </c:pt>
                <c:pt idx="15">
                  <c:v>366365.58488576132</c:v>
                </c:pt>
                <c:pt idx="16">
                  <c:v>346124.05996765237</c:v>
                </c:pt>
                <c:pt idx="17">
                  <c:v>326188.50143040722</c:v>
                </c:pt>
                <c:pt idx="18">
                  <c:v>306629.80725447374</c:v>
                </c:pt>
                <c:pt idx="19">
                  <c:v>287459.90085101279</c:v>
                </c:pt>
                <c:pt idx="20">
                  <c:v>268713.28824405774</c:v>
                </c:pt>
                <c:pt idx="21">
                  <c:v>250316.69289935619</c:v>
                </c:pt>
                <c:pt idx="22">
                  <c:v>232237.37480806682</c:v>
                </c:pt>
                <c:pt idx="23">
                  <c:v>214496.75357368504</c:v>
                </c:pt>
                <c:pt idx="24">
                  <c:v>197076.28489058389</c:v>
                </c:pt>
                <c:pt idx="25">
                  <c:v>180003.9180580822</c:v>
                </c:pt>
                <c:pt idx="26">
                  <c:v>163199.62013296719</c:v>
                </c:pt>
                <c:pt idx="27">
                  <c:v>146585.56191879147</c:v>
                </c:pt>
                <c:pt idx="28">
                  <c:v>130288.57434413741</c:v>
                </c:pt>
                <c:pt idx="29">
                  <c:v>114215.31751349661</c:v>
                </c:pt>
                <c:pt idx="30">
                  <c:v>99327.225708691694</c:v>
                </c:pt>
                <c:pt idx="31">
                  <c:v>84624.600081522571</c:v>
                </c:pt>
                <c:pt idx="32">
                  <c:v>70105.042330042896</c:v>
                </c:pt>
                <c:pt idx="33">
                  <c:v>55766.186173684</c:v>
                </c:pt>
                <c:pt idx="34">
                  <c:v>41605.696907853417</c:v>
                </c:pt>
                <c:pt idx="35">
                  <c:v>27621.270965070289</c:v>
                </c:pt>
                <c:pt idx="36">
                  <c:v>13810.635482535308</c:v>
                </c:pt>
                <c:pt idx="37">
                  <c:v>3.2741809263825417E-10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C4CF-456A-8C7D-8F2E762A9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886240"/>
        <c:axId val="463888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ExhaustionChartData!$A$1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ExhaustionChartData!$A$2:$A$39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  <c:pt idx="36">
                        <c:v>2061</c:v>
                      </c:pt>
                      <c:pt idx="37">
                        <c:v>2061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4CF-456A-8C7D-8F2E762A9C2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ExhaustionChartData!$E$1</c15:sqref>
                        </c15:formulaRef>
                      </c:ext>
                    </c:extLst>
                    <c:strCache>
                      <c:ptCount val="1"/>
                      <c:pt idx="0">
                        <c:v>Discount Rate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ExhaustionChartData!$E$2:$E$39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0</c:v>
                      </c:pt>
                      <c:pt idx="1">
                        <c:v>2.681</c:v>
                      </c:pt>
                      <c:pt idx="2">
                        <c:v>2.6989999999999998</c:v>
                      </c:pt>
                      <c:pt idx="3">
                        <c:v>2.738</c:v>
                      </c:pt>
                      <c:pt idx="4">
                        <c:v>2.7549999999999999</c:v>
                      </c:pt>
                      <c:pt idx="5">
                        <c:v>2.798</c:v>
                      </c:pt>
                      <c:pt idx="6">
                        <c:v>2.843</c:v>
                      </c:pt>
                      <c:pt idx="7">
                        <c:v>2.9510000000000001</c:v>
                      </c:pt>
                      <c:pt idx="8">
                        <c:v>3.0750000000000002</c:v>
                      </c:pt>
                      <c:pt idx="9">
                        <c:v>3.1640000000000001</c:v>
                      </c:pt>
                      <c:pt idx="10">
                        <c:v>3.2730000000000001</c:v>
                      </c:pt>
                      <c:pt idx="11">
                        <c:v>3.33</c:v>
                      </c:pt>
                      <c:pt idx="12">
                        <c:v>3.431</c:v>
                      </c:pt>
                      <c:pt idx="13">
                        <c:v>3.5390000000000001</c:v>
                      </c:pt>
                      <c:pt idx="14">
                        <c:v>3.6440000000000001</c:v>
                      </c:pt>
                      <c:pt idx="15">
                        <c:v>3.7480000000000002</c:v>
                      </c:pt>
                      <c:pt idx="16">
                        <c:v>3.8460000000000001</c:v>
                      </c:pt>
                      <c:pt idx="17">
                        <c:v>3.9119999999999999</c:v>
                      </c:pt>
                      <c:pt idx="18">
                        <c:v>3.9929999999999999</c:v>
                      </c:pt>
                      <c:pt idx="19">
                        <c:v>4.0709999999999997</c:v>
                      </c:pt>
                      <c:pt idx="20">
                        <c:v>4.1529999999999996</c:v>
                      </c:pt>
                      <c:pt idx="21">
                        <c:v>4.21</c:v>
                      </c:pt>
                      <c:pt idx="22">
                        <c:v>4.2549999999999999</c:v>
                      </c:pt>
                      <c:pt idx="23">
                        <c:v>4.3029999999999999</c:v>
                      </c:pt>
                      <c:pt idx="24">
                        <c:v>4.3440000000000003</c:v>
                      </c:pt>
                      <c:pt idx="25">
                        <c:v>4.3899999999999997</c:v>
                      </c:pt>
                      <c:pt idx="26">
                        <c:v>4.415</c:v>
                      </c:pt>
                      <c:pt idx="27">
                        <c:v>4.4210000000000003</c:v>
                      </c:pt>
                      <c:pt idx="28">
                        <c:v>4.4560000000000004</c:v>
                      </c:pt>
                      <c:pt idx="29">
                        <c:v>4.4690000000000003</c:v>
                      </c:pt>
                      <c:pt idx="30">
                        <c:v>4.7</c:v>
                      </c:pt>
                      <c:pt idx="31">
                        <c:v>4.7</c:v>
                      </c:pt>
                      <c:pt idx="32">
                        <c:v>4.7</c:v>
                      </c:pt>
                      <c:pt idx="33">
                        <c:v>4.7</c:v>
                      </c:pt>
                      <c:pt idx="34">
                        <c:v>4.7</c:v>
                      </c:pt>
                      <c:pt idx="35">
                        <c:v>4.7</c:v>
                      </c:pt>
                      <c:pt idx="36">
                        <c:v>4.7</c:v>
                      </c:pt>
                      <c:pt idx="37">
                        <c:v>4.7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CF-456A-8C7D-8F2E762A9C2B}"/>
                  </c:ext>
                </c:extLst>
              </c15:ser>
            </c15:filteredBarSeries>
          </c:ext>
        </c:extLst>
      </c:barChart>
      <c:catAx>
        <c:axId val="46388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888160"/>
        <c:crosses val="autoZero"/>
        <c:auto val="1"/>
        <c:lblAlgn val="ctr"/>
        <c:lblOffset val="100"/>
        <c:noMultiLvlLbl val="0"/>
      </c:catAx>
      <c:valAx>
        <c:axId val="4638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8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Bond</a:t>
            </a:r>
            <a:r>
              <a:rPr lang="en-US" baseline="0"/>
              <a:t>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ExhaustionChartData!$E$2:$E$39</c:f>
              <c:numCache>
                <c:formatCode>General</c:formatCode>
                <c:ptCount val="38"/>
                <c:pt idx="0">
                  <c:v>0</c:v>
                </c:pt>
                <c:pt idx="1">
                  <c:v>2.681</c:v>
                </c:pt>
                <c:pt idx="2">
                  <c:v>2.6989999999999998</c:v>
                </c:pt>
                <c:pt idx="3">
                  <c:v>2.738</c:v>
                </c:pt>
                <c:pt idx="4">
                  <c:v>2.7549999999999999</c:v>
                </c:pt>
                <c:pt idx="5">
                  <c:v>2.798</c:v>
                </c:pt>
                <c:pt idx="6">
                  <c:v>2.843</c:v>
                </c:pt>
                <c:pt idx="7">
                  <c:v>2.9510000000000001</c:v>
                </c:pt>
                <c:pt idx="8">
                  <c:v>3.0750000000000002</c:v>
                </c:pt>
                <c:pt idx="9">
                  <c:v>3.1640000000000001</c:v>
                </c:pt>
                <c:pt idx="10">
                  <c:v>3.2730000000000001</c:v>
                </c:pt>
                <c:pt idx="11">
                  <c:v>3.33</c:v>
                </c:pt>
                <c:pt idx="12">
                  <c:v>3.431</c:v>
                </c:pt>
                <c:pt idx="13">
                  <c:v>3.5390000000000001</c:v>
                </c:pt>
                <c:pt idx="14">
                  <c:v>3.6440000000000001</c:v>
                </c:pt>
                <c:pt idx="15">
                  <c:v>3.7480000000000002</c:v>
                </c:pt>
                <c:pt idx="16">
                  <c:v>3.8460000000000001</c:v>
                </c:pt>
                <c:pt idx="17">
                  <c:v>3.9119999999999999</c:v>
                </c:pt>
                <c:pt idx="18">
                  <c:v>3.9929999999999999</c:v>
                </c:pt>
                <c:pt idx="19">
                  <c:v>4.0709999999999997</c:v>
                </c:pt>
                <c:pt idx="20">
                  <c:v>4.1529999999999996</c:v>
                </c:pt>
                <c:pt idx="21">
                  <c:v>4.21</c:v>
                </c:pt>
                <c:pt idx="22">
                  <c:v>4.2549999999999999</c:v>
                </c:pt>
                <c:pt idx="23">
                  <c:v>4.3029999999999999</c:v>
                </c:pt>
                <c:pt idx="24">
                  <c:v>4.3440000000000003</c:v>
                </c:pt>
                <c:pt idx="25">
                  <c:v>4.3899999999999997</c:v>
                </c:pt>
                <c:pt idx="26">
                  <c:v>4.415</c:v>
                </c:pt>
                <c:pt idx="27">
                  <c:v>4.4210000000000003</c:v>
                </c:pt>
                <c:pt idx="28">
                  <c:v>4.4560000000000004</c:v>
                </c:pt>
                <c:pt idx="29">
                  <c:v>4.4690000000000003</c:v>
                </c:pt>
                <c:pt idx="30">
                  <c:v>4.7</c:v>
                </c:pt>
                <c:pt idx="31">
                  <c:v>4.7</c:v>
                </c:pt>
                <c:pt idx="32">
                  <c:v>4.7</c:v>
                </c:pt>
                <c:pt idx="33">
                  <c:v>4.7</c:v>
                </c:pt>
                <c:pt idx="34">
                  <c:v>4.7</c:v>
                </c:pt>
                <c:pt idx="35">
                  <c:v>4.7</c:v>
                </c:pt>
                <c:pt idx="36">
                  <c:v>4.7</c:v>
                </c:pt>
                <c:pt idx="37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5-4A70-B914-E2C07A8A9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628703"/>
        <c:axId val="103613823"/>
      </c:barChart>
      <c:catAx>
        <c:axId val="1036287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13823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0361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416718</xdr:colOff>
      <xdr:row>2</xdr:row>
      <xdr:rowOff>28574</xdr:rowOff>
    </xdr:from>
    <xdr:to>
      <xdr:col>14</xdr:col>
      <xdr:colOff>433388</xdr:colOff>
      <xdr:row>26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9B2E48-7964-85E5-3107-84408018C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28</xdr:row>
      <xdr:rowOff>4762</xdr:rowOff>
    </xdr:from>
    <xdr:to>
      <xdr:col>14</xdr:col>
      <xdr:colOff>352425</xdr:colOff>
      <xdr:row>46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759973-6FB3-0828-1F54-198C2865F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2017WLE_updated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2006_Updated_worklife_tables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2006_Updated_worklife_tables(2)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ECI%20TABLES/ECI%2020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kes5009-my.sharepoint.com/Users/Shael/Library/CloudStorage/Dropbox/Active%20Cases/Medical%20Growth/Medical%20Growt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kes5009-my.sharepoint.com/personal/ldeogracias_stokes-associates_com/Documents/Documents/Econ/00%20Templates/Excel/Calculate.xlsx" TargetMode="External"/><Relationship Id="rId1" Type="http://schemas.openxmlformats.org/officeDocument/2006/relationships/externalLinkPath" Target="https://stokes5009-my.sharepoint.com/personal/ldeogracias_stokes-associates_com/Documents/Documents/Econ/00%20Templates/Excel/Calcu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LF_ALL"/>
      <sheetName val="M_9_LTHS"/>
      <sheetName val="M_10_12_LF_HS"/>
      <sheetName val="M_LF_HSD"/>
      <sheetName val="M_LF_GED"/>
      <sheetName val="M_SC"/>
      <sheetName val="M_ASS"/>
      <sheetName val="M_Coll"/>
      <sheetName val="M_MAS"/>
      <sheetName val="M_Prof"/>
      <sheetName val="F_LF_ALL"/>
      <sheetName val="F_9_LTHS"/>
      <sheetName val="F_10_12_HS"/>
      <sheetName val="F_LF_HSD"/>
      <sheetName val="F_LF_GED"/>
      <sheetName val="F_SC"/>
      <sheetName val="F_ASS"/>
      <sheetName val="F_Coll"/>
      <sheetName val="F_MAS"/>
      <sheetName val="F_Prof"/>
    </sheetNames>
    <sheetDataSet>
      <sheetData sheetId="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40.159999999999997</v>
          </cell>
          <cell r="C2">
            <v>56.3</v>
          </cell>
          <cell r="D2">
            <v>74.3</v>
          </cell>
        </row>
        <row r="3">
          <cell r="A3">
            <v>19</v>
          </cell>
          <cell r="B3">
            <v>39.479999999999997</v>
          </cell>
          <cell r="C3">
            <v>55.3</v>
          </cell>
          <cell r="D3">
            <v>74.3</v>
          </cell>
        </row>
        <row r="4">
          <cell r="A4">
            <v>20</v>
          </cell>
          <cell r="B4">
            <v>38.770000000000003</v>
          </cell>
          <cell r="C4">
            <v>54.4</v>
          </cell>
          <cell r="D4">
            <v>74.400000000000006</v>
          </cell>
        </row>
        <row r="5">
          <cell r="A5">
            <v>21</v>
          </cell>
          <cell r="B5">
            <v>38.03</v>
          </cell>
          <cell r="C5">
            <v>53.5</v>
          </cell>
          <cell r="D5">
            <v>74.5</v>
          </cell>
        </row>
        <row r="6">
          <cell r="A6">
            <v>22</v>
          </cell>
          <cell r="B6">
            <v>37.26</v>
          </cell>
          <cell r="C6">
            <v>52.6</v>
          </cell>
          <cell r="D6">
            <v>74.599999999999994</v>
          </cell>
        </row>
        <row r="7">
          <cell r="A7">
            <v>23</v>
          </cell>
          <cell r="B7">
            <v>36.49</v>
          </cell>
          <cell r="C7">
            <v>51.7</v>
          </cell>
          <cell r="D7">
            <v>74.7</v>
          </cell>
        </row>
        <row r="8">
          <cell r="A8">
            <v>24</v>
          </cell>
          <cell r="B8">
            <v>35.69</v>
          </cell>
          <cell r="C8">
            <v>50.7</v>
          </cell>
          <cell r="D8">
            <v>74.7</v>
          </cell>
        </row>
        <row r="9">
          <cell r="A9">
            <v>25</v>
          </cell>
          <cell r="B9">
            <v>34.869999999999997</v>
          </cell>
          <cell r="C9">
            <v>49.8</v>
          </cell>
          <cell r="D9">
            <v>74.8</v>
          </cell>
        </row>
        <row r="10">
          <cell r="A10">
            <v>26</v>
          </cell>
          <cell r="B10">
            <v>34.04</v>
          </cell>
          <cell r="C10">
            <v>48.9</v>
          </cell>
          <cell r="D10">
            <v>74.900000000000006</v>
          </cell>
        </row>
        <row r="11">
          <cell r="A11">
            <v>27</v>
          </cell>
          <cell r="B11">
            <v>33.200000000000003</v>
          </cell>
          <cell r="C11">
            <v>48</v>
          </cell>
          <cell r="D11">
            <v>75</v>
          </cell>
        </row>
        <row r="12">
          <cell r="A12">
            <v>28</v>
          </cell>
          <cell r="B12">
            <v>32.36</v>
          </cell>
          <cell r="C12">
            <v>47.1</v>
          </cell>
          <cell r="D12">
            <v>75.099999999999994</v>
          </cell>
        </row>
        <row r="13">
          <cell r="A13">
            <v>29</v>
          </cell>
          <cell r="B13">
            <v>31.51</v>
          </cell>
          <cell r="C13">
            <v>46.3</v>
          </cell>
          <cell r="D13">
            <v>75.3</v>
          </cell>
        </row>
        <row r="14">
          <cell r="A14">
            <v>30</v>
          </cell>
          <cell r="B14">
            <v>30.66</v>
          </cell>
          <cell r="C14">
            <v>45.4</v>
          </cell>
          <cell r="D14">
            <v>75.400000000000006</v>
          </cell>
        </row>
        <row r="15">
          <cell r="A15">
            <v>31</v>
          </cell>
          <cell r="B15">
            <v>29.81</v>
          </cell>
          <cell r="C15">
            <v>44.5</v>
          </cell>
          <cell r="D15">
            <v>75.5</v>
          </cell>
        </row>
        <row r="16">
          <cell r="A16">
            <v>32</v>
          </cell>
          <cell r="B16">
            <v>28.94</v>
          </cell>
          <cell r="C16">
            <v>43.6</v>
          </cell>
          <cell r="D16">
            <v>75.599999999999994</v>
          </cell>
        </row>
        <row r="17">
          <cell r="A17">
            <v>33</v>
          </cell>
          <cell r="B17">
            <v>28.08</v>
          </cell>
          <cell r="C17">
            <v>42.7</v>
          </cell>
          <cell r="D17">
            <v>75.7</v>
          </cell>
        </row>
        <row r="18">
          <cell r="A18">
            <v>34</v>
          </cell>
          <cell r="B18">
            <v>27.23</v>
          </cell>
          <cell r="C18">
            <v>41.8</v>
          </cell>
          <cell r="D18">
            <v>75.8</v>
          </cell>
        </row>
        <row r="19">
          <cell r="A19">
            <v>35</v>
          </cell>
          <cell r="B19">
            <v>26.37</v>
          </cell>
          <cell r="C19">
            <v>41</v>
          </cell>
          <cell r="D19">
            <v>76</v>
          </cell>
        </row>
        <row r="20">
          <cell r="A20">
            <v>36</v>
          </cell>
          <cell r="B20">
            <v>25.52</v>
          </cell>
          <cell r="C20">
            <v>40.1</v>
          </cell>
          <cell r="D20">
            <v>76.099999999999994</v>
          </cell>
        </row>
        <row r="21">
          <cell r="A21">
            <v>37</v>
          </cell>
          <cell r="B21">
            <v>24.67</v>
          </cell>
          <cell r="C21">
            <v>39.200000000000003</v>
          </cell>
          <cell r="D21">
            <v>76.2</v>
          </cell>
        </row>
        <row r="22">
          <cell r="A22">
            <v>38</v>
          </cell>
          <cell r="B22">
            <v>23.83</v>
          </cell>
          <cell r="C22">
            <v>38.4</v>
          </cell>
          <cell r="D22">
            <v>76.400000000000006</v>
          </cell>
        </row>
        <row r="23">
          <cell r="A23">
            <v>39</v>
          </cell>
          <cell r="B23">
            <v>22.98</v>
          </cell>
          <cell r="C23">
            <v>37.5</v>
          </cell>
          <cell r="D23">
            <v>76.5</v>
          </cell>
        </row>
        <row r="24">
          <cell r="A24">
            <v>40</v>
          </cell>
          <cell r="B24">
            <v>22.14</v>
          </cell>
          <cell r="C24">
            <v>36.6</v>
          </cell>
          <cell r="D24">
            <v>76.599999999999994</v>
          </cell>
        </row>
        <row r="25">
          <cell r="A25">
            <v>41</v>
          </cell>
          <cell r="B25">
            <v>21.3</v>
          </cell>
          <cell r="C25">
            <v>35.799999999999997</v>
          </cell>
          <cell r="D25">
            <v>76.8</v>
          </cell>
        </row>
        <row r="26">
          <cell r="A26">
            <v>42</v>
          </cell>
          <cell r="B26">
            <v>20.46</v>
          </cell>
          <cell r="C26">
            <v>34.9</v>
          </cell>
          <cell r="D26">
            <v>76.900000000000006</v>
          </cell>
        </row>
        <row r="27">
          <cell r="A27">
            <v>43</v>
          </cell>
          <cell r="B27">
            <v>19.64</v>
          </cell>
          <cell r="C27">
            <v>34</v>
          </cell>
          <cell r="D27">
            <v>77</v>
          </cell>
        </row>
        <row r="28">
          <cell r="A28">
            <v>44</v>
          </cell>
          <cell r="B28">
            <v>18.82</v>
          </cell>
          <cell r="C28">
            <v>33.200000000000003</v>
          </cell>
          <cell r="D28">
            <v>77.2</v>
          </cell>
        </row>
        <row r="29">
          <cell r="A29">
            <v>45</v>
          </cell>
          <cell r="B29">
            <v>18.010000000000002</v>
          </cell>
          <cell r="C29">
            <v>32.299999999999997</v>
          </cell>
          <cell r="D29">
            <v>77.3</v>
          </cell>
        </row>
        <row r="30">
          <cell r="A30">
            <v>46</v>
          </cell>
          <cell r="B30">
            <v>17.22</v>
          </cell>
          <cell r="C30">
            <v>31.5</v>
          </cell>
          <cell r="D30">
            <v>77.5</v>
          </cell>
        </row>
        <row r="31">
          <cell r="A31">
            <v>47</v>
          </cell>
          <cell r="B31">
            <v>16.420000000000002</v>
          </cell>
          <cell r="C31">
            <v>30.6</v>
          </cell>
          <cell r="D31">
            <v>77.599999999999994</v>
          </cell>
        </row>
        <row r="32">
          <cell r="A32">
            <v>48</v>
          </cell>
          <cell r="B32">
            <v>15.64</v>
          </cell>
          <cell r="C32">
            <v>29.8</v>
          </cell>
          <cell r="D32">
            <v>77.8</v>
          </cell>
        </row>
        <row r="33">
          <cell r="A33">
            <v>49</v>
          </cell>
          <cell r="B33">
            <v>14.87</v>
          </cell>
          <cell r="C33">
            <v>29</v>
          </cell>
          <cell r="D33">
            <v>78</v>
          </cell>
        </row>
        <row r="34">
          <cell r="A34">
            <v>50</v>
          </cell>
          <cell r="B34">
            <v>14.13</v>
          </cell>
          <cell r="C34">
            <v>28.2</v>
          </cell>
          <cell r="D34">
            <v>78.2</v>
          </cell>
        </row>
        <row r="35">
          <cell r="A35">
            <v>51</v>
          </cell>
          <cell r="B35">
            <v>13.39</v>
          </cell>
          <cell r="C35">
            <v>27.3</v>
          </cell>
          <cell r="D35">
            <v>78.3</v>
          </cell>
        </row>
        <row r="36">
          <cell r="A36">
            <v>52</v>
          </cell>
          <cell r="B36">
            <v>12.66</v>
          </cell>
          <cell r="C36">
            <v>26.5</v>
          </cell>
          <cell r="D36">
            <v>78.5</v>
          </cell>
        </row>
        <row r="37">
          <cell r="A37">
            <v>53</v>
          </cell>
          <cell r="B37">
            <v>11.93</v>
          </cell>
          <cell r="C37">
            <v>25.7</v>
          </cell>
          <cell r="D37">
            <v>78.7</v>
          </cell>
        </row>
        <row r="38">
          <cell r="A38">
            <v>54</v>
          </cell>
          <cell r="B38">
            <v>11.22</v>
          </cell>
          <cell r="C38">
            <v>25</v>
          </cell>
          <cell r="D38">
            <v>79</v>
          </cell>
        </row>
        <row r="39">
          <cell r="A39">
            <v>55</v>
          </cell>
          <cell r="B39">
            <v>10.53</v>
          </cell>
          <cell r="C39">
            <v>24.2</v>
          </cell>
          <cell r="D39">
            <v>79.2</v>
          </cell>
        </row>
        <row r="40">
          <cell r="A40">
            <v>56</v>
          </cell>
          <cell r="B40">
            <v>9.8699999999999992</v>
          </cell>
          <cell r="C40">
            <v>23.4</v>
          </cell>
          <cell r="D40">
            <v>79.400000000000006</v>
          </cell>
        </row>
        <row r="41">
          <cell r="A41">
            <v>57</v>
          </cell>
          <cell r="B41">
            <v>9.2100000000000009</v>
          </cell>
          <cell r="C41">
            <v>22.7</v>
          </cell>
          <cell r="D41">
            <v>79.7</v>
          </cell>
        </row>
        <row r="42">
          <cell r="A42">
            <v>58</v>
          </cell>
          <cell r="B42">
            <v>8.58</v>
          </cell>
          <cell r="C42">
            <v>21.9</v>
          </cell>
          <cell r="D42">
            <v>79.900000000000006</v>
          </cell>
        </row>
        <row r="43">
          <cell r="A43">
            <v>59</v>
          </cell>
          <cell r="B43">
            <v>7.95</v>
          </cell>
          <cell r="C43">
            <v>21.2</v>
          </cell>
          <cell r="D43">
            <v>80.2</v>
          </cell>
        </row>
        <row r="44">
          <cell r="A44">
            <v>60</v>
          </cell>
          <cell r="B44">
            <v>7.36</v>
          </cell>
          <cell r="C44">
            <v>20.5</v>
          </cell>
          <cell r="D44">
            <v>80.5</v>
          </cell>
        </row>
        <row r="45">
          <cell r="A45">
            <v>61</v>
          </cell>
          <cell r="B45">
            <v>6.81</v>
          </cell>
          <cell r="C45">
            <v>19.7</v>
          </cell>
          <cell r="D45">
            <v>80.7</v>
          </cell>
        </row>
        <row r="46">
          <cell r="A46">
            <v>62</v>
          </cell>
          <cell r="B46">
            <v>6.33</v>
          </cell>
          <cell r="C46">
            <v>19</v>
          </cell>
          <cell r="D46">
            <v>81</v>
          </cell>
        </row>
        <row r="47">
          <cell r="A47">
            <v>63</v>
          </cell>
          <cell r="B47">
            <v>5.9</v>
          </cell>
          <cell r="C47">
            <v>18.399999999999999</v>
          </cell>
          <cell r="D47">
            <v>81.400000000000006</v>
          </cell>
        </row>
        <row r="48">
          <cell r="A48">
            <v>64</v>
          </cell>
          <cell r="B48">
            <v>5.51</v>
          </cell>
          <cell r="C48">
            <v>17.7</v>
          </cell>
          <cell r="D48">
            <v>81.7</v>
          </cell>
        </row>
        <row r="49">
          <cell r="A49">
            <v>65</v>
          </cell>
          <cell r="B49">
            <v>5.17</v>
          </cell>
          <cell r="C49">
            <v>17</v>
          </cell>
          <cell r="D49">
            <v>82</v>
          </cell>
        </row>
        <row r="50">
          <cell r="A50">
            <v>66</v>
          </cell>
          <cell r="B50">
            <v>4.8899999999999997</v>
          </cell>
          <cell r="C50">
            <v>16.3</v>
          </cell>
          <cell r="D50">
            <v>82.3</v>
          </cell>
        </row>
        <row r="51">
          <cell r="A51">
            <v>67</v>
          </cell>
          <cell r="B51">
            <v>4.6500000000000004</v>
          </cell>
          <cell r="C51">
            <v>15.7</v>
          </cell>
          <cell r="D51">
            <v>82.7</v>
          </cell>
        </row>
        <row r="52">
          <cell r="A52">
            <v>68</v>
          </cell>
          <cell r="B52">
            <v>4.43</v>
          </cell>
          <cell r="C52">
            <v>15</v>
          </cell>
          <cell r="D52">
            <v>83</v>
          </cell>
        </row>
        <row r="53">
          <cell r="A53">
            <v>69</v>
          </cell>
          <cell r="B53">
            <v>4.21</v>
          </cell>
          <cell r="C53">
            <v>14.4</v>
          </cell>
          <cell r="D53">
            <v>83.4</v>
          </cell>
        </row>
        <row r="54">
          <cell r="A54">
            <v>70</v>
          </cell>
          <cell r="B54">
            <v>4.01</v>
          </cell>
          <cell r="C54">
            <v>13.7</v>
          </cell>
          <cell r="D54">
            <v>83.7</v>
          </cell>
        </row>
        <row r="55">
          <cell r="A55">
            <v>71</v>
          </cell>
          <cell r="B55">
            <v>3.82</v>
          </cell>
          <cell r="C55">
            <v>13.1</v>
          </cell>
          <cell r="D55">
            <v>84.1</v>
          </cell>
        </row>
        <row r="56">
          <cell r="A56">
            <v>72</v>
          </cell>
          <cell r="B56">
            <v>3.65</v>
          </cell>
          <cell r="C56">
            <v>12.5</v>
          </cell>
          <cell r="D56">
            <v>84.5</v>
          </cell>
        </row>
        <row r="57">
          <cell r="A57">
            <v>73</v>
          </cell>
          <cell r="B57">
            <v>3.49</v>
          </cell>
          <cell r="C57">
            <v>11.8</v>
          </cell>
          <cell r="D57">
            <v>84.8</v>
          </cell>
        </row>
        <row r="58">
          <cell r="A58">
            <v>74</v>
          </cell>
          <cell r="B58">
            <v>3.34</v>
          </cell>
          <cell r="C58">
            <v>11.2</v>
          </cell>
          <cell r="D58">
            <v>85.2</v>
          </cell>
        </row>
        <row r="59">
          <cell r="A59">
            <v>75</v>
          </cell>
          <cell r="B59">
            <v>3.2</v>
          </cell>
          <cell r="C59">
            <v>10.6</v>
          </cell>
          <cell r="D59">
            <v>85.6</v>
          </cell>
        </row>
        <row r="60">
          <cell r="A60">
            <v>76</v>
          </cell>
          <cell r="B60">
            <v>3.07</v>
          </cell>
          <cell r="C60">
            <v>10.1</v>
          </cell>
          <cell r="D60">
            <v>86.1</v>
          </cell>
        </row>
        <row r="61">
          <cell r="A61">
            <v>77</v>
          </cell>
          <cell r="B61">
            <v>2.95</v>
          </cell>
          <cell r="C61">
            <v>9.5</v>
          </cell>
          <cell r="D61">
            <v>86.5</v>
          </cell>
        </row>
        <row r="62">
          <cell r="A62">
            <v>78</v>
          </cell>
          <cell r="B62">
            <v>2.83</v>
          </cell>
          <cell r="C62">
            <v>9</v>
          </cell>
          <cell r="D62">
            <v>87</v>
          </cell>
        </row>
        <row r="63">
          <cell r="A63">
            <v>79</v>
          </cell>
          <cell r="B63">
            <v>2.72</v>
          </cell>
          <cell r="C63">
            <v>8.4</v>
          </cell>
          <cell r="D63">
            <v>87.4</v>
          </cell>
        </row>
        <row r="64">
          <cell r="A64">
            <v>80</v>
          </cell>
          <cell r="B64">
            <v>2.62</v>
          </cell>
          <cell r="C64">
            <v>7.9</v>
          </cell>
          <cell r="D64">
            <v>87.9</v>
          </cell>
        </row>
        <row r="65">
          <cell r="A65">
            <v>81</v>
          </cell>
          <cell r="B65">
            <v>2.52</v>
          </cell>
          <cell r="C65">
            <v>7.4</v>
          </cell>
          <cell r="D65">
            <v>88.4</v>
          </cell>
        </row>
        <row r="66">
          <cell r="A66">
            <v>82</v>
          </cell>
          <cell r="B66">
            <v>2.42</v>
          </cell>
          <cell r="C66">
            <v>7</v>
          </cell>
          <cell r="D66">
            <v>89</v>
          </cell>
        </row>
        <row r="67">
          <cell r="A67">
            <v>83</v>
          </cell>
          <cell r="B67">
            <v>2.33</v>
          </cell>
          <cell r="C67">
            <v>6.5</v>
          </cell>
          <cell r="D67">
            <v>89.5</v>
          </cell>
        </row>
        <row r="68">
          <cell r="A68">
            <v>84</v>
          </cell>
          <cell r="B68">
            <v>2.2400000000000002</v>
          </cell>
          <cell r="C68">
            <v>6.1</v>
          </cell>
          <cell r="D68">
            <v>90.1</v>
          </cell>
        </row>
        <row r="69">
          <cell r="A69">
            <v>85</v>
          </cell>
          <cell r="B69">
            <v>2.15</v>
          </cell>
          <cell r="C69">
            <v>5.6</v>
          </cell>
          <cell r="D69">
            <v>90.6</v>
          </cell>
        </row>
        <row r="70">
          <cell r="A70">
            <v>86</v>
          </cell>
          <cell r="B70">
            <v>2.06</v>
          </cell>
          <cell r="C70">
            <v>5.2</v>
          </cell>
          <cell r="D70">
            <v>91.2</v>
          </cell>
        </row>
        <row r="71">
          <cell r="A71">
            <v>87</v>
          </cell>
          <cell r="B71">
            <v>1.97</v>
          </cell>
          <cell r="C71">
            <v>4.9000000000000004</v>
          </cell>
          <cell r="D71">
            <v>91.9</v>
          </cell>
        </row>
        <row r="72">
          <cell r="A72">
            <v>88</v>
          </cell>
          <cell r="B72">
            <v>1.88</v>
          </cell>
          <cell r="C72">
            <v>4.5</v>
          </cell>
          <cell r="D72">
            <v>92.5</v>
          </cell>
        </row>
        <row r="73">
          <cell r="A73">
            <v>89</v>
          </cell>
          <cell r="B73">
            <v>1.79</v>
          </cell>
          <cell r="C73">
            <v>4.2</v>
          </cell>
          <cell r="D73">
            <v>93.2</v>
          </cell>
        </row>
        <row r="74">
          <cell r="A74">
            <v>90</v>
          </cell>
          <cell r="B74">
            <v>1.71</v>
          </cell>
          <cell r="C74">
            <v>3.9</v>
          </cell>
          <cell r="D74">
            <v>93.9</v>
          </cell>
        </row>
        <row r="75">
          <cell r="C75">
            <v>3.7924981117248535</v>
          </cell>
        </row>
      </sheetData>
      <sheetData sheetId="1" refreshError="1"/>
      <sheetData sheetId="2" refreshError="1">
        <row r="1">
          <cell r="A1" t="str">
            <v>Age</v>
          </cell>
          <cell r="B1" t="str">
            <v>10th-12th</v>
          </cell>
        </row>
        <row r="2">
          <cell r="A2">
            <v>18</v>
          </cell>
          <cell r="B2">
            <v>29.74</v>
          </cell>
        </row>
        <row r="3">
          <cell r="A3">
            <v>19</v>
          </cell>
          <cell r="B3">
            <v>29.16</v>
          </cell>
        </row>
        <row r="4">
          <cell r="A4">
            <v>20</v>
          </cell>
          <cell r="B4">
            <v>28.6</v>
          </cell>
        </row>
        <row r="5">
          <cell r="A5">
            <v>21</v>
          </cell>
          <cell r="B5">
            <v>28.03</v>
          </cell>
        </row>
        <row r="6">
          <cell r="A6">
            <v>22</v>
          </cell>
          <cell r="B6">
            <v>27.47</v>
          </cell>
        </row>
        <row r="7">
          <cell r="A7">
            <v>23</v>
          </cell>
          <cell r="B7">
            <v>26.91</v>
          </cell>
        </row>
        <row r="8">
          <cell r="A8">
            <v>24</v>
          </cell>
          <cell r="B8">
            <v>26.36</v>
          </cell>
        </row>
        <row r="9">
          <cell r="A9">
            <v>25</v>
          </cell>
          <cell r="B9">
            <v>25.8</v>
          </cell>
        </row>
        <row r="10">
          <cell r="A10">
            <v>26</v>
          </cell>
          <cell r="B10">
            <v>25.24</v>
          </cell>
        </row>
        <row r="11">
          <cell r="A11">
            <v>27</v>
          </cell>
          <cell r="B11">
            <v>24.67</v>
          </cell>
        </row>
        <row r="12">
          <cell r="A12">
            <v>28</v>
          </cell>
          <cell r="B12">
            <v>24.1</v>
          </cell>
        </row>
        <row r="13">
          <cell r="A13">
            <v>29</v>
          </cell>
          <cell r="B13">
            <v>23.52</v>
          </cell>
        </row>
        <row r="14">
          <cell r="A14">
            <v>30</v>
          </cell>
          <cell r="B14">
            <v>22.93</v>
          </cell>
        </row>
        <row r="15">
          <cell r="A15">
            <v>31</v>
          </cell>
          <cell r="B15">
            <v>22.33</v>
          </cell>
        </row>
        <row r="16">
          <cell r="A16">
            <v>32</v>
          </cell>
          <cell r="B16">
            <v>21.71</v>
          </cell>
        </row>
        <row r="17">
          <cell r="A17">
            <v>33</v>
          </cell>
          <cell r="B17">
            <v>21.09</v>
          </cell>
        </row>
        <row r="18">
          <cell r="A18">
            <v>34</v>
          </cell>
          <cell r="B18">
            <v>20.45</v>
          </cell>
        </row>
        <row r="19">
          <cell r="A19">
            <v>35</v>
          </cell>
          <cell r="B19">
            <v>19.8</v>
          </cell>
        </row>
        <row r="20">
          <cell r="A20">
            <v>36</v>
          </cell>
          <cell r="B20">
            <v>19.149999999999999</v>
          </cell>
        </row>
        <row r="21">
          <cell r="A21">
            <v>37</v>
          </cell>
          <cell r="B21">
            <v>18.5</v>
          </cell>
        </row>
        <row r="22">
          <cell r="A22">
            <v>38</v>
          </cell>
          <cell r="B22">
            <v>17.850000000000001</v>
          </cell>
        </row>
        <row r="23">
          <cell r="A23">
            <v>39</v>
          </cell>
          <cell r="B23">
            <v>17.21</v>
          </cell>
        </row>
        <row r="24">
          <cell r="A24">
            <v>40</v>
          </cell>
          <cell r="B24">
            <v>16.57</v>
          </cell>
        </row>
        <row r="25">
          <cell r="A25">
            <v>41</v>
          </cell>
          <cell r="B25">
            <v>15.94</v>
          </cell>
        </row>
        <row r="26">
          <cell r="A26">
            <v>42</v>
          </cell>
          <cell r="B26">
            <v>15.31</v>
          </cell>
        </row>
        <row r="27">
          <cell r="A27">
            <v>43</v>
          </cell>
          <cell r="B27">
            <v>14.68</v>
          </cell>
        </row>
        <row r="28">
          <cell r="A28">
            <v>44</v>
          </cell>
          <cell r="B28">
            <v>14.06</v>
          </cell>
        </row>
        <row r="29">
          <cell r="A29">
            <v>45</v>
          </cell>
          <cell r="B29">
            <v>13.46</v>
          </cell>
        </row>
        <row r="30">
          <cell r="A30">
            <v>46</v>
          </cell>
          <cell r="B30">
            <v>12.87</v>
          </cell>
        </row>
        <row r="31">
          <cell r="A31">
            <v>47</v>
          </cell>
          <cell r="B31">
            <v>12.28</v>
          </cell>
        </row>
        <row r="32">
          <cell r="A32">
            <v>48</v>
          </cell>
          <cell r="B32">
            <v>11.72</v>
          </cell>
        </row>
        <row r="33">
          <cell r="A33">
            <v>49</v>
          </cell>
          <cell r="B33">
            <v>11.16</v>
          </cell>
        </row>
        <row r="34">
          <cell r="A34">
            <v>50</v>
          </cell>
          <cell r="B34">
            <v>10.62</v>
          </cell>
        </row>
        <row r="35">
          <cell r="A35">
            <v>51</v>
          </cell>
          <cell r="B35">
            <v>10.09</v>
          </cell>
        </row>
        <row r="36">
          <cell r="A36">
            <v>52</v>
          </cell>
          <cell r="B36">
            <v>9.57</v>
          </cell>
        </row>
        <row r="37">
          <cell r="A37">
            <v>53</v>
          </cell>
          <cell r="B37">
            <v>9.06</v>
          </cell>
        </row>
        <row r="38">
          <cell r="A38">
            <v>54</v>
          </cell>
          <cell r="B38">
            <v>8.56</v>
          </cell>
        </row>
        <row r="39">
          <cell r="A39">
            <v>55</v>
          </cell>
          <cell r="B39">
            <v>8.07</v>
          </cell>
        </row>
        <row r="40">
          <cell r="A40">
            <v>56</v>
          </cell>
          <cell r="B40">
            <v>7.59</v>
          </cell>
        </row>
        <row r="41">
          <cell r="A41">
            <v>57</v>
          </cell>
          <cell r="B41">
            <v>7.13</v>
          </cell>
        </row>
        <row r="42">
          <cell r="A42">
            <v>58</v>
          </cell>
          <cell r="B42">
            <v>6.69</v>
          </cell>
        </row>
        <row r="43">
          <cell r="A43">
            <v>59</v>
          </cell>
          <cell r="B43">
            <v>6.27</v>
          </cell>
        </row>
        <row r="44">
          <cell r="A44">
            <v>60</v>
          </cell>
          <cell r="B44">
            <v>5.89</v>
          </cell>
        </row>
        <row r="45">
          <cell r="A45">
            <v>61</v>
          </cell>
          <cell r="B45">
            <v>5.55</v>
          </cell>
        </row>
        <row r="46">
          <cell r="A46">
            <v>62</v>
          </cell>
          <cell r="B46">
            <v>5.24</v>
          </cell>
        </row>
        <row r="47">
          <cell r="A47">
            <v>63</v>
          </cell>
          <cell r="B47">
            <v>4.95</v>
          </cell>
        </row>
        <row r="48">
          <cell r="A48">
            <v>64</v>
          </cell>
          <cell r="B48">
            <v>4.6900000000000004</v>
          </cell>
        </row>
        <row r="49">
          <cell r="A49">
            <v>65</v>
          </cell>
          <cell r="B49">
            <v>4.45</v>
          </cell>
        </row>
        <row r="50">
          <cell r="A50">
            <v>66</v>
          </cell>
          <cell r="B50">
            <v>4.22</v>
          </cell>
        </row>
        <row r="51">
          <cell r="A51">
            <v>67</v>
          </cell>
          <cell r="B51">
            <v>4.01</v>
          </cell>
        </row>
        <row r="52">
          <cell r="A52">
            <v>68</v>
          </cell>
          <cell r="B52">
            <v>3.81</v>
          </cell>
        </row>
        <row r="53">
          <cell r="A53">
            <v>69</v>
          </cell>
          <cell r="B53">
            <v>3.62</v>
          </cell>
        </row>
        <row r="54">
          <cell r="A54">
            <v>70</v>
          </cell>
          <cell r="B54">
            <v>3.45</v>
          </cell>
        </row>
        <row r="55">
          <cell r="A55">
            <v>71</v>
          </cell>
          <cell r="B55">
            <v>3.28</v>
          </cell>
        </row>
        <row r="56">
          <cell r="A56">
            <v>72</v>
          </cell>
          <cell r="B56">
            <v>3.13</v>
          </cell>
        </row>
        <row r="57">
          <cell r="A57">
            <v>73</v>
          </cell>
          <cell r="B57">
            <v>2.99</v>
          </cell>
        </row>
        <row r="58">
          <cell r="A58">
            <v>74</v>
          </cell>
          <cell r="B58">
            <v>2.86</v>
          </cell>
        </row>
        <row r="59">
          <cell r="A59">
            <v>75</v>
          </cell>
          <cell r="B59">
            <v>2.74</v>
          </cell>
        </row>
        <row r="60">
          <cell r="A60">
            <v>76</v>
          </cell>
          <cell r="B60">
            <v>2.62</v>
          </cell>
        </row>
        <row r="61">
          <cell r="A61">
            <v>77</v>
          </cell>
          <cell r="B61">
            <v>2.5099999999999998</v>
          </cell>
        </row>
        <row r="62">
          <cell r="A62">
            <v>78</v>
          </cell>
          <cell r="B62">
            <v>2.41</v>
          </cell>
        </row>
        <row r="63">
          <cell r="A63">
            <v>79</v>
          </cell>
          <cell r="B63">
            <v>2.31</v>
          </cell>
        </row>
        <row r="64">
          <cell r="A64">
            <v>80</v>
          </cell>
          <cell r="B64">
            <v>2.21</v>
          </cell>
        </row>
        <row r="65">
          <cell r="A65">
            <v>81</v>
          </cell>
          <cell r="B65">
            <v>2.12</v>
          </cell>
        </row>
        <row r="66">
          <cell r="A66">
            <v>82</v>
          </cell>
          <cell r="B66">
            <v>2.0299999999999998</v>
          </cell>
        </row>
        <row r="67">
          <cell r="A67">
            <v>83</v>
          </cell>
          <cell r="B67">
            <v>1.95</v>
          </cell>
        </row>
        <row r="68">
          <cell r="A68">
            <v>84</v>
          </cell>
          <cell r="B68">
            <v>1.87</v>
          </cell>
        </row>
        <row r="69">
          <cell r="A69">
            <v>85</v>
          </cell>
          <cell r="B69">
            <v>1.79</v>
          </cell>
        </row>
        <row r="70">
          <cell r="A70">
            <v>86</v>
          </cell>
          <cell r="B70">
            <v>1.71</v>
          </cell>
        </row>
        <row r="71">
          <cell r="A71">
            <v>87</v>
          </cell>
          <cell r="B71">
            <v>1.64</v>
          </cell>
        </row>
        <row r="72">
          <cell r="A72">
            <v>88</v>
          </cell>
          <cell r="B72">
            <v>1.57</v>
          </cell>
        </row>
        <row r="73">
          <cell r="A73">
            <v>89</v>
          </cell>
          <cell r="B73">
            <v>1.51</v>
          </cell>
        </row>
        <row r="74">
          <cell r="A74">
            <v>90</v>
          </cell>
          <cell r="B74">
            <v>1.44</v>
          </cell>
        </row>
        <row r="75">
          <cell r="B75">
            <v>40.520000000000003</v>
          </cell>
        </row>
      </sheetData>
      <sheetData sheetId="3" refreshError="1">
        <row r="1">
          <cell r="A1" t="str">
            <v>Age</v>
          </cell>
          <cell r="B1" t="str">
            <v>HS</v>
          </cell>
        </row>
        <row r="2">
          <cell r="A2">
            <v>18</v>
          </cell>
          <cell r="B2">
            <v>37.869999999999997</v>
          </cell>
        </row>
        <row r="3">
          <cell r="A3">
            <v>19</v>
          </cell>
          <cell r="B3">
            <v>37.14</v>
          </cell>
        </row>
        <row r="4">
          <cell r="A4">
            <v>20</v>
          </cell>
          <cell r="B4">
            <v>36.39</v>
          </cell>
        </row>
        <row r="5">
          <cell r="A5">
            <v>21</v>
          </cell>
          <cell r="B5">
            <v>35.64</v>
          </cell>
        </row>
        <row r="6">
          <cell r="A6">
            <v>22</v>
          </cell>
          <cell r="B6">
            <v>34.89</v>
          </cell>
        </row>
        <row r="7">
          <cell r="A7">
            <v>23</v>
          </cell>
          <cell r="B7">
            <v>34.14</v>
          </cell>
        </row>
        <row r="8">
          <cell r="A8">
            <v>24</v>
          </cell>
          <cell r="B8">
            <v>33.369999999999997</v>
          </cell>
        </row>
        <row r="9">
          <cell r="A9">
            <v>25</v>
          </cell>
          <cell r="B9">
            <v>32.6</v>
          </cell>
        </row>
        <row r="10">
          <cell r="A10">
            <v>26</v>
          </cell>
          <cell r="B10">
            <v>31.81</v>
          </cell>
        </row>
        <row r="11">
          <cell r="A11">
            <v>27</v>
          </cell>
          <cell r="B11">
            <v>31.02</v>
          </cell>
        </row>
        <row r="12">
          <cell r="A12">
            <v>28</v>
          </cell>
          <cell r="B12">
            <v>30.23</v>
          </cell>
        </row>
        <row r="13">
          <cell r="A13">
            <v>29</v>
          </cell>
          <cell r="B13">
            <v>29.44</v>
          </cell>
        </row>
        <row r="14">
          <cell r="A14">
            <v>30</v>
          </cell>
          <cell r="B14">
            <v>28.64</v>
          </cell>
        </row>
        <row r="15">
          <cell r="A15">
            <v>31</v>
          </cell>
          <cell r="B15">
            <v>27.83</v>
          </cell>
        </row>
        <row r="16">
          <cell r="A16">
            <v>32</v>
          </cell>
          <cell r="B16">
            <v>27</v>
          </cell>
        </row>
        <row r="17">
          <cell r="A17">
            <v>33</v>
          </cell>
          <cell r="B17">
            <v>26.17</v>
          </cell>
        </row>
        <row r="18">
          <cell r="A18">
            <v>34</v>
          </cell>
          <cell r="B18">
            <v>25.34</v>
          </cell>
        </row>
        <row r="19">
          <cell r="A19">
            <v>35</v>
          </cell>
          <cell r="B19">
            <v>24.52</v>
          </cell>
        </row>
        <row r="20">
          <cell r="A20">
            <v>36</v>
          </cell>
          <cell r="B20">
            <v>23.7</v>
          </cell>
        </row>
        <row r="21">
          <cell r="A21">
            <v>37</v>
          </cell>
          <cell r="B21">
            <v>22.89</v>
          </cell>
        </row>
        <row r="22">
          <cell r="A22">
            <v>38</v>
          </cell>
          <cell r="B22">
            <v>22.08</v>
          </cell>
        </row>
        <row r="23">
          <cell r="A23">
            <v>39</v>
          </cell>
          <cell r="B23">
            <v>21.27</v>
          </cell>
        </row>
        <row r="24">
          <cell r="A24">
            <v>40</v>
          </cell>
          <cell r="B24">
            <v>20.48</v>
          </cell>
        </row>
        <row r="25">
          <cell r="A25">
            <v>41</v>
          </cell>
          <cell r="B25">
            <v>19.7</v>
          </cell>
        </row>
        <row r="26">
          <cell r="A26">
            <v>42</v>
          </cell>
          <cell r="B26">
            <v>18.93</v>
          </cell>
        </row>
        <row r="27">
          <cell r="A27">
            <v>43</v>
          </cell>
          <cell r="B27">
            <v>18.170000000000002</v>
          </cell>
        </row>
        <row r="28">
          <cell r="A28">
            <v>44</v>
          </cell>
          <cell r="B28">
            <v>17.41</v>
          </cell>
        </row>
        <row r="29">
          <cell r="A29">
            <v>45</v>
          </cell>
          <cell r="B29">
            <v>16.670000000000002</v>
          </cell>
        </row>
        <row r="30">
          <cell r="A30">
            <v>46</v>
          </cell>
          <cell r="B30">
            <v>15.93</v>
          </cell>
        </row>
        <row r="31">
          <cell r="A31">
            <v>47</v>
          </cell>
          <cell r="B31">
            <v>15.19</v>
          </cell>
        </row>
        <row r="32">
          <cell r="A32">
            <v>48</v>
          </cell>
          <cell r="B32">
            <v>14.46</v>
          </cell>
        </row>
        <row r="33">
          <cell r="A33">
            <v>49</v>
          </cell>
          <cell r="B33">
            <v>13.74</v>
          </cell>
        </row>
        <row r="34">
          <cell r="A34">
            <v>50</v>
          </cell>
          <cell r="B34">
            <v>13.06</v>
          </cell>
        </row>
        <row r="35">
          <cell r="A35">
            <v>51</v>
          </cell>
          <cell r="B35">
            <v>12.39</v>
          </cell>
        </row>
        <row r="36">
          <cell r="A36">
            <v>52</v>
          </cell>
          <cell r="B36">
            <v>11.72</v>
          </cell>
        </row>
        <row r="37">
          <cell r="A37">
            <v>53</v>
          </cell>
          <cell r="B37">
            <v>11.05</v>
          </cell>
        </row>
        <row r="38">
          <cell r="A38">
            <v>54</v>
          </cell>
          <cell r="B38">
            <v>10.39</v>
          </cell>
        </row>
        <row r="39">
          <cell r="A39">
            <v>55</v>
          </cell>
          <cell r="B39">
            <v>9.74</v>
          </cell>
        </row>
        <row r="40">
          <cell r="A40">
            <v>56</v>
          </cell>
          <cell r="B40">
            <v>9.11</v>
          </cell>
        </row>
        <row r="41">
          <cell r="A41">
            <v>57</v>
          </cell>
          <cell r="B41">
            <v>8.5</v>
          </cell>
        </row>
        <row r="42">
          <cell r="A42">
            <v>58</v>
          </cell>
          <cell r="B42">
            <v>7.89</v>
          </cell>
        </row>
        <row r="43">
          <cell r="A43">
            <v>59</v>
          </cell>
          <cell r="B43">
            <v>7.3</v>
          </cell>
        </row>
        <row r="44">
          <cell r="A44">
            <v>60</v>
          </cell>
          <cell r="B44">
            <v>6.73</v>
          </cell>
        </row>
        <row r="45">
          <cell r="A45">
            <v>61</v>
          </cell>
          <cell r="B45">
            <v>6.23</v>
          </cell>
        </row>
        <row r="46">
          <cell r="A46">
            <v>62</v>
          </cell>
          <cell r="B46">
            <v>5.8</v>
          </cell>
        </row>
        <row r="47">
          <cell r="A47">
            <v>63</v>
          </cell>
          <cell r="B47">
            <v>5.43</v>
          </cell>
        </row>
        <row r="48">
          <cell r="A48">
            <v>64</v>
          </cell>
          <cell r="B48">
            <v>5.1100000000000003</v>
          </cell>
        </row>
        <row r="49">
          <cell r="A49">
            <v>65</v>
          </cell>
          <cell r="B49">
            <v>4.82</v>
          </cell>
        </row>
        <row r="50">
          <cell r="A50">
            <v>66</v>
          </cell>
          <cell r="B50">
            <v>4.57</v>
          </cell>
        </row>
        <row r="51">
          <cell r="A51">
            <v>67</v>
          </cell>
          <cell r="B51">
            <v>4.3600000000000003</v>
          </cell>
        </row>
        <row r="52">
          <cell r="A52">
            <v>68</v>
          </cell>
          <cell r="B52">
            <v>4.17</v>
          </cell>
        </row>
        <row r="53">
          <cell r="A53">
            <v>69</v>
          </cell>
          <cell r="B53">
            <v>3.98</v>
          </cell>
        </row>
        <row r="54">
          <cell r="A54">
            <v>70</v>
          </cell>
          <cell r="B54">
            <v>3.8</v>
          </cell>
        </row>
        <row r="55">
          <cell r="A55">
            <v>71</v>
          </cell>
          <cell r="B55">
            <v>3.63</v>
          </cell>
        </row>
        <row r="56">
          <cell r="A56">
            <v>72</v>
          </cell>
          <cell r="B56">
            <v>3.47</v>
          </cell>
        </row>
        <row r="57">
          <cell r="A57">
            <v>73</v>
          </cell>
          <cell r="B57">
            <v>3.32</v>
          </cell>
        </row>
        <row r="58">
          <cell r="A58">
            <v>74</v>
          </cell>
          <cell r="B58">
            <v>3.18</v>
          </cell>
        </row>
        <row r="59">
          <cell r="A59">
            <v>75</v>
          </cell>
          <cell r="B59">
            <v>3.05</v>
          </cell>
        </row>
        <row r="60">
          <cell r="A60">
            <v>76</v>
          </cell>
          <cell r="B60">
            <v>2.93</v>
          </cell>
        </row>
        <row r="61">
          <cell r="A61">
            <v>77</v>
          </cell>
          <cell r="B61">
            <v>2.82</v>
          </cell>
        </row>
        <row r="62">
          <cell r="A62">
            <v>78</v>
          </cell>
          <cell r="B62">
            <v>2.7</v>
          </cell>
        </row>
        <row r="63">
          <cell r="A63">
            <v>79</v>
          </cell>
          <cell r="B63">
            <v>2.6</v>
          </cell>
        </row>
        <row r="64">
          <cell r="A64">
            <v>80</v>
          </cell>
          <cell r="B64">
            <v>2.5</v>
          </cell>
        </row>
        <row r="65">
          <cell r="A65">
            <v>81</v>
          </cell>
          <cell r="B65">
            <v>2.4</v>
          </cell>
        </row>
        <row r="66">
          <cell r="A66">
            <v>82</v>
          </cell>
          <cell r="B66">
            <v>2.2999999999999998</v>
          </cell>
        </row>
        <row r="67">
          <cell r="A67">
            <v>83</v>
          </cell>
          <cell r="B67">
            <v>2.21</v>
          </cell>
        </row>
        <row r="68">
          <cell r="A68">
            <v>84</v>
          </cell>
          <cell r="B68">
            <v>2.12</v>
          </cell>
        </row>
        <row r="69">
          <cell r="A69">
            <v>85</v>
          </cell>
          <cell r="B69">
            <v>2.04</v>
          </cell>
        </row>
        <row r="70">
          <cell r="A70">
            <v>86</v>
          </cell>
          <cell r="B70">
            <v>1.95</v>
          </cell>
        </row>
        <row r="71">
          <cell r="A71">
            <v>87</v>
          </cell>
          <cell r="B71">
            <v>1.87</v>
          </cell>
        </row>
        <row r="72">
          <cell r="A72">
            <v>88</v>
          </cell>
          <cell r="B72">
            <v>1.8</v>
          </cell>
        </row>
        <row r="73">
          <cell r="A73">
            <v>89</v>
          </cell>
          <cell r="B73">
            <v>1.72</v>
          </cell>
        </row>
        <row r="74">
          <cell r="A74">
            <v>90</v>
          </cell>
          <cell r="B74">
            <v>1.65</v>
          </cell>
        </row>
        <row r="75">
          <cell r="B75">
            <v>44.91</v>
          </cell>
        </row>
      </sheetData>
      <sheetData sheetId="4" refreshError="1">
        <row r="1">
          <cell r="A1" t="str">
            <v>Age</v>
          </cell>
          <cell r="B1" t="str">
            <v>GED</v>
          </cell>
        </row>
        <row r="2">
          <cell r="A2">
            <v>18</v>
          </cell>
          <cell r="B2">
            <v>33.33</v>
          </cell>
        </row>
        <row r="3">
          <cell r="A3">
            <v>19</v>
          </cell>
          <cell r="B3">
            <v>32.590000000000003</v>
          </cell>
        </row>
        <row r="4">
          <cell r="A4">
            <v>20</v>
          </cell>
          <cell r="B4">
            <v>31.85</v>
          </cell>
        </row>
        <row r="5">
          <cell r="A5">
            <v>21</v>
          </cell>
          <cell r="B5">
            <v>31.11</v>
          </cell>
        </row>
        <row r="6">
          <cell r="A6">
            <v>22</v>
          </cell>
          <cell r="B6">
            <v>30.37</v>
          </cell>
        </row>
        <row r="7">
          <cell r="A7">
            <v>23</v>
          </cell>
          <cell r="B7">
            <v>29.64</v>
          </cell>
        </row>
        <row r="8">
          <cell r="A8">
            <v>24</v>
          </cell>
          <cell r="B8">
            <v>28.9</v>
          </cell>
        </row>
        <row r="9">
          <cell r="A9">
            <v>25</v>
          </cell>
          <cell r="B9">
            <v>28.17</v>
          </cell>
        </row>
        <row r="10">
          <cell r="A10">
            <v>26</v>
          </cell>
          <cell r="B10">
            <v>27.43</v>
          </cell>
        </row>
        <row r="11">
          <cell r="A11">
            <v>27</v>
          </cell>
          <cell r="B11">
            <v>26.68</v>
          </cell>
        </row>
        <row r="12">
          <cell r="A12">
            <v>28</v>
          </cell>
          <cell r="B12">
            <v>25.94</v>
          </cell>
        </row>
        <row r="13">
          <cell r="A13">
            <v>29</v>
          </cell>
          <cell r="B13">
            <v>25.2</v>
          </cell>
        </row>
        <row r="14">
          <cell r="A14">
            <v>30</v>
          </cell>
          <cell r="B14">
            <v>24.46</v>
          </cell>
        </row>
        <row r="15">
          <cell r="A15">
            <v>31</v>
          </cell>
          <cell r="B15">
            <v>23.72</v>
          </cell>
        </row>
        <row r="16">
          <cell r="A16">
            <v>32</v>
          </cell>
          <cell r="B16">
            <v>22.99</v>
          </cell>
        </row>
        <row r="17">
          <cell r="A17">
            <v>33</v>
          </cell>
          <cell r="B17">
            <v>22.25</v>
          </cell>
        </row>
        <row r="18">
          <cell r="A18">
            <v>34</v>
          </cell>
          <cell r="B18">
            <v>21.51</v>
          </cell>
        </row>
        <row r="19">
          <cell r="A19">
            <v>35</v>
          </cell>
          <cell r="B19">
            <v>20.77</v>
          </cell>
        </row>
        <row r="20">
          <cell r="A20">
            <v>36</v>
          </cell>
          <cell r="B20">
            <v>20.04</v>
          </cell>
        </row>
        <row r="21">
          <cell r="A21">
            <v>37</v>
          </cell>
          <cell r="B21">
            <v>19.309999999999999</v>
          </cell>
        </row>
        <row r="22">
          <cell r="A22">
            <v>38</v>
          </cell>
          <cell r="B22">
            <v>18.579999999999998</v>
          </cell>
        </row>
        <row r="23">
          <cell r="A23">
            <v>39</v>
          </cell>
          <cell r="B23">
            <v>17.850000000000001</v>
          </cell>
        </row>
        <row r="24">
          <cell r="A24">
            <v>40</v>
          </cell>
          <cell r="B24">
            <v>17.13</v>
          </cell>
        </row>
        <row r="25">
          <cell r="A25">
            <v>41</v>
          </cell>
          <cell r="B25">
            <v>16.41</v>
          </cell>
        </row>
        <row r="26">
          <cell r="A26">
            <v>42</v>
          </cell>
          <cell r="B26">
            <v>15.71</v>
          </cell>
        </row>
        <row r="27">
          <cell r="A27">
            <v>43</v>
          </cell>
          <cell r="B27">
            <v>15.01</v>
          </cell>
        </row>
        <row r="28">
          <cell r="A28">
            <v>44</v>
          </cell>
          <cell r="B28">
            <v>14.33</v>
          </cell>
        </row>
        <row r="29">
          <cell r="A29">
            <v>45</v>
          </cell>
          <cell r="B29">
            <v>13.65</v>
          </cell>
        </row>
        <row r="30">
          <cell r="A30">
            <v>46</v>
          </cell>
          <cell r="B30">
            <v>12.98</v>
          </cell>
        </row>
        <row r="31">
          <cell r="A31">
            <v>47</v>
          </cell>
          <cell r="B31">
            <v>12.33</v>
          </cell>
        </row>
        <row r="32">
          <cell r="A32">
            <v>48</v>
          </cell>
          <cell r="B32">
            <v>11.69</v>
          </cell>
        </row>
        <row r="33">
          <cell r="A33">
            <v>49</v>
          </cell>
          <cell r="B33">
            <v>11.05</v>
          </cell>
        </row>
        <row r="34">
          <cell r="A34">
            <v>50</v>
          </cell>
          <cell r="B34">
            <v>10.41</v>
          </cell>
        </row>
        <row r="35">
          <cell r="A35">
            <v>51</v>
          </cell>
          <cell r="B35">
            <v>9.7899999999999991</v>
          </cell>
        </row>
        <row r="36">
          <cell r="A36">
            <v>52</v>
          </cell>
          <cell r="B36">
            <v>9.18</v>
          </cell>
        </row>
        <row r="37">
          <cell r="A37">
            <v>53</v>
          </cell>
          <cell r="B37">
            <v>8.6</v>
          </cell>
        </row>
        <row r="38">
          <cell r="A38">
            <v>54</v>
          </cell>
          <cell r="B38">
            <v>8.0500000000000007</v>
          </cell>
        </row>
        <row r="39">
          <cell r="A39">
            <v>55</v>
          </cell>
          <cell r="B39">
            <v>7.52</v>
          </cell>
        </row>
        <row r="40">
          <cell r="A40">
            <v>56</v>
          </cell>
          <cell r="B40">
            <v>7.01</v>
          </cell>
        </row>
        <row r="41">
          <cell r="A41">
            <v>57</v>
          </cell>
          <cell r="B41">
            <v>6.53</v>
          </cell>
        </row>
        <row r="42">
          <cell r="A42">
            <v>58</v>
          </cell>
          <cell r="B42">
            <v>6.08</v>
          </cell>
        </row>
        <row r="43">
          <cell r="A43">
            <v>59</v>
          </cell>
          <cell r="B43">
            <v>5.67</v>
          </cell>
        </row>
        <row r="44">
          <cell r="A44">
            <v>60</v>
          </cell>
          <cell r="B44">
            <v>5.31</v>
          </cell>
        </row>
        <row r="45">
          <cell r="A45">
            <v>61</v>
          </cell>
          <cell r="B45">
            <v>4.9800000000000004</v>
          </cell>
        </row>
        <row r="46">
          <cell r="A46">
            <v>62</v>
          </cell>
          <cell r="B46">
            <v>4.7</v>
          </cell>
        </row>
        <row r="47">
          <cell r="A47">
            <v>63</v>
          </cell>
          <cell r="B47">
            <v>4.4400000000000004</v>
          </cell>
        </row>
        <row r="48">
          <cell r="A48">
            <v>64</v>
          </cell>
          <cell r="B48">
            <v>4.22</v>
          </cell>
        </row>
        <row r="49">
          <cell r="A49">
            <v>65</v>
          </cell>
          <cell r="B49">
            <v>4</v>
          </cell>
        </row>
        <row r="50">
          <cell r="A50">
            <v>66</v>
          </cell>
          <cell r="B50">
            <v>3.8</v>
          </cell>
        </row>
        <row r="51">
          <cell r="A51">
            <v>67</v>
          </cell>
          <cell r="B51">
            <v>3.62</v>
          </cell>
        </row>
        <row r="52">
          <cell r="A52">
            <v>68</v>
          </cell>
          <cell r="B52">
            <v>3.45</v>
          </cell>
        </row>
        <row r="53">
          <cell r="A53">
            <v>69</v>
          </cell>
          <cell r="B53">
            <v>3.29</v>
          </cell>
        </row>
        <row r="54">
          <cell r="A54">
            <v>70</v>
          </cell>
          <cell r="B54">
            <v>3.15</v>
          </cell>
        </row>
        <row r="55">
          <cell r="A55">
            <v>71</v>
          </cell>
          <cell r="B55">
            <v>3.03</v>
          </cell>
        </row>
        <row r="56">
          <cell r="A56">
            <v>72</v>
          </cell>
          <cell r="B56">
            <v>2.91</v>
          </cell>
        </row>
        <row r="57">
          <cell r="A57">
            <v>73</v>
          </cell>
          <cell r="B57">
            <v>2.8</v>
          </cell>
        </row>
        <row r="58">
          <cell r="A58">
            <v>74</v>
          </cell>
          <cell r="B58">
            <v>2.69</v>
          </cell>
        </row>
        <row r="59">
          <cell r="A59">
            <v>75</v>
          </cell>
          <cell r="B59">
            <v>2.59</v>
          </cell>
        </row>
        <row r="60">
          <cell r="A60">
            <v>76</v>
          </cell>
          <cell r="B60">
            <v>2.5</v>
          </cell>
        </row>
        <row r="61">
          <cell r="A61">
            <v>77</v>
          </cell>
          <cell r="B61">
            <v>2.41</v>
          </cell>
        </row>
        <row r="62">
          <cell r="A62">
            <v>78</v>
          </cell>
          <cell r="B62">
            <v>2.3199999999999998</v>
          </cell>
        </row>
        <row r="63">
          <cell r="A63">
            <v>79</v>
          </cell>
          <cell r="B63">
            <v>2.2400000000000002</v>
          </cell>
        </row>
        <row r="64">
          <cell r="A64">
            <v>80</v>
          </cell>
          <cell r="B64">
            <v>2.16</v>
          </cell>
        </row>
        <row r="65">
          <cell r="A65">
            <v>81</v>
          </cell>
          <cell r="B65">
            <v>2.09</v>
          </cell>
        </row>
        <row r="66">
          <cell r="A66">
            <v>82</v>
          </cell>
          <cell r="B66">
            <v>2.0099999999999998</v>
          </cell>
        </row>
        <row r="67">
          <cell r="A67">
            <v>83</v>
          </cell>
          <cell r="B67">
            <v>1.94</v>
          </cell>
        </row>
        <row r="68">
          <cell r="A68">
            <v>84</v>
          </cell>
          <cell r="B68">
            <v>1.87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1.74</v>
          </cell>
        </row>
        <row r="71">
          <cell r="A71">
            <v>87</v>
          </cell>
          <cell r="B71">
            <v>1.67</v>
          </cell>
        </row>
        <row r="72">
          <cell r="A72">
            <v>88</v>
          </cell>
          <cell r="B72">
            <v>1.61</v>
          </cell>
        </row>
        <row r="73">
          <cell r="A73">
            <v>89</v>
          </cell>
          <cell r="B73">
            <v>1.55</v>
          </cell>
        </row>
        <row r="74">
          <cell r="A74">
            <v>90</v>
          </cell>
          <cell r="B74">
            <v>1.49</v>
          </cell>
        </row>
        <row r="75">
          <cell r="B75">
            <v>44.91</v>
          </cell>
        </row>
      </sheetData>
      <sheetData sheetId="5" refreshError="1">
        <row r="1">
          <cell r="A1" t="str">
            <v>Age</v>
          </cell>
          <cell r="B1" t="str">
            <v>Some College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>
            <v>38.54</v>
          </cell>
        </row>
        <row r="5">
          <cell r="A5">
            <v>21</v>
          </cell>
          <cell r="B5">
            <v>37.71</v>
          </cell>
        </row>
        <row r="6">
          <cell r="A6">
            <v>22</v>
          </cell>
          <cell r="B6">
            <v>36.89</v>
          </cell>
        </row>
        <row r="7">
          <cell r="A7">
            <v>23</v>
          </cell>
          <cell r="B7">
            <v>36.06</v>
          </cell>
        </row>
        <row r="8">
          <cell r="A8">
            <v>24</v>
          </cell>
          <cell r="B8">
            <v>35.229999999999997</v>
          </cell>
        </row>
        <row r="9">
          <cell r="A9">
            <v>25</v>
          </cell>
          <cell r="B9">
            <v>34.39</v>
          </cell>
        </row>
        <row r="10">
          <cell r="A10">
            <v>26</v>
          </cell>
          <cell r="B10">
            <v>33.54</v>
          </cell>
        </row>
        <row r="11">
          <cell r="A11">
            <v>27</v>
          </cell>
          <cell r="B11">
            <v>32.68</v>
          </cell>
        </row>
        <row r="12">
          <cell r="A12">
            <v>28</v>
          </cell>
          <cell r="B12">
            <v>31.81</v>
          </cell>
        </row>
        <row r="13">
          <cell r="A13">
            <v>29</v>
          </cell>
          <cell r="B13">
            <v>30.94</v>
          </cell>
        </row>
        <row r="14">
          <cell r="A14">
            <v>30</v>
          </cell>
          <cell r="B14">
            <v>30.08</v>
          </cell>
        </row>
        <row r="15">
          <cell r="A15">
            <v>31</v>
          </cell>
          <cell r="B15">
            <v>29.22</v>
          </cell>
        </row>
        <row r="16">
          <cell r="A16">
            <v>32</v>
          </cell>
          <cell r="B16">
            <v>28.36</v>
          </cell>
        </row>
        <row r="17">
          <cell r="A17">
            <v>33</v>
          </cell>
          <cell r="B17">
            <v>27.51</v>
          </cell>
        </row>
        <row r="18">
          <cell r="A18">
            <v>34</v>
          </cell>
          <cell r="B18">
            <v>26.67</v>
          </cell>
        </row>
        <row r="19">
          <cell r="A19">
            <v>35</v>
          </cell>
          <cell r="B19">
            <v>25.83</v>
          </cell>
        </row>
        <row r="20">
          <cell r="A20">
            <v>36</v>
          </cell>
          <cell r="B20">
            <v>25</v>
          </cell>
        </row>
        <row r="21">
          <cell r="A21">
            <v>37</v>
          </cell>
          <cell r="B21">
            <v>24.16</v>
          </cell>
        </row>
        <row r="22">
          <cell r="A22">
            <v>38</v>
          </cell>
          <cell r="B22">
            <v>23.32</v>
          </cell>
        </row>
        <row r="23">
          <cell r="A23">
            <v>39</v>
          </cell>
          <cell r="B23">
            <v>22.48</v>
          </cell>
        </row>
        <row r="24">
          <cell r="A24">
            <v>40</v>
          </cell>
          <cell r="B24">
            <v>21.63</v>
          </cell>
        </row>
        <row r="25">
          <cell r="A25">
            <v>41</v>
          </cell>
          <cell r="B25">
            <v>20.78</v>
          </cell>
        </row>
        <row r="26">
          <cell r="A26">
            <v>42</v>
          </cell>
          <cell r="B26">
            <v>19.940000000000001</v>
          </cell>
        </row>
        <row r="27">
          <cell r="A27">
            <v>43</v>
          </cell>
          <cell r="B27">
            <v>19.100000000000001</v>
          </cell>
        </row>
        <row r="28">
          <cell r="A28">
            <v>44</v>
          </cell>
          <cell r="B28">
            <v>18.27</v>
          </cell>
        </row>
        <row r="29">
          <cell r="A29">
            <v>45</v>
          </cell>
          <cell r="B29">
            <v>17.440000000000001</v>
          </cell>
        </row>
        <row r="30">
          <cell r="A30">
            <v>46</v>
          </cell>
          <cell r="B30">
            <v>16.63</v>
          </cell>
        </row>
        <row r="31">
          <cell r="A31">
            <v>47</v>
          </cell>
          <cell r="B31">
            <v>15.84</v>
          </cell>
        </row>
        <row r="32">
          <cell r="A32">
            <v>48</v>
          </cell>
          <cell r="B32">
            <v>15.06</v>
          </cell>
        </row>
        <row r="33">
          <cell r="A33">
            <v>49</v>
          </cell>
          <cell r="B33">
            <v>14.32</v>
          </cell>
        </row>
        <row r="34">
          <cell r="A34">
            <v>50</v>
          </cell>
          <cell r="B34">
            <v>13.59</v>
          </cell>
        </row>
        <row r="35">
          <cell r="A35">
            <v>51</v>
          </cell>
          <cell r="B35">
            <v>12.89</v>
          </cell>
        </row>
        <row r="36">
          <cell r="A36">
            <v>52</v>
          </cell>
          <cell r="B36">
            <v>12.19</v>
          </cell>
        </row>
        <row r="37">
          <cell r="A37">
            <v>53</v>
          </cell>
          <cell r="B37">
            <v>11.5</v>
          </cell>
        </row>
        <row r="38">
          <cell r="A38">
            <v>54</v>
          </cell>
          <cell r="B38">
            <v>10.82</v>
          </cell>
        </row>
        <row r="39">
          <cell r="A39">
            <v>55</v>
          </cell>
          <cell r="B39">
            <v>10.16</v>
          </cell>
        </row>
        <row r="40">
          <cell r="A40">
            <v>56</v>
          </cell>
          <cell r="B40">
            <v>9.52</v>
          </cell>
        </row>
        <row r="41">
          <cell r="A41">
            <v>57</v>
          </cell>
          <cell r="B41">
            <v>8.9</v>
          </cell>
        </row>
        <row r="42">
          <cell r="A42">
            <v>58</v>
          </cell>
          <cell r="B42">
            <v>8.3000000000000007</v>
          </cell>
        </row>
        <row r="43">
          <cell r="A43">
            <v>59</v>
          </cell>
          <cell r="B43">
            <v>7.71</v>
          </cell>
        </row>
        <row r="44">
          <cell r="A44">
            <v>60</v>
          </cell>
          <cell r="B44">
            <v>7.15</v>
          </cell>
        </row>
        <row r="45">
          <cell r="A45">
            <v>61</v>
          </cell>
          <cell r="B45">
            <v>6.63</v>
          </cell>
        </row>
        <row r="46">
          <cell r="A46">
            <v>62</v>
          </cell>
          <cell r="B46">
            <v>6.16</v>
          </cell>
        </row>
        <row r="47">
          <cell r="A47">
            <v>63</v>
          </cell>
          <cell r="B47">
            <v>5.73</v>
          </cell>
        </row>
        <row r="48">
          <cell r="A48">
            <v>64</v>
          </cell>
          <cell r="B48">
            <v>5.35</v>
          </cell>
        </row>
        <row r="49">
          <cell r="A49">
            <v>65</v>
          </cell>
          <cell r="B49">
            <v>5.0199999999999996</v>
          </cell>
        </row>
        <row r="50">
          <cell r="A50">
            <v>66</v>
          </cell>
          <cell r="B50">
            <v>4.71</v>
          </cell>
        </row>
        <row r="51">
          <cell r="A51">
            <v>67</v>
          </cell>
          <cell r="B51">
            <v>4.43</v>
          </cell>
        </row>
        <row r="52">
          <cell r="A52">
            <v>68</v>
          </cell>
          <cell r="B52">
            <v>4.16</v>
          </cell>
        </row>
        <row r="53">
          <cell r="A53">
            <v>69</v>
          </cell>
          <cell r="B53">
            <v>3.92</v>
          </cell>
        </row>
        <row r="54">
          <cell r="A54">
            <v>70</v>
          </cell>
          <cell r="B54">
            <v>3.7</v>
          </cell>
        </row>
        <row r="55">
          <cell r="A55">
            <v>71</v>
          </cell>
          <cell r="B55">
            <v>3.51</v>
          </cell>
        </row>
        <row r="56">
          <cell r="A56">
            <v>72</v>
          </cell>
          <cell r="B56">
            <v>3.33</v>
          </cell>
        </row>
        <row r="57">
          <cell r="A57">
            <v>73</v>
          </cell>
          <cell r="B57">
            <v>3.16</v>
          </cell>
        </row>
        <row r="58">
          <cell r="A58">
            <v>74</v>
          </cell>
          <cell r="B58">
            <v>3.01</v>
          </cell>
        </row>
        <row r="59">
          <cell r="A59">
            <v>75</v>
          </cell>
          <cell r="B59">
            <v>2.87</v>
          </cell>
        </row>
        <row r="60">
          <cell r="A60">
            <v>76</v>
          </cell>
          <cell r="B60">
            <v>2.74</v>
          </cell>
        </row>
        <row r="61">
          <cell r="A61">
            <v>77</v>
          </cell>
          <cell r="B61">
            <v>2.61</v>
          </cell>
        </row>
        <row r="62">
          <cell r="A62">
            <v>78</v>
          </cell>
          <cell r="B62">
            <v>2.4900000000000002</v>
          </cell>
        </row>
        <row r="63">
          <cell r="A63">
            <v>79</v>
          </cell>
          <cell r="B63">
            <v>2.37</v>
          </cell>
        </row>
        <row r="64">
          <cell r="A64">
            <v>80</v>
          </cell>
          <cell r="B64">
            <v>2.2599999999999998</v>
          </cell>
        </row>
        <row r="65">
          <cell r="A65">
            <v>81</v>
          </cell>
          <cell r="B65">
            <v>2.16</v>
          </cell>
        </row>
        <row r="66">
          <cell r="A66">
            <v>82</v>
          </cell>
          <cell r="B66">
            <v>2.06</v>
          </cell>
        </row>
        <row r="67">
          <cell r="A67">
            <v>83</v>
          </cell>
          <cell r="B67">
            <v>1.97</v>
          </cell>
        </row>
        <row r="68">
          <cell r="A68">
            <v>84</v>
          </cell>
          <cell r="B68">
            <v>1.89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1.73</v>
          </cell>
        </row>
        <row r="71">
          <cell r="A71">
            <v>87</v>
          </cell>
          <cell r="B71">
            <v>1.66</v>
          </cell>
        </row>
        <row r="72">
          <cell r="A72">
            <v>88</v>
          </cell>
          <cell r="B72">
            <v>1.59</v>
          </cell>
        </row>
        <row r="73">
          <cell r="A73">
            <v>89</v>
          </cell>
          <cell r="B73">
            <v>1.52</v>
          </cell>
        </row>
        <row r="74">
          <cell r="A74">
            <v>90</v>
          </cell>
          <cell r="B74">
            <v>1.46</v>
          </cell>
        </row>
        <row r="75">
          <cell r="B75" t="str">
            <v>n/a</v>
          </cell>
        </row>
      </sheetData>
      <sheetData sheetId="6" refreshError="1">
        <row r="1">
          <cell r="A1" t="str">
            <v>Age</v>
          </cell>
          <cell r="B1" t="str">
            <v>Associates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>
            <v>39.85</v>
          </cell>
        </row>
        <row r="6">
          <cell r="A6">
            <v>22</v>
          </cell>
          <cell r="B6">
            <v>38.94</v>
          </cell>
        </row>
        <row r="7">
          <cell r="A7">
            <v>23</v>
          </cell>
          <cell r="B7">
            <v>38.04</v>
          </cell>
        </row>
        <row r="8">
          <cell r="A8">
            <v>24</v>
          </cell>
          <cell r="B8">
            <v>37.14</v>
          </cell>
        </row>
        <row r="9">
          <cell r="A9">
            <v>25</v>
          </cell>
          <cell r="B9">
            <v>36.229999999999997</v>
          </cell>
        </row>
        <row r="10">
          <cell r="A10">
            <v>26</v>
          </cell>
          <cell r="B10">
            <v>35.33</v>
          </cell>
        </row>
        <row r="11">
          <cell r="A11">
            <v>27</v>
          </cell>
          <cell r="B11">
            <v>34.42</v>
          </cell>
        </row>
        <row r="12">
          <cell r="A12">
            <v>28</v>
          </cell>
          <cell r="B12">
            <v>33.51</v>
          </cell>
        </row>
        <row r="13">
          <cell r="A13">
            <v>29</v>
          </cell>
          <cell r="B13">
            <v>32.61</v>
          </cell>
        </row>
        <row r="14">
          <cell r="A14">
            <v>30</v>
          </cell>
          <cell r="B14">
            <v>31.7</v>
          </cell>
        </row>
        <row r="15">
          <cell r="A15">
            <v>31</v>
          </cell>
          <cell r="B15">
            <v>30.8</v>
          </cell>
        </row>
        <row r="16">
          <cell r="A16">
            <v>32</v>
          </cell>
          <cell r="B16">
            <v>29.89</v>
          </cell>
        </row>
        <row r="17">
          <cell r="A17">
            <v>33</v>
          </cell>
          <cell r="B17">
            <v>28.99</v>
          </cell>
        </row>
        <row r="18">
          <cell r="A18">
            <v>34</v>
          </cell>
          <cell r="B18">
            <v>28.09</v>
          </cell>
        </row>
        <row r="19">
          <cell r="A19">
            <v>35</v>
          </cell>
          <cell r="B19">
            <v>27.19</v>
          </cell>
        </row>
        <row r="20">
          <cell r="A20">
            <v>36</v>
          </cell>
          <cell r="B20">
            <v>26.29</v>
          </cell>
        </row>
        <row r="21">
          <cell r="A21">
            <v>37</v>
          </cell>
          <cell r="B21">
            <v>25.39</v>
          </cell>
        </row>
        <row r="22">
          <cell r="A22">
            <v>38</v>
          </cell>
          <cell r="B22">
            <v>24.5</v>
          </cell>
        </row>
        <row r="23">
          <cell r="A23">
            <v>39</v>
          </cell>
          <cell r="B23">
            <v>23.6</v>
          </cell>
        </row>
        <row r="24">
          <cell r="A24">
            <v>40</v>
          </cell>
          <cell r="B24">
            <v>22.72</v>
          </cell>
        </row>
        <row r="25">
          <cell r="A25">
            <v>41</v>
          </cell>
          <cell r="B25">
            <v>21.83</v>
          </cell>
        </row>
        <row r="26">
          <cell r="A26">
            <v>42</v>
          </cell>
          <cell r="B26">
            <v>20.96</v>
          </cell>
        </row>
        <row r="27">
          <cell r="A27">
            <v>43</v>
          </cell>
          <cell r="B27">
            <v>20.09</v>
          </cell>
        </row>
        <row r="28">
          <cell r="A28">
            <v>44</v>
          </cell>
          <cell r="B28">
            <v>19.23</v>
          </cell>
        </row>
        <row r="29">
          <cell r="A29">
            <v>45</v>
          </cell>
          <cell r="B29">
            <v>18.38</v>
          </cell>
        </row>
        <row r="30">
          <cell r="A30">
            <v>46</v>
          </cell>
          <cell r="B30">
            <v>17.54</v>
          </cell>
        </row>
        <row r="31">
          <cell r="A31">
            <v>47</v>
          </cell>
          <cell r="B31">
            <v>16.71</v>
          </cell>
        </row>
        <row r="32">
          <cell r="A32">
            <v>48</v>
          </cell>
          <cell r="B32">
            <v>15.89</v>
          </cell>
        </row>
        <row r="33">
          <cell r="A33">
            <v>49</v>
          </cell>
          <cell r="B33">
            <v>15.08</v>
          </cell>
        </row>
        <row r="34">
          <cell r="A34">
            <v>50</v>
          </cell>
          <cell r="B34">
            <v>14.27</v>
          </cell>
        </row>
        <row r="35">
          <cell r="A35">
            <v>51</v>
          </cell>
          <cell r="B35">
            <v>13.46</v>
          </cell>
        </row>
        <row r="36">
          <cell r="A36">
            <v>52</v>
          </cell>
          <cell r="B36">
            <v>12.64</v>
          </cell>
        </row>
        <row r="37">
          <cell r="A37">
            <v>53</v>
          </cell>
          <cell r="B37">
            <v>11.85</v>
          </cell>
        </row>
        <row r="38">
          <cell r="A38">
            <v>54</v>
          </cell>
          <cell r="B38">
            <v>11.09</v>
          </cell>
        </row>
        <row r="39">
          <cell r="A39">
            <v>55</v>
          </cell>
          <cell r="B39">
            <v>10.36</v>
          </cell>
        </row>
        <row r="40">
          <cell r="A40">
            <v>56</v>
          </cell>
          <cell r="B40">
            <v>9.64</v>
          </cell>
        </row>
        <row r="41">
          <cell r="A41">
            <v>57</v>
          </cell>
          <cell r="B41">
            <v>8.93</v>
          </cell>
        </row>
        <row r="42">
          <cell r="A42">
            <v>58</v>
          </cell>
          <cell r="B42">
            <v>8.23</v>
          </cell>
        </row>
        <row r="43">
          <cell r="A43">
            <v>59</v>
          </cell>
          <cell r="B43">
            <v>7.56</v>
          </cell>
        </row>
        <row r="44">
          <cell r="A44">
            <v>60</v>
          </cell>
          <cell r="B44">
            <v>6.92</v>
          </cell>
        </row>
        <row r="45">
          <cell r="A45">
            <v>61</v>
          </cell>
          <cell r="B45">
            <v>6.34</v>
          </cell>
        </row>
        <row r="46">
          <cell r="A46">
            <v>62</v>
          </cell>
          <cell r="B46">
            <v>5.83</v>
          </cell>
        </row>
        <row r="47">
          <cell r="A47">
            <v>63</v>
          </cell>
          <cell r="B47">
            <v>5.38</v>
          </cell>
        </row>
        <row r="48">
          <cell r="A48">
            <v>64</v>
          </cell>
          <cell r="B48">
            <v>4.99</v>
          </cell>
        </row>
        <row r="49">
          <cell r="A49">
            <v>65</v>
          </cell>
          <cell r="B49">
            <v>4.6500000000000004</v>
          </cell>
        </row>
        <row r="50">
          <cell r="A50">
            <v>66</v>
          </cell>
          <cell r="B50">
            <v>4.3600000000000003</v>
          </cell>
        </row>
        <row r="51">
          <cell r="A51">
            <v>67</v>
          </cell>
          <cell r="B51">
            <v>4.0999999999999996</v>
          </cell>
        </row>
        <row r="52">
          <cell r="A52">
            <v>68</v>
          </cell>
          <cell r="B52">
            <v>3.87</v>
          </cell>
        </row>
        <row r="53">
          <cell r="A53">
            <v>69</v>
          </cell>
          <cell r="B53">
            <v>3.64</v>
          </cell>
        </row>
        <row r="54">
          <cell r="A54">
            <v>70</v>
          </cell>
          <cell r="B54">
            <v>3.44</v>
          </cell>
        </row>
        <row r="55">
          <cell r="A55">
            <v>71</v>
          </cell>
          <cell r="B55">
            <v>3.24</v>
          </cell>
        </row>
        <row r="56">
          <cell r="A56">
            <v>72</v>
          </cell>
          <cell r="B56">
            <v>3.06</v>
          </cell>
        </row>
        <row r="57">
          <cell r="A57">
            <v>73</v>
          </cell>
          <cell r="B57">
            <v>2.9</v>
          </cell>
        </row>
        <row r="58">
          <cell r="A58">
            <v>74</v>
          </cell>
          <cell r="B58">
            <v>2.74</v>
          </cell>
        </row>
        <row r="59">
          <cell r="A59">
            <v>75</v>
          </cell>
          <cell r="B59">
            <v>2.6</v>
          </cell>
        </row>
        <row r="60">
          <cell r="A60">
            <v>76</v>
          </cell>
          <cell r="B60">
            <v>2.48</v>
          </cell>
        </row>
        <row r="61">
          <cell r="A61">
            <v>77</v>
          </cell>
          <cell r="B61">
            <v>2.36</v>
          </cell>
        </row>
        <row r="62">
          <cell r="A62">
            <v>78</v>
          </cell>
          <cell r="B62">
            <v>2.25</v>
          </cell>
        </row>
        <row r="63">
          <cell r="A63">
            <v>79</v>
          </cell>
          <cell r="B63">
            <v>2.16</v>
          </cell>
        </row>
        <row r="64">
          <cell r="A64">
            <v>80</v>
          </cell>
          <cell r="B64">
            <v>2.0699999999999998</v>
          </cell>
        </row>
        <row r="65">
          <cell r="A65">
            <v>81</v>
          </cell>
          <cell r="B65">
            <v>1.98</v>
          </cell>
        </row>
        <row r="66">
          <cell r="A66">
            <v>82</v>
          </cell>
          <cell r="B66">
            <v>1.91</v>
          </cell>
        </row>
        <row r="67">
          <cell r="A67">
            <v>83</v>
          </cell>
          <cell r="B67">
            <v>1.83</v>
          </cell>
        </row>
        <row r="68">
          <cell r="A68">
            <v>84</v>
          </cell>
          <cell r="B68">
            <v>1.76</v>
          </cell>
        </row>
        <row r="69">
          <cell r="A69">
            <v>85</v>
          </cell>
          <cell r="B69">
            <v>1.68</v>
          </cell>
        </row>
        <row r="70">
          <cell r="A70">
            <v>86</v>
          </cell>
          <cell r="B70">
            <v>1.61</v>
          </cell>
        </row>
        <row r="71">
          <cell r="A71">
            <v>87</v>
          </cell>
          <cell r="B71">
            <v>1.54</v>
          </cell>
        </row>
        <row r="72">
          <cell r="A72">
            <v>88</v>
          </cell>
          <cell r="B72">
            <v>1.48</v>
          </cell>
        </row>
        <row r="73">
          <cell r="A73">
            <v>89</v>
          </cell>
          <cell r="B73">
            <v>1.42</v>
          </cell>
        </row>
        <row r="74">
          <cell r="A74">
            <v>90</v>
          </cell>
          <cell r="B74">
            <v>1.36</v>
          </cell>
        </row>
        <row r="75">
          <cell r="B75" t="str">
            <v>n/a</v>
          </cell>
        </row>
      </sheetData>
      <sheetData sheetId="7" refreshError="1">
        <row r="1">
          <cell r="A1" t="str">
            <v>Age</v>
          </cell>
          <cell r="B1" t="str">
            <v>Bachelors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>
            <v>40.68</v>
          </cell>
        </row>
        <row r="7">
          <cell r="A7">
            <v>23</v>
          </cell>
          <cell r="B7">
            <v>39.81</v>
          </cell>
        </row>
        <row r="8">
          <cell r="A8">
            <v>24</v>
          </cell>
          <cell r="B8">
            <v>38.92</v>
          </cell>
        </row>
        <row r="9">
          <cell r="A9">
            <v>25</v>
          </cell>
          <cell r="B9">
            <v>38.03</v>
          </cell>
        </row>
        <row r="10">
          <cell r="A10">
            <v>26</v>
          </cell>
          <cell r="B10">
            <v>37.119999999999997</v>
          </cell>
        </row>
        <row r="11">
          <cell r="A11">
            <v>27</v>
          </cell>
          <cell r="B11">
            <v>36.22</v>
          </cell>
        </row>
        <row r="12">
          <cell r="A12">
            <v>28</v>
          </cell>
          <cell r="B12">
            <v>35.31</v>
          </cell>
        </row>
        <row r="13">
          <cell r="A13">
            <v>29</v>
          </cell>
          <cell r="B13">
            <v>34.4</v>
          </cell>
        </row>
        <row r="14">
          <cell r="A14">
            <v>30</v>
          </cell>
          <cell r="B14">
            <v>33.49</v>
          </cell>
        </row>
        <row r="15">
          <cell r="A15">
            <v>31</v>
          </cell>
          <cell r="B15">
            <v>32.58</v>
          </cell>
        </row>
        <row r="16">
          <cell r="A16">
            <v>32</v>
          </cell>
          <cell r="B16">
            <v>31.66</v>
          </cell>
        </row>
        <row r="17">
          <cell r="A17">
            <v>33</v>
          </cell>
          <cell r="B17">
            <v>30.74</v>
          </cell>
        </row>
        <row r="18">
          <cell r="A18">
            <v>34</v>
          </cell>
          <cell r="B18">
            <v>29.82</v>
          </cell>
        </row>
        <row r="19">
          <cell r="A19">
            <v>35</v>
          </cell>
          <cell r="B19">
            <v>28.9</v>
          </cell>
        </row>
        <row r="20">
          <cell r="A20">
            <v>36</v>
          </cell>
          <cell r="B20">
            <v>27.99</v>
          </cell>
        </row>
        <row r="21">
          <cell r="A21">
            <v>37</v>
          </cell>
          <cell r="B21">
            <v>27.08</v>
          </cell>
        </row>
        <row r="22">
          <cell r="A22">
            <v>38</v>
          </cell>
          <cell r="B22">
            <v>26.17</v>
          </cell>
        </row>
        <row r="23">
          <cell r="A23">
            <v>39</v>
          </cell>
          <cell r="B23">
            <v>25.26</v>
          </cell>
        </row>
        <row r="24">
          <cell r="A24">
            <v>40</v>
          </cell>
          <cell r="B24">
            <v>24.36</v>
          </cell>
        </row>
        <row r="25">
          <cell r="A25">
            <v>41</v>
          </cell>
          <cell r="B25">
            <v>23.46</v>
          </cell>
        </row>
        <row r="26">
          <cell r="A26">
            <v>42</v>
          </cell>
          <cell r="B26">
            <v>22.56</v>
          </cell>
        </row>
        <row r="27">
          <cell r="A27">
            <v>43</v>
          </cell>
          <cell r="B27">
            <v>21.67</v>
          </cell>
        </row>
        <row r="28">
          <cell r="A28">
            <v>44</v>
          </cell>
          <cell r="B28">
            <v>20.78</v>
          </cell>
        </row>
        <row r="29">
          <cell r="A29">
            <v>45</v>
          </cell>
          <cell r="B29">
            <v>19.899999999999999</v>
          </cell>
        </row>
        <row r="30">
          <cell r="A30">
            <v>46</v>
          </cell>
          <cell r="B30">
            <v>19.04</v>
          </cell>
        </row>
        <row r="31">
          <cell r="A31">
            <v>47</v>
          </cell>
          <cell r="B31">
            <v>18.170000000000002</v>
          </cell>
        </row>
        <row r="32">
          <cell r="A32">
            <v>48</v>
          </cell>
          <cell r="B32">
            <v>17.309999999999999</v>
          </cell>
        </row>
        <row r="33">
          <cell r="A33">
            <v>49</v>
          </cell>
          <cell r="B33">
            <v>16.45</v>
          </cell>
        </row>
        <row r="34">
          <cell r="A34">
            <v>50</v>
          </cell>
          <cell r="B34">
            <v>15.59</v>
          </cell>
        </row>
        <row r="35">
          <cell r="A35">
            <v>51</v>
          </cell>
          <cell r="B35">
            <v>14.75</v>
          </cell>
        </row>
        <row r="36">
          <cell r="A36">
            <v>52</v>
          </cell>
          <cell r="B36">
            <v>13.92</v>
          </cell>
        </row>
        <row r="37">
          <cell r="A37">
            <v>53</v>
          </cell>
          <cell r="B37">
            <v>13.1</v>
          </cell>
        </row>
        <row r="38">
          <cell r="A38">
            <v>54</v>
          </cell>
          <cell r="B38">
            <v>12.3</v>
          </cell>
        </row>
        <row r="39">
          <cell r="A39">
            <v>55</v>
          </cell>
          <cell r="B39">
            <v>11.5</v>
          </cell>
        </row>
        <row r="40">
          <cell r="A40">
            <v>56</v>
          </cell>
          <cell r="B40">
            <v>10.72</v>
          </cell>
        </row>
        <row r="41">
          <cell r="A41">
            <v>57</v>
          </cell>
          <cell r="B41">
            <v>9.9600000000000009</v>
          </cell>
        </row>
        <row r="42">
          <cell r="A42">
            <v>58</v>
          </cell>
          <cell r="B42">
            <v>9.2200000000000006</v>
          </cell>
        </row>
        <row r="43">
          <cell r="A43">
            <v>59</v>
          </cell>
          <cell r="B43">
            <v>8.52</v>
          </cell>
        </row>
        <row r="44">
          <cell r="A44">
            <v>60</v>
          </cell>
          <cell r="B44">
            <v>7.87</v>
          </cell>
        </row>
        <row r="45">
          <cell r="A45">
            <v>61</v>
          </cell>
          <cell r="B45">
            <v>7.26</v>
          </cell>
        </row>
        <row r="46">
          <cell r="A46">
            <v>62</v>
          </cell>
          <cell r="B46">
            <v>6.7</v>
          </cell>
        </row>
        <row r="47">
          <cell r="A47">
            <v>63</v>
          </cell>
          <cell r="B47">
            <v>6.19</v>
          </cell>
        </row>
        <row r="48">
          <cell r="A48">
            <v>64</v>
          </cell>
          <cell r="B48">
            <v>5.75</v>
          </cell>
        </row>
        <row r="49">
          <cell r="A49">
            <v>65</v>
          </cell>
          <cell r="B49">
            <v>5.39</v>
          </cell>
        </row>
        <row r="50">
          <cell r="A50">
            <v>66</v>
          </cell>
          <cell r="B50">
            <v>5.0999999999999996</v>
          </cell>
        </row>
        <row r="51">
          <cell r="A51">
            <v>67</v>
          </cell>
          <cell r="B51">
            <v>4.84</v>
          </cell>
        </row>
        <row r="52">
          <cell r="A52">
            <v>68</v>
          </cell>
          <cell r="B52">
            <v>4.5999999999999996</v>
          </cell>
        </row>
        <row r="53">
          <cell r="A53">
            <v>69</v>
          </cell>
          <cell r="B53">
            <v>4.37</v>
          </cell>
        </row>
        <row r="54">
          <cell r="A54">
            <v>70</v>
          </cell>
          <cell r="B54">
            <v>4.1500000000000004</v>
          </cell>
        </row>
        <row r="55">
          <cell r="A55">
            <v>71</v>
          </cell>
          <cell r="B55">
            <v>3.94</v>
          </cell>
        </row>
        <row r="56">
          <cell r="A56">
            <v>72</v>
          </cell>
          <cell r="B56">
            <v>3.74</v>
          </cell>
        </row>
        <row r="57">
          <cell r="A57">
            <v>73</v>
          </cell>
          <cell r="B57">
            <v>3.56</v>
          </cell>
        </row>
        <row r="58">
          <cell r="A58">
            <v>74</v>
          </cell>
          <cell r="B58">
            <v>3.39</v>
          </cell>
        </row>
        <row r="59">
          <cell r="A59">
            <v>75</v>
          </cell>
          <cell r="B59">
            <v>3.23</v>
          </cell>
        </row>
        <row r="60">
          <cell r="A60">
            <v>76</v>
          </cell>
          <cell r="B60">
            <v>3.09</v>
          </cell>
        </row>
        <row r="61">
          <cell r="A61">
            <v>77</v>
          </cell>
          <cell r="B61">
            <v>2.96</v>
          </cell>
        </row>
        <row r="62">
          <cell r="A62">
            <v>78</v>
          </cell>
          <cell r="B62">
            <v>2.83</v>
          </cell>
        </row>
        <row r="63">
          <cell r="A63">
            <v>79</v>
          </cell>
          <cell r="B63">
            <v>2.7</v>
          </cell>
        </row>
        <row r="64">
          <cell r="A64">
            <v>80</v>
          </cell>
          <cell r="B64">
            <v>2.58</v>
          </cell>
        </row>
        <row r="65">
          <cell r="A65">
            <v>81</v>
          </cell>
          <cell r="B65">
            <v>2.4700000000000002</v>
          </cell>
        </row>
        <row r="66">
          <cell r="A66">
            <v>82</v>
          </cell>
          <cell r="B66">
            <v>2.36</v>
          </cell>
        </row>
        <row r="67">
          <cell r="A67">
            <v>83</v>
          </cell>
          <cell r="B67">
            <v>2.2599999999999998</v>
          </cell>
        </row>
        <row r="68">
          <cell r="A68">
            <v>84</v>
          </cell>
          <cell r="B68">
            <v>2.16</v>
          </cell>
        </row>
        <row r="69">
          <cell r="A69">
            <v>85</v>
          </cell>
          <cell r="B69">
            <v>2.0699999999999998</v>
          </cell>
        </row>
        <row r="70">
          <cell r="A70">
            <v>86</v>
          </cell>
          <cell r="B70">
            <v>1.98</v>
          </cell>
        </row>
        <row r="71">
          <cell r="A71">
            <v>87</v>
          </cell>
          <cell r="B71">
            <v>1.89</v>
          </cell>
        </row>
        <row r="72">
          <cell r="A72">
            <v>88</v>
          </cell>
          <cell r="B72">
            <v>1.81</v>
          </cell>
        </row>
        <row r="73">
          <cell r="A73">
            <v>89</v>
          </cell>
          <cell r="B73">
            <v>1.73</v>
          </cell>
        </row>
        <row r="74">
          <cell r="A74">
            <v>90</v>
          </cell>
          <cell r="B74">
            <v>1.65</v>
          </cell>
        </row>
        <row r="75">
          <cell r="B75" t="str">
            <v>n/a</v>
          </cell>
        </row>
      </sheetData>
      <sheetData sheetId="8" refreshError="1"/>
      <sheetData sheetId="9" refreshError="1">
        <row r="1">
          <cell r="A1" t="str">
            <v>Age</v>
          </cell>
          <cell r="B1" t="str">
            <v>Professional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 t="str">
            <v>n/a</v>
          </cell>
        </row>
        <row r="7">
          <cell r="A7">
            <v>23</v>
          </cell>
          <cell r="B7" t="str">
            <v>n/a</v>
          </cell>
        </row>
        <row r="8">
          <cell r="A8">
            <v>24</v>
          </cell>
          <cell r="B8" t="str">
            <v>n/a</v>
          </cell>
        </row>
        <row r="9">
          <cell r="A9">
            <v>25</v>
          </cell>
          <cell r="B9" t="str">
            <v>n/a</v>
          </cell>
        </row>
        <row r="10">
          <cell r="A10">
            <v>26</v>
          </cell>
          <cell r="B10">
            <v>40.159999999999997</v>
          </cell>
        </row>
        <row r="11">
          <cell r="A11">
            <v>27</v>
          </cell>
          <cell r="B11">
            <v>39.24</v>
          </cell>
        </row>
        <row r="12">
          <cell r="A12">
            <v>28</v>
          </cell>
          <cell r="B12">
            <v>38.31</v>
          </cell>
        </row>
        <row r="13">
          <cell r="A13">
            <v>29</v>
          </cell>
          <cell r="B13">
            <v>37.39</v>
          </cell>
        </row>
        <row r="14">
          <cell r="A14">
            <v>30</v>
          </cell>
          <cell r="B14">
            <v>36.46</v>
          </cell>
        </row>
        <row r="15">
          <cell r="A15">
            <v>31</v>
          </cell>
          <cell r="B15">
            <v>35.54</v>
          </cell>
        </row>
        <row r="16">
          <cell r="A16">
            <v>32</v>
          </cell>
          <cell r="B16">
            <v>34.61</v>
          </cell>
        </row>
        <row r="17">
          <cell r="A17">
            <v>33</v>
          </cell>
          <cell r="B17">
            <v>33.68</v>
          </cell>
        </row>
        <row r="18">
          <cell r="A18">
            <v>34</v>
          </cell>
          <cell r="B18">
            <v>32.74</v>
          </cell>
        </row>
        <row r="19">
          <cell r="A19">
            <v>35</v>
          </cell>
          <cell r="B19">
            <v>31.81</v>
          </cell>
        </row>
        <row r="20">
          <cell r="A20">
            <v>36</v>
          </cell>
          <cell r="B20">
            <v>30.88</v>
          </cell>
        </row>
        <row r="21">
          <cell r="A21">
            <v>37</v>
          </cell>
          <cell r="B21">
            <v>29.94</v>
          </cell>
        </row>
        <row r="22">
          <cell r="A22">
            <v>38</v>
          </cell>
          <cell r="B22">
            <v>29.01</v>
          </cell>
        </row>
        <row r="23">
          <cell r="A23">
            <v>39</v>
          </cell>
          <cell r="B23">
            <v>28.07</v>
          </cell>
        </row>
        <row r="24">
          <cell r="A24">
            <v>40</v>
          </cell>
          <cell r="B24">
            <v>27.14</v>
          </cell>
        </row>
        <row r="25">
          <cell r="A25">
            <v>41</v>
          </cell>
          <cell r="B25">
            <v>26.21</v>
          </cell>
        </row>
        <row r="26">
          <cell r="A26">
            <v>42</v>
          </cell>
          <cell r="B26">
            <v>25.29</v>
          </cell>
        </row>
        <row r="27">
          <cell r="A27">
            <v>43</v>
          </cell>
          <cell r="B27">
            <v>24.37</v>
          </cell>
        </row>
        <row r="28">
          <cell r="A28">
            <v>44</v>
          </cell>
          <cell r="B28">
            <v>23.45</v>
          </cell>
        </row>
        <row r="29">
          <cell r="A29">
            <v>45</v>
          </cell>
          <cell r="B29">
            <v>22.54</v>
          </cell>
        </row>
        <row r="30">
          <cell r="A30">
            <v>46</v>
          </cell>
          <cell r="B30">
            <v>21.63</v>
          </cell>
        </row>
        <row r="31">
          <cell r="A31">
            <v>47</v>
          </cell>
          <cell r="B31">
            <v>20.73</v>
          </cell>
        </row>
        <row r="32">
          <cell r="A32">
            <v>48</v>
          </cell>
          <cell r="B32">
            <v>19.84</v>
          </cell>
        </row>
        <row r="33">
          <cell r="A33">
            <v>49</v>
          </cell>
          <cell r="B33">
            <v>18.96</v>
          </cell>
        </row>
        <row r="34">
          <cell r="A34">
            <v>50</v>
          </cell>
          <cell r="B34">
            <v>18.079999999999998</v>
          </cell>
        </row>
        <row r="35">
          <cell r="A35">
            <v>51</v>
          </cell>
          <cell r="B35">
            <v>17.22</v>
          </cell>
        </row>
        <row r="36">
          <cell r="A36">
            <v>52</v>
          </cell>
          <cell r="B36">
            <v>16.36</v>
          </cell>
        </row>
        <row r="37">
          <cell r="A37">
            <v>53</v>
          </cell>
          <cell r="B37">
            <v>15.51</v>
          </cell>
        </row>
        <row r="38">
          <cell r="A38">
            <v>54</v>
          </cell>
          <cell r="B38">
            <v>14.67</v>
          </cell>
        </row>
        <row r="39">
          <cell r="A39">
            <v>55</v>
          </cell>
          <cell r="B39">
            <v>13.84</v>
          </cell>
        </row>
        <row r="40">
          <cell r="A40">
            <v>56</v>
          </cell>
          <cell r="B40">
            <v>13.01</v>
          </cell>
        </row>
        <row r="41">
          <cell r="A41">
            <v>57</v>
          </cell>
          <cell r="B41">
            <v>12.19</v>
          </cell>
        </row>
        <row r="42">
          <cell r="A42">
            <v>58</v>
          </cell>
          <cell r="B42">
            <v>11.38</v>
          </cell>
        </row>
        <row r="43">
          <cell r="A43">
            <v>59</v>
          </cell>
          <cell r="B43">
            <v>10.61</v>
          </cell>
        </row>
        <row r="44">
          <cell r="A44">
            <v>60</v>
          </cell>
          <cell r="B44">
            <v>9.8699999999999992</v>
          </cell>
        </row>
        <row r="45">
          <cell r="A45">
            <v>61</v>
          </cell>
          <cell r="B45">
            <v>9.19</v>
          </cell>
        </row>
        <row r="46">
          <cell r="A46">
            <v>62</v>
          </cell>
          <cell r="B46">
            <v>8.57</v>
          </cell>
        </row>
        <row r="47">
          <cell r="A47">
            <v>63</v>
          </cell>
          <cell r="B47">
            <v>8</v>
          </cell>
        </row>
        <row r="48">
          <cell r="A48">
            <v>64</v>
          </cell>
          <cell r="B48">
            <v>7.48</v>
          </cell>
        </row>
        <row r="49">
          <cell r="A49">
            <v>65</v>
          </cell>
          <cell r="B49">
            <v>6.99</v>
          </cell>
        </row>
        <row r="50">
          <cell r="A50">
            <v>66</v>
          </cell>
          <cell r="B50">
            <v>6.53</v>
          </cell>
        </row>
        <row r="51">
          <cell r="A51">
            <v>67</v>
          </cell>
          <cell r="B51">
            <v>6.1</v>
          </cell>
        </row>
        <row r="52">
          <cell r="A52">
            <v>68</v>
          </cell>
          <cell r="B52">
            <v>5.7</v>
          </cell>
        </row>
        <row r="53">
          <cell r="A53">
            <v>69</v>
          </cell>
          <cell r="B53">
            <v>5.33</v>
          </cell>
        </row>
        <row r="54">
          <cell r="A54">
            <v>70</v>
          </cell>
          <cell r="B54">
            <v>4.99</v>
          </cell>
        </row>
        <row r="55">
          <cell r="A55">
            <v>71</v>
          </cell>
          <cell r="B55">
            <v>4.67</v>
          </cell>
        </row>
        <row r="56">
          <cell r="A56">
            <v>72</v>
          </cell>
          <cell r="B56">
            <v>4.38</v>
          </cell>
        </row>
        <row r="57">
          <cell r="A57">
            <v>73</v>
          </cell>
          <cell r="B57">
            <v>4.1100000000000003</v>
          </cell>
        </row>
        <row r="58">
          <cell r="A58">
            <v>74</v>
          </cell>
          <cell r="B58">
            <v>3.87</v>
          </cell>
        </row>
        <row r="59">
          <cell r="A59">
            <v>75</v>
          </cell>
          <cell r="B59">
            <v>3.64</v>
          </cell>
        </row>
        <row r="60">
          <cell r="A60">
            <v>76</v>
          </cell>
          <cell r="B60">
            <v>3.44</v>
          </cell>
        </row>
        <row r="61">
          <cell r="A61">
            <v>77</v>
          </cell>
          <cell r="B61">
            <v>3.25</v>
          </cell>
        </row>
        <row r="62">
          <cell r="A62">
            <v>78</v>
          </cell>
          <cell r="B62">
            <v>3.08</v>
          </cell>
        </row>
        <row r="63">
          <cell r="A63">
            <v>79</v>
          </cell>
          <cell r="B63">
            <v>2.92</v>
          </cell>
        </row>
        <row r="64">
          <cell r="A64">
            <v>80</v>
          </cell>
          <cell r="B64">
            <v>2.78</v>
          </cell>
        </row>
        <row r="65">
          <cell r="A65">
            <v>81</v>
          </cell>
          <cell r="B65">
            <v>2.64</v>
          </cell>
        </row>
        <row r="66">
          <cell r="A66">
            <v>82</v>
          </cell>
          <cell r="B66">
            <v>2.52</v>
          </cell>
        </row>
        <row r="67">
          <cell r="A67">
            <v>83</v>
          </cell>
          <cell r="B67">
            <v>2.4</v>
          </cell>
        </row>
        <row r="68">
          <cell r="A68">
            <v>84</v>
          </cell>
          <cell r="B68">
            <v>2.29</v>
          </cell>
        </row>
        <row r="69">
          <cell r="A69">
            <v>85</v>
          </cell>
          <cell r="B69">
            <v>2.1800000000000002</v>
          </cell>
        </row>
        <row r="70">
          <cell r="A70">
            <v>86</v>
          </cell>
          <cell r="B70">
            <v>2.0699999999999998</v>
          </cell>
        </row>
        <row r="71">
          <cell r="A71">
            <v>87</v>
          </cell>
          <cell r="B71">
            <v>1.97</v>
          </cell>
        </row>
        <row r="72">
          <cell r="A72">
            <v>88</v>
          </cell>
          <cell r="B72">
            <v>1.88</v>
          </cell>
        </row>
        <row r="73">
          <cell r="A73">
            <v>89</v>
          </cell>
          <cell r="B73">
            <v>1.79</v>
          </cell>
        </row>
        <row r="74">
          <cell r="A74">
            <v>90</v>
          </cell>
          <cell r="B74">
            <v>1.71</v>
          </cell>
        </row>
        <row r="75">
          <cell r="B75" t="str">
            <v>n/a</v>
          </cell>
        </row>
      </sheetData>
      <sheetData sheetId="1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</row>
        <row r="2">
          <cell r="A2">
            <v>18</v>
          </cell>
          <cell r="B2">
            <v>46.67</v>
          </cell>
          <cell r="C2">
            <v>61.9</v>
          </cell>
        </row>
        <row r="3">
          <cell r="A3">
            <v>19</v>
          </cell>
          <cell r="B3">
            <v>45.69</v>
          </cell>
          <cell r="C3">
            <v>61</v>
          </cell>
        </row>
        <row r="4">
          <cell r="A4">
            <v>20</v>
          </cell>
          <cell r="B4">
            <v>44.71</v>
          </cell>
          <cell r="C4">
            <v>60</v>
          </cell>
        </row>
        <row r="5">
          <cell r="A5">
            <v>21</v>
          </cell>
          <cell r="B5">
            <v>43.72</v>
          </cell>
          <cell r="C5">
            <v>59</v>
          </cell>
        </row>
        <row r="6">
          <cell r="A6">
            <v>22</v>
          </cell>
          <cell r="B6">
            <v>42.74</v>
          </cell>
          <cell r="C6">
            <v>58.1</v>
          </cell>
        </row>
        <row r="7">
          <cell r="A7">
            <v>23</v>
          </cell>
          <cell r="B7">
            <v>41.76</v>
          </cell>
          <cell r="C7">
            <v>57.1</v>
          </cell>
        </row>
        <row r="8">
          <cell r="A8">
            <v>24</v>
          </cell>
          <cell r="B8">
            <v>40.78</v>
          </cell>
          <cell r="C8">
            <v>56.1</v>
          </cell>
        </row>
        <row r="9">
          <cell r="A9">
            <v>25</v>
          </cell>
          <cell r="B9">
            <v>39.799999999999997</v>
          </cell>
          <cell r="C9">
            <v>55.2</v>
          </cell>
        </row>
        <row r="10">
          <cell r="A10">
            <v>26</v>
          </cell>
          <cell r="B10">
            <v>38.83</v>
          </cell>
          <cell r="C10">
            <v>54.2</v>
          </cell>
        </row>
        <row r="11">
          <cell r="A11">
            <v>27</v>
          </cell>
          <cell r="B11">
            <v>37.85</v>
          </cell>
          <cell r="C11">
            <v>53.3</v>
          </cell>
        </row>
        <row r="12">
          <cell r="A12">
            <v>28</v>
          </cell>
          <cell r="B12">
            <v>36.869999999999997</v>
          </cell>
          <cell r="C12">
            <v>52.3</v>
          </cell>
        </row>
        <row r="13">
          <cell r="A13">
            <v>29</v>
          </cell>
          <cell r="B13">
            <v>35.9</v>
          </cell>
          <cell r="C13">
            <v>51.4</v>
          </cell>
        </row>
        <row r="14">
          <cell r="A14">
            <v>30</v>
          </cell>
          <cell r="B14">
            <v>34.93</v>
          </cell>
          <cell r="C14">
            <v>50.4</v>
          </cell>
        </row>
        <row r="15">
          <cell r="A15">
            <v>31</v>
          </cell>
          <cell r="B15">
            <v>33.950000000000003</v>
          </cell>
          <cell r="C15">
            <v>49.5</v>
          </cell>
        </row>
        <row r="16">
          <cell r="A16">
            <v>32</v>
          </cell>
          <cell r="B16">
            <v>32.979999999999997</v>
          </cell>
          <cell r="C16">
            <v>48.5</v>
          </cell>
        </row>
        <row r="17">
          <cell r="A17">
            <v>33</v>
          </cell>
          <cell r="B17">
            <v>32.01</v>
          </cell>
          <cell r="C17">
            <v>47.6</v>
          </cell>
        </row>
        <row r="18">
          <cell r="A18">
            <v>34</v>
          </cell>
          <cell r="B18">
            <v>31.05</v>
          </cell>
          <cell r="C18">
            <v>46.6</v>
          </cell>
        </row>
        <row r="19">
          <cell r="A19">
            <v>35</v>
          </cell>
          <cell r="B19">
            <v>30.08</v>
          </cell>
          <cell r="C19">
            <v>45.7</v>
          </cell>
        </row>
        <row r="20">
          <cell r="A20">
            <v>36</v>
          </cell>
          <cell r="B20">
            <v>29.12</v>
          </cell>
          <cell r="C20">
            <v>44.8</v>
          </cell>
        </row>
        <row r="21">
          <cell r="A21">
            <v>37</v>
          </cell>
          <cell r="B21">
            <v>28.17</v>
          </cell>
          <cell r="C21">
            <v>43.9</v>
          </cell>
        </row>
        <row r="22">
          <cell r="A22">
            <v>38</v>
          </cell>
          <cell r="B22">
            <v>27.21</v>
          </cell>
          <cell r="C22">
            <v>42.9</v>
          </cell>
        </row>
        <row r="23">
          <cell r="A23">
            <v>39</v>
          </cell>
          <cell r="B23">
            <v>26.26</v>
          </cell>
          <cell r="C23">
            <v>42</v>
          </cell>
        </row>
        <row r="24">
          <cell r="A24">
            <v>40</v>
          </cell>
          <cell r="B24">
            <v>25.32</v>
          </cell>
          <cell r="C24">
            <v>41.1</v>
          </cell>
        </row>
        <row r="25">
          <cell r="A25">
            <v>41</v>
          </cell>
          <cell r="B25">
            <v>24.37</v>
          </cell>
          <cell r="C25">
            <v>40.200000000000003</v>
          </cell>
        </row>
        <row r="26">
          <cell r="A26">
            <v>42</v>
          </cell>
          <cell r="B26">
            <v>23.43</v>
          </cell>
          <cell r="C26">
            <v>39.299999999999997</v>
          </cell>
        </row>
        <row r="27">
          <cell r="A27">
            <v>43</v>
          </cell>
          <cell r="B27">
            <v>22.5</v>
          </cell>
          <cell r="C27">
            <v>38.299999999999997</v>
          </cell>
        </row>
        <row r="28">
          <cell r="A28">
            <v>44</v>
          </cell>
          <cell r="B28">
            <v>21.58</v>
          </cell>
          <cell r="C28">
            <v>37.4</v>
          </cell>
        </row>
        <row r="29">
          <cell r="A29">
            <v>45</v>
          </cell>
          <cell r="B29">
            <v>20.67</v>
          </cell>
          <cell r="C29">
            <v>36.5</v>
          </cell>
        </row>
        <row r="30">
          <cell r="A30">
            <v>46</v>
          </cell>
          <cell r="B30">
            <v>19.77</v>
          </cell>
          <cell r="C30">
            <v>35.6</v>
          </cell>
        </row>
        <row r="31">
          <cell r="A31">
            <v>47</v>
          </cell>
          <cell r="B31">
            <v>18.87</v>
          </cell>
          <cell r="C31">
            <v>34.700000000000003</v>
          </cell>
        </row>
        <row r="32">
          <cell r="A32">
            <v>48</v>
          </cell>
          <cell r="B32">
            <v>17.989999999999998</v>
          </cell>
          <cell r="C32">
            <v>33.9</v>
          </cell>
        </row>
        <row r="33">
          <cell r="A33">
            <v>49</v>
          </cell>
          <cell r="B33">
            <v>17.11</v>
          </cell>
          <cell r="C33">
            <v>33</v>
          </cell>
        </row>
        <row r="34">
          <cell r="A34">
            <v>50</v>
          </cell>
          <cell r="B34">
            <v>16.239999999999998</v>
          </cell>
          <cell r="C34">
            <v>32.1</v>
          </cell>
        </row>
        <row r="35">
          <cell r="A35">
            <v>51</v>
          </cell>
          <cell r="B35">
            <v>15.39</v>
          </cell>
          <cell r="C35">
            <v>31.2</v>
          </cell>
        </row>
        <row r="36">
          <cell r="A36">
            <v>52</v>
          </cell>
          <cell r="B36">
            <v>14.55</v>
          </cell>
          <cell r="C36">
            <v>30.3</v>
          </cell>
        </row>
        <row r="37">
          <cell r="A37">
            <v>53</v>
          </cell>
          <cell r="B37">
            <v>13.74</v>
          </cell>
          <cell r="C37">
            <v>29.5</v>
          </cell>
        </row>
        <row r="38">
          <cell r="A38">
            <v>54</v>
          </cell>
          <cell r="B38">
            <v>12.93</v>
          </cell>
          <cell r="C38">
            <v>28.6</v>
          </cell>
        </row>
        <row r="39">
          <cell r="A39">
            <v>55</v>
          </cell>
          <cell r="B39">
            <v>12.15</v>
          </cell>
          <cell r="C39">
            <v>27.8</v>
          </cell>
        </row>
        <row r="40">
          <cell r="A40">
            <v>56</v>
          </cell>
          <cell r="B40">
            <v>11.38</v>
          </cell>
          <cell r="C40">
            <v>26.9</v>
          </cell>
        </row>
        <row r="41">
          <cell r="A41">
            <v>57</v>
          </cell>
          <cell r="B41">
            <v>10.62</v>
          </cell>
          <cell r="C41">
            <v>26.1</v>
          </cell>
        </row>
        <row r="42">
          <cell r="A42">
            <v>58</v>
          </cell>
          <cell r="B42">
            <v>9.8800000000000008</v>
          </cell>
          <cell r="C42">
            <v>25.3</v>
          </cell>
        </row>
        <row r="43">
          <cell r="A43">
            <v>59</v>
          </cell>
          <cell r="B43">
            <v>9.16</v>
          </cell>
          <cell r="C43">
            <v>24.5</v>
          </cell>
        </row>
        <row r="44">
          <cell r="A44">
            <v>60</v>
          </cell>
          <cell r="B44">
            <v>8.48</v>
          </cell>
          <cell r="C44">
            <v>23.7</v>
          </cell>
        </row>
        <row r="45">
          <cell r="A45">
            <v>61</v>
          </cell>
          <cell r="B45">
            <v>7.84</v>
          </cell>
          <cell r="C45">
            <v>22.9</v>
          </cell>
        </row>
        <row r="46">
          <cell r="A46">
            <v>62</v>
          </cell>
          <cell r="B46">
            <v>7.25</v>
          </cell>
          <cell r="C46">
            <v>22.1</v>
          </cell>
        </row>
        <row r="47">
          <cell r="A47">
            <v>63</v>
          </cell>
          <cell r="B47">
            <v>6.7</v>
          </cell>
          <cell r="C47">
            <v>21.3</v>
          </cell>
        </row>
        <row r="48">
          <cell r="A48">
            <v>64</v>
          </cell>
          <cell r="B48">
            <v>6.2</v>
          </cell>
          <cell r="C48">
            <v>20.5</v>
          </cell>
        </row>
        <row r="49">
          <cell r="A49">
            <v>65</v>
          </cell>
          <cell r="B49">
            <v>5.75</v>
          </cell>
          <cell r="C49">
            <v>19.7</v>
          </cell>
        </row>
        <row r="50">
          <cell r="A50">
            <v>66</v>
          </cell>
          <cell r="B50">
            <v>5.36</v>
          </cell>
          <cell r="C50">
            <v>19</v>
          </cell>
        </row>
        <row r="51">
          <cell r="A51">
            <v>67</v>
          </cell>
          <cell r="B51">
            <v>5.03</v>
          </cell>
          <cell r="C51">
            <v>18.2</v>
          </cell>
        </row>
        <row r="52">
          <cell r="A52">
            <v>68</v>
          </cell>
          <cell r="B52">
            <v>4.7300000000000004</v>
          </cell>
          <cell r="C52">
            <v>17.5</v>
          </cell>
        </row>
        <row r="53">
          <cell r="A53">
            <v>69</v>
          </cell>
          <cell r="B53">
            <v>4.46</v>
          </cell>
          <cell r="C53">
            <v>16.7</v>
          </cell>
        </row>
        <row r="54">
          <cell r="A54">
            <v>70</v>
          </cell>
          <cell r="B54">
            <v>4.2</v>
          </cell>
          <cell r="C54">
            <v>16</v>
          </cell>
        </row>
        <row r="55">
          <cell r="A55">
            <v>71</v>
          </cell>
          <cell r="B55">
            <v>3.98</v>
          </cell>
          <cell r="C55">
            <v>15.3</v>
          </cell>
        </row>
        <row r="56">
          <cell r="A56">
            <v>72</v>
          </cell>
          <cell r="B56">
            <v>3.76</v>
          </cell>
          <cell r="C56">
            <v>14.6</v>
          </cell>
        </row>
        <row r="57">
          <cell r="A57">
            <v>73</v>
          </cell>
          <cell r="B57">
            <v>3.57</v>
          </cell>
          <cell r="C57">
            <v>13.8</v>
          </cell>
        </row>
        <row r="58">
          <cell r="A58">
            <v>74</v>
          </cell>
          <cell r="B58">
            <v>3.4</v>
          </cell>
          <cell r="C58">
            <v>13.2</v>
          </cell>
        </row>
        <row r="59">
          <cell r="A59">
            <v>75</v>
          </cell>
          <cell r="B59">
            <v>3.24</v>
          </cell>
          <cell r="C59">
            <v>12.5</v>
          </cell>
        </row>
        <row r="60">
          <cell r="A60">
            <v>76</v>
          </cell>
          <cell r="B60">
            <v>3.09</v>
          </cell>
          <cell r="C60">
            <v>11.8</v>
          </cell>
        </row>
        <row r="61">
          <cell r="A61">
            <v>77</v>
          </cell>
          <cell r="B61">
            <v>2.95</v>
          </cell>
          <cell r="C61">
            <v>11.2</v>
          </cell>
        </row>
        <row r="62">
          <cell r="A62">
            <v>78</v>
          </cell>
          <cell r="B62">
            <v>2.83</v>
          </cell>
          <cell r="C62">
            <v>10.6</v>
          </cell>
        </row>
        <row r="63">
          <cell r="A63">
            <v>79</v>
          </cell>
          <cell r="B63">
            <v>2.72</v>
          </cell>
          <cell r="C63">
            <v>10</v>
          </cell>
        </row>
        <row r="64">
          <cell r="A64">
            <v>80</v>
          </cell>
          <cell r="B64">
            <v>2.61</v>
          </cell>
          <cell r="C64">
            <v>9.4</v>
          </cell>
        </row>
        <row r="65">
          <cell r="A65">
            <v>81</v>
          </cell>
          <cell r="B65">
            <v>2.5099999999999998</v>
          </cell>
          <cell r="C65">
            <v>8.8000000000000007</v>
          </cell>
        </row>
        <row r="66">
          <cell r="A66">
            <v>82</v>
          </cell>
          <cell r="B66">
            <v>2.41</v>
          </cell>
          <cell r="C66">
            <v>8.3000000000000007</v>
          </cell>
        </row>
        <row r="67">
          <cell r="A67">
            <v>83</v>
          </cell>
          <cell r="B67">
            <v>2.3199999999999998</v>
          </cell>
          <cell r="C67">
            <v>7.7</v>
          </cell>
        </row>
        <row r="68">
          <cell r="A68">
            <v>84</v>
          </cell>
          <cell r="B68">
            <v>2.2200000000000002</v>
          </cell>
          <cell r="C68">
            <v>7.2</v>
          </cell>
        </row>
        <row r="69">
          <cell r="A69">
            <v>85</v>
          </cell>
          <cell r="B69">
            <v>2.14</v>
          </cell>
          <cell r="C69">
            <v>6.7</v>
          </cell>
        </row>
        <row r="70">
          <cell r="A70">
            <v>86</v>
          </cell>
          <cell r="B70">
            <v>2.06</v>
          </cell>
          <cell r="C70">
            <v>6.2</v>
          </cell>
        </row>
        <row r="71">
          <cell r="A71">
            <v>87</v>
          </cell>
          <cell r="B71">
            <v>1.98</v>
          </cell>
          <cell r="C71">
            <v>5.8</v>
          </cell>
        </row>
        <row r="72">
          <cell r="A72">
            <v>88</v>
          </cell>
          <cell r="B72">
            <v>1.91</v>
          </cell>
          <cell r="C72">
            <v>5.4</v>
          </cell>
        </row>
        <row r="73">
          <cell r="A73">
            <v>89</v>
          </cell>
          <cell r="B73">
            <v>1.84</v>
          </cell>
          <cell r="C73">
            <v>5</v>
          </cell>
        </row>
        <row r="74">
          <cell r="A74">
            <v>90</v>
          </cell>
          <cell r="B74">
            <v>1.77</v>
          </cell>
          <cell r="C74">
            <v>4.5999999999999996</v>
          </cell>
        </row>
        <row r="75">
          <cell r="C75">
            <v>4.4258570671081543</v>
          </cell>
        </row>
      </sheetData>
      <sheetData sheetId="11" refreshError="1"/>
      <sheetData sheetId="12" refreshError="1">
        <row r="1">
          <cell r="A1" t="str">
            <v>Age</v>
          </cell>
          <cell r="B1" t="str">
            <v>Duration</v>
          </cell>
        </row>
        <row r="2">
          <cell r="A2">
            <v>18</v>
          </cell>
          <cell r="B2">
            <v>40.520000000000003</v>
          </cell>
        </row>
        <row r="3">
          <cell r="A3">
            <v>19</v>
          </cell>
          <cell r="B3">
            <v>39.54</v>
          </cell>
        </row>
        <row r="4">
          <cell r="A4">
            <v>20</v>
          </cell>
          <cell r="B4">
            <v>38.549999999999997</v>
          </cell>
        </row>
        <row r="5">
          <cell r="A5">
            <v>21</v>
          </cell>
          <cell r="B5">
            <v>37.57</v>
          </cell>
        </row>
        <row r="6">
          <cell r="A6">
            <v>22</v>
          </cell>
          <cell r="B6">
            <v>36.590000000000003</v>
          </cell>
        </row>
        <row r="7">
          <cell r="A7">
            <v>23</v>
          </cell>
          <cell r="B7">
            <v>35.61</v>
          </cell>
        </row>
        <row r="8">
          <cell r="A8">
            <v>24</v>
          </cell>
          <cell r="B8">
            <v>34.630000000000003</v>
          </cell>
        </row>
        <row r="9">
          <cell r="A9">
            <v>25</v>
          </cell>
          <cell r="B9">
            <v>33.659999999999997</v>
          </cell>
        </row>
        <row r="10">
          <cell r="A10">
            <v>26</v>
          </cell>
          <cell r="B10">
            <v>32.68</v>
          </cell>
        </row>
        <row r="11">
          <cell r="A11">
            <v>27</v>
          </cell>
          <cell r="B11">
            <v>31.71</v>
          </cell>
        </row>
        <row r="12">
          <cell r="A12">
            <v>28</v>
          </cell>
          <cell r="B12">
            <v>30.74</v>
          </cell>
        </row>
        <row r="13">
          <cell r="A13">
            <v>29</v>
          </cell>
          <cell r="B13">
            <v>29.78</v>
          </cell>
        </row>
        <row r="14">
          <cell r="A14">
            <v>30</v>
          </cell>
          <cell r="B14">
            <v>28.82</v>
          </cell>
        </row>
        <row r="15">
          <cell r="A15">
            <v>31</v>
          </cell>
          <cell r="B15">
            <v>27.86</v>
          </cell>
        </row>
        <row r="16">
          <cell r="A16">
            <v>32</v>
          </cell>
          <cell r="B16">
            <v>26.91</v>
          </cell>
        </row>
        <row r="17">
          <cell r="A17">
            <v>33</v>
          </cell>
          <cell r="B17">
            <v>25.97</v>
          </cell>
        </row>
        <row r="18">
          <cell r="A18">
            <v>34</v>
          </cell>
          <cell r="B18">
            <v>25.03</v>
          </cell>
        </row>
        <row r="19">
          <cell r="A19">
            <v>35</v>
          </cell>
          <cell r="B19">
            <v>24.1</v>
          </cell>
        </row>
        <row r="20">
          <cell r="A20">
            <v>36</v>
          </cell>
          <cell r="B20">
            <v>23.18</v>
          </cell>
        </row>
        <row r="21">
          <cell r="A21">
            <v>37</v>
          </cell>
          <cell r="B21">
            <v>22.27</v>
          </cell>
        </row>
        <row r="22">
          <cell r="A22">
            <v>38</v>
          </cell>
          <cell r="B22">
            <v>21.37</v>
          </cell>
        </row>
        <row r="23">
          <cell r="A23">
            <v>39</v>
          </cell>
          <cell r="B23">
            <v>20.49</v>
          </cell>
        </row>
        <row r="24">
          <cell r="A24">
            <v>40</v>
          </cell>
          <cell r="B24">
            <v>19.61</v>
          </cell>
        </row>
        <row r="25">
          <cell r="A25">
            <v>41</v>
          </cell>
          <cell r="B25">
            <v>18.75</v>
          </cell>
        </row>
        <row r="26">
          <cell r="A26">
            <v>42</v>
          </cell>
          <cell r="B26">
            <v>17.899999999999999</v>
          </cell>
        </row>
        <row r="27">
          <cell r="A27">
            <v>43</v>
          </cell>
          <cell r="B27">
            <v>17.07</v>
          </cell>
        </row>
        <row r="28">
          <cell r="A28">
            <v>44</v>
          </cell>
          <cell r="B28">
            <v>16.260000000000002</v>
          </cell>
        </row>
        <row r="29">
          <cell r="A29">
            <v>45</v>
          </cell>
          <cell r="B29">
            <v>15.46</v>
          </cell>
        </row>
        <row r="30">
          <cell r="A30">
            <v>46</v>
          </cell>
          <cell r="B30">
            <v>14.69</v>
          </cell>
        </row>
        <row r="31">
          <cell r="A31">
            <v>47</v>
          </cell>
          <cell r="B31">
            <v>13.94</v>
          </cell>
        </row>
        <row r="32">
          <cell r="A32">
            <v>48</v>
          </cell>
          <cell r="B32">
            <v>13.21</v>
          </cell>
        </row>
        <row r="33">
          <cell r="A33">
            <v>49</v>
          </cell>
          <cell r="B33">
            <v>12.5</v>
          </cell>
        </row>
        <row r="34">
          <cell r="A34">
            <v>50</v>
          </cell>
          <cell r="B34">
            <v>11.82</v>
          </cell>
        </row>
        <row r="35">
          <cell r="A35">
            <v>51</v>
          </cell>
          <cell r="B35">
            <v>11.16</v>
          </cell>
        </row>
        <row r="36">
          <cell r="A36">
            <v>52</v>
          </cell>
          <cell r="B36">
            <v>10.53</v>
          </cell>
        </row>
        <row r="37">
          <cell r="A37">
            <v>53</v>
          </cell>
          <cell r="B37">
            <v>9.92</v>
          </cell>
        </row>
        <row r="38">
          <cell r="A38">
            <v>54</v>
          </cell>
          <cell r="B38">
            <v>9.34</v>
          </cell>
        </row>
        <row r="39">
          <cell r="A39">
            <v>55</v>
          </cell>
          <cell r="B39">
            <v>8.7899999999999991</v>
          </cell>
        </row>
        <row r="40">
          <cell r="A40">
            <v>56</v>
          </cell>
          <cell r="B40">
            <v>8.26</v>
          </cell>
        </row>
        <row r="41">
          <cell r="A41">
            <v>57</v>
          </cell>
          <cell r="B41">
            <v>7.76</v>
          </cell>
        </row>
        <row r="42">
          <cell r="A42">
            <v>58</v>
          </cell>
          <cell r="B42">
            <v>7.29</v>
          </cell>
        </row>
        <row r="43">
          <cell r="A43">
            <v>59</v>
          </cell>
          <cell r="B43">
            <v>6.85</v>
          </cell>
        </row>
        <row r="44">
          <cell r="A44">
            <v>60</v>
          </cell>
          <cell r="B44">
            <v>6.42</v>
          </cell>
        </row>
        <row r="45">
          <cell r="A45">
            <v>61</v>
          </cell>
          <cell r="B45">
            <v>6.03</v>
          </cell>
        </row>
        <row r="46">
          <cell r="A46">
            <v>62</v>
          </cell>
          <cell r="B46">
            <v>5.66</v>
          </cell>
        </row>
        <row r="47">
          <cell r="A47">
            <v>63</v>
          </cell>
          <cell r="B47">
            <v>5.31</v>
          </cell>
        </row>
        <row r="48">
          <cell r="A48">
            <v>64</v>
          </cell>
          <cell r="B48">
            <v>4.99</v>
          </cell>
        </row>
        <row r="49">
          <cell r="A49">
            <v>65</v>
          </cell>
          <cell r="B49">
            <v>4.68</v>
          </cell>
        </row>
        <row r="50">
          <cell r="A50">
            <v>66</v>
          </cell>
          <cell r="B50">
            <v>4.4000000000000004</v>
          </cell>
        </row>
        <row r="51">
          <cell r="A51">
            <v>67</v>
          </cell>
          <cell r="B51">
            <v>4.1399999999999997</v>
          </cell>
        </row>
        <row r="52">
          <cell r="A52">
            <v>68</v>
          </cell>
          <cell r="B52">
            <v>3.9</v>
          </cell>
        </row>
        <row r="53">
          <cell r="A53">
            <v>69</v>
          </cell>
          <cell r="B53">
            <v>3.68</v>
          </cell>
        </row>
        <row r="54">
          <cell r="A54">
            <v>70</v>
          </cell>
          <cell r="B54">
            <v>3.47</v>
          </cell>
        </row>
        <row r="55">
          <cell r="A55">
            <v>71</v>
          </cell>
          <cell r="B55">
            <v>3.29</v>
          </cell>
        </row>
        <row r="56">
          <cell r="A56">
            <v>72</v>
          </cell>
          <cell r="B56">
            <v>3.11</v>
          </cell>
        </row>
        <row r="57">
          <cell r="A57">
            <v>73</v>
          </cell>
          <cell r="B57">
            <v>2.96</v>
          </cell>
        </row>
        <row r="58">
          <cell r="A58">
            <v>74</v>
          </cell>
          <cell r="B58">
            <v>2.82</v>
          </cell>
        </row>
        <row r="59">
          <cell r="A59">
            <v>75</v>
          </cell>
          <cell r="B59">
            <v>2.69</v>
          </cell>
        </row>
        <row r="60">
          <cell r="A60">
            <v>76</v>
          </cell>
          <cell r="B60">
            <v>2.57</v>
          </cell>
        </row>
        <row r="61">
          <cell r="A61">
            <v>77</v>
          </cell>
          <cell r="B61">
            <v>2.46</v>
          </cell>
        </row>
        <row r="62">
          <cell r="A62">
            <v>78</v>
          </cell>
          <cell r="B62">
            <v>2.36</v>
          </cell>
        </row>
        <row r="63">
          <cell r="A63">
            <v>79</v>
          </cell>
          <cell r="B63">
            <v>2.2599999999999998</v>
          </cell>
        </row>
        <row r="64">
          <cell r="A64">
            <v>80</v>
          </cell>
          <cell r="B64">
            <v>2.1800000000000002</v>
          </cell>
        </row>
        <row r="65">
          <cell r="A65">
            <v>81</v>
          </cell>
          <cell r="B65">
            <v>2.1</v>
          </cell>
        </row>
        <row r="66">
          <cell r="A66">
            <v>82</v>
          </cell>
          <cell r="B66">
            <v>2.02</v>
          </cell>
        </row>
        <row r="67">
          <cell r="A67">
            <v>83</v>
          </cell>
          <cell r="B67">
            <v>1.95</v>
          </cell>
        </row>
        <row r="68">
          <cell r="A68">
            <v>84</v>
          </cell>
          <cell r="B68">
            <v>1.88</v>
          </cell>
        </row>
        <row r="69">
          <cell r="A69">
            <v>85</v>
          </cell>
          <cell r="B69">
            <v>1.81</v>
          </cell>
        </row>
        <row r="70">
          <cell r="A70">
            <v>86</v>
          </cell>
          <cell r="B70">
            <v>1.74</v>
          </cell>
        </row>
        <row r="71">
          <cell r="A71">
            <v>87</v>
          </cell>
          <cell r="B71">
            <v>1.68</v>
          </cell>
        </row>
        <row r="72">
          <cell r="A72">
            <v>88</v>
          </cell>
          <cell r="B72">
            <v>1.62</v>
          </cell>
        </row>
        <row r="73">
          <cell r="A73">
            <v>89</v>
          </cell>
          <cell r="B73">
            <v>1.55</v>
          </cell>
        </row>
        <row r="74">
          <cell r="A74">
            <v>90</v>
          </cell>
          <cell r="B74">
            <v>1.49</v>
          </cell>
        </row>
      </sheetData>
      <sheetData sheetId="13" refreshError="1">
        <row r="1">
          <cell r="A1" t="str">
            <v>Age</v>
          </cell>
          <cell r="B1" t="str">
            <v>Duration</v>
          </cell>
        </row>
        <row r="2">
          <cell r="A2">
            <v>18</v>
          </cell>
          <cell r="B2">
            <v>44.91</v>
          </cell>
        </row>
        <row r="3">
          <cell r="A3">
            <v>19</v>
          </cell>
          <cell r="B3">
            <v>43.92</v>
          </cell>
        </row>
        <row r="4">
          <cell r="A4">
            <v>20</v>
          </cell>
          <cell r="B4">
            <v>42.94</v>
          </cell>
        </row>
        <row r="5">
          <cell r="A5">
            <v>21</v>
          </cell>
          <cell r="B5">
            <v>41.95</v>
          </cell>
        </row>
        <row r="6">
          <cell r="A6">
            <v>22</v>
          </cell>
          <cell r="B6">
            <v>40.97</v>
          </cell>
        </row>
        <row r="7">
          <cell r="A7">
            <v>23</v>
          </cell>
          <cell r="B7">
            <v>39.99</v>
          </cell>
        </row>
        <row r="8">
          <cell r="A8">
            <v>24</v>
          </cell>
          <cell r="B8">
            <v>39.01</v>
          </cell>
        </row>
        <row r="9">
          <cell r="A9">
            <v>25</v>
          </cell>
          <cell r="B9">
            <v>38.04</v>
          </cell>
        </row>
        <row r="10">
          <cell r="A10">
            <v>26</v>
          </cell>
          <cell r="B10">
            <v>37.06</v>
          </cell>
        </row>
        <row r="11">
          <cell r="A11">
            <v>27</v>
          </cell>
          <cell r="B11">
            <v>36.08</v>
          </cell>
        </row>
        <row r="12">
          <cell r="A12">
            <v>28</v>
          </cell>
          <cell r="B12">
            <v>35.11</v>
          </cell>
        </row>
        <row r="13">
          <cell r="A13">
            <v>29</v>
          </cell>
          <cell r="B13">
            <v>34.14</v>
          </cell>
        </row>
        <row r="14">
          <cell r="A14">
            <v>30</v>
          </cell>
          <cell r="B14">
            <v>33.17</v>
          </cell>
        </row>
        <row r="15">
          <cell r="A15">
            <v>31</v>
          </cell>
          <cell r="B15">
            <v>32.200000000000003</v>
          </cell>
        </row>
        <row r="16">
          <cell r="A16">
            <v>32</v>
          </cell>
          <cell r="B16">
            <v>31.24</v>
          </cell>
        </row>
        <row r="17">
          <cell r="A17">
            <v>33</v>
          </cell>
          <cell r="B17">
            <v>30.28</v>
          </cell>
        </row>
        <row r="18">
          <cell r="A18">
            <v>34</v>
          </cell>
          <cell r="B18">
            <v>29.32</v>
          </cell>
        </row>
        <row r="19">
          <cell r="A19">
            <v>35</v>
          </cell>
          <cell r="B19">
            <v>28.36</v>
          </cell>
        </row>
        <row r="20">
          <cell r="A20">
            <v>36</v>
          </cell>
          <cell r="B20">
            <v>27.41</v>
          </cell>
        </row>
        <row r="21">
          <cell r="A21">
            <v>37</v>
          </cell>
          <cell r="B21">
            <v>26.47</v>
          </cell>
        </row>
        <row r="22">
          <cell r="A22">
            <v>38</v>
          </cell>
          <cell r="B22">
            <v>25.53</v>
          </cell>
        </row>
        <row r="23">
          <cell r="A23">
            <v>39</v>
          </cell>
          <cell r="B23">
            <v>24.6</v>
          </cell>
        </row>
        <row r="24">
          <cell r="A24">
            <v>40</v>
          </cell>
          <cell r="B24">
            <v>23.68</v>
          </cell>
        </row>
        <row r="25">
          <cell r="A25">
            <v>41</v>
          </cell>
          <cell r="B25">
            <v>22.78</v>
          </cell>
        </row>
        <row r="26">
          <cell r="A26">
            <v>42</v>
          </cell>
          <cell r="B26">
            <v>21.89</v>
          </cell>
        </row>
        <row r="27">
          <cell r="A27">
            <v>43</v>
          </cell>
          <cell r="B27">
            <v>21.01</v>
          </cell>
        </row>
        <row r="28">
          <cell r="A28">
            <v>44</v>
          </cell>
          <cell r="B28">
            <v>20.16</v>
          </cell>
        </row>
        <row r="29">
          <cell r="A29">
            <v>45</v>
          </cell>
          <cell r="B29">
            <v>19.329999999999998</v>
          </cell>
        </row>
        <row r="30">
          <cell r="A30">
            <v>46</v>
          </cell>
          <cell r="B30">
            <v>18.53</v>
          </cell>
        </row>
        <row r="31">
          <cell r="A31">
            <v>47</v>
          </cell>
          <cell r="B31">
            <v>17.739999999999998</v>
          </cell>
        </row>
        <row r="32">
          <cell r="A32">
            <v>48</v>
          </cell>
          <cell r="B32">
            <v>16.98</v>
          </cell>
        </row>
        <row r="33">
          <cell r="A33">
            <v>49</v>
          </cell>
          <cell r="B33">
            <v>16.23</v>
          </cell>
        </row>
        <row r="34">
          <cell r="A34">
            <v>50</v>
          </cell>
          <cell r="B34">
            <v>15.49</v>
          </cell>
        </row>
        <row r="35">
          <cell r="A35">
            <v>51</v>
          </cell>
          <cell r="B35">
            <v>14.76</v>
          </cell>
        </row>
        <row r="36">
          <cell r="A36">
            <v>52</v>
          </cell>
          <cell r="B36">
            <v>14.05</v>
          </cell>
        </row>
        <row r="37">
          <cell r="A37">
            <v>53</v>
          </cell>
          <cell r="B37">
            <v>13.34</v>
          </cell>
        </row>
        <row r="38">
          <cell r="A38">
            <v>54</v>
          </cell>
          <cell r="B38">
            <v>12.65</v>
          </cell>
        </row>
        <row r="39">
          <cell r="A39">
            <v>55</v>
          </cell>
          <cell r="B39">
            <v>11.97</v>
          </cell>
        </row>
        <row r="40">
          <cell r="A40">
            <v>56</v>
          </cell>
          <cell r="B40">
            <v>11.3</v>
          </cell>
        </row>
        <row r="41">
          <cell r="A41">
            <v>57</v>
          </cell>
          <cell r="B41">
            <v>10.65</v>
          </cell>
        </row>
        <row r="42">
          <cell r="A42">
            <v>58</v>
          </cell>
          <cell r="B42">
            <v>10.029999999999999</v>
          </cell>
        </row>
        <row r="43">
          <cell r="A43">
            <v>59</v>
          </cell>
          <cell r="B43">
            <v>9.43</v>
          </cell>
        </row>
        <row r="44">
          <cell r="A44">
            <v>60</v>
          </cell>
          <cell r="B44">
            <v>8.8699999999999992</v>
          </cell>
        </row>
        <row r="45">
          <cell r="A45">
            <v>61</v>
          </cell>
          <cell r="B45">
            <v>8.34</v>
          </cell>
        </row>
        <row r="46">
          <cell r="A46">
            <v>62</v>
          </cell>
          <cell r="B46">
            <v>7.85</v>
          </cell>
        </row>
        <row r="47">
          <cell r="A47">
            <v>63</v>
          </cell>
          <cell r="B47">
            <v>7.4</v>
          </cell>
        </row>
        <row r="48">
          <cell r="A48">
            <v>64</v>
          </cell>
          <cell r="B48">
            <v>6.97</v>
          </cell>
        </row>
        <row r="49">
          <cell r="A49">
            <v>65</v>
          </cell>
          <cell r="B49">
            <v>6.58</v>
          </cell>
        </row>
        <row r="50">
          <cell r="A50">
            <v>66</v>
          </cell>
          <cell r="B50">
            <v>6.21</v>
          </cell>
        </row>
        <row r="51">
          <cell r="A51">
            <v>67</v>
          </cell>
          <cell r="B51">
            <v>5.87</v>
          </cell>
        </row>
        <row r="52">
          <cell r="A52">
            <v>68</v>
          </cell>
          <cell r="B52">
            <v>5.55</v>
          </cell>
        </row>
        <row r="53">
          <cell r="A53">
            <v>69</v>
          </cell>
          <cell r="B53">
            <v>5.25</v>
          </cell>
        </row>
        <row r="54">
          <cell r="A54">
            <v>70</v>
          </cell>
          <cell r="B54">
            <v>4.97</v>
          </cell>
        </row>
        <row r="55">
          <cell r="A55">
            <v>71</v>
          </cell>
          <cell r="B55">
            <v>4.71</v>
          </cell>
        </row>
        <row r="56">
          <cell r="A56">
            <v>72</v>
          </cell>
          <cell r="B56">
            <v>4.46</v>
          </cell>
        </row>
        <row r="57">
          <cell r="A57">
            <v>73</v>
          </cell>
          <cell r="B57">
            <v>4.2300000000000004</v>
          </cell>
        </row>
        <row r="58">
          <cell r="A58">
            <v>74</v>
          </cell>
          <cell r="B58">
            <v>4.0199999999999996</v>
          </cell>
        </row>
        <row r="59">
          <cell r="A59">
            <v>75</v>
          </cell>
          <cell r="B59">
            <v>3.82</v>
          </cell>
        </row>
        <row r="60">
          <cell r="A60">
            <v>76</v>
          </cell>
          <cell r="B60">
            <v>3.63</v>
          </cell>
        </row>
        <row r="61">
          <cell r="A61">
            <v>77</v>
          </cell>
          <cell r="B61">
            <v>3.46</v>
          </cell>
        </row>
        <row r="62">
          <cell r="A62">
            <v>78</v>
          </cell>
          <cell r="B62">
            <v>3.29</v>
          </cell>
        </row>
        <row r="63">
          <cell r="A63">
            <v>79</v>
          </cell>
          <cell r="B63">
            <v>3.14</v>
          </cell>
        </row>
        <row r="64">
          <cell r="A64">
            <v>80</v>
          </cell>
          <cell r="B64">
            <v>2.99</v>
          </cell>
        </row>
        <row r="65">
          <cell r="A65">
            <v>81</v>
          </cell>
          <cell r="B65">
            <v>2.86</v>
          </cell>
        </row>
        <row r="66">
          <cell r="A66">
            <v>82</v>
          </cell>
          <cell r="B66">
            <v>2.73</v>
          </cell>
        </row>
        <row r="67">
          <cell r="A67">
            <v>83</v>
          </cell>
          <cell r="B67">
            <v>2.6</v>
          </cell>
        </row>
        <row r="68">
          <cell r="A68">
            <v>84</v>
          </cell>
          <cell r="B68">
            <v>2.48</v>
          </cell>
        </row>
        <row r="69">
          <cell r="A69">
            <v>85</v>
          </cell>
          <cell r="B69">
            <v>2.36</v>
          </cell>
        </row>
        <row r="70">
          <cell r="A70">
            <v>86</v>
          </cell>
          <cell r="B70">
            <v>2.2400000000000002</v>
          </cell>
        </row>
        <row r="71">
          <cell r="A71">
            <v>87</v>
          </cell>
          <cell r="B71">
            <v>2.13</v>
          </cell>
        </row>
        <row r="72">
          <cell r="A72">
            <v>88</v>
          </cell>
          <cell r="B72">
            <v>2.02</v>
          </cell>
        </row>
        <row r="73">
          <cell r="A73">
            <v>89</v>
          </cell>
          <cell r="B73">
            <v>1.92</v>
          </cell>
        </row>
        <row r="74">
          <cell r="A74">
            <v>90</v>
          </cell>
          <cell r="B74">
            <v>1.83</v>
          </cell>
        </row>
      </sheetData>
      <sheetData sheetId="14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>
            <v>44.91</v>
          </cell>
        </row>
        <row r="3">
          <cell r="A3">
            <v>19</v>
          </cell>
          <cell r="B3">
            <v>43.92</v>
          </cell>
        </row>
        <row r="4">
          <cell r="A4">
            <v>20</v>
          </cell>
          <cell r="B4">
            <v>42.94</v>
          </cell>
        </row>
        <row r="5">
          <cell r="A5">
            <v>21</v>
          </cell>
          <cell r="B5">
            <v>41.96</v>
          </cell>
        </row>
        <row r="6">
          <cell r="A6">
            <v>22</v>
          </cell>
          <cell r="B6">
            <v>40.97</v>
          </cell>
        </row>
        <row r="7">
          <cell r="A7">
            <v>23</v>
          </cell>
          <cell r="B7">
            <v>39.99</v>
          </cell>
        </row>
        <row r="8">
          <cell r="A8">
            <v>24</v>
          </cell>
          <cell r="B8">
            <v>39.01</v>
          </cell>
        </row>
        <row r="9">
          <cell r="A9">
            <v>25</v>
          </cell>
          <cell r="B9">
            <v>38.04</v>
          </cell>
        </row>
        <row r="10">
          <cell r="A10">
            <v>26</v>
          </cell>
          <cell r="B10">
            <v>37.06</v>
          </cell>
        </row>
        <row r="11">
          <cell r="A11">
            <v>27</v>
          </cell>
          <cell r="B11">
            <v>36.08</v>
          </cell>
        </row>
        <row r="12">
          <cell r="A12">
            <v>28</v>
          </cell>
          <cell r="B12">
            <v>35.11</v>
          </cell>
        </row>
        <row r="13">
          <cell r="A13">
            <v>29</v>
          </cell>
          <cell r="B13">
            <v>34.14</v>
          </cell>
        </row>
        <row r="14">
          <cell r="A14">
            <v>30</v>
          </cell>
          <cell r="B14">
            <v>33.159999999999997</v>
          </cell>
        </row>
        <row r="15">
          <cell r="A15">
            <v>31</v>
          </cell>
          <cell r="B15">
            <v>32.200000000000003</v>
          </cell>
        </row>
        <row r="16">
          <cell r="A16">
            <v>32</v>
          </cell>
          <cell r="B16">
            <v>31.23</v>
          </cell>
        </row>
        <row r="17">
          <cell r="A17">
            <v>33</v>
          </cell>
          <cell r="B17">
            <v>30.27</v>
          </cell>
        </row>
        <row r="18">
          <cell r="A18">
            <v>34</v>
          </cell>
          <cell r="B18">
            <v>29.31</v>
          </cell>
        </row>
        <row r="19">
          <cell r="A19">
            <v>35</v>
          </cell>
          <cell r="B19">
            <v>28.35</v>
          </cell>
        </row>
        <row r="20">
          <cell r="A20">
            <v>36</v>
          </cell>
          <cell r="B20">
            <v>27.4</v>
          </cell>
        </row>
        <row r="21">
          <cell r="A21">
            <v>37</v>
          </cell>
          <cell r="B21">
            <v>26.45</v>
          </cell>
        </row>
        <row r="22">
          <cell r="A22">
            <v>38</v>
          </cell>
          <cell r="B22">
            <v>25.51</v>
          </cell>
        </row>
        <row r="23">
          <cell r="A23">
            <v>39</v>
          </cell>
          <cell r="B23">
            <v>24.57</v>
          </cell>
        </row>
        <row r="24">
          <cell r="A24">
            <v>40</v>
          </cell>
          <cell r="B24">
            <v>23.65</v>
          </cell>
        </row>
        <row r="25">
          <cell r="A25">
            <v>41</v>
          </cell>
          <cell r="B25">
            <v>22.72</v>
          </cell>
        </row>
        <row r="26">
          <cell r="A26">
            <v>42</v>
          </cell>
          <cell r="B26">
            <v>21.81</v>
          </cell>
        </row>
        <row r="27">
          <cell r="A27">
            <v>43</v>
          </cell>
          <cell r="B27">
            <v>20.9</v>
          </cell>
        </row>
        <row r="28">
          <cell r="A28">
            <v>44</v>
          </cell>
          <cell r="B28">
            <v>20.010000000000002</v>
          </cell>
        </row>
        <row r="29">
          <cell r="A29">
            <v>45</v>
          </cell>
          <cell r="B29">
            <v>19.12</v>
          </cell>
        </row>
        <row r="30">
          <cell r="A30">
            <v>46</v>
          </cell>
          <cell r="B30">
            <v>18.25</v>
          </cell>
        </row>
        <row r="31">
          <cell r="A31">
            <v>47</v>
          </cell>
          <cell r="B31">
            <v>17.39</v>
          </cell>
        </row>
        <row r="32">
          <cell r="A32">
            <v>48</v>
          </cell>
          <cell r="B32">
            <v>16.54</v>
          </cell>
        </row>
        <row r="33">
          <cell r="A33">
            <v>49</v>
          </cell>
          <cell r="B33">
            <v>15.7</v>
          </cell>
        </row>
        <row r="34">
          <cell r="A34">
            <v>50</v>
          </cell>
          <cell r="B34">
            <v>14.87</v>
          </cell>
        </row>
        <row r="35">
          <cell r="A35">
            <v>51</v>
          </cell>
          <cell r="B35">
            <v>14.07</v>
          </cell>
        </row>
        <row r="36">
          <cell r="A36">
            <v>52</v>
          </cell>
          <cell r="B36">
            <v>13.28</v>
          </cell>
        </row>
        <row r="37">
          <cell r="A37">
            <v>53</v>
          </cell>
          <cell r="B37">
            <v>12.52</v>
          </cell>
        </row>
        <row r="38">
          <cell r="A38">
            <v>54</v>
          </cell>
          <cell r="B38">
            <v>11.78</v>
          </cell>
        </row>
        <row r="39">
          <cell r="A39">
            <v>55</v>
          </cell>
          <cell r="B39">
            <v>11.04</v>
          </cell>
        </row>
        <row r="40">
          <cell r="A40">
            <v>56</v>
          </cell>
          <cell r="B40">
            <v>10.32</v>
          </cell>
        </row>
        <row r="41">
          <cell r="A41">
            <v>57</v>
          </cell>
          <cell r="B41">
            <v>9.61</v>
          </cell>
        </row>
        <row r="42">
          <cell r="A42">
            <v>58</v>
          </cell>
          <cell r="B42">
            <v>8.91</v>
          </cell>
        </row>
        <row r="43">
          <cell r="A43">
            <v>59</v>
          </cell>
          <cell r="B43">
            <v>8.24</v>
          </cell>
        </row>
        <row r="44">
          <cell r="A44">
            <v>60</v>
          </cell>
          <cell r="B44">
            <v>7.6</v>
          </cell>
        </row>
        <row r="45">
          <cell r="A45">
            <v>61</v>
          </cell>
          <cell r="B45">
            <v>7.01</v>
          </cell>
        </row>
        <row r="46">
          <cell r="A46">
            <v>62</v>
          </cell>
          <cell r="B46">
            <v>6.46</v>
          </cell>
        </row>
        <row r="47">
          <cell r="A47">
            <v>63</v>
          </cell>
          <cell r="B47">
            <v>5.96</v>
          </cell>
        </row>
        <row r="48">
          <cell r="A48">
            <v>64</v>
          </cell>
          <cell r="B48">
            <v>5.52</v>
          </cell>
        </row>
        <row r="49">
          <cell r="A49">
            <v>65</v>
          </cell>
          <cell r="B49">
            <v>5.1100000000000003</v>
          </cell>
        </row>
        <row r="50">
          <cell r="A50">
            <v>66</v>
          </cell>
          <cell r="B50">
            <v>4.74</v>
          </cell>
        </row>
        <row r="51">
          <cell r="A51">
            <v>67</v>
          </cell>
          <cell r="B51">
            <v>4.41</v>
          </cell>
        </row>
        <row r="52">
          <cell r="A52">
            <v>68</v>
          </cell>
          <cell r="B52">
            <v>4.0999999999999996</v>
          </cell>
        </row>
        <row r="53">
          <cell r="A53">
            <v>69</v>
          </cell>
          <cell r="B53">
            <v>3.82</v>
          </cell>
        </row>
        <row r="54">
          <cell r="A54">
            <v>70</v>
          </cell>
          <cell r="B54">
            <v>3.57</v>
          </cell>
        </row>
        <row r="55">
          <cell r="A55">
            <v>71</v>
          </cell>
          <cell r="B55">
            <v>3.33</v>
          </cell>
        </row>
        <row r="56">
          <cell r="A56">
            <v>72</v>
          </cell>
          <cell r="B56">
            <v>3.11</v>
          </cell>
        </row>
        <row r="57">
          <cell r="A57">
            <v>73</v>
          </cell>
          <cell r="B57">
            <v>2.91</v>
          </cell>
        </row>
        <row r="58">
          <cell r="A58">
            <v>74</v>
          </cell>
          <cell r="B58">
            <v>2.73</v>
          </cell>
        </row>
        <row r="59">
          <cell r="A59">
            <v>75</v>
          </cell>
          <cell r="B59">
            <v>2.57</v>
          </cell>
        </row>
        <row r="60">
          <cell r="A60">
            <v>76</v>
          </cell>
          <cell r="B60">
            <v>2.42</v>
          </cell>
        </row>
        <row r="61">
          <cell r="A61">
            <v>77</v>
          </cell>
          <cell r="B61">
            <v>2.29</v>
          </cell>
        </row>
        <row r="62">
          <cell r="A62">
            <v>78</v>
          </cell>
          <cell r="B62">
            <v>2.17</v>
          </cell>
        </row>
        <row r="63">
          <cell r="A63">
            <v>79</v>
          </cell>
          <cell r="B63">
            <v>2.06</v>
          </cell>
        </row>
        <row r="64">
          <cell r="A64">
            <v>80</v>
          </cell>
          <cell r="B64">
            <v>1.97</v>
          </cell>
        </row>
        <row r="65">
          <cell r="A65">
            <v>81</v>
          </cell>
          <cell r="B65">
            <v>1.87</v>
          </cell>
        </row>
        <row r="66">
          <cell r="A66">
            <v>82</v>
          </cell>
          <cell r="B66">
            <v>1.79</v>
          </cell>
        </row>
        <row r="67">
          <cell r="A67">
            <v>83</v>
          </cell>
          <cell r="B67">
            <v>1.71</v>
          </cell>
        </row>
        <row r="68">
          <cell r="A68">
            <v>84</v>
          </cell>
          <cell r="B68">
            <v>1.63</v>
          </cell>
        </row>
        <row r="69">
          <cell r="A69">
            <v>85</v>
          </cell>
          <cell r="B69">
            <v>1.57</v>
          </cell>
        </row>
        <row r="70">
          <cell r="A70">
            <v>86</v>
          </cell>
          <cell r="B70">
            <v>1.5</v>
          </cell>
        </row>
        <row r="71">
          <cell r="A71">
            <v>87</v>
          </cell>
          <cell r="B71">
            <v>1.44</v>
          </cell>
        </row>
        <row r="72">
          <cell r="A72">
            <v>88</v>
          </cell>
          <cell r="B72">
            <v>1.38</v>
          </cell>
        </row>
        <row r="73">
          <cell r="A73">
            <v>89</v>
          </cell>
          <cell r="B73">
            <v>1.32</v>
          </cell>
        </row>
        <row r="74">
          <cell r="A74">
            <v>90</v>
          </cell>
          <cell r="B74">
            <v>1.27</v>
          </cell>
        </row>
      </sheetData>
      <sheetData sheetId="15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>
            <v>44.65</v>
          </cell>
        </row>
        <row r="5">
          <cell r="A5">
            <v>21</v>
          </cell>
          <cell r="B5">
            <v>43.67</v>
          </cell>
        </row>
        <row r="6">
          <cell r="A6">
            <v>22</v>
          </cell>
          <cell r="B6">
            <v>42.69</v>
          </cell>
        </row>
        <row r="7">
          <cell r="A7">
            <v>23</v>
          </cell>
          <cell r="B7">
            <v>41.71</v>
          </cell>
        </row>
        <row r="8">
          <cell r="A8">
            <v>24</v>
          </cell>
          <cell r="B8">
            <v>40.729999999999997</v>
          </cell>
        </row>
        <row r="9">
          <cell r="A9">
            <v>25</v>
          </cell>
          <cell r="B9">
            <v>39.75</v>
          </cell>
        </row>
        <row r="10">
          <cell r="A10">
            <v>26</v>
          </cell>
          <cell r="B10">
            <v>38.770000000000003</v>
          </cell>
        </row>
        <row r="11">
          <cell r="A11">
            <v>27</v>
          </cell>
          <cell r="B11">
            <v>37.79</v>
          </cell>
        </row>
        <row r="12">
          <cell r="A12">
            <v>28</v>
          </cell>
          <cell r="B12">
            <v>36.82</v>
          </cell>
        </row>
        <row r="13">
          <cell r="A13">
            <v>29</v>
          </cell>
          <cell r="B13">
            <v>35.840000000000003</v>
          </cell>
        </row>
        <row r="14">
          <cell r="A14">
            <v>30</v>
          </cell>
          <cell r="B14">
            <v>34.869999999999997</v>
          </cell>
        </row>
        <row r="15">
          <cell r="A15">
            <v>31</v>
          </cell>
          <cell r="B15">
            <v>33.9</v>
          </cell>
        </row>
        <row r="16">
          <cell r="A16">
            <v>32</v>
          </cell>
          <cell r="B16">
            <v>32.93</v>
          </cell>
        </row>
        <row r="17">
          <cell r="A17">
            <v>33</v>
          </cell>
          <cell r="B17">
            <v>31.96</v>
          </cell>
        </row>
        <row r="18">
          <cell r="A18">
            <v>34</v>
          </cell>
          <cell r="B18">
            <v>31</v>
          </cell>
        </row>
        <row r="19">
          <cell r="A19">
            <v>35</v>
          </cell>
          <cell r="B19">
            <v>30.03</v>
          </cell>
        </row>
        <row r="20">
          <cell r="A20">
            <v>36</v>
          </cell>
          <cell r="B20">
            <v>29.07</v>
          </cell>
        </row>
        <row r="21">
          <cell r="A21">
            <v>37</v>
          </cell>
          <cell r="B21">
            <v>28.12</v>
          </cell>
        </row>
        <row r="22">
          <cell r="A22">
            <v>38</v>
          </cell>
          <cell r="B22">
            <v>27.16</v>
          </cell>
        </row>
        <row r="23">
          <cell r="A23">
            <v>39</v>
          </cell>
          <cell r="B23">
            <v>26.22</v>
          </cell>
        </row>
        <row r="24">
          <cell r="A24">
            <v>40</v>
          </cell>
          <cell r="B24">
            <v>25.27</v>
          </cell>
        </row>
        <row r="25">
          <cell r="A25">
            <v>41</v>
          </cell>
          <cell r="B25">
            <v>24.33</v>
          </cell>
        </row>
        <row r="26">
          <cell r="A26">
            <v>42</v>
          </cell>
          <cell r="B26">
            <v>23.4</v>
          </cell>
        </row>
        <row r="27">
          <cell r="A27">
            <v>43</v>
          </cell>
          <cell r="B27">
            <v>22.47</v>
          </cell>
        </row>
        <row r="28">
          <cell r="A28">
            <v>44</v>
          </cell>
          <cell r="B28">
            <v>21.55</v>
          </cell>
        </row>
        <row r="29">
          <cell r="A29">
            <v>45</v>
          </cell>
          <cell r="B29">
            <v>20.64</v>
          </cell>
        </row>
        <row r="30">
          <cell r="A30">
            <v>46</v>
          </cell>
          <cell r="B30">
            <v>19.75</v>
          </cell>
        </row>
        <row r="31">
          <cell r="A31">
            <v>47</v>
          </cell>
          <cell r="B31">
            <v>18.86</v>
          </cell>
        </row>
        <row r="32">
          <cell r="A32">
            <v>48</v>
          </cell>
          <cell r="B32">
            <v>17.98</v>
          </cell>
        </row>
        <row r="33">
          <cell r="A33">
            <v>49</v>
          </cell>
          <cell r="B33">
            <v>17.12</v>
          </cell>
        </row>
        <row r="34">
          <cell r="A34">
            <v>50</v>
          </cell>
          <cell r="B34">
            <v>16.27</v>
          </cell>
        </row>
        <row r="35">
          <cell r="A35">
            <v>51</v>
          </cell>
          <cell r="B35">
            <v>15.43</v>
          </cell>
        </row>
        <row r="36">
          <cell r="A36">
            <v>52</v>
          </cell>
          <cell r="B36">
            <v>14.62</v>
          </cell>
        </row>
        <row r="37">
          <cell r="A37">
            <v>53</v>
          </cell>
          <cell r="B37">
            <v>13.82</v>
          </cell>
        </row>
        <row r="38">
          <cell r="A38">
            <v>54</v>
          </cell>
          <cell r="B38">
            <v>13.05</v>
          </cell>
        </row>
        <row r="39">
          <cell r="A39">
            <v>55</v>
          </cell>
          <cell r="B39">
            <v>12.29</v>
          </cell>
        </row>
        <row r="40">
          <cell r="A40">
            <v>56</v>
          </cell>
          <cell r="B40">
            <v>11.54</v>
          </cell>
        </row>
        <row r="41">
          <cell r="A41">
            <v>57</v>
          </cell>
          <cell r="B41">
            <v>10.8</v>
          </cell>
        </row>
        <row r="42">
          <cell r="A42">
            <v>58</v>
          </cell>
          <cell r="B42">
            <v>10.07</v>
          </cell>
        </row>
        <row r="43">
          <cell r="A43">
            <v>59</v>
          </cell>
          <cell r="B43">
            <v>9.3699999999999992</v>
          </cell>
        </row>
        <row r="44">
          <cell r="A44">
            <v>60</v>
          </cell>
          <cell r="B44">
            <v>8.69</v>
          </cell>
        </row>
        <row r="45">
          <cell r="A45">
            <v>61</v>
          </cell>
          <cell r="B45">
            <v>8.0399999999999991</v>
          </cell>
        </row>
        <row r="46">
          <cell r="A46">
            <v>62</v>
          </cell>
          <cell r="B46">
            <v>7.43</v>
          </cell>
        </row>
        <row r="47">
          <cell r="A47">
            <v>63</v>
          </cell>
          <cell r="B47">
            <v>6.88</v>
          </cell>
        </row>
        <row r="48">
          <cell r="A48">
            <v>64</v>
          </cell>
          <cell r="B48">
            <v>6.37</v>
          </cell>
        </row>
        <row r="49">
          <cell r="A49">
            <v>65</v>
          </cell>
          <cell r="B49">
            <v>5.91</v>
          </cell>
        </row>
        <row r="50">
          <cell r="A50">
            <v>66</v>
          </cell>
          <cell r="B50">
            <v>5.49</v>
          </cell>
        </row>
        <row r="51">
          <cell r="A51">
            <v>67</v>
          </cell>
          <cell r="B51">
            <v>5.12</v>
          </cell>
        </row>
        <row r="52">
          <cell r="A52">
            <v>68</v>
          </cell>
          <cell r="B52">
            <v>4.78</v>
          </cell>
        </row>
        <row r="53">
          <cell r="A53">
            <v>69</v>
          </cell>
          <cell r="B53">
            <v>4.4800000000000004</v>
          </cell>
        </row>
        <row r="54">
          <cell r="A54">
            <v>70</v>
          </cell>
          <cell r="B54">
            <v>4.2</v>
          </cell>
        </row>
        <row r="55">
          <cell r="A55">
            <v>71</v>
          </cell>
          <cell r="B55">
            <v>3.94</v>
          </cell>
        </row>
        <row r="56">
          <cell r="A56">
            <v>72</v>
          </cell>
          <cell r="B56">
            <v>3.7</v>
          </cell>
        </row>
        <row r="57">
          <cell r="A57">
            <v>73</v>
          </cell>
          <cell r="B57">
            <v>3.48</v>
          </cell>
        </row>
        <row r="58">
          <cell r="A58">
            <v>74</v>
          </cell>
          <cell r="B58">
            <v>3.28</v>
          </cell>
        </row>
        <row r="59">
          <cell r="A59">
            <v>75</v>
          </cell>
          <cell r="B59">
            <v>3.1</v>
          </cell>
        </row>
        <row r="60">
          <cell r="A60">
            <v>76</v>
          </cell>
          <cell r="B60">
            <v>2.94</v>
          </cell>
        </row>
        <row r="61">
          <cell r="A61">
            <v>77</v>
          </cell>
          <cell r="B61">
            <v>2.78</v>
          </cell>
        </row>
        <row r="62">
          <cell r="A62">
            <v>78</v>
          </cell>
          <cell r="B62">
            <v>2.64</v>
          </cell>
        </row>
        <row r="63">
          <cell r="A63">
            <v>79</v>
          </cell>
          <cell r="B63">
            <v>2.5099999999999998</v>
          </cell>
        </row>
        <row r="64">
          <cell r="A64">
            <v>80</v>
          </cell>
          <cell r="B64">
            <v>2.39</v>
          </cell>
        </row>
        <row r="65">
          <cell r="A65">
            <v>81</v>
          </cell>
          <cell r="B65">
            <v>2.2799999999999998</v>
          </cell>
        </row>
        <row r="66">
          <cell r="A66">
            <v>82</v>
          </cell>
          <cell r="B66">
            <v>2.17</v>
          </cell>
        </row>
        <row r="67">
          <cell r="A67">
            <v>83</v>
          </cell>
          <cell r="B67">
            <v>2.0699999999999998</v>
          </cell>
        </row>
        <row r="68">
          <cell r="A68">
            <v>84</v>
          </cell>
          <cell r="B68">
            <v>1.98</v>
          </cell>
        </row>
        <row r="69">
          <cell r="A69">
            <v>85</v>
          </cell>
          <cell r="B69">
            <v>1.89</v>
          </cell>
        </row>
        <row r="70">
          <cell r="A70">
            <v>86</v>
          </cell>
          <cell r="B70">
            <v>1.81</v>
          </cell>
        </row>
        <row r="71">
          <cell r="A71">
            <v>87</v>
          </cell>
          <cell r="B71">
            <v>1.73</v>
          </cell>
        </row>
        <row r="72">
          <cell r="A72">
            <v>88</v>
          </cell>
          <cell r="B72">
            <v>1.66</v>
          </cell>
        </row>
        <row r="73">
          <cell r="A73">
            <v>89</v>
          </cell>
          <cell r="B73">
            <v>1.59</v>
          </cell>
        </row>
        <row r="74">
          <cell r="A74">
            <v>90</v>
          </cell>
          <cell r="B74">
            <v>1.52</v>
          </cell>
        </row>
      </sheetData>
      <sheetData sheetId="16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>
            <v>44.76</v>
          </cell>
        </row>
        <row r="6">
          <cell r="A6">
            <v>22</v>
          </cell>
          <cell r="B6">
            <v>43.78</v>
          </cell>
        </row>
        <row r="7">
          <cell r="A7">
            <v>23</v>
          </cell>
          <cell r="B7">
            <v>42.8</v>
          </cell>
        </row>
        <row r="8">
          <cell r="A8">
            <v>24</v>
          </cell>
          <cell r="B8">
            <v>41.82</v>
          </cell>
        </row>
        <row r="9">
          <cell r="A9">
            <v>25</v>
          </cell>
          <cell r="B9">
            <v>40.840000000000003</v>
          </cell>
        </row>
        <row r="10">
          <cell r="A10">
            <v>26</v>
          </cell>
          <cell r="B10">
            <v>39.86</v>
          </cell>
        </row>
        <row r="11">
          <cell r="A11">
            <v>27</v>
          </cell>
          <cell r="B11">
            <v>38.880000000000003</v>
          </cell>
        </row>
        <row r="12">
          <cell r="A12">
            <v>28</v>
          </cell>
          <cell r="B12">
            <v>37.909999999999997</v>
          </cell>
        </row>
        <row r="13">
          <cell r="A13">
            <v>29</v>
          </cell>
          <cell r="B13">
            <v>36.93</v>
          </cell>
        </row>
        <row r="14">
          <cell r="A14">
            <v>30</v>
          </cell>
          <cell r="B14">
            <v>35.950000000000003</v>
          </cell>
        </row>
        <row r="15">
          <cell r="A15">
            <v>31</v>
          </cell>
          <cell r="B15">
            <v>34.979999999999997</v>
          </cell>
        </row>
        <row r="16">
          <cell r="A16">
            <v>32</v>
          </cell>
          <cell r="B16">
            <v>34.01</v>
          </cell>
        </row>
        <row r="17">
          <cell r="A17">
            <v>33</v>
          </cell>
          <cell r="B17">
            <v>33.04</v>
          </cell>
        </row>
        <row r="18">
          <cell r="A18">
            <v>34</v>
          </cell>
          <cell r="B18">
            <v>32.06</v>
          </cell>
        </row>
        <row r="19">
          <cell r="A19">
            <v>35</v>
          </cell>
          <cell r="B19">
            <v>31.1</v>
          </cell>
        </row>
        <row r="20">
          <cell r="A20">
            <v>36</v>
          </cell>
          <cell r="B20">
            <v>30.13</v>
          </cell>
        </row>
        <row r="21">
          <cell r="A21">
            <v>37</v>
          </cell>
          <cell r="B21">
            <v>29.17</v>
          </cell>
        </row>
        <row r="22">
          <cell r="A22">
            <v>38</v>
          </cell>
          <cell r="B22">
            <v>28.2</v>
          </cell>
        </row>
        <row r="23">
          <cell r="A23">
            <v>39</v>
          </cell>
          <cell r="B23">
            <v>27.25</v>
          </cell>
        </row>
        <row r="24">
          <cell r="A24">
            <v>40</v>
          </cell>
          <cell r="B24">
            <v>26.29</v>
          </cell>
        </row>
        <row r="25">
          <cell r="A25">
            <v>41</v>
          </cell>
          <cell r="B25">
            <v>25.34</v>
          </cell>
        </row>
        <row r="26">
          <cell r="A26">
            <v>42</v>
          </cell>
          <cell r="B26">
            <v>24.4</v>
          </cell>
        </row>
        <row r="27">
          <cell r="A27">
            <v>43</v>
          </cell>
          <cell r="B27">
            <v>23.46</v>
          </cell>
        </row>
        <row r="28">
          <cell r="A28">
            <v>44</v>
          </cell>
          <cell r="B28">
            <v>22.52</v>
          </cell>
        </row>
        <row r="29">
          <cell r="A29">
            <v>45</v>
          </cell>
          <cell r="B29">
            <v>21.59</v>
          </cell>
        </row>
        <row r="30">
          <cell r="A30">
            <v>46</v>
          </cell>
          <cell r="B30">
            <v>20.67</v>
          </cell>
        </row>
        <row r="31">
          <cell r="A31">
            <v>47</v>
          </cell>
          <cell r="B31">
            <v>19.760000000000002</v>
          </cell>
        </row>
        <row r="32">
          <cell r="A32">
            <v>48</v>
          </cell>
          <cell r="B32">
            <v>18.850000000000001</v>
          </cell>
        </row>
        <row r="33">
          <cell r="A33">
            <v>49</v>
          </cell>
          <cell r="B33">
            <v>17.95</v>
          </cell>
        </row>
        <row r="34">
          <cell r="A34">
            <v>50</v>
          </cell>
          <cell r="B34">
            <v>17.05</v>
          </cell>
        </row>
        <row r="35">
          <cell r="A35">
            <v>51</v>
          </cell>
          <cell r="B35">
            <v>16.170000000000002</v>
          </cell>
        </row>
        <row r="36">
          <cell r="A36">
            <v>52</v>
          </cell>
          <cell r="B36">
            <v>15.31</v>
          </cell>
        </row>
        <row r="37">
          <cell r="A37">
            <v>53</v>
          </cell>
          <cell r="B37">
            <v>14.45</v>
          </cell>
        </row>
        <row r="38">
          <cell r="A38">
            <v>54</v>
          </cell>
          <cell r="B38">
            <v>13.61</v>
          </cell>
        </row>
        <row r="39">
          <cell r="A39">
            <v>55</v>
          </cell>
          <cell r="B39">
            <v>12.79</v>
          </cell>
        </row>
        <row r="40">
          <cell r="A40">
            <v>56</v>
          </cell>
          <cell r="B40">
            <v>11.98</v>
          </cell>
        </row>
        <row r="41">
          <cell r="A41">
            <v>57</v>
          </cell>
          <cell r="B41">
            <v>11.18</v>
          </cell>
        </row>
        <row r="42">
          <cell r="A42">
            <v>58</v>
          </cell>
          <cell r="B42">
            <v>10.4</v>
          </cell>
        </row>
        <row r="43">
          <cell r="A43">
            <v>59</v>
          </cell>
          <cell r="B43">
            <v>9.66</v>
          </cell>
        </row>
        <row r="44">
          <cell r="A44">
            <v>60</v>
          </cell>
          <cell r="B44">
            <v>8.9700000000000006</v>
          </cell>
        </row>
        <row r="45">
          <cell r="A45">
            <v>61</v>
          </cell>
          <cell r="B45">
            <v>8.33</v>
          </cell>
        </row>
        <row r="46">
          <cell r="A46">
            <v>62</v>
          </cell>
          <cell r="B46">
            <v>7.74</v>
          </cell>
        </row>
        <row r="47">
          <cell r="A47">
            <v>63</v>
          </cell>
          <cell r="B47">
            <v>7.2</v>
          </cell>
        </row>
        <row r="48">
          <cell r="A48">
            <v>64</v>
          </cell>
          <cell r="B48">
            <v>6.7</v>
          </cell>
        </row>
        <row r="49">
          <cell r="A49">
            <v>65</v>
          </cell>
          <cell r="B49">
            <v>6.25</v>
          </cell>
        </row>
        <row r="50">
          <cell r="A50">
            <v>66</v>
          </cell>
          <cell r="B50">
            <v>5.84</v>
          </cell>
        </row>
        <row r="51">
          <cell r="A51">
            <v>67</v>
          </cell>
          <cell r="B51">
            <v>5.47</v>
          </cell>
        </row>
        <row r="52">
          <cell r="A52">
            <v>68</v>
          </cell>
          <cell r="B52">
            <v>5.12</v>
          </cell>
        </row>
        <row r="53">
          <cell r="A53">
            <v>69</v>
          </cell>
          <cell r="B53">
            <v>4.8</v>
          </cell>
        </row>
        <row r="54">
          <cell r="A54">
            <v>70</v>
          </cell>
          <cell r="B54">
            <v>4.5</v>
          </cell>
        </row>
        <row r="55">
          <cell r="A55">
            <v>71</v>
          </cell>
          <cell r="B55">
            <v>4.2300000000000004</v>
          </cell>
        </row>
        <row r="56">
          <cell r="A56">
            <v>72</v>
          </cell>
          <cell r="B56">
            <v>3.98</v>
          </cell>
        </row>
        <row r="57">
          <cell r="A57">
            <v>73</v>
          </cell>
          <cell r="B57">
            <v>3.75</v>
          </cell>
        </row>
        <row r="58">
          <cell r="A58">
            <v>74</v>
          </cell>
          <cell r="B58">
            <v>3.54</v>
          </cell>
        </row>
        <row r="59">
          <cell r="A59">
            <v>75</v>
          </cell>
          <cell r="B59">
            <v>3.35</v>
          </cell>
        </row>
        <row r="60">
          <cell r="A60">
            <v>76</v>
          </cell>
          <cell r="B60">
            <v>3.18</v>
          </cell>
        </row>
        <row r="61">
          <cell r="A61">
            <v>77</v>
          </cell>
          <cell r="B61">
            <v>3.02</v>
          </cell>
        </row>
        <row r="62">
          <cell r="A62">
            <v>78</v>
          </cell>
          <cell r="B62">
            <v>2.88</v>
          </cell>
        </row>
        <row r="63">
          <cell r="A63">
            <v>79</v>
          </cell>
          <cell r="B63">
            <v>2.74</v>
          </cell>
        </row>
        <row r="64">
          <cell r="A64">
            <v>80</v>
          </cell>
          <cell r="B64">
            <v>2.62</v>
          </cell>
        </row>
        <row r="65">
          <cell r="A65">
            <v>81</v>
          </cell>
          <cell r="B65">
            <v>2.5099999999999998</v>
          </cell>
        </row>
        <row r="66">
          <cell r="A66">
            <v>82</v>
          </cell>
          <cell r="B66">
            <v>2.41</v>
          </cell>
        </row>
        <row r="67">
          <cell r="A67">
            <v>83</v>
          </cell>
          <cell r="B67">
            <v>2.31</v>
          </cell>
        </row>
        <row r="68">
          <cell r="A68">
            <v>84</v>
          </cell>
          <cell r="B68">
            <v>2.21</v>
          </cell>
        </row>
        <row r="69">
          <cell r="A69">
            <v>85</v>
          </cell>
          <cell r="B69">
            <v>2.12</v>
          </cell>
        </row>
        <row r="70">
          <cell r="A70">
            <v>86</v>
          </cell>
          <cell r="B70">
            <v>2.04</v>
          </cell>
        </row>
        <row r="71">
          <cell r="A71">
            <v>87</v>
          </cell>
          <cell r="B71">
            <v>1.95</v>
          </cell>
        </row>
        <row r="72">
          <cell r="A72">
            <v>88</v>
          </cell>
          <cell r="B72">
            <v>1.87</v>
          </cell>
        </row>
        <row r="73">
          <cell r="A73">
            <v>89</v>
          </cell>
          <cell r="B73">
            <v>1.79</v>
          </cell>
        </row>
        <row r="74">
          <cell r="A74">
            <v>90</v>
          </cell>
          <cell r="B74">
            <v>1.71</v>
          </cell>
        </row>
      </sheetData>
      <sheetData sheetId="17" refreshError="1">
        <row r="1">
          <cell r="A1" t="str">
            <v>Age</v>
          </cell>
          <cell r="B1" t="str">
            <v>Durtation</v>
          </cell>
        </row>
        <row r="2">
          <cell r="A2">
            <v>18</v>
          </cell>
          <cell r="B2" t="str">
            <v>n/a</v>
          </cell>
        </row>
        <row r="3">
          <cell r="A3">
            <v>19</v>
          </cell>
          <cell r="B3" t="str">
            <v>n/a</v>
          </cell>
        </row>
        <row r="4">
          <cell r="A4">
            <v>20</v>
          </cell>
          <cell r="B4" t="str">
            <v>n/a</v>
          </cell>
        </row>
        <row r="5">
          <cell r="A5">
            <v>21</v>
          </cell>
          <cell r="B5" t="str">
            <v>n/a</v>
          </cell>
        </row>
        <row r="6">
          <cell r="A6">
            <v>22</v>
          </cell>
          <cell r="B6">
            <v>44.63</v>
          </cell>
        </row>
        <row r="7">
          <cell r="A7">
            <v>23</v>
          </cell>
          <cell r="B7">
            <v>43.65</v>
          </cell>
        </row>
        <row r="8">
          <cell r="A8">
            <v>24</v>
          </cell>
          <cell r="B8">
            <v>42.67</v>
          </cell>
        </row>
        <row r="9">
          <cell r="A9">
            <v>25</v>
          </cell>
          <cell r="B9">
            <v>41.69</v>
          </cell>
        </row>
        <row r="10">
          <cell r="A10">
            <v>26</v>
          </cell>
          <cell r="B10">
            <v>40.71</v>
          </cell>
        </row>
        <row r="11">
          <cell r="A11">
            <v>27</v>
          </cell>
          <cell r="B11">
            <v>39.729999999999997</v>
          </cell>
        </row>
        <row r="12">
          <cell r="A12">
            <v>28</v>
          </cell>
          <cell r="B12">
            <v>38.76</v>
          </cell>
        </row>
        <row r="13">
          <cell r="A13">
            <v>29</v>
          </cell>
          <cell r="B13">
            <v>37.78</v>
          </cell>
        </row>
        <row r="14">
          <cell r="A14">
            <v>30</v>
          </cell>
          <cell r="B14">
            <v>36.81</v>
          </cell>
        </row>
        <row r="15">
          <cell r="A15">
            <v>31</v>
          </cell>
          <cell r="B15">
            <v>35.83</v>
          </cell>
        </row>
        <row r="16">
          <cell r="A16">
            <v>32</v>
          </cell>
          <cell r="B16">
            <v>34.86</v>
          </cell>
        </row>
        <row r="17">
          <cell r="A17">
            <v>33</v>
          </cell>
          <cell r="B17">
            <v>33.89</v>
          </cell>
        </row>
        <row r="18">
          <cell r="A18">
            <v>34</v>
          </cell>
          <cell r="B18">
            <v>32.92</v>
          </cell>
        </row>
        <row r="19">
          <cell r="A19">
            <v>35</v>
          </cell>
          <cell r="B19">
            <v>31.95</v>
          </cell>
        </row>
        <row r="20">
          <cell r="A20">
            <v>36</v>
          </cell>
          <cell r="B20">
            <v>30.99</v>
          </cell>
        </row>
        <row r="21">
          <cell r="A21">
            <v>37</v>
          </cell>
          <cell r="B21">
            <v>30.02</v>
          </cell>
        </row>
        <row r="22">
          <cell r="A22">
            <v>38</v>
          </cell>
          <cell r="B22">
            <v>29.06</v>
          </cell>
        </row>
        <row r="23">
          <cell r="A23">
            <v>39</v>
          </cell>
          <cell r="B23">
            <v>28.1</v>
          </cell>
        </row>
        <row r="24">
          <cell r="A24">
            <v>40</v>
          </cell>
          <cell r="B24">
            <v>27.15</v>
          </cell>
        </row>
        <row r="25">
          <cell r="A25">
            <v>41</v>
          </cell>
          <cell r="B25">
            <v>26.19</v>
          </cell>
        </row>
        <row r="26">
          <cell r="A26">
            <v>42</v>
          </cell>
          <cell r="B26">
            <v>25.24</v>
          </cell>
        </row>
        <row r="27">
          <cell r="A27">
            <v>43</v>
          </cell>
          <cell r="B27">
            <v>24.29</v>
          </cell>
        </row>
        <row r="28">
          <cell r="A28">
            <v>44</v>
          </cell>
          <cell r="B28">
            <v>23.34</v>
          </cell>
        </row>
        <row r="29">
          <cell r="A29">
            <v>45</v>
          </cell>
          <cell r="B29">
            <v>22.4</v>
          </cell>
        </row>
        <row r="30">
          <cell r="A30">
            <v>46</v>
          </cell>
          <cell r="B30">
            <v>21.46</v>
          </cell>
        </row>
        <row r="31">
          <cell r="A31">
            <v>47</v>
          </cell>
          <cell r="B31">
            <v>20.53</v>
          </cell>
        </row>
        <row r="32">
          <cell r="A32">
            <v>48</v>
          </cell>
          <cell r="B32">
            <v>19.600000000000001</v>
          </cell>
        </row>
        <row r="33">
          <cell r="A33">
            <v>49</v>
          </cell>
          <cell r="B33">
            <v>18.68</v>
          </cell>
        </row>
        <row r="34">
          <cell r="A34">
            <v>50</v>
          </cell>
          <cell r="B34">
            <v>17.77</v>
          </cell>
        </row>
        <row r="35">
          <cell r="A35">
            <v>51</v>
          </cell>
          <cell r="B35">
            <v>16.86</v>
          </cell>
        </row>
        <row r="36">
          <cell r="A36">
            <v>52</v>
          </cell>
          <cell r="B36">
            <v>15.97</v>
          </cell>
        </row>
        <row r="37">
          <cell r="A37">
            <v>53</v>
          </cell>
          <cell r="B37">
            <v>15.09</v>
          </cell>
        </row>
        <row r="38">
          <cell r="A38">
            <v>54</v>
          </cell>
          <cell r="B38">
            <v>14.22</v>
          </cell>
        </row>
        <row r="39">
          <cell r="A39">
            <v>55</v>
          </cell>
          <cell r="B39">
            <v>13.37</v>
          </cell>
        </row>
        <row r="40">
          <cell r="A40">
            <v>56</v>
          </cell>
          <cell r="B40">
            <v>12.53</v>
          </cell>
        </row>
        <row r="41">
          <cell r="A41">
            <v>57</v>
          </cell>
          <cell r="B41">
            <v>11.72</v>
          </cell>
        </row>
        <row r="42">
          <cell r="A42">
            <v>58</v>
          </cell>
          <cell r="B42">
            <v>10.93</v>
          </cell>
        </row>
        <row r="43">
          <cell r="A43">
            <v>59</v>
          </cell>
          <cell r="B43">
            <v>10.16</v>
          </cell>
        </row>
        <row r="44">
          <cell r="A44">
            <v>60</v>
          </cell>
          <cell r="B44">
            <v>9.43</v>
          </cell>
        </row>
        <row r="45">
          <cell r="A45">
            <v>61</v>
          </cell>
          <cell r="B45">
            <v>8.74</v>
          </cell>
        </row>
        <row r="46">
          <cell r="A46">
            <v>62</v>
          </cell>
          <cell r="B46">
            <v>8.08</v>
          </cell>
        </row>
        <row r="47">
          <cell r="A47">
            <v>63</v>
          </cell>
          <cell r="B47">
            <v>7.47</v>
          </cell>
        </row>
        <row r="48">
          <cell r="A48">
            <v>64</v>
          </cell>
          <cell r="B48">
            <v>6.9</v>
          </cell>
        </row>
        <row r="49">
          <cell r="A49">
            <v>65</v>
          </cell>
          <cell r="B49">
            <v>6.36</v>
          </cell>
        </row>
        <row r="50">
          <cell r="A50">
            <v>66</v>
          </cell>
          <cell r="B50">
            <v>5.85</v>
          </cell>
        </row>
        <row r="51">
          <cell r="A51">
            <v>67</v>
          </cell>
          <cell r="B51">
            <v>5.38</v>
          </cell>
        </row>
        <row r="52">
          <cell r="A52">
            <v>68</v>
          </cell>
          <cell r="B52">
            <v>4.95</v>
          </cell>
        </row>
        <row r="53">
          <cell r="A53">
            <v>69</v>
          </cell>
          <cell r="B53">
            <v>4.54</v>
          </cell>
        </row>
        <row r="54">
          <cell r="A54">
            <v>70</v>
          </cell>
          <cell r="B54">
            <v>4.18</v>
          </cell>
        </row>
        <row r="55">
          <cell r="A55">
            <v>71</v>
          </cell>
          <cell r="B55">
            <v>3.84</v>
          </cell>
        </row>
        <row r="56">
          <cell r="A56">
            <v>72</v>
          </cell>
          <cell r="B56">
            <v>3.55</v>
          </cell>
        </row>
        <row r="57">
          <cell r="A57">
            <v>73</v>
          </cell>
          <cell r="B57">
            <v>3.28</v>
          </cell>
        </row>
        <row r="58">
          <cell r="A58">
            <v>74</v>
          </cell>
          <cell r="B58">
            <v>3.05</v>
          </cell>
        </row>
        <row r="59">
          <cell r="A59">
            <v>75</v>
          </cell>
          <cell r="B59">
            <v>2.83</v>
          </cell>
        </row>
        <row r="60">
          <cell r="A60">
            <v>76</v>
          </cell>
          <cell r="B60">
            <v>2.64</v>
          </cell>
        </row>
        <row r="61">
          <cell r="A61">
            <v>77</v>
          </cell>
          <cell r="B61">
            <v>2.4700000000000002</v>
          </cell>
        </row>
        <row r="62">
          <cell r="A62">
            <v>78</v>
          </cell>
          <cell r="B62">
            <v>2.31</v>
          </cell>
        </row>
        <row r="63">
          <cell r="A63">
            <v>79</v>
          </cell>
          <cell r="B63">
            <v>2.17</v>
          </cell>
        </row>
        <row r="64">
          <cell r="A64">
            <v>80</v>
          </cell>
          <cell r="B64">
            <v>2.0499999999999998</v>
          </cell>
        </row>
        <row r="65">
          <cell r="A65">
            <v>81</v>
          </cell>
          <cell r="B65">
            <v>1.94</v>
          </cell>
        </row>
        <row r="66">
          <cell r="A66">
            <v>82</v>
          </cell>
          <cell r="B66">
            <v>1.83</v>
          </cell>
        </row>
        <row r="67">
          <cell r="A67">
            <v>83</v>
          </cell>
          <cell r="B67">
            <v>1.74</v>
          </cell>
        </row>
        <row r="68">
          <cell r="A68">
            <v>84</v>
          </cell>
          <cell r="B68">
            <v>1.65</v>
          </cell>
        </row>
        <row r="69">
          <cell r="A69">
            <v>85</v>
          </cell>
          <cell r="B69">
            <v>1.56</v>
          </cell>
        </row>
        <row r="70">
          <cell r="A70">
            <v>86</v>
          </cell>
          <cell r="B70">
            <v>1.48</v>
          </cell>
        </row>
        <row r="71">
          <cell r="A71">
            <v>87</v>
          </cell>
          <cell r="B71">
            <v>1.41</v>
          </cell>
        </row>
        <row r="72">
          <cell r="A72">
            <v>88</v>
          </cell>
          <cell r="B72">
            <v>1.34</v>
          </cell>
        </row>
        <row r="73">
          <cell r="A73">
            <v>89</v>
          </cell>
          <cell r="B73">
            <v>1.28</v>
          </cell>
        </row>
        <row r="74">
          <cell r="A74">
            <v>90</v>
          </cell>
          <cell r="B74">
            <v>1.22</v>
          </cell>
        </row>
      </sheetData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LF_ALL"/>
      <sheetName val="M_LF_LTHS"/>
      <sheetName val="M_LF_HS"/>
      <sheetName val="M_LF_SC"/>
      <sheetName val="M_LF_C"/>
      <sheetName val="F_LF_ALL"/>
      <sheetName val="F_LF_LTHS"/>
      <sheetName val="F_LF_HS"/>
      <sheetName val="F_LF_SC"/>
      <sheetName val="F_LF_C"/>
      <sheetName val="M_LF_"/>
      <sheetName val="M_LF_A"/>
      <sheetName val="M_LF_AL"/>
    </sheetNames>
    <sheetDataSet>
      <sheetData sheetId="0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39.844326254828573</v>
          </cell>
          <cell r="C2">
            <v>59.226398468017578</v>
          </cell>
          <cell r="D2">
            <v>77.226398468017578</v>
          </cell>
        </row>
        <row r="3">
          <cell r="A3">
            <v>19</v>
          </cell>
          <cell r="B3">
            <v>39.354004879045682</v>
          </cell>
          <cell r="C3">
            <v>58.270538330078125</v>
          </cell>
          <cell r="D3">
            <v>77.270538330078125</v>
          </cell>
        </row>
        <row r="4">
          <cell r="A4">
            <v>20</v>
          </cell>
          <cell r="B4">
            <v>38.76474908911775</v>
          </cell>
          <cell r="C4">
            <v>57.322044372558594</v>
          </cell>
          <cell r="D4">
            <v>77.322044372558594</v>
          </cell>
        </row>
        <row r="5">
          <cell r="A5">
            <v>21</v>
          </cell>
          <cell r="B5">
            <v>38.136250408259855</v>
          </cell>
          <cell r="C5">
            <v>56.380760192871094</v>
          </cell>
          <cell r="D5">
            <v>77.380760192871094</v>
          </cell>
        </row>
        <row r="6">
          <cell r="A6">
            <v>22</v>
          </cell>
          <cell r="B6">
            <v>37.435676501860364</v>
          </cell>
          <cell r="C6">
            <v>55.445575714111328</v>
          </cell>
          <cell r="D6">
            <v>77.445575714111328</v>
          </cell>
        </row>
        <row r="7">
          <cell r="A7">
            <v>23</v>
          </cell>
          <cell r="B7">
            <v>36.688379754779632</v>
          </cell>
          <cell r="C7">
            <v>54.514438629150391</v>
          </cell>
          <cell r="D7">
            <v>77.514438629150391</v>
          </cell>
        </row>
        <row r="8">
          <cell r="A8">
            <v>24</v>
          </cell>
          <cell r="B8">
            <v>35.885485878493355</v>
          </cell>
          <cell r="C8">
            <v>53.58502197265625</v>
          </cell>
          <cell r="D8">
            <v>77.58502197265625</v>
          </cell>
        </row>
        <row r="9">
          <cell r="A9">
            <v>25</v>
          </cell>
          <cell r="B9">
            <v>35.053636007382792</v>
          </cell>
          <cell r="C9">
            <v>52.655746459960938</v>
          </cell>
          <cell r="D9">
            <v>77.655746459960938</v>
          </cell>
        </row>
        <row r="10">
          <cell r="A10">
            <v>26</v>
          </cell>
          <cell r="B10">
            <v>34.214577915549746</v>
          </cell>
          <cell r="C10">
            <v>51.726089477539062</v>
          </cell>
          <cell r="D10">
            <v>77.726089477539062</v>
          </cell>
        </row>
        <row r="11">
          <cell r="A11">
            <v>27</v>
          </cell>
          <cell r="B11">
            <v>33.344542604737434</v>
          </cell>
          <cell r="C11">
            <v>50.796276092529297</v>
          </cell>
          <cell r="D11">
            <v>77.796276092529297</v>
          </cell>
        </row>
        <row r="12">
          <cell r="A12">
            <v>28</v>
          </cell>
          <cell r="B12">
            <v>32.4626122050256</v>
          </cell>
          <cell r="C12">
            <v>49.866416931152344</v>
          </cell>
          <cell r="D12">
            <v>77.866416931152344</v>
          </cell>
        </row>
        <row r="13">
          <cell r="A13">
            <v>29</v>
          </cell>
          <cell r="B13">
            <v>31.587552016451212</v>
          </cell>
          <cell r="C13">
            <v>48.936855316162109</v>
          </cell>
          <cell r="D13">
            <v>77.936855316162109</v>
          </cell>
        </row>
        <row r="14">
          <cell r="A14">
            <v>30</v>
          </cell>
          <cell r="B14">
            <v>30.694474122735151</v>
          </cell>
          <cell r="C14">
            <v>48.0078125</v>
          </cell>
          <cell r="D14">
            <v>78.0078125</v>
          </cell>
        </row>
        <row r="15">
          <cell r="A15">
            <v>31</v>
          </cell>
          <cell r="B15">
            <v>29.810892769203196</v>
          </cell>
          <cell r="C15">
            <v>47.079330444335938</v>
          </cell>
          <cell r="D15">
            <v>78.079330444335938</v>
          </cell>
        </row>
        <row r="16">
          <cell r="A16">
            <v>32</v>
          </cell>
          <cell r="B16">
            <v>28.904872662452917</v>
          </cell>
          <cell r="C16">
            <v>46.151260375976562</v>
          </cell>
          <cell r="D16">
            <v>78.151260375976562</v>
          </cell>
        </row>
        <row r="17">
          <cell r="A17">
            <v>33</v>
          </cell>
          <cell r="B17">
            <v>28.009073352243867</v>
          </cell>
          <cell r="C17">
            <v>45.223495483398438</v>
          </cell>
          <cell r="D17">
            <v>78.223495483398438</v>
          </cell>
        </row>
        <row r="18">
          <cell r="A18">
            <v>34</v>
          </cell>
          <cell r="B18">
            <v>27.115053371423603</v>
          </cell>
          <cell r="C18">
            <v>44.295932769775391</v>
          </cell>
          <cell r="D18">
            <v>78.295932769775391</v>
          </cell>
        </row>
        <row r="19">
          <cell r="A19">
            <v>35</v>
          </cell>
          <cell r="B19">
            <v>26.215746905991416</v>
          </cell>
          <cell r="C19">
            <v>43.368644714355469</v>
          </cell>
          <cell r="D19">
            <v>78.368644714355469</v>
          </cell>
        </row>
        <row r="20">
          <cell r="A20">
            <v>36</v>
          </cell>
          <cell r="B20">
            <v>25.320020077794954</v>
          </cell>
          <cell r="C20">
            <v>42.442073822021484</v>
          </cell>
          <cell r="D20">
            <v>78.442073822021484</v>
          </cell>
        </row>
        <row r="21">
          <cell r="A21">
            <v>37</v>
          </cell>
          <cell r="B21">
            <v>24.441613919229049</v>
          </cell>
          <cell r="C21">
            <v>41.516731262207031</v>
          </cell>
          <cell r="D21">
            <v>78.516731262207031</v>
          </cell>
        </row>
        <row r="22">
          <cell r="A22">
            <v>38</v>
          </cell>
          <cell r="B22">
            <v>23.552764321287455</v>
          </cell>
          <cell r="C22">
            <v>40.592868804931641</v>
          </cell>
          <cell r="D22">
            <v>78.592868804931641</v>
          </cell>
        </row>
        <row r="23">
          <cell r="A23">
            <v>39</v>
          </cell>
          <cell r="B23">
            <v>22.667581771763153</v>
          </cell>
          <cell r="C23">
            <v>39.670619964599609</v>
          </cell>
          <cell r="D23">
            <v>78.670619964599609</v>
          </cell>
        </row>
        <row r="24">
          <cell r="A24">
            <v>40</v>
          </cell>
          <cell r="B24">
            <v>21.768929327020267</v>
          </cell>
          <cell r="C24">
            <v>38.750217437744141</v>
          </cell>
          <cell r="D24">
            <v>78.750217437744141</v>
          </cell>
        </row>
        <row r="25">
          <cell r="A25">
            <v>41</v>
          </cell>
          <cell r="B25">
            <v>20.877995445384375</v>
          </cell>
          <cell r="C25">
            <v>37.832168579101562</v>
          </cell>
          <cell r="D25">
            <v>78.832168579101562</v>
          </cell>
        </row>
        <row r="26">
          <cell r="A26">
            <v>42</v>
          </cell>
          <cell r="B26">
            <v>19.994365452781054</v>
          </cell>
          <cell r="C26">
            <v>36.91717529296875</v>
          </cell>
          <cell r="D26">
            <v>78.91717529296875</v>
          </cell>
        </row>
        <row r="27">
          <cell r="A27">
            <v>43</v>
          </cell>
          <cell r="B27">
            <v>19.117958727462803</v>
          </cell>
          <cell r="C27">
            <v>36.005893707275391</v>
          </cell>
          <cell r="D27">
            <v>79.005893707275391</v>
          </cell>
        </row>
        <row r="28">
          <cell r="A28">
            <v>44</v>
          </cell>
          <cell r="B28">
            <v>18.251609167947485</v>
          </cell>
          <cell r="C28">
            <v>35.099132537841797</v>
          </cell>
          <cell r="D28">
            <v>79.099132537841797</v>
          </cell>
        </row>
        <row r="29">
          <cell r="A29">
            <v>45</v>
          </cell>
          <cell r="B29">
            <v>17.376952274910124</v>
          </cell>
          <cell r="C29">
            <v>34.197826385498047</v>
          </cell>
          <cell r="D29">
            <v>79.197826385498047</v>
          </cell>
        </row>
        <row r="30">
          <cell r="A30">
            <v>46</v>
          </cell>
          <cell r="B30">
            <v>16.504048359446305</v>
          </cell>
          <cell r="C30">
            <v>33.302375793457031</v>
          </cell>
          <cell r="D30">
            <v>79.302375793457031</v>
          </cell>
        </row>
        <row r="31">
          <cell r="A31">
            <v>47</v>
          </cell>
          <cell r="B31">
            <v>15.632137132744875</v>
          </cell>
          <cell r="C31">
            <v>32.413543701171875</v>
          </cell>
          <cell r="D31">
            <v>79.413543701171875</v>
          </cell>
        </row>
        <row r="32">
          <cell r="A32">
            <v>48</v>
          </cell>
          <cell r="B32">
            <v>14.777617977018465</v>
          </cell>
          <cell r="C32">
            <v>31.532829284667969</v>
          </cell>
          <cell r="D32">
            <v>79.532829284667969</v>
          </cell>
        </row>
        <row r="33">
          <cell r="A33">
            <v>49</v>
          </cell>
          <cell r="B33">
            <v>13.92546707213805</v>
          </cell>
          <cell r="C33">
            <v>30.661586761474609</v>
          </cell>
          <cell r="D33">
            <v>79.661586761474609</v>
          </cell>
        </row>
        <row r="34">
          <cell r="A34">
            <v>50</v>
          </cell>
          <cell r="B34">
            <v>13.078936323360933</v>
          </cell>
          <cell r="C34">
            <v>29.800331115722656</v>
          </cell>
          <cell r="D34">
            <v>79.800331115722656</v>
          </cell>
        </row>
        <row r="35">
          <cell r="A35">
            <v>51</v>
          </cell>
          <cell r="B35">
            <v>12.232964950465862</v>
          </cell>
          <cell r="C35">
            <v>28.948436737060547</v>
          </cell>
          <cell r="D35">
            <v>79.948436737060547</v>
          </cell>
        </row>
        <row r="36">
          <cell r="A36">
            <v>52</v>
          </cell>
          <cell r="B36">
            <v>11.393723208699068</v>
          </cell>
          <cell r="C36">
            <v>28.105339050292969</v>
          </cell>
          <cell r="D36">
            <v>80.105339050292969</v>
          </cell>
        </row>
        <row r="37">
          <cell r="A37">
            <v>53</v>
          </cell>
          <cell r="B37">
            <v>10.579173521202675</v>
          </cell>
          <cell r="C37">
            <v>27.271413803100586</v>
          </cell>
          <cell r="D37">
            <v>80.271413803100586</v>
          </cell>
        </row>
        <row r="38">
          <cell r="A38">
            <v>54</v>
          </cell>
          <cell r="B38">
            <v>9.7641062316890999</v>
          </cell>
          <cell r="C38">
            <v>26.447515487670898</v>
          </cell>
          <cell r="D38">
            <v>80.447515487670898</v>
          </cell>
        </row>
        <row r="39">
          <cell r="A39">
            <v>55</v>
          </cell>
          <cell r="B39">
            <v>8.9619864248664936</v>
          </cell>
          <cell r="C39">
            <v>25.634340286254883</v>
          </cell>
          <cell r="D39">
            <v>80.634340286254883</v>
          </cell>
        </row>
        <row r="40">
          <cell r="A40">
            <v>56</v>
          </cell>
          <cell r="B40">
            <v>8.1920524755171105</v>
          </cell>
          <cell r="C40">
            <v>24.832071304321289</v>
          </cell>
          <cell r="D40">
            <v>80.832071304321289</v>
          </cell>
        </row>
        <row r="41">
          <cell r="A41">
            <v>57</v>
          </cell>
          <cell r="B41">
            <v>7.4316064097085057</v>
          </cell>
          <cell r="C41">
            <v>24.040159225463867</v>
          </cell>
          <cell r="D41">
            <v>81.040159225463867</v>
          </cell>
        </row>
        <row r="42">
          <cell r="A42">
            <v>58</v>
          </cell>
          <cell r="B42">
            <v>6.6938968914364656</v>
          </cell>
          <cell r="C42">
            <v>23.257986068725586</v>
          </cell>
          <cell r="D42">
            <v>81.257986068725586</v>
          </cell>
        </row>
        <row r="43">
          <cell r="A43">
            <v>59</v>
          </cell>
          <cell r="B43">
            <v>5.9918167450516497</v>
          </cell>
          <cell r="C43">
            <v>22.484790802001953</v>
          </cell>
          <cell r="D43">
            <v>81.484790802001953</v>
          </cell>
        </row>
        <row r="44">
          <cell r="A44">
            <v>60</v>
          </cell>
          <cell r="B44">
            <v>5.312704711875071</v>
          </cell>
          <cell r="C44">
            <v>21.720058441162109</v>
          </cell>
          <cell r="D44">
            <v>81.720058441162109</v>
          </cell>
        </row>
        <row r="45">
          <cell r="A45">
            <v>61</v>
          </cell>
          <cell r="B45">
            <v>4.6703965053638212</v>
          </cell>
          <cell r="C45">
            <v>20.964170455932617</v>
          </cell>
          <cell r="D45">
            <v>81.964170455932617</v>
          </cell>
        </row>
        <row r="46">
          <cell r="A46">
            <v>62</v>
          </cell>
          <cell r="B46">
            <v>4.052498182452017</v>
          </cell>
          <cell r="C46">
            <v>20.217365264892578</v>
          </cell>
          <cell r="D46">
            <v>82.217365264892578</v>
          </cell>
        </row>
        <row r="47">
          <cell r="A47">
            <v>63</v>
          </cell>
          <cell r="B47">
            <v>3.5611010872075051</v>
          </cell>
          <cell r="C47">
            <v>19.478679656982422</v>
          </cell>
          <cell r="D47">
            <v>82.478679656982422</v>
          </cell>
        </row>
        <row r="48">
          <cell r="A48">
            <v>64</v>
          </cell>
          <cell r="B48">
            <v>3.1416214478138027</v>
          </cell>
          <cell r="C48">
            <v>18.74650764465332</v>
          </cell>
          <cell r="D48">
            <v>82.74650764465332</v>
          </cell>
        </row>
        <row r="49">
          <cell r="A49">
            <v>65</v>
          </cell>
          <cell r="B49">
            <v>2.7477832873077119</v>
          </cell>
          <cell r="C49">
            <v>18.019563674926758</v>
          </cell>
          <cell r="D49">
            <v>83.019563674926758</v>
          </cell>
        </row>
        <row r="50">
          <cell r="A50">
            <v>66</v>
          </cell>
          <cell r="B50">
            <v>2.4181966569872118</v>
          </cell>
          <cell r="C50">
            <v>17.297126770019531</v>
          </cell>
          <cell r="D50">
            <v>83.297126770019531</v>
          </cell>
        </row>
        <row r="51">
          <cell r="A51">
            <v>67</v>
          </cell>
          <cell r="B51">
            <v>2.1286060154859863</v>
          </cell>
          <cell r="C51">
            <v>16.579896926879883</v>
          </cell>
          <cell r="D51">
            <v>83.579896926879883</v>
          </cell>
        </row>
        <row r="52">
          <cell r="A52">
            <v>68</v>
          </cell>
          <cell r="B52">
            <v>1.8725297782489188</v>
          </cell>
          <cell r="C52">
            <v>15.869210243225098</v>
          </cell>
          <cell r="D52">
            <v>83.869210243225098</v>
          </cell>
        </row>
        <row r="53">
          <cell r="A53">
            <v>69</v>
          </cell>
          <cell r="B53">
            <v>1.6407344810506475</v>
          </cell>
          <cell r="C53">
            <v>15.167427062988281</v>
          </cell>
          <cell r="D53">
            <v>84.167427062988281</v>
          </cell>
        </row>
        <row r="54">
          <cell r="A54">
            <v>70</v>
          </cell>
          <cell r="B54">
            <v>1.4409978305694446</v>
          </cell>
          <cell r="C54">
            <v>14.477643966674805</v>
          </cell>
          <cell r="D54">
            <v>84.477643966674805</v>
          </cell>
        </row>
        <row r="55">
          <cell r="A55">
            <v>71</v>
          </cell>
          <cell r="B55">
            <v>1.2705407761054541</v>
          </cell>
          <cell r="C55">
            <v>13.802268981933594</v>
          </cell>
          <cell r="D55">
            <v>84.802268981933594</v>
          </cell>
        </row>
        <row r="56">
          <cell r="A56">
            <v>72</v>
          </cell>
          <cell r="B56">
            <v>1.1253108090084891</v>
          </cell>
          <cell r="C56">
            <v>13.141961097717285</v>
          </cell>
          <cell r="D56">
            <v>85.141961097717285</v>
          </cell>
        </row>
        <row r="57">
          <cell r="A57">
            <v>73</v>
          </cell>
          <cell r="B57">
            <v>0.96335155633694736</v>
          </cell>
          <cell r="C57">
            <v>12.496655464172363</v>
          </cell>
          <cell r="D57">
            <v>85.496655464172363</v>
          </cell>
        </row>
        <row r="58">
          <cell r="A58">
            <v>74</v>
          </cell>
          <cell r="B58">
            <v>0.83399484308814709</v>
          </cell>
          <cell r="C58">
            <v>11.865200996398926</v>
          </cell>
          <cell r="D58">
            <v>85.865200996398926</v>
          </cell>
        </row>
        <row r="59">
          <cell r="A59">
            <v>75</v>
          </cell>
          <cell r="B59">
            <v>0.71094231289554743</v>
          </cell>
          <cell r="C59">
            <v>11.246445655822754</v>
          </cell>
          <cell r="D59">
            <v>86.246445655822754</v>
          </cell>
        </row>
        <row r="60">
          <cell r="A60">
            <v>76</v>
          </cell>
          <cell r="B60">
            <v>0.61035490341370757</v>
          </cell>
          <cell r="C60">
            <v>10.639824867248535</v>
          </cell>
          <cell r="D60">
            <v>86.639824867248535</v>
          </cell>
        </row>
        <row r="61">
          <cell r="A61">
            <v>77</v>
          </cell>
          <cell r="B61">
            <v>0.5264495622835984</v>
          </cell>
          <cell r="C61">
            <v>10.047480583190918</v>
          </cell>
          <cell r="D61">
            <v>87.047480583190918</v>
          </cell>
        </row>
        <row r="62">
          <cell r="A62">
            <v>78</v>
          </cell>
          <cell r="B62">
            <v>0.45280782359902955</v>
          </cell>
          <cell r="C62">
            <v>9.4718971252441406</v>
          </cell>
          <cell r="D62">
            <v>87.471897125244141</v>
          </cell>
        </row>
        <row r="63">
          <cell r="A63">
            <v>79</v>
          </cell>
          <cell r="B63">
            <v>0.3973427229535475</v>
          </cell>
          <cell r="C63">
            <v>8.9130020141601562</v>
          </cell>
          <cell r="D63">
            <v>87.913002014160156</v>
          </cell>
        </row>
        <row r="64">
          <cell r="A64">
            <v>80</v>
          </cell>
          <cell r="B64">
            <v>0.337010015056731</v>
          </cell>
          <cell r="C64">
            <v>8.3733339309692383</v>
          </cell>
          <cell r="D64">
            <v>88.373333930969238</v>
          </cell>
        </row>
        <row r="65">
          <cell r="A65">
            <v>81</v>
          </cell>
          <cell r="B65">
            <v>0.30546511942219323</v>
          </cell>
          <cell r="C65">
            <v>7.8536624908447266</v>
          </cell>
          <cell r="D65">
            <v>88.853662490844727</v>
          </cell>
        </row>
        <row r="66">
          <cell r="A66">
            <v>82</v>
          </cell>
          <cell r="B66">
            <v>0.27545300403717821</v>
          </cell>
          <cell r="C66">
            <v>7.352750301361084</v>
          </cell>
          <cell r="D66">
            <v>89.352750301361084</v>
          </cell>
        </row>
        <row r="67">
          <cell r="A67">
            <v>83</v>
          </cell>
          <cell r="B67">
            <v>0.23663335751494871</v>
          </cell>
          <cell r="C67">
            <v>6.8708148002624512</v>
          </cell>
          <cell r="D67">
            <v>89.870814800262451</v>
          </cell>
        </row>
        <row r="68">
          <cell r="A68">
            <v>84</v>
          </cell>
          <cell r="B68">
            <v>0.19023661310123952</v>
          </cell>
          <cell r="C68">
            <v>6.4111638069152832</v>
          </cell>
          <cell r="D68">
            <v>90.411163806915283</v>
          </cell>
        </row>
        <row r="69">
          <cell r="A69">
            <v>85</v>
          </cell>
          <cell r="B69">
            <v>0.16780499176472466</v>
          </cell>
          <cell r="C69">
            <v>5.9715776443481445</v>
          </cell>
          <cell r="D69">
            <v>90.971577644348145</v>
          </cell>
        </row>
        <row r="70">
          <cell r="A70">
            <v>86</v>
          </cell>
          <cell r="B70">
            <v>0.14996280125760336</v>
          </cell>
          <cell r="C70">
            <v>5.5555582046508789</v>
          </cell>
          <cell r="D70">
            <v>91.555558204650879</v>
          </cell>
        </row>
        <row r="71">
          <cell r="A71">
            <v>87</v>
          </cell>
          <cell r="B71">
            <v>0.11283963808635684</v>
          </cell>
          <cell r="C71">
            <v>5.164787769317627</v>
          </cell>
          <cell r="D71">
            <v>92.164787769317627</v>
          </cell>
        </row>
        <row r="72">
          <cell r="A72">
            <v>88</v>
          </cell>
          <cell r="B72">
            <v>8.3442503109884589E-2</v>
          </cell>
          <cell r="C72">
            <v>4.798896312713623</v>
          </cell>
          <cell r="D72">
            <v>92.798896312713623</v>
          </cell>
        </row>
        <row r="73">
          <cell r="A73">
            <v>89</v>
          </cell>
          <cell r="B73">
            <v>3.2837693185383744E-2</v>
          </cell>
          <cell r="C73">
            <v>4.4573898315429688</v>
          </cell>
          <cell r="D73">
            <v>93.457389831542969</v>
          </cell>
        </row>
        <row r="74">
          <cell r="A74">
            <v>90</v>
          </cell>
          <cell r="B74">
            <v>1.4799297729376564E-2</v>
          </cell>
          <cell r="C74">
            <v>4.1396608352661133</v>
          </cell>
          <cell r="D74">
            <v>94.139660835266113</v>
          </cell>
        </row>
      </sheetData>
      <sheetData sheetId="1" refreshError="1"/>
      <sheetData sheetId="2" refreshError="1"/>
      <sheetData sheetId="3" refreshError="1"/>
      <sheetData sheetId="4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42.636550787956253</v>
          </cell>
          <cell r="C2">
            <v>59.226398468017578</v>
          </cell>
          <cell r="D2">
            <v>77.226398468017578</v>
          </cell>
        </row>
        <row r="3">
          <cell r="A3">
            <v>19</v>
          </cell>
          <cell r="B3">
            <v>42.636550787956253</v>
          </cell>
          <cell r="C3">
            <v>58.270538330078125</v>
          </cell>
          <cell r="D3">
            <v>77.270538330078125</v>
          </cell>
        </row>
        <row r="4">
          <cell r="A4">
            <v>20</v>
          </cell>
          <cell r="B4">
            <v>42.296523229565842</v>
          </cell>
          <cell r="C4">
            <v>57.322044372558594</v>
          </cell>
          <cell r="D4">
            <v>77.322044372558594</v>
          </cell>
        </row>
        <row r="5">
          <cell r="A5">
            <v>21</v>
          </cell>
          <cell r="B5">
            <v>41.799847194776042</v>
          </cell>
          <cell r="C5">
            <v>56.380760192871094</v>
          </cell>
          <cell r="D5">
            <v>77.380760192871094</v>
          </cell>
        </row>
        <row r="6">
          <cell r="A6">
            <v>22</v>
          </cell>
          <cell r="B6">
            <v>41.146055615511727</v>
          </cell>
          <cell r="C6">
            <v>55.445575714111328</v>
          </cell>
          <cell r="D6">
            <v>77.445575714111328</v>
          </cell>
        </row>
        <row r="7">
          <cell r="A7">
            <v>23</v>
          </cell>
          <cell r="B7">
            <v>40.39646268044541</v>
          </cell>
          <cell r="C7">
            <v>54.514438629150391</v>
          </cell>
          <cell r="D7">
            <v>77.514438629150391</v>
          </cell>
        </row>
        <row r="8">
          <cell r="A8">
            <v>24</v>
          </cell>
          <cell r="B8">
            <v>39.617294263513621</v>
          </cell>
          <cell r="C8">
            <v>53.58502197265625</v>
          </cell>
          <cell r="D8">
            <v>77.58502197265625</v>
          </cell>
        </row>
        <row r="9">
          <cell r="A9">
            <v>25</v>
          </cell>
          <cell r="B9">
            <v>38.763445216174304</v>
          </cell>
          <cell r="C9">
            <v>52.655746459960938</v>
          </cell>
          <cell r="D9">
            <v>77.655746459960938</v>
          </cell>
        </row>
        <row r="10">
          <cell r="A10">
            <v>26</v>
          </cell>
          <cell r="B10">
            <v>37.893748578044281</v>
          </cell>
          <cell r="C10">
            <v>51.726089477539062</v>
          </cell>
          <cell r="D10">
            <v>77.726089477539062</v>
          </cell>
        </row>
        <row r="11">
          <cell r="A11">
            <v>27</v>
          </cell>
          <cell r="B11">
            <v>36.991472744315381</v>
          </cell>
          <cell r="C11">
            <v>50.796276092529297</v>
          </cell>
          <cell r="D11">
            <v>77.796276092529297</v>
          </cell>
        </row>
        <row r="12">
          <cell r="A12">
            <v>28</v>
          </cell>
          <cell r="B12">
            <v>36.075731479161369</v>
          </cell>
          <cell r="C12">
            <v>49.866416931152344</v>
          </cell>
          <cell r="D12">
            <v>77.866416931152344</v>
          </cell>
        </row>
        <row r="13">
          <cell r="A13">
            <v>29</v>
          </cell>
          <cell r="B13">
            <v>35.158609997080681</v>
          </cell>
          <cell r="C13">
            <v>48.936855316162109</v>
          </cell>
          <cell r="D13">
            <v>77.936855316162109</v>
          </cell>
        </row>
        <row r="14">
          <cell r="A14">
            <v>30</v>
          </cell>
          <cell r="B14">
            <v>34.212070195674393</v>
          </cell>
          <cell r="C14">
            <v>48.0078125</v>
          </cell>
          <cell r="D14">
            <v>78.0078125</v>
          </cell>
        </row>
        <row r="15">
          <cell r="A15">
            <v>31</v>
          </cell>
          <cell r="B15">
            <v>33.286436362515055</v>
          </cell>
          <cell r="C15">
            <v>47.079330444335938</v>
          </cell>
          <cell r="D15">
            <v>78.079330444335938</v>
          </cell>
        </row>
        <row r="16">
          <cell r="A16">
            <v>32</v>
          </cell>
          <cell r="B16">
            <v>32.338646737702767</v>
          </cell>
          <cell r="C16">
            <v>46.151260375976562</v>
          </cell>
          <cell r="D16">
            <v>78.151260375976562</v>
          </cell>
        </row>
        <row r="17">
          <cell r="A17">
            <v>33</v>
          </cell>
          <cell r="B17">
            <v>31.39424866606808</v>
          </cell>
          <cell r="C17">
            <v>45.223495483398438</v>
          </cell>
          <cell r="D17">
            <v>78.223495483398438</v>
          </cell>
        </row>
        <row r="18">
          <cell r="A18">
            <v>34</v>
          </cell>
          <cell r="B18">
            <v>30.446835434520587</v>
          </cell>
          <cell r="C18">
            <v>44.295932769775391</v>
          </cell>
          <cell r="D18">
            <v>78.295932769775391</v>
          </cell>
        </row>
        <row r="19">
          <cell r="A19">
            <v>35</v>
          </cell>
          <cell r="B19">
            <v>29.487023833439949</v>
          </cell>
          <cell r="C19">
            <v>43.368644714355469</v>
          </cell>
          <cell r="D19">
            <v>78.368644714355469</v>
          </cell>
        </row>
        <row r="20">
          <cell r="A20">
            <v>36</v>
          </cell>
          <cell r="B20">
            <v>28.542955598867778</v>
          </cell>
          <cell r="C20">
            <v>42.442073822021484</v>
          </cell>
          <cell r="D20">
            <v>78.442073822021484</v>
          </cell>
        </row>
        <row r="21">
          <cell r="A21">
            <v>37</v>
          </cell>
          <cell r="B21">
            <v>27.591405509937104</v>
          </cell>
          <cell r="C21">
            <v>41.516731262207031</v>
          </cell>
          <cell r="D21">
            <v>78.516731262207031</v>
          </cell>
        </row>
        <row r="22">
          <cell r="A22">
            <v>38</v>
          </cell>
          <cell r="B22">
            <v>26.650876095174002</v>
          </cell>
          <cell r="C22">
            <v>40.592868804931641</v>
          </cell>
          <cell r="D22">
            <v>78.592868804931641</v>
          </cell>
        </row>
        <row r="23">
          <cell r="A23">
            <v>39</v>
          </cell>
          <cell r="B23">
            <v>25.706228650143043</v>
          </cell>
          <cell r="C23">
            <v>39.670619964599609</v>
          </cell>
          <cell r="D23">
            <v>78.670619964599609</v>
          </cell>
        </row>
        <row r="24">
          <cell r="A24">
            <v>40</v>
          </cell>
          <cell r="B24">
            <v>24.749045465233369</v>
          </cell>
          <cell r="C24">
            <v>38.750217437744141</v>
          </cell>
          <cell r="D24">
            <v>78.750217437744141</v>
          </cell>
        </row>
        <row r="25">
          <cell r="A25">
            <v>41</v>
          </cell>
          <cell r="B25">
            <v>23.802369358212506</v>
          </cell>
          <cell r="C25">
            <v>37.832168579101562</v>
          </cell>
          <cell r="D25">
            <v>78.832168579101562</v>
          </cell>
        </row>
        <row r="26">
          <cell r="A26">
            <v>42</v>
          </cell>
          <cell r="B26">
            <v>22.856468781715797</v>
          </cell>
          <cell r="C26">
            <v>36.91717529296875</v>
          </cell>
          <cell r="D26">
            <v>78.91717529296875</v>
          </cell>
        </row>
        <row r="27">
          <cell r="A27">
            <v>43</v>
          </cell>
          <cell r="B27">
            <v>21.921978048165759</v>
          </cell>
          <cell r="C27">
            <v>36.005893707275391</v>
          </cell>
          <cell r="D27">
            <v>79.005893707275391</v>
          </cell>
        </row>
        <row r="28">
          <cell r="A28">
            <v>44</v>
          </cell>
          <cell r="B28">
            <v>20.999709302521968</v>
          </cell>
          <cell r="C28">
            <v>35.099132537841797</v>
          </cell>
          <cell r="D28">
            <v>79.099132537841797</v>
          </cell>
        </row>
        <row r="29">
          <cell r="A29">
            <v>45</v>
          </cell>
          <cell r="B29">
            <v>20.062261270154369</v>
          </cell>
          <cell r="C29">
            <v>34.197826385498047</v>
          </cell>
          <cell r="D29">
            <v>79.197826385498047</v>
          </cell>
        </row>
        <row r="30">
          <cell r="A30">
            <v>46</v>
          </cell>
          <cell r="B30">
            <v>19.124546534152898</v>
          </cell>
          <cell r="C30">
            <v>33.302375793457031</v>
          </cell>
          <cell r="D30">
            <v>79.302375793457031</v>
          </cell>
        </row>
        <row r="31">
          <cell r="A31">
            <v>47</v>
          </cell>
          <cell r="B31">
            <v>18.184965578124668</v>
          </cell>
          <cell r="C31">
            <v>32.413543701171875</v>
          </cell>
          <cell r="D31">
            <v>79.413543701171875</v>
          </cell>
        </row>
        <row r="32">
          <cell r="A32">
            <v>48</v>
          </cell>
          <cell r="B32">
            <v>17.269960827891669</v>
          </cell>
          <cell r="C32">
            <v>31.532829284667969</v>
          </cell>
          <cell r="D32">
            <v>79.532829284667969</v>
          </cell>
        </row>
        <row r="33">
          <cell r="A33">
            <v>49</v>
          </cell>
          <cell r="B33">
            <v>16.343994025911361</v>
          </cell>
          <cell r="C33">
            <v>30.661586761474609</v>
          </cell>
          <cell r="D33">
            <v>79.661586761474609</v>
          </cell>
        </row>
        <row r="34">
          <cell r="A34">
            <v>50</v>
          </cell>
          <cell r="B34">
            <v>15.431955896915857</v>
          </cell>
          <cell r="C34">
            <v>29.800331115722656</v>
          </cell>
          <cell r="D34">
            <v>79.800331115722656</v>
          </cell>
        </row>
        <row r="35">
          <cell r="A35">
            <v>51</v>
          </cell>
          <cell r="B35">
            <v>14.524367949557284</v>
          </cell>
          <cell r="C35">
            <v>28.948436737060547</v>
          </cell>
          <cell r="D35">
            <v>79.948436737060547</v>
          </cell>
        </row>
        <row r="36">
          <cell r="A36">
            <v>52</v>
          </cell>
          <cell r="B36">
            <v>13.613273089677103</v>
          </cell>
          <cell r="C36">
            <v>28.105339050292969</v>
          </cell>
          <cell r="D36">
            <v>80.105339050292969</v>
          </cell>
        </row>
        <row r="37">
          <cell r="A37">
            <v>53</v>
          </cell>
          <cell r="B37">
            <v>12.729236786986334</v>
          </cell>
          <cell r="C37">
            <v>27.271413803100586</v>
          </cell>
          <cell r="D37">
            <v>80.271413803100586</v>
          </cell>
        </row>
        <row r="38">
          <cell r="A38">
            <v>54</v>
          </cell>
          <cell r="B38">
            <v>11.847758506087832</v>
          </cell>
          <cell r="C38">
            <v>26.447515487670898</v>
          </cell>
          <cell r="D38">
            <v>80.447515487670898</v>
          </cell>
        </row>
        <row r="39">
          <cell r="A39">
            <v>55</v>
          </cell>
          <cell r="B39">
            <v>10.966949784195311</v>
          </cell>
          <cell r="C39">
            <v>25.634340286254883</v>
          </cell>
          <cell r="D39">
            <v>80.634340286254883</v>
          </cell>
        </row>
        <row r="40">
          <cell r="A40">
            <v>56</v>
          </cell>
          <cell r="B40">
            <v>10.120927467483083</v>
          </cell>
          <cell r="C40">
            <v>24.832071304321289</v>
          </cell>
          <cell r="D40">
            <v>80.832071304321289</v>
          </cell>
        </row>
        <row r="41">
          <cell r="A41">
            <v>57</v>
          </cell>
          <cell r="B41">
            <v>9.2848167923006955</v>
          </cell>
          <cell r="C41">
            <v>24.040159225463867</v>
          </cell>
          <cell r="D41">
            <v>81.040159225463867</v>
          </cell>
        </row>
        <row r="42">
          <cell r="A42">
            <v>58</v>
          </cell>
          <cell r="B42">
            <v>8.4799148349203008</v>
          </cell>
          <cell r="C42">
            <v>23.257986068725586</v>
          </cell>
          <cell r="D42">
            <v>81.257986068725586</v>
          </cell>
        </row>
        <row r="43">
          <cell r="A43">
            <v>59</v>
          </cell>
          <cell r="B43">
            <v>7.6804802142495845</v>
          </cell>
          <cell r="C43">
            <v>22.484790802001953</v>
          </cell>
          <cell r="D43">
            <v>81.484790802001953</v>
          </cell>
        </row>
        <row r="44">
          <cell r="A44">
            <v>60</v>
          </cell>
          <cell r="B44">
            <v>6.9261036404247829</v>
          </cell>
          <cell r="C44">
            <v>21.720058441162109</v>
          </cell>
          <cell r="D44">
            <v>81.720058441162109</v>
          </cell>
        </row>
        <row r="45">
          <cell r="A45">
            <v>61</v>
          </cell>
          <cell r="B45">
            <v>6.2132838360548357</v>
          </cell>
          <cell r="C45">
            <v>20.964170455932617</v>
          </cell>
          <cell r="D45">
            <v>81.964170455932617</v>
          </cell>
        </row>
        <row r="46">
          <cell r="A46">
            <v>62</v>
          </cell>
          <cell r="B46">
            <v>5.5217294762025357</v>
          </cell>
          <cell r="C46">
            <v>20.217365264892578</v>
          </cell>
          <cell r="D46">
            <v>82.217365264892578</v>
          </cell>
        </row>
        <row r="47">
          <cell r="A47">
            <v>63</v>
          </cell>
          <cell r="B47">
            <v>4.9388909214376593</v>
          </cell>
          <cell r="C47">
            <v>19.478679656982422</v>
          </cell>
          <cell r="D47">
            <v>82.478679656982422</v>
          </cell>
        </row>
        <row r="48">
          <cell r="A48">
            <v>64</v>
          </cell>
          <cell r="B48">
            <v>4.4082943172941187</v>
          </cell>
          <cell r="C48">
            <v>18.74650764465332</v>
          </cell>
          <cell r="D48">
            <v>82.74650764465332</v>
          </cell>
        </row>
        <row r="49">
          <cell r="A49">
            <v>65</v>
          </cell>
          <cell r="B49">
            <v>3.9180554942089696</v>
          </cell>
          <cell r="C49">
            <v>18.019563674926758</v>
          </cell>
          <cell r="D49">
            <v>83.019563674926758</v>
          </cell>
        </row>
        <row r="50">
          <cell r="A50">
            <v>66</v>
          </cell>
          <cell r="B50">
            <v>3.5096833773744134</v>
          </cell>
          <cell r="C50">
            <v>17.297126770019531</v>
          </cell>
          <cell r="D50">
            <v>83.297126770019531</v>
          </cell>
        </row>
        <row r="51">
          <cell r="A51">
            <v>67</v>
          </cell>
          <cell r="B51">
            <v>3.1386484512516444</v>
          </cell>
          <cell r="C51">
            <v>16.579896926879883</v>
          </cell>
          <cell r="D51">
            <v>83.579896926879883</v>
          </cell>
        </row>
        <row r="52">
          <cell r="A52">
            <v>68</v>
          </cell>
          <cell r="B52">
            <v>2.7804508006429782</v>
          </cell>
          <cell r="C52">
            <v>15.869210243225098</v>
          </cell>
          <cell r="D52">
            <v>83.869210243225098</v>
          </cell>
        </row>
        <row r="53">
          <cell r="A53">
            <v>69</v>
          </cell>
          <cell r="B53">
            <v>2.4841434078445346</v>
          </cell>
          <cell r="C53">
            <v>15.167427062988281</v>
          </cell>
          <cell r="D53">
            <v>84.167427062988281</v>
          </cell>
        </row>
        <row r="54">
          <cell r="A54">
            <v>70</v>
          </cell>
          <cell r="B54">
            <v>2.2240139422636855</v>
          </cell>
          <cell r="C54">
            <v>14.477643966674805</v>
          </cell>
          <cell r="D54">
            <v>84.477643966674805</v>
          </cell>
        </row>
        <row r="55">
          <cell r="A55">
            <v>71</v>
          </cell>
          <cell r="B55">
            <v>2.0464306906980152</v>
          </cell>
          <cell r="C55">
            <v>13.802268981933594</v>
          </cell>
          <cell r="D55">
            <v>84.802268981933594</v>
          </cell>
        </row>
        <row r="56">
          <cell r="A56">
            <v>72</v>
          </cell>
          <cell r="B56">
            <v>1.8540576539682363</v>
          </cell>
          <cell r="C56">
            <v>13.141961097717285</v>
          </cell>
          <cell r="D56">
            <v>85.141961097717285</v>
          </cell>
        </row>
        <row r="57">
          <cell r="A57">
            <v>73</v>
          </cell>
          <cell r="B57">
            <v>1.6098604908924532</v>
          </cell>
          <cell r="C57">
            <v>12.496655464172363</v>
          </cell>
          <cell r="D57">
            <v>85.496655464172363</v>
          </cell>
        </row>
        <row r="58">
          <cell r="A58">
            <v>74</v>
          </cell>
          <cell r="B58">
            <v>1.4104598336270771</v>
          </cell>
          <cell r="C58">
            <v>11.865200996398926</v>
          </cell>
          <cell r="D58">
            <v>85.865200996398926</v>
          </cell>
        </row>
        <row r="59">
          <cell r="A59">
            <v>75</v>
          </cell>
          <cell r="B59">
            <v>1.2482031549764563</v>
          </cell>
          <cell r="C59">
            <v>11.246445655822754</v>
          </cell>
          <cell r="D59">
            <v>86.246445655822754</v>
          </cell>
        </row>
        <row r="60">
          <cell r="A60">
            <v>76</v>
          </cell>
          <cell r="B60">
            <v>1.1460010726141412</v>
          </cell>
          <cell r="C60">
            <v>10.639824867248535</v>
          </cell>
          <cell r="D60">
            <v>86.639824867248535</v>
          </cell>
        </row>
        <row r="61">
          <cell r="A61">
            <v>77</v>
          </cell>
          <cell r="B61">
            <v>1.066920428784399</v>
          </cell>
          <cell r="C61">
            <v>10.047480583190918</v>
          </cell>
          <cell r="D61">
            <v>87.047480583190918</v>
          </cell>
        </row>
        <row r="62">
          <cell r="A62">
            <v>78</v>
          </cell>
          <cell r="B62">
            <v>0.98739263592205617</v>
          </cell>
          <cell r="C62">
            <v>9.4718971252441406</v>
          </cell>
          <cell r="D62">
            <v>87.471897125244141</v>
          </cell>
        </row>
        <row r="63">
          <cell r="A63">
            <v>79</v>
          </cell>
          <cell r="B63">
            <v>0.91281850995158176</v>
          </cell>
          <cell r="C63">
            <v>8.9130020141601562</v>
          </cell>
          <cell r="D63">
            <v>87.913002014160156</v>
          </cell>
        </row>
        <row r="64">
          <cell r="A64">
            <v>80</v>
          </cell>
          <cell r="B64">
            <v>0.82840205413578216</v>
          </cell>
          <cell r="C64">
            <v>8.3733339309692383</v>
          </cell>
          <cell r="D64">
            <v>88.373333930969238</v>
          </cell>
        </row>
        <row r="65">
          <cell r="A65">
            <v>81</v>
          </cell>
          <cell r="B65">
            <v>0.7513542740078043</v>
          </cell>
          <cell r="C65">
            <v>7.8536624908447266</v>
          </cell>
          <cell r="D65">
            <v>88.853662490844727</v>
          </cell>
        </row>
        <row r="66">
          <cell r="A66">
            <v>82</v>
          </cell>
          <cell r="B66">
            <v>0.62263572536488199</v>
          </cell>
          <cell r="C66">
            <v>7.352750301361084</v>
          </cell>
          <cell r="D66">
            <v>89.352750301361084</v>
          </cell>
        </row>
        <row r="67">
          <cell r="A67">
            <v>83</v>
          </cell>
          <cell r="B67">
            <v>0.53394639774719543</v>
          </cell>
          <cell r="C67">
            <v>6.8708148002624512</v>
          </cell>
          <cell r="D67">
            <v>89.870814800262451</v>
          </cell>
        </row>
        <row r="68">
          <cell r="A68">
            <v>84</v>
          </cell>
          <cell r="B68">
            <v>0.37826412382481728</v>
          </cell>
          <cell r="C68">
            <v>6.4111638069152832</v>
          </cell>
          <cell r="D68">
            <v>90.411163806915283</v>
          </cell>
        </row>
        <row r="69">
          <cell r="A69">
            <v>85</v>
          </cell>
          <cell r="B69">
            <v>0.32786843441671726</v>
          </cell>
          <cell r="C69">
            <v>5.9715776443481445</v>
          </cell>
          <cell r="D69">
            <v>90.971577644348145</v>
          </cell>
        </row>
        <row r="70">
          <cell r="A70">
            <v>86</v>
          </cell>
          <cell r="B70">
            <v>0.23484916602569922</v>
          </cell>
          <cell r="C70">
            <v>5.5555582046508789</v>
          </cell>
          <cell r="D70">
            <v>91.555558204650879</v>
          </cell>
        </row>
        <row r="71">
          <cell r="A71">
            <v>87</v>
          </cell>
          <cell r="B71">
            <v>0.13176610257305812</v>
          </cell>
          <cell r="C71">
            <v>5.164787769317627</v>
          </cell>
          <cell r="D71">
            <v>92.164787769317627</v>
          </cell>
        </row>
        <row r="72">
          <cell r="A72">
            <v>88</v>
          </cell>
          <cell r="B72">
            <v>6.6994585512105229E-2</v>
          </cell>
          <cell r="C72">
            <v>4.798896312713623</v>
          </cell>
          <cell r="D72">
            <v>92.798896312713623</v>
          </cell>
        </row>
        <row r="73">
          <cell r="A73">
            <v>89</v>
          </cell>
          <cell r="B73">
            <v>4.0892518879556153E-2</v>
          </cell>
          <cell r="C73">
            <v>4.4573898315429688</v>
          </cell>
          <cell r="D73">
            <v>93.457389831542969</v>
          </cell>
        </row>
        <row r="74">
          <cell r="A74">
            <v>90</v>
          </cell>
          <cell r="B74">
            <v>1.2611841108620844E-2</v>
          </cell>
          <cell r="C74">
            <v>4.1396608352661133</v>
          </cell>
          <cell r="D74">
            <v>94.139660835266113</v>
          </cell>
        </row>
      </sheetData>
      <sheetData sheetId="5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40.365014824191611</v>
          </cell>
          <cell r="C2">
            <v>63.872165679931641</v>
          </cell>
          <cell r="D2">
            <v>81.872165679931641</v>
          </cell>
        </row>
        <row r="3">
          <cell r="A3">
            <v>19</v>
          </cell>
          <cell r="B3">
            <v>39.861131954761213</v>
          </cell>
          <cell r="C3">
            <v>62.891529083251953</v>
          </cell>
          <cell r="D3">
            <v>81.891529083251953</v>
          </cell>
        </row>
        <row r="4">
          <cell r="A4">
            <v>20</v>
          </cell>
          <cell r="B4">
            <v>39.255607906493388</v>
          </cell>
          <cell r="C4">
            <v>61.912822723388672</v>
          </cell>
          <cell r="D4">
            <v>81.912822723388672</v>
          </cell>
        </row>
        <row r="5">
          <cell r="A5">
            <v>21</v>
          </cell>
          <cell r="B5">
            <v>38.60125445047457</v>
          </cell>
          <cell r="C5">
            <v>60.935985565185547</v>
          </cell>
          <cell r="D5">
            <v>81.935985565185547</v>
          </cell>
        </row>
        <row r="6">
          <cell r="A6">
            <v>22</v>
          </cell>
          <cell r="B6">
            <v>37.891858380204148</v>
          </cell>
          <cell r="C6">
            <v>59.960887908935547</v>
          </cell>
          <cell r="D6">
            <v>81.960887908935547</v>
          </cell>
        </row>
        <row r="7">
          <cell r="A7">
            <v>23</v>
          </cell>
          <cell r="B7">
            <v>37.144049092371731</v>
          </cell>
          <cell r="C7">
            <v>58.987239837646484</v>
          </cell>
          <cell r="D7">
            <v>81.987239837646484</v>
          </cell>
        </row>
        <row r="8">
          <cell r="A8">
            <v>24</v>
          </cell>
          <cell r="B8">
            <v>36.326772503375402</v>
          </cell>
          <cell r="C8">
            <v>58.014751434326172</v>
          </cell>
          <cell r="D8">
            <v>82.014751434326172</v>
          </cell>
        </row>
        <row r="9">
          <cell r="A9">
            <v>25</v>
          </cell>
          <cell r="B9">
            <v>35.475900367425723</v>
          </cell>
          <cell r="C9">
            <v>57.043277740478516</v>
          </cell>
          <cell r="D9">
            <v>82.043277740478516</v>
          </cell>
        </row>
        <row r="10">
          <cell r="A10">
            <v>26</v>
          </cell>
          <cell r="B10">
            <v>34.622912482169895</v>
          </cell>
          <cell r="C10">
            <v>56.072845458984375</v>
          </cell>
          <cell r="D10">
            <v>82.072845458984375</v>
          </cell>
        </row>
        <row r="11">
          <cell r="A11">
            <v>27</v>
          </cell>
          <cell r="B11">
            <v>33.756781313871592</v>
          </cell>
          <cell r="C11">
            <v>55.103530883789062</v>
          </cell>
          <cell r="D11">
            <v>82.103530883789062</v>
          </cell>
        </row>
        <row r="12">
          <cell r="A12">
            <v>28</v>
          </cell>
          <cell r="B12">
            <v>32.882627431680795</v>
          </cell>
          <cell r="C12">
            <v>54.135330200195312</v>
          </cell>
          <cell r="D12">
            <v>82.135330200195312</v>
          </cell>
        </row>
        <row r="13">
          <cell r="A13">
            <v>29</v>
          </cell>
          <cell r="B13">
            <v>32.002844879779978</v>
          </cell>
          <cell r="C13">
            <v>53.168209075927734</v>
          </cell>
          <cell r="D13">
            <v>82.168209075927734</v>
          </cell>
        </row>
        <row r="14">
          <cell r="A14">
            <v>30</v>
          </cell>
          <cell r="B14">
            <v>31.117761598379246</v>
          </cell>
          <cell r="C14">
            <v>52.2021484375</v>
          </cell>
          <cell r="D14">
            <v>82.2021484375</v>
          </cell>
        </row>
        <row r="15">
          <cell r="A15">
            <v>31</v>
          </cell>
          <cell r="B15">
            <v>30.220745482556207</v>
          </cell>
          <cell r="C15">
            <v>51.237228393554688</v>
          </cell>
          <cell r="D15">
            <v>82.237228393554688</v>
          </cell>
        </row>
        <row r="16">
          <cell r="A16">
            <v>32</v>
          </cell>
          <cell r="B16">
            <v>29.321761599182903</v>
          </cell>
          <cell r="C16">
            <v>50.273567199707031</v>
          </cell>
          <cell r="D16">
            <v>82.273567199707031</v>
          </cell>
        </row>
        <row r="17">
          <cell r="A17">
            <v>33</v>
          </cell>
          <cell r="B17">
            <v>28.433552241440406</v>
          </cell>
          <cell r="C17">
            <v>49.311294555664062</v>
          </cell>
          <cell r="D17">
            <v>82.311294555664062</v>
          </cell>
        </row>
        <row r="18">
          <cell r="A18">
            <v>34</v>
          </cell>
          <cell r="B18">
            <v>27.540752005021826</v>
          </cell>
          <cell r="C18">
            <v>48.350601196289062</v>
          </cell>
          <cell r="D18">
            <v>82.350601196289062</v>
          </cell>
        </row>
        <row r="19">
          <cell r="A19">
            <v>35</v>
          </cell>
          <cell r="B19">
            <v>26.648629350988188</v>
          </cell>
          <cell r="C19">
            <v>47.391780853271484</v>
          </cell>
          <cell r="D19">
            <v>82.391780853271484</v>
          </cell>
        </row>
        <row r="20">
          <cell r="A20">
            <v>36</v>
          </cell>
          <cell r="B20">
            <v>25.754232272240948</v>
          </cell>
          <cell r="C20">
            <v>46.435199737548828</v>
          </cell>
          <cell r="D20">
            <v>82.435199737548828</v>
          </cell>
        </row>
        <row r="21">
          <cell r="A21">
            <v>37</v>
          </cell>
          <cell r="B21">
            <v>24.869255165140569</v>
          </cell>
          <cell r="C21">
            <v>45.481174468994141</v>
          </cell>
          <cell r="D21">
            <v>82.481174468994141</v>
          </cell>
        </row>
        <row r="22">
          <cell r="A22">
            <v>38</v>
          </cell>
          <cell r="B22">
            <v>23.975044011601256</v>
          </cell>
          <cell r="C22">
            <v>44.529861450195312</v>
          </cell>
          <cell r="D22">
            <v>82.529861450195312</v>
          </cell>
        </row>
        <row r="23">
          <cell r="A23">
            <v>39</v>
          </cell>
          <cell r="B23">
            <v>23.090389628615316</v>
          </cell>
          <cell r="C23">
            <v>43.581218719482422</v>
          </cell>
          <cell r="D23">
            <v>82.581218719482422</v>
          </cell>
        </row>
        <row r="24">
          <cell r="A24">
            <v>40</v>
          </cell>
          <cell r="B24">
            <v>22.207438134436657</v>
          </cell>
          <cell r="C24">
            <v>42.635211944580078</v>
          </cell>
          <cell r="D24">
            <v>82.635211944580078</v>
          </cell>
        </row>
        <row r="25">
          <cell r="A25">
            <v>41</v>
          </cell>
          <cell r="B25">
            <v>21.313685035218427</v>
          </cell>
          <cell r="C25">
            <v>41.692111968994141</v>
          </cell>
          <cell r="D25">
            <v>82.692111968994141</v>
          </cell>
        </row>
        <row r="26">
          <cell r="A26">
            <v>42</v>
          </cell>
          <cell r="B26">
            <v>20.4302106220463</v>
          </cell>
          <cell r="C26">
            <v>40.752239227294922</v>
          </cell>
          <cell r="D26">
            <v>82.752239227294922</v>
          </cell>
        </row>
        <row r="27">
          <cell r="A27">
            <v>43</v>
          </cell>
          <cell r="B27">
            <v>19.546056250261241</v>
          </cell>
          <cell r="C27">
            <v>39.815711975097656</v>
          </cell>
          <cell r="D27">
            <v>82.815711975097656</v>
          </cell>
        </row>
        <row r="28">
          <cell r="A28">
            <v>44</v>
          </cell>
          <cell r="B28">
            <v>18.674185165114544</v>
          </cell>
          <cell r="C28">
            <v>38.882759094238281</v>
          </cell>
          <cell r="D28">
            <v>82.882759094238281</v>
          </cell>
        </row>
        <row r="29">
          <cell r="A29">
            <v>45</v>
          </cell>
          <cell r="B29">
            <v>17.78577038097767</v>
          </cell>
          <cell r="C29">
            <v>37.953792572021484</v>
          </cell>
          <cell r="D29">
            <v>82.953792572021484</v>
          </cell>
        </row>
        <row r="30">
          <cell r="A30">
            <v>46</v>
          </cell>
          <cell r="B30">
            <v>16.916029500523727</v>
          </cell>
          <cell r="C30">
            <v>37.028934478759766</v>
          </cell>
          <cell r="D30">
            <v>83.028934478759766</v>
          </cell>
        </row>
        <row r="31">
          <cell r="A31">
            <v>47</v>
          </cell>
          <cell r="B31">
            <v>16.040333196259514</v>
          </cell>
          <cell r="C31">
            <v>36.108699798583984</v>
          </cell>
          <cell r="D31">
            <v>83.108699798583984</v>
          </cell>
        </row>
        <row r="32">
          <cell r="A32">
            <v>48</v>
          </cell>
          <cell r="B32">
            <v>15.17449269521447</v>
          </cell>
          <cell r="C32">
            <v>35.194206237792969</v>
          </cell>
          <cell r="D32">
            <v>83.194206237792969</v>
          </cell>
        </row>
        <row r="33">
          <cell r="A33">
            <v>49</v>
          </cell>
          <cell r="B33">
            <v>14.310586700997758</v>
          </cell>
          <cell r="C33">
            <v>34.286487579345703</v>
          </cell>
          <cell r="D33">
            <v>83.286487579345703</v>
          </cell>
        </row>
        <row r="34">
          <cell r="A34">
            <v>50</v>
          </cell>
          <cell r="B34">
            <v>13.45170187118126</v>
          </cell>
          <cell r="C34">
            <v>33.385860443115234</v>
          </cell>
          <cell r="D34">
            <v>83.385860443115234</v>
          </cell>
        </row>
        <row r="35">
          <cell r="A35">
            <v>51</v>
          </cell>
          <cell r="B35">
            <v>12.596275002289737</v>
          </cell>
          <cell r="C35">
            <v>32.491920471191406</v>
          </cell>
          <cell r="D35">
            <v>83.491920471191406</v>
          </cell>
        </row>
        <row r="36">
          <cell r="A36">
            <v>52</v>
          </cell>
          <cell r="B36">
            <v>11.749075305514801</v>
          </cell>
          <cell r="C36">
            <v>31.604093551635742</v>
          </cell>
          <cell r="D36">
            <v>83.604093551635742</v>
          </cell>
        </row>
        <row r="37">
          <cell r="A37">
            <v>53</v>
          </cell>
          <cell r="B37">
            <v>10.917533164300909</v>
          </cell>
          <cell r="C37">
            <v>30.722196578979492</v>
          </cell>
          <cell r="D37">
            <v>83.722196578979492</v>
          </cell>
        </row>
        <row r="38">
          <cell r="A38">
            <v>54</v>
          </cell>
          <cell r="B38">
            <v>10.088042145899191</v>
          </cell>
          <cell r="C38">
            <v>29.846298217773438</v>
          </cell>
          <cell r="D38">
            <v>83.846298217773438</v>
          </cell>
        </row>
        <row r="39">
          <cell r="A39">
            <v>55</v>
          </cell>
          <cell r="B39">
            <v>9.270580237134201</v>
          </cell>
          <cell r="C39">
            <v>28.976541519165039</v>
          </cell>
          <cell r="D39">
            <v>83.976541519165039</v>
          </cell>
        </row>
        <row r="40">
          <cell r="A40">
            <v>56</v>
          </cell>
          <cell r="B40">
            <v>8.4896828640539361</v>
          </cell>
          <cell r="C40">
            <v>28.11314582824707</v>
          </cell>
          <cell r="D40">
            <v>84.11314582824707</v>
          </cell>
        </row>
        <row r="41">
          <cell r="A41">
            <v>57</v>
          </cell>
          <cell r="B41">
            <v>7.7129785310402657</v>
          </cell>
          <cell r="C41">
            <v>27.255947113037109</v>
          </cell>
          <cell r="D41">
            <v>84.255947113037109</v>
          </cell>
        </row>
        <row r="42">
          <cell r="A42">
            <v>58</v>
          </cell>
          <cell r="B42">
            <v>6.969411393718338</v>
          </cell>
          <cell r="C42">
            <v>26.404491424560547</v>
          </cell>
          <cell r="D42">
            <v>84.404491424560547</v>
          </cell>
        </row>
        <row r="43">
          <cell r="A43">
            <v>59</v>
          </cell>
          <cell r="B43">
            <v>6.247015490806537</v>
          </cell>
          <cell r="C43">
            <v>25.5582275390625</v>
          </cell>
          <cell r="D43">
            <v>84.5582275390625</v>
          </cell>
        </row>
        <row r="44">
          <cell r="A44">
            <v>60</v>
          </cell>
          <cell r="B44">
            <v>5.5591824798369762</v>
          </cell>
          <cell r="C44">
            <v>24.716892242431641</v>
          </cell>
          <cell r="D44">
            <v>84.716892242431641</v>
          </cell>
        </row>
        <row r="45">
          <cell r="A45">
            <v>61</v>
          </cell>
          <cell r="B45">
            <v>4.905639492660681</v>
          </cell>
          <cell r="C45">
            <v>23.880647659301758</v>
          </cell>
          <cell r="D45">
            <v>84.880647659301758</v>
          </cell>
        </row>
        <row r="46">
          <cell r="A46">
            <v>62</v>
          </cell>
          <cell r="B46">
            <v>4.283404351858576</v>
          </cell>
          <cell r="C46">
            <v>23.050033569335938</v>
          </cell>
          <cell r="D46">
            <v>85.050033569335938</v>
          </cell>
        </row>
        <row r="47">
          <cell r="A47">
            <v>63</v>
          </cell>
          <cell r="B47">
            <v>3.7847620276503706</v>
          </cell>
          <cell r="C47">
            <v>22.225641250610352</v>
          </cell>
          <cell r="D47">
            <v>85.225641250610352</v>
          </cell>
        </row>
        <row r="48">
          <cell r="A48">
            <v>64</v>
          </cell>
          <cell r="B48">
            <v>3.3529644308135755</v>
          </cell>
          <cell r="C48">
            <v>21.408096313476562</v>
          </cell>
          <cell r="D48">
            <v>85.408096313476562</v>
          </cell>
        </row>
        <row r="49">
          <cell r="A49">
            <v>65</v>
          </cell>
          <cell r="B49">
            <v>2.943018155620337</v>
          </cell>
          <cell r="C49">
            <v>20.597860336303711</v>
          </cell>
          <cell r="D49">
            <v>85.597860336303711</v>
          </cell>
        </row>
        <row r="50">
          <cell r="A50">
            <v>66</v>
          </cell>
          <cell r="B50">
            <v>2.5973501191565136</v>
          </cell>
          <cell r="C50">
            <v>19.795204162597656</v>
          </cell>
          <cell r="D50">
            <v>85.795204162597656</v>
          </cell>
        </row>
        <row r="51">
          <cell r="A51">
            <v>67</v>
          </cell>
          <cell r="B51">
            <v>2.2994677309149467</v>
          </cell>
          <cell r="C51">
            <v>19.000526428222656</v>
          </cell>
          <cell r="D51">
            <v>86.000526428222656</v>
          </cell>
        </row>
        <row r="52">
          <cell r="A52">
            <v>68</v>
          </cell>
          <cell r="B52">
            <v>2.0241625455838146</v>
          </cell>
          <cell r="C52">
            <v>18.214595794677734</v>
          </cell>
          <cell r="D52">
            <v>86.214595794677734</v>
          </cell>
        </row>
        <row r="53">
          <cell r="A53">
            <v>69</v>
          </cell>
          <cell r="B53">
            <v>1.7803951316010622</v>
          </cell>
          <cell r="C53">
            <v>17.438440322875977</v>
          </cell>
          <cell r="D53">
            <v>86.438440322875977</v>
          </cell>
        </row>
        <row r="54">
          <cell r="A54">
            <v>70</v>
          </cell>
          <cell r="B54">
            <v>1.5708182818763468</v>
          </cell>
          <cell r="C54">
            <v>16.673688888549805</v>
          </cell>
          <cell r="D54">
            <v>86.673688888549805</v>
          </cell>
        </row>
        <row r="55">
          <cell r="A55">
            <v>71</v>
          </cell>
          <cell r="B55">
            <v>1.3793311683621114</v>
          </cell>
          <cell r="C55">
            <v>15.922310829162598</v>
          </cell>
          <cell r="D55">
            <v>86.922310829162598</v>
          </cell>
        </row>
        <row r="56">
          <cell r="A56">
            <v>72</v>
          </cell>
          <cell r="B56">
            <v>1.2182098756692732</v>
          </cell>
          <cell r="C56">
            <v>15.18513011932373</v>
          </cell>
          <cell r="D56">
            <v>87.18513011932373</v>
          </cell>
        </row>
        <row r="57">
          <cell r="A57">
            <v>73</v>
          </cell>
          <cell r="B57">
            <v>1.0547182613051223</v>
          </cell>
          <cell r="C57">
            <v>14.461616516113281</v>
          </cell>
          <cell r="D57">
            <v>87.461616516113281</v>
          </cell>
        </row>
        <row r="58">
          <cell r="A58">
            <v>74</v>
          </cell>
          <cell r="B58">
            <v>0.91758398043498834</v>
          </cell>
          <cell r="C58">
            <v>13.751676559448242</v>
          </cell>
          <cell r="D58">
            <v>87.751676559448242</v>
          </cell>
        </row>
        <row r="59">
          <cell r="A59">
            <v>75</v>
          </cell>
          <cell r="B59">
            <v>0.79515981568140193</v>
          </cell>
          <cell r="C59">
            <v>13.054922103881836</v>
          </cell>
          <cell r="D59">
            <v>88.054922103881836</v>
          </cell>
        </row>
        <row r="60">
          <cell r="A60">
            <v>76</v>
          </cell>
          <cell r="B60">
            <v>0.69001022584937377</v>
          </cell>
          <cell r="C60">
            <v>12.371284484863281</v>
          </cell>
          <cell r="D60">
            <v>88.371284484863281</v>
          </cell>
        </row>
        <row r="61">
          <cell r="A61">
            <v>77</v>
          </cell>
          <cell r="B61">
            <v>0.59980843316895283</v>
          </cell>
          <cell r="C61">
            <v>11.70255184173584</v>
          </cell>
          <cell r="D61">
            <v>88.70255184173584</v>
          </cell>
        </row>
        <row r="62">
          <cell r="A62">
            <v>78</v>
          </cell>
          <cell r="B62">
            <v>0.52743190098133474</v>
          </cell>
          <cell r="C62">
            <v>11.050078392028809</v>
          </cell>
          <cell r="D62">
            <v>89.050078392028809</v>
          </cell>
        </row>
        <row r="63">
          <cell r="A63">
            <v>79</v>
          </cell>
          <cell r="B63">
            <v>0.46868194738206082</v>
          </cell>
          <cell r="C63">
            <v>10.41677188873291</v>
          </cell>
          <cell r="D63">
            <v>89.41677188873291</v>
          </cell>
        </row>
        <row r="64">
          <cell r="A64">
            <v>80</v>
          </cell>
          <cell r="B64">
            <v>0.40402273140667477</v>
          </cell>
          <cell r="C64">
            <v>9.8058223724365234</v>
          </cell>
          <cell r="D64">
            <v>89.805822372436523</v>
          </cell>
        </row>
        <row r="65">
          <cell r="A65">
            <v>81</v>
          </cell>
          <cell r="B65">
            <v>0.35899102664896332</v>
          </cell>
          <cell r="C65">
            <v>9.2150888442993164</v>
          </cell>
          <cell r="D65">
            <v>90.215088844299316</v>
          </cell>
        </row>
        <row r="66">
          <cell r="A66">
            <v>82</v>
          </cell>
          <cell r="B66">
            <v>0.30625621906701506</v>
          </cell>
          <cell r="C66">
            <v>8.6439800262451172</v>
          </cell>
          <cell r="D66">
            <v>90.643980026245117</v>
          </cell>
        </row>
        <row r="67">
          <cell r="A67">
            <v>83</v>
          </cell>
          <cell r="B67">
            <v>0.26130129527921925</v>
          </cell>
          <cell r="C67">
            <v>8.0912103652954102</v>
          </cell>
          <cell r="D67">
            <v>91.09121036529541</v>
          </cell>
        </row>
        <row r="68">
          <cell r="A68">
            <v>84</v>
          </cell>
          <cell r="B68">
            <v>0.20465331624231328</v>
          </cell>
          <cell r="C68">
            <v>7.560204029083252</v>
          </cell>
          <cell r="D68">
            <v>91.560204029083252</v>
          </cell>
        </row>
        <row r="69">
          <cell r="A69">
            <v>85</v>
          </cell>
          <cell r="B69">
            <v>0.17236823720081426</v>
          </cell>
          <cell r="C69">
            <v>7.0537247657775879</v>
          </cell>
          <cell r="D69">
            <v>92.053724765777588</v>
          </cell>
        </row>
        <row r="70">
          <cell r="A70">
            <v>86</v>
          </cell>
          <cell r="B70">
            <v>0.14931926951667737</v>
          </cell>
          <cell r="C70">
            <v>6.5675797462463379</v>
          </cell>
          <cell r="D70">
            <v>92.567579746246338</v>
          </cell>
        </row>
        <row r="71">
          <cell r="A71">
            <v>87</v>
          </cell>
          <cell r="B71">
            <v>0.11074683929412094</v>
          </cell>
          <cell r="C71">
            <v>6.1079006195068359</v>
          </cell>
          <cell r="D71">
            <v>93.107900619506836</v>
          </cell>
        </row>
        <row r="72">
          <cell r="A72">
            <v>88</v>
          </cell>
          <cell r="B72">
            <v>8.7611046690674932E-2</v>
          </cell>
          <cell r="C72">
            <v>5.6746540069580078</v>
          </cell>
          <cell r="D72">
            <v>93.674654006958008</v>
          </cell>
        </row>
        <row r="73">
          <cell r="A73">
            <v>89</v>
          </cell>
          <cell r="B73">
            <v>3.4611079781739287E-2</v>
          </cell>
          <cell r="C73">
            <v>5.2676663398742676</v>
          </cell>
          <cell r="D73">
            <v>94.267666339874268</v>
          </cell>
        </row>
        <row r="74">
          <cell r="A74">
            <v>90</v>
          </cell>
          <cell r="B74">
            <v>1.5637184759941126E-2</v>
          </cell>
          <cell r="C74">
            <v>4.8866267204284668</v>
          </cell>
          <cell r="D74">
            <v>94.886626720428467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LF_ALL"/>
      <sheetName val="M_LF_LTHS"/>
      <sheetName val="M_LF_HS"/>
      <sheetName val="M_LF_SC"/>
      <sheetName val="M_LF_C"/>
      <sheetName val="F_LF_ALL"/>
      <sheetName val="F_LF_LTHS"/>
      <sheetName val="F_LF_HS"/>
      <sheetName val="F_LF_SC"/>
      <sheetName val="F_LF_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Age</v>
          </cell>
          <cell r="B1" t="str">
            <v>Duration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40.361170422291799</v>
          </cell>
          <cell r="C2">
            <v>63.701141357421875</v>
          </cell>
          <cell r="D2">
            <v>81.701141357421875</v>
          </cell>
        </row>
        <row r="3">
          <cell r="A3">
            <v>19</v>
          </cell>
          <cell r="B3">
            <v>39.857287552861408</v>
          </cell>
          <cell r="C3">
            <v>62.721378326416016</v>
          </cell>
          <cell r="D3">
            <v>81.721378326416016</v>
          </cell>
        </row>
        <row r="4">
          <cell r="A4">
            <v>20</v>
          </cell>
          <cell r="B4">
            <v>39.251788500717694</v>
          </cell>
          <cell r="C4">
            <v>61.743240356445312</v>
          </cell>
          <cell r="D4">
            <v>81.743240356445312</v>
          </cell>
        </row>
        <row r="5">
          <cell r="A5">
            <v>21</v>
          </cell>
          <cell r="B5">
            <v>38.597460714723958</v>
          </cell>
          <cell r="C5">
            <v>60.766738891601562</v>
          </cell>
          <cell r="D5">
            <v>81.766738891601562</v>
          </cell>
        </row>
        <row r="6">
          <cell r="A6">
            <v>22</v>
          </cell>
          <cell r="B6">
            <v>37.88808470069889</v>
          </cell>
          <cell r="C6">
            <v>59.791851043701172</v>
          </cell>
          <cell r="D6">
            <v>81.791851043701172</v>
          </cell>
        </row>
        <row r="7">
          <cell r="A7">
            <v>23</v>
          </cell>
          <cell r="B7">
            <v>37.14028494744506</v>
          </cell>
          <cell r="C7">
            <v>58.818229675292969</v>
          </cell>
          <cell r="D7">
            <v>81.818229675292969</v>
          </cell>
        </row>
        <row r="8">
          <cell r="A8">
            <v>24</v>
          </cell>
          <cell r="B8">
            <v>36.323020245427109</v>
          </cell>
          <cell r="C8">
            <v>57.845485687255859</v>
          </cell>
          <cell r="D8">
            <v>81.845485687255859</v>
          </cell>
        </row>
        <row r="9">
          <cell r="A9">
            <v>25</v>
          </cell>
          <cell r="B9">
            <v>35.472157056973543</v>
          </cell>
          <cell r="C9">
            <v>56.873382568359375</v>
          </cell>
          <cell r="D9">
            <v>81.873382568359375</v>
          </cell>
        </row>
        <row r="10">
          <cell r="A10">
            <v>26</v>
          </cell>
          <cell r="B10">
            <v>34.619174724643685</v>
          </cell>
          <cell r="C10">
            <v>55.901836395263672</v>
          </cell>
          <cell r="D10">
            <v>81.901836395263672</v>
          </cell>
        </row>
        <row r="11">
          <cell r="A11">
            <v>27</v>
          </cell>
          <cell r="B11">
            <v>33.753039478119312</v>
          </cell>
          <cell r="C11">
            <v>54.930992126464844</v>
          </cell>
          <cell r="D11">
            <v>81.930992126464844</v>
          </cell>
        </row>
        <row r="12">
          <cell r="A12">
            <v>28</v>
          </cell>
          <cell r="B12">
            <v>32.878882042881344</v>
          </cell>
          <cell r="C12">
            <v>53.961093902587891</v>
          </cell>
          <cell r="D12">
            <v>81.961093902587891</v>
          </cell>
        </row>
        <row r="13">
          <cell r="A13">
            <v>29</v>
          </cell>
          <cell r="B13">
            <v>31.999089898306103</v>
          </cell>
          <cell r="C13">
            <v>52.992473602294922</v>
          </cell>
          <cell r="D13">
            <v>81.992473602294922</v>
          </cell>
        </row>
        <row r="14">
          <cell r="A14">
            <v>30</v>
          </cell>
          <cell r="B14">
            <v>31.113985545780306</v>
          </cell>
          <cell r="C14">
            <v>52.025390625</v>
          </cell>
          <cell r="D14">
            <v>82.025390625</v>
          </cell>
        </row>
        <row r="15">
          <cell r="A15">
            <v>31</v>
          </cell>
          <cell r="B15">
            <v>30.216950024063937</v>
          </cell>
          <cell r="C15">
            <v>51.060081481933594</v>
          </cell>
          <cell r="D15">
            <v>82.060081481933594</v>
          </cell>
        </row>
        <row r="16">
          <cell r="A16">
            <v>32</v>
          </cell>
          <cell r="B16">
            <v>29.317945877002291</v>
          </cell>
          <cell r="C16">
            <v>50.096572875976562</v>
          </cell>
          <cell r="D16">
            <v>82.096572875976562</v>
          </cell>
        </row>
        <row r="17">
          <cell r="A17">
            <v>33</v>
          </cell>
          <cell r="B17">
            <v>28.429713465744353</v>
          </cell>
          <cell r="C17">
            <v>49.13458251953125</v>
          </cell>
          <cell r="D17">
            <v>82.13458251953125</v>
          </cell>
        </row>
        <row r="18">
          <cell r="A18">
            <v>34</v>
          </cell>
          <cell r="B18">
            <v>27.536896191766292</v>
          </cell>
          <cell r="C18">
            <v>48.173744201660156</v>
          </cell>
          <cell r="D18">
            <v>82.173744201660156</v>
          </cell>
        </row>
        <row r="19">
          <cell r="A19">
            <v>35</v>
          </cell>
          <cell r="B19">
            <v>26.64475720880095</v>
          </cell>
          <cell r="C19">
            <v>47.213939666748047</v>
          </cell>
          <cell r="D19">
            <v>82.213939666748047</v>
          </cell>
        </row>
        <row r="20">
          <cell r="A20">
            <v>36</v>
          </cell>
          <cell r="B20">
            <v>25.750334626199908</v>
          </cell>
          <cell r="C20">
            <v>46.255451202392578</v>
          </cell>
          <cell r="D20">
            <v>82.255451202392578</v>
          </cell>
        </row>
        <row r="21">
          <cell r="A21">
            <v>37</v>
          </cell>
          <cell r="B21">
            <v>24.865330325660935</v>
          </cell>
          <cell r="C21">
            <v>45.298812866210938</v>
          </cell>
          <cell r="D21">
            <v>82.298812866210938</v>
          </cell>
        </row>
        <row r="22">
          <cell r="A22">
            <v>38</v>
          </cell>
          <cell r="B22">
            <v>23.971080160572402</v>
          </cell>
          <cell r="C22">
            <v>44.34442138671875</v>
          </cell>
          <cell r="D22">
            <v>82.34442138671875</v>
          </cell>
        </row>
        <row r="23">
          <cell r="A23">
            <v>39</v>
          </cell>
          <cell r="B23">
            <v>23.086388549643797</v>
          </cell>
          <cell r="C23">
            <v>43.392677307128906</v>
          </cell>
          <cell r="D23">
            <v>82.392677307128906</v>
          </cell>
        </row>
        <row r="24">
          <cell r="A24">
            <v>40</v>
          </cell>
          <cell r="B24">
            <v>22.203400213361341</v>
          </cell>
          <cell r="C24">
            <v>42.443862915039062</v>
          </cell>
          <cell r="D24">
            <v>82.443862915039062</v>
          </cell>
        </row>
        <row r="25">
          <cell r="A25">
            <v>41</v>
          </cell>
          <cell r="B25">
            <v>21.309631004739099</v>
          </cell>
          <cell r="C25">
            <v>41.498069763183594</v>
          </cell>
          <cell r="D25">
            <v>82.498069763183594</v>
          </cell>
        </row>
        <row r="26">
          <cell r="A26">
            <v>42</v>
          </cell>
          <cell r="B26">
            <v>20.426150993268113</v>
          </cell>
          <cell r="C26">
            <v>40.555614471435547</v>
          </cell>
          <cell r="D26">
            <v>82.555614471435547</v>
          </cell>
        </row>
        <row r="27">
          <cell r="A27">
            <v>43</v>
          </cell>
          <cell r="B27">
            <v>19.542008179746386</v>
          </cell>
          <cell r="C27">
            <v>39.617176055908203</v>
          </cell>
          <cell r="D27">
            <v>82.617176055908203</v>
          </cell>
        </row>
        <row r="28">
          <cell r="A28">
            <v>44</v>
          </cell>
          <cell r="B28">
            <v>18.670180269405371</v>
          </cell>
          <cell r="C28">
            <v>38.683586120605469</v>
          </cell>
          <cell r="D28">
            <v>82.683586120605469</v>
          </cell>
        </row>
        <row r="29">
          <cell r="A29">
            <v>45</v>
          </cell>
          <cell r="B29">
            <v>17.781857548640915</v>
          </cell>
          <cell r="C29">
            <v>37.755451202392578</v>
          </cell>
          <cell r="D29">
            <v>82.755451202392578</v>
          </cell>
        </row>
        <row r="30">
          <cell r="A30">
            <v>46</v>
          </cell>
          <cell r="B30">
            <v>16.912242676853413</v>
          </cell>
          <cell r="C30">
            <v>36.832736968994141</v>
          </cell>
          <cell r="D30">
            <v>82.832736968994141</v>
          </cell>
        </row>
        <row r="31">
          <cell r="A31">
            <v>47</v>
          </cell>
          <cell r="B31">
            <v>16.036703772899031</v>
          </cell>
          <cell r="C31">
            <v>35.915336608886719</v>
          </cell>
          <cell r="D31">
            <v>82.915336608886719</v>
          </cell>
        </row>
        <row r="32">
          <cell r="A32">
            <v>48</v>
          </cell>
          <cell r="B32">
            <v>15.171030123154422</v>
          </cell>
          <cell r="C32">
            <v>35.00360107421875</v>
          </cell>
          <cell r="D32">
            <v>83.00360107421875</v>
          </cell>
        </row>
        <row r="33">
          <cell r="A33">
            <v>49</v>
          </cell>
          <cell r="B33">
            <v>14.307280170165741</v>
          </cell>
          <cell r="C33">
            <v>34.097866058349609</v>
          </cell>
          <cell r="D33">
            <v>83.097866058349609</v>
          </cell>
        </row>
        <row r="34">
          <cell r="A34">
            <v>50</v>
          </cell>
          <cell r="B34">
            <v>13.448521328827876</v>
          </cell>
          <cell r="C34">
            <v>33.198196411132812</v>
          </cell>
          <cell r="D34">
            <v>83.198196411132812</v>
          </cell>
        </row>
        <row r="35">
          <cell r="A35">
            <v>51</v>
          </cell>
          <cell r="B35">
            <v>12.593190259958879</v>
          </cell>
          <cell r="C35">
            <v>32.304637908935547</v>
          </cell>
          <cell r="D35">
            <v>83.304637908935547</v>
          </cell>
        </row>
        <row r="36">
          <cell r="A36">
            <v>52</v>
          </cell>
          <cell r="B36">
            <v>11.746075535522852</v>
          </cell>
          <cell r="C36">
            <v>31.416801452636719</v>
          </cell>
          <cell r="D36">
            <v>83.416801452636719</v>
          </cell>
        </row>
        <row r="37">
          <cell r="A37">
            <v>53</v>
          </cell>
          <cell r="B37">
            <v>10.91461656943058</v>
          </cell>
          <cell r="C37">
            <v>30.533988952636719</v>
          </cell>
          <cell r="D37">
            <v>83.533988952636719</v>
          </cell>
        </row>
        <row r="38">
          <cell r="A38">
            <v>54</v>
          </cell>
          <cell r="B38">
            <v>10.085194615452291</v>
          </cell>
          <cell r="C38">
            <v>29.655500411987305</v>
          </cell>
          <cell r="D38">
            <v>83.655500411987305</v>
          </cell>
        </row>
        <row r="39">
          <cell r="A39">
            <v>55</v>
          </cell>
          <cell r="B39">
            <v>9.2677586217993895</v>
          </cell>
          <cell r="C39">
            <v>28.781078338623047</v>
          </cell>
          <cell r="D39">
            <v>83.781078338623047</v>
          </cell>
        </row>
        <row r="40">
          <cell r="A40">
            <v>56</v>
          </cell>
          <cell r="B40">
            <v>8.4868226772643176</v>
          </cell>
          <cell r="C40">
            <v>27.910751342773438</v>
          </cell>
          <cell r="D40">
            <v>83.910751342773438</v>
          </cell>
        </row>
        <row r="41">
          <cell r="A41">
            <v>57</v>
          </cell>
          <cell r="B41">
            <v>7.7100115156324645</v>
          </cell>
          <cell r="C41">
            <v>27.045026779174805</v>
          </cell>
          <cell r="D41">
            <v>84.045026779174805</v>
          </cell>
        </row>
        <row r="42">
          <cell r="A42">
            <v>58</v>
          </cell>
          <cell r="B42">
            <v>6.966284450697227</v>
          </cell>
          <cell r="C42">
            <v>26.184696197509766</v>
          </cell>
          <cell r="D42">
            <v>84.184696197509766</v>
          </cell>
        </row>
        <row r="43">
          <cell r="A43">
            <v>59</v>
          </cell>
          <cell r="B43">
            <v>6.2437307501812089</v>
          </cell>
          <cell r="C43">
            <v>25.330564498901367</v>
          </cell>
          <cell r="D43">
            <v>84.330564498901367</v>
          </cell>
        </row>
        <row r="44">
          <cell r="A44">
            <v>60</v>
          </cell>
          <cell r="B44">
            <v>5.5557848859706489</v>
          </cell>
          <cell r="C44">
            <v>24.483026504516602</v>
          </cell>
          <cell r="D44">
            <v>84.483026504516602</v>
          </cell>
        </row>
        <row r="45">
          <cell r="A45">
            <v>61</v>
          </cell>
          <cell r="B45">
            <v>4.9022116787713017</v>
          </cell>
          <cell r="C45">
            <v>23.642105102539062</v>
          </cell>
          <cell r="D45">
            <v>84.642105102539062</v>
          </cell>
        </row>
        <row r="46">
          <cell r="A46">
            <v>62</v>
          </cell>
          <cell r="B46">
            <v>4.2800363019872307</v>
          </cell>
          <cell r="C46">
            <v>22.807682037353516</v>
          </cell>
          <cell r="D46">
            <v>84.807682037353516</v>
          </cell>
        </row>
        <row r="47">
          <cell r="A47">
            <v>63</v>
          </cell>
          <cell r="B47">
            <v>3.7815065381760298</v>
          </cell>
          <cell r="C47">
            <v>21.979997634887695</v>
          </cell>
          <cell r="D47">
            <v>84.979997634887695</v>
          </cell>
        </row>
        <row r="48">
          <cell r="A48">
            <v>64</v>
          </cell>
          <cell r="B48">
            <v>3.349854604689706</v>
          </cell>
          <cell r="C48">
            <v>21.159847259521484</v>
          </cell>
          <cell r="D48">
            <v>85.159847259521484</v>
          </cell>
        </row>
        <row r="49">
          <cell r="A49">
            <v>65</v>
          </cell>
          <cell r="B49">
            <v>2.9400839358268267</v>
          </cell>
          <cell r="C49">
            <v>20.348527908325195</v>
          </cell>
          <cell r="D49">
            <v>85.348527908325195</v>
          </cell>
        </row>
        <row r="50">
          <cell r="A50">
            <v>66</v>
          </cell>
          <cell r="B50">
            <v>2.5945970962289673</v>
          </cell>
          <cell r="C50">
            <v>19.548065185546875</v>
          </cell>
          <cell r="D50">
            <v>85.548065185546875</v>
          </cell>
        </row>
        <row r="51">
          <cell r="A51">
            <v>67</v>
          </cell>
          <cell r="B51">
            <v>2.296917649014806</v>
          </cell>
          <cell r="C51">
            <v>18.759937286376953</v>
          </cell>
          <cell r="D51">
            <v>85.759937286376953</v>
          </cell>
        </row>
        <row r="52">
          <cell r="A52">
            <v>68</v>
          </cell>
          <cell r="B52">
            <v>2.0218609572737174</v>
          </cell>
          <cell r="C52">
            <v>17.984039306640625</v>
          </cell>
          <cell r="D52">
            <v>85.984039306640625</v>
          </cell>
        </row>
        <row r="53">
          <cell r="A53">
            <v>69</v>
          </cell>
          <cell r="B53">
            <v>1.7783593348291857</v>
          </cell>
          <cell r="C53">
            <v>17.218816757202148</v>
          </cell>
          <cell r="D53">
            <v>86.218816757202148</v>
          </cell>
        </row>
        <row r="54">
          <cell r="A54">
            <v>70</v>
          </cell>
          <cell r="B54">
            <v>1.5690335564792697</v>
          </cell>
          <cell r="C54">
            <v>16.463415145874023</v>
          </cell>
          <cell r="D54">
            <v>86.463415145874023</v>
          </cell>
        </row>
        <row r="55">
          <cell r="A55">
            <v>71</v>
          </cell>
          <cell r="B55">
            <v>1.3777689870141259</v>
          </cell>
          <cell r="C55">
            <v>15.718331336975098</v>
          </cell>
          <cell r="D55">
            <v>86.718331336975098</v>
          </cell>
        </row>
        <row r="56">
          <cell r="A56">
            <v>72</v>
          </cell>
          <cell r="B56">
            <v>1.2168149407108417</v>
          </cell>
          <cell r="C56">
            <v>14.98468017578125</v>
          </cell>
          <cell r="D56">
            <v>86.98468017578125</v>
          </cell>
        </row>
        <row r="57">
          <cell r="A57">
            <v>73</v>
          </cell>
          <cell r="B57">
            <v>1.0534874579581708</v>
          </cell>
          <cell r="C57">
            <v>14.263653755187988</v>
          </cell>
          <cell r="D57">
            <v>87.263653755187988</v>
          </cell>
        </row>
        <row r="58">
          <cell r="A58">
            <v>74</v>
          </cell>
          <cell r="B58">
            <v>0.91648952881606716</v>
          </cell>
          <cell r="C58">
            <v>13.556271553039551</v>
          </cell>
          <cell r="D58">
            <v>87.556271553039551</v>
          </cell>
        </row>
        <row r="59">
          <cell r="A59">
            <v>75</v>
          </cell>
          <cell r="B59">
            <v>0.79419587385571422</v>
          </cell>
          <cell r="C59">
            <v>12.863577842712402</v>
          </cell>
          <cell r="D59">
            <v>87.863577842712402</v>
          </cell>
        </row>
        <row r="60">
          <cell r="A60">
            <v>76</v>
          </cell>
          <cell r="B60">
            <v>0.68918225551745826</v>
          </cell>
          <cell r="C60">
            <v>12.185627937316895</v>
          </cell>
          <cell r="D60">
            <v>88.185627937316895</v>
          </cell>
        </row>
        <row r="61">
          <cell r="A61">
            <v>77</v>
          </cell>
          <cell r="B61">
            <v>0.59910580024226678</v>
          </cell>
          <cell r="C61">
            <v>11.52336311340332</v>
          </cell>
          <cell r="D61">
            <v>88.52336311340332</v>
          </cell>
        </row>
        <row r="62">
          <cell r="A62">
            <v>78</v>
          </cell>
          <cell r="B62">
            <v>0.52681849976064588</v>
          </cell>
          <cell r="C62">
            <v>10.878663063049316</v>
          </cell>
          <cell r="D62">
            <v>88.878663063049316</v>
          </cell>
        </row>
        <row r="63">
          <cell r="A63">
            <v>79</v>
          </cell>
          <cell r="B63">
            <v>0.46813781733408116</v>
          </cell>
          <cell r="C63">
            <v>10.252704620361328</v>
          </cell>
          <cell r="D63">
            <v>89.252704620361328</v>
          </cell>
        </row>
        <row r="64">
          <cell r="A64">
            <v>80</v>
          </cell>
          <cell r="B64">
            <v>0.40355902775036856</v>
          </cell>
          <cell r="C64">
            <v>9.6462984085083008</v>
          </cell>
          <cell r="D64">
            <v>89.646298408508301</v>
          </cell>
        </row>
        <row r="65">
          <cell r="A65">
            <v>81</v>
          </cell>
          <cell r="B65">
            <v>0.35856975983145756</v>
          </cell>
          <cell r="C65">
            <v>9.058349609375</v>
          </cell>
          <cell r="D65">
            <v>90.058349609375</v>
          </cell>
        </row>
        <row r="66">
          <cell r="A66">
            <v>82</v>
          </cell>
          <cell r="B66">
            <v>0.30586701612430678</v>
          </cell>
          <cell r="C66">
            <v>8.4879798889160156</v>
          </cell>
          <cell r="D66">
            <v>90.487979888916016</v>
          </cell>
        </row>
        <row r="67">
          <cell r="A67">
            <v>83</v>
          </cell>
          <cell r="B67">
            <v>0.2609225325676105</v>
          </cell>
          <cell r="C67">
            <v>7.9366464614868164</v>
          </cell>
          <cell r="D67">
            <v>90.936646461486816</v>
          </cell>
        </row>
        <row r="68">
          <cell r="A68">
            <v>84</v>
          </cell>
          <cell r="B68">
            <v>0.20431873663212827</v>
          </cell>
          <cell r="C68">
            <v>7.4059886932373047</v>
          </cell>
          <cell r="D68">
            <v>91.405988693237305</v>
          </cell>
        </row>
        <row r="69">
          <cell r="A69">
            <v>85</v>
          </cell>
          <cell r="B69">
            <v>0.17206793007142387</v>
          </cell>
          <cell r="C69">
            <v>6.9008002281188965</v>
          </cell>
          <cell r="D69">
            <v>91.900800228118896</v>
          </cell>
        </row>
        <row r="70">
          <cell r="A70">
            <v>86</v>
          </cell>
          <cell r="B70">
            <v>0.14903941344437729</v>
          </cell>
          <cell r="C70">
            <v>6.4227113723754883</v>
          </cell>
          <cell r="D70">
            <v>92.422711372375488</v>
          </cell>
        </row>
        <row r="71">
          <cell r="A71">
            <v>87</v>
          </cell>
          <cell r="B71">
            <v>0.11052956847707959</v>
          </cell>
          <cell r="C71">
            <v>5.9711008071899414</v>
          </cell>
          <cell r="D71">
            <v>92.971100807189941</v>
          </cell>
        </row>
        <row r="72">
          <cell r="A72">
            <v>88</v>
          </cell>
          <cell r="B72">
            <v>8.7441590602597763E-2</v>
          </cell>
          <cell r="C72">
            <v>5.5458946228027344</v>
          </cell>
          <cell r="D72">
            <v>93.545894622802734</v>
          </cell>
        </row>
        <row r="73">
          <cell r="A73">
            <v>89</v>
          </cell>
          <cell r="B73">
            <v>3.4547908600876552E-2</v>
          </cell>
          <cell r="C73">
            <v>5.146876335144043</v>
          </cell>
          <cell r="D73">
            <v>94.146876335144043</v>
          </cell>
        </row>
        <row r="74">
          <cell r="A74">
            <v>90</v>
          </cell>
          <cell r="B74">
            <v>1.5610025372318986E-2</v>
          </cell>
          <cell r="C74">
            <v>4.7736935615539551</v>
          </cell>
          <cell r="D74">
            <v>94.773693561553955</v>
          </cell>
        </row>
      </sheetData>
      <sheetData sheetId="6" refreshError="1"/>
      <sheetData sheetId="7" refreshError="1"/>
      <sheetData sheetId="8" refreshError="1"/>
      <sheetData sheetId="9" refreshError="1">
        <row r="1">
          <cell r="A1" t="str">
            <v>Age</v>
          </cell>
          <cell r="B1" t="str">
            <v>Durtation</v>
          </cell>
          <cell r="C1" t="str">
            <v>Life Expectancy From Trial</v>
          </cell>
          <cell r="D1" t="str">
            <v>Life Expectancy</v>
          </cell>
        </row>
        <row r="2">
          <cell r="A2">
            <v>18</v>
          </cell>
          <cell r="B2">
            <v>43.582947103306452</v>
          </cell>
          <cell r="C2">
            <v>63.570369720458984</v>
          </cell>
          <cell r="D2">
            <v>81.570369720458984</v>
          </cell>
        </row>
        <row r="3">
          <cell r="A3">
            <v>19</v>
          </cell>
          <cell r="B3">
            <v>43.582947103306452</v>
          </cell>
          <cell r="C3">
            <v>62.592811584472656</v>
          </cell>
          <cell r="D3">
            <v>81.592811584472656</v>
          </cell>
        </row>
        <row r="4">
          <cell r="A4">
            <v>20</v>
          </cell>
          <cell r="B4">
            <v>42.996353517951491</v>
          </cell>
          <cell r="C4">
            <v>61.616439819335938</v>
          </cell>
          <cell r="D4">
            <v>81.616439819335938</v>
          </cell>
        </row>
        <row r="5">
          <cell r="A5">
            <v>21</v>
          </cell>
          <cell r="B5">
            <v>42.454535908789438</v>
          </cell>
          <cell r="C5">
            <v>60.641212463378906</v>
          </cell>
          <cell r="D5">
            <v>81.641212463378906</v>
          </cell>
        </row>
        <row r="6">
          <cell r="A6">
            <v>22</v>
          </cell>
          <cell r="B6">
            <v>41.812257722653356</v>
          </cell>
          <cell r="C6">
            <v>59.667213439941406</v>
          </cell>
          <cell r="D6">
            <v>81.667213439941406</v>
          </cell>
        </row>
        <row r="7">
          <cell r="A7">
            <v>23</v>
          </cell>
          <cell r="B7">
            <v>41.098210203063502</v>
          </cell>
          <cell r="C7">
            <v>58.694297790527344</v>
          </cell>
          <cell r="D7">
            <v>81.694297790527344</v>
          </cell>
        </row>
        <row r="8">
          <cell r="A8">
            <v>24</v>
          </cell>
          <cell r="B8">
            <v>40.293288812041368</v>
          </cell>
          <cell r="C8">
            <v>57.722286224365234</v>
          </cell>
          <cell r="D8">
            <v>81.722286224365234</v>
          </cell>
        </row>
        <row r="9">
          <cell r="A9">
            <v>25</v>
          </cell>
          <cell r="B9">
            <v>39.416594794394797</v>
          </cell>
          <cell r="C9">
            <v>56.751041412353516</v>
          </cell>
          <cell r="D9">
            <v>81.751041412353516</v>
          </cell>
        </row>
        <row r="10">
          <cell r="A10">
            <v>26</v>
          </cell>
          <cell r="B10">
            <v>38.523063463318849</v>
          </cell>
          <cell r="C10">
            <v>55.780551910400391</v>
          </cell>
          <cell r="D10">
            <v>81.780551910400391</v>
          </cell>
        </row>
        <row r="11">
          <cell r="A11">
            <v>27</v>
          </cell>
          <cell r="B11">
            <v>37.6304316953076</v>
          </cell>
          <cell r="C11">
            <v>54.810855865478516</v>
          </cell>
          <cell r="D11">
            <v>81.810855865478516</v>
          </cell>
        </row>
        <row r="12">
          <cell r="A12">
            <v>28</v>
          </cell>
          <cell r="B12">
            <v>36.714439951518429</v>
          </cell>
          <cell r="C12">
            <v>53.841884613037109</v>
          </cell>
          <cell r="D12">
            <v>81.841884613037109</v>
          </cell>
        </row>
        <row r="13">
          <cell r="A13">
            <v>29</v>
          </cell>
          <cell r="B13">
            <v>35.778510639507765</v>
          </cell>
          <cell r="C13">
            <v>52.873661041259766</v>
          </cell>
          <cell r="D13">
            <v>81.873661041259766</v>
          </cell>
        </row>
        <row r="14">
          <cell r="A14">
            <v>30</v>
          </cell>
          <cell r="B14">
            <v>34.840857930445011</v>
          </cell>
          <cell r="C14">
            <v>51.906284332275391</v>
          </cell>
          <cell r="D14">
            <v>81.906284332275391</v>
          </cell>
        </row>
        <row r="15">
          <cell r="A15">
            <v>31</v>
          </cell>
          <cell r="B15">
            <v>33.901480969935704</v>
          </cell>
          <cell r="C15">
            <v>50.94000244140625</v>
          </cell>
          <cell r="D15">
            <v>81.94000244140625</v>
          </cell>
        </row>
        <row r="16">
          <cell r="A16">
            <v>32</v>
          </cell>
          <cell r="B16">
            <v>32.956146956232431</v>
          </cell>
          <cell r="C16">
            <v>49.97509765625</v>
          </cell>
          <cell r="D16">
            <v>81.97509765625</v>
          </cell>
        </row>
        <row r="17">
          <cell r="A17">
            <v>33</v>
          </cell>
          <cell r="B17">
            <v>32.034275859795365</v>
          </cell>
          <cell r="C17">
            <v>49.011646270751953</v>
          </cell>
          <cell r="D17">
            <v>82.011646270751953</v>
          </cell>
        </row>
        <row r="18">
          <cell r="A18">
            <v>34</v>
          </cell>
          <cell r="B18">
            <v>31.077525266940658</v>
          </cell>
          <cell r="C18">
            <v>48.049831390380859</v>
          </cell>
          <cell r="D18">
            <v>82.049831390380859</v>
          </cell>
        </row>
        <row r="19">
          <cell r="A19">
            <v>35</v>
          </cell>
          <cell r="B19">
            <v>30.118383184917992</v>
          </cell>
          <cell r="C19">
            <v>47.089653015136719</v>
          </cell>
          <cell r="D19">
            <v>82.089653015136719</v>
          </cell>
        </row>
        <row r="20">
          <cell r="A20">
            <v>36</v>
          </cell>
          <cell r="B20">
            <v>29.185635557664845</v>
          </cell>
          <cell r="C20">
            <v>46.131359100341797</v>
          </cell>
          <cell r="D20">
            <v>82.131359100341797</v>
          </cell>
        </row>
        <row r="21">
          <cell r="A21">
            <v>37</v>
          </cell>
          <cell r="B21">
            <v>28.220877271349273</v>
          </cell>
          <cell r="C21">
            <v>45.175296783447266</v>
          </cell>
          <cell r="D21">
            <v>82.175296783447266</v>
          </cell>
        </row>
        <row r="22">
          <cell r="A22">
            <v>38</v>
          </cell>
          <cell r="B22">
            <v>27.280421886481257</v>
          </cell>
          <cell r="C22">
            <v>44.221767425537109</v>
          </cell>
          <cell r="D22">
            <v>82.221767425537109</v>
          </cell>
        </row>
        <row r="23">
          <cell r="A23">
            <v>39</v>
          </cell>
          <cell r="B23">
            <v>26.331715959941334</v>
          </cell>
          <cell r="C23">
            <v>43.271183013916016</v>
          </cell>
          <cell r="D23">
            <v>82.271183013916016</v>
          </cell>
        </row>
        <row r="24">
          <cell r="A24">
            <v>40</v>
          </cell>
          <cell r="B24">
            <v>25.395165754751272</v>
          </cell>
          <cell r="C24">
            <v>42.324020385742188</v>
          </cell>
          <cell r="D24">
            <v>82.324020385742188</v>
          </cell>
        </row>
        <row r="25">
          <cell r="A25">
            <v>41</v>
          </cell>
          <cell r="B25">
            <v>24.443315713542123</v>
          </cell>
          <cell r="C25">
            <v>41.380458831787109</v>
          </cell>
          <cell r="D25">
            <v>82.380458831787109</v>
          </cell>
        </row>
        <row r="26">
          <cell r="A26">
            <v>42</v>
          </cell>
          <cell r="B26">
            <v>23.506639963410844</v>
          </cell>
          <cell r="C26">
            <v>40.440879821777344</v>
          </cell>
          <cell r="D26">
            <v>82.440879821777344</v>
          </cell>
        </row>
        <row r="27">
          <cell r="A27">
            <v>43</v>
          </cell>
          <cell r="B27">
            <v>22.566498777329606</v>
          </cell>
          <cell r="C27">
            <v>39.50604248046875</v>
          </cell>
          <cell r="D27">
            <v>82.50604248046875</v>
          </cell>
        </row>
        <row r="28">
          <cell r="A28">
            <v>44</v>
          </cell>
          <cell r="B28">
            <v>21.643398040698642</v>
          </cell>
          <cell r="C28">
            <v>38.576614379882812</v>
          </cell>
          <cell r="D28">
            <v>82.576614379882812</v>
          </cell>
        </row>
        <row r="29">
          <cell r="A29">
            <v>45</v>
          </cell>
          <cell r="B29">
            <v>20.693238383842623</v>
          </cell>
          <cell r="C29">
            <v>37.652774810791016</v>
          </cell>
          <cell r="D29">
            <v>82.652774810791016</v>
          </cell>
        </row>
        <row r="30">
          <cell r="A30">
            <v>46</v>
          </cell>
          <cell r="B30">
            <v>19.759311640670166</v>
          </cell>
          <cell r="C30">
            <v>36.734161376953125</v>
          </cell>
          <cell r="D30">
            <v>82.734161376953125</v>
          </cell>
        </row>
        <row r="31">
          <cell r="A31">
            <v>47</v>
          </cell>
          <cell r="B31">
            <v>18.817345241492259</v>
          </cell>
          <cell r="C31">
            <v>35.8204345703125</v>
          </cell>
          <cell r="D31">
            <v>82.8204345703125</v>
          </cell>
        </row>
        <row r="32">
          <cell r="A32">
            <v>48</v>
          </cell>
          <cell r="B32">
            <v>17.888266559096746</v>
          </cell>
          <cell r="C32">
            <v>34.911705017089844</v>
          </cell>
          <cell r="D32">
            <v>82.911705017089844</v>
          </cell>
        </row>
        <row r="33">
          <cell r="A33">
            <v>49</v>
          </cell>
          <cell r="B33">
            <v>16.957329239975277</v>
          </cell>
          <cell r="C33">
            <v>34.008358001708984</v>
          </cell>
          <cell r="D33">
            <v>83.008358001708984</v>
          </cell>
        </row>
        <row r="34">
          <cell r="A34">
            <v>50</v>
          </cell>
          <cell r="B34">
            <v>16.035391352914601</v>
          </cell>
          <cell r="C34">
            <v>33.110752105712891</v>
          </cell>
          <cell r="D34">
            <v>83.110752105712891</v>
          </cell>
        </row>
        <row r="35">
          <cell r="A35">
            <v>51</v>
          </cell>
          <cell r="B35">
            <v>15.120597615070706</v>
          </cell>
          <cell r="C35">
            <v>32.219276428222656</v>
          </cell>
          <cell r="D35">
            <v>83.219276428222656</v>
          </cell>
        </row>
        <row r="36">
          <cell r="A36">
            <v>52</v>
          </cell>
          <cell r="B36">
            <v>14.199252450810784</v>
          </cell>
          <cell r="C36">
            <v>31.333745956420898</v>
          </cell>
          <cell r="D36">
            <v>83.333745956420898</v>
          </cell>
        </row>
        <row r="37">
          <cell r="A37">
            <v>53</v>
          </cell>
          <cell r="B37">
            <v>13.295463599308299</v>
          </cell>
          <cell r="C37">
            <v>30.453472137451172</v>
          </cell>
          <cell r="D37">
            <v>83.453472137451172</v>
          </cell>
        </row>
        <row r="38">
          <cell r="A38">
            <v>54</v>
          </cell>
          <cell r="B38">
            <v>12.399527720795856</v>
          </cell>
          <cell r="C38">
            <v>29.577505111694336</v>
          </cell>
          <cell r="D38">
            <v>83.577505111694336</v>
          </cell>
        </row>
        <row r="39">
          <cell r="A39">
            <v>55</v>
          </cell>
          <cell r="B39">
            <v>11.509592082875905</v>
          </cell>
          <cell r="C39">
            <v>28.705312728881836</v>
          </cell>
          <cell r="D39">
            <v>83.705312728881836</v>
          </cell>
        </row>
        <row r="40">
          <cell r="A40">
            <v>56</v>
          </cell>
          <cell r="B40">
            <v>10.655316648108025</v>
          </cell>
          <cell r="C40">
            <v>27.836833953857422</v>
          </cell>
          <cell r="D40">
            <v>83.836833953857422</v>
          </cell>
        </row>
        <row r="41">
          <cell r="A41">
            <v>57</v>
          </cell>
          <cell r="B41">
            <v>9.793296345908086</v>
          </cell>
          <cell r="C41">
            <v>26.972751617431641</v>
          </cell>
          <cell r="D41">
            <v>83.972751617431641</v>
          </cell>
        </row>
        <row r="42">
          <cell r="A42">
            <v>58</v>
          </cell>
          <cell r="B42">
            <v>8.9922531224263995</v>
          </cell>
          <cell r="C42">
            <v>26.114139556884766</v>
          </cell>
          <cell r="D42">
            <v>84.114139556884766</v>
          </cell>
        </row>
        <row r="43">
          <cell r="A43">
            <v>59</v>
          </cell>
          <cell r="B43">
            <v>8.175143120173507</v>
          </cell>
          <cell r="C43">
            <v>25.262359619140625</v>
          </cell>
          <cell r="D43">
            <v>84.262359619140625</v>
          </cell>
        </row>
        <row r="44">
          <cell r="A44">
            <v>60</v>
          </cell>
          <cell r="B44">
            <v>7.4296721650594515</v>
          </cell>
          <cell r="C44">
            <v>24.41839599609375</v>
          </cell>
          <cell r="D44">
            <v>84.41839599609375</v>
          </cell>
        </row>
        <row r="45">
          <cell r="A45">
            <v>61</v>
          </cell>
          <cell r="B45">
            <v>6.7167555865916704</v>
          </cell>
          <cell r="C45">
            <v>23.58277702331543</v>
          </cell>
          <cell r="D45">
            <v>84.58277702331543</v>
          </cell>
        </row>
        <row r="46">
          <cell r="A46">
            <v>62</v>
          </cell>
          <cell r="B46">
            <v>6.026573909690347</v>
          </cell>
          <cell r="C46">
            <v>22.75554084777832</v>
          </cell>
          <cell r="D46">
            <v>84.75554084777832</v>
          </cell>
        </row>
        <row r="47">
          <cell r="A47">
            <v>63</v>
          </cell>
          <cell r="B47">
            <v>5.4276837573458367</v>
          </cell>
          <cell r="C47">
            <v>21.936664581298828</v>
          </cell>
          <cell r="D47">
            <v>84.936664581298828</v>
          </cell>
        </row>
        <row r="48">
          <cell r="A48">
            <v>64</v>
          </cell>
          <cell r="B48">
            <v>4.8706825040641659</v>
          </cell>
          <cell r="C48">
            <v>21.126167297363281</v>
          </cell>
          <cell r="D48">
            <v>85.126167297363281</v>
          </cell>
        </row>
        <row r="49">
          <cell r="A49">
            <v>65</v>
          </cell>
          <cell r="B49">
            <v>4.344854838340888</v>
          </cell>
          <cell r="C49">
            <v>20.324493408203125</v>
          </cell>
          <cell r="D49">
            <v>85.324493408203125</v>
          </cell>
        </row>
        <row r="50">
          <cell r="A50">
            <v>66</v>
          </cell>
          <cell r="B50">
            <v>3.8910848115976555</v>
          </cell>
          <cell r="C50">
            <v>19.533042907714844</v>
          </cell>
          <cell r="D50">
            <v>85.533042907714844</v>
          </cell>
        </row>
        <row r="51">
          <cell r="A51">
            <v>67</v>
          </cell>
          <cell r="B51">
            <v>3.4972021332523564</v>
          </cell>
          <cell r="C51">
            <v>18.752946853637695</v>
          </cell>
          <cell r="D51">
            <v>85.752946853637695</v>
          </cell>
        </row>
        <row r="52">
          <cell r="A52">
            <v>68</v>
          </cell>
          <cell r="B52">
            <v>3.1048873724999808</v>
          </cell>
          <cell r="C52">
            <v>17.98420524597168</v>
          </cell>
          <cell r="D52">
            <v>85.98420524597168</v>
          </cell>
        </row>
        <row r="53">
          <cell r="A53">
            <v>69</v>
          </cell>
          <cell r="B53">
            <v>2.7527609704448088</v>
          </cell>
          <cell r="C53">
            <v>17.2261962890625</v>
          </cell>
          <cell r="D53">
            <v>86.2261962890625</v>
          </cell>
        </row>
        <row r="54">
          <cell r="A54">
            <v>70</v>
          </cell>
          <cell r="B54">
            <v>2.4495273929909165</v>
          </cell>
          <cell r="C54">
            <v>16.478273391723633</v>
          </cell>
          <cell r="D54">
            <v>86.478273391723633</v>
          </cell>
        </row>
        <row r="55">
          <cell r="A55">
            <v>71</v>
          </cell>
          <cell r="B55">
            <v>2.2018750393102406</v>
          </cell>
          <cell r="C55">
            <v>15.741384506225586</v>
          </cell>
          <cell r="D55">
            <v>86.741384506225586</v>
          </cell>
        </row>
        <row r="56">
          <cell r="A56">
            <v>72</v>
          </cell>
          <cell r="B56">
            <v>1.9386081523203353</v>
          </cell>
          <cell r="C56">
            <v>15.017333030700684</v>
          </cell>
          <cell r="D56">
            <v>87.017333030700684</v>
          </cell>
        </row>
        <row r="57">
          <cell r="A57">
            <v>73</v>
          </cell>
          <cell r="B57">
            <v>1.6734588107689787</v>
          </cell>
          <cell r="C57">
            <v>14.30610466003418</v>
          </cell>
          <cell r="D57">
            <v>87.30610466003418</v>
          </cell>
        </row>
        <row r="58">
          <cell r="A58">
            <v>74</v>
          </cell>
          <cell r="B58">
            <v>1.4420663406744378</v>
          </cell>
          <cell r="C58">
            <v>13.608965873718262</v>
          </cell>
          <cell r="D58">
            <v>87.608965873718262</v>
          </cell>
        </row>
        <row r="59">
          <cell r="A59">
            <v>75</v>
          </cell>
          <cell r="B59">
            <v>1.2469541493656318</v>
          </cell>
          <cell r="C59">
            <v>12.927149772644043</v>
          </cell>
          <cell r="D59">
            <v>87.927149772644043</v>
          </cell>
        </row>
        <row r="60">
          <cell r="A60">
            <v>76</v>
          </cell>
          <cell r="B60">
            <v>1.0907184234993113</v>
          </cell>
          <cell r="C60">
            <v>12.258835792541504</v>
          </cell>
          <cell r="D60">
            <v>88.258835792541504</v>
          </cell>
        </row>
        <row r="61">
          <cell r="A61">
            <v>77</v>
          </cell>
          <cell r="B61">
            <v>0.96792324275255848</v>
          </cell>
          <cell r="C61">
            <v>11.604005813598633</v>
          </cell>
          <cell r="D61">
            <v>88.604005813598633</v>
          </cell>
        </row>
        <row r="62">
          <cell r="A62">
            <v>78</v>
          </cell>
          <cell r="B62">
            <v>0.84895286997120334</v>
          </cell>
          <cell r="C62">
            <v>10.964505195617676</v>
          </cell>
          <cell r="D62">
            <v>88.964505195617676</v>
          </cell>
        </row>
        <row r="63">
          <cell r="A63">
            <v>79</v>
          </cell>
          <cell r="B63">
            <v>0.72799892499538288</v>
          </cell>
          <cell r="C63">
            <v>10.342968940734863</v>
          </cell>
          <cell r="D63">
            <v>89.342968940734863</v>
          </cell>
        </row>
        <row r="64">
          <cell r="A64">
            <v>80</v>
          </cell>
          <cell r="B64">
            <v>0.62021747328741494</v>
          </cell>
          <cell r="C64">
            <v>9.7401857376098633</v>
          </cell>
          <cell r="D64">
            <v>89.740185737609863</v>
          </cell>
        </row>
        <row r="65">
          <cell r="A65">
            <v>81</v>
          </cell>
          <cell r="B65">
            <v>0.53855814694430504</v>
          </cell>
          <cell r="C65">
            <v>9.1540422439575195</v>
          </cell>
          <cell r="D65">
            <v>90.15404224395752</v>
          </cell>
        </row>
        <row r="66">
          <cell r="A66">
            <v>82</v>
          </cell>
          <cell r="B66">
            <v>0.40146925933466421</v>
          </cell>
          <cell r="C66">
            <v>8.5840644836425781</v>
          </cell>
          <cell r="D66">
            <v>90.584064483642578</v>
          </cell>
        </row>
        <row r="67">
          <cell r="A67">
            <v>83</v>
          </cell>
          <cell r="B67">
            <v>0.30060494546664329</v>
          </cell>
          <cell r="C67">
            <v>8.0350894927978516</v>
          </cell>
          <cell r="D67">
            <v>91.035089492797852</v>
          </cell>
        </row>
        <row r="68">
          <cell r="A68">
            <v>84</v>
          </cell>
          <cell r="B68">
            <v>0.12861657481349451</v>
          </cell>
          <cell r="C68">
            <v>7.5091190338134766</v>
          </cell>
          <cell r="D68">
            <v>91.509119033813477</v>
          </cell>
        </row>
        <row r="69">
          <cell r="A69">
            <v>85</v>
          </cell>
          <cell r="B69">
            <v>6.935719644658879E-2</v>
          </cell>
          <cell r="C69">
            <v>7.0057277679443359</v>
          </cell>
          <cell r="D69">
            <v>92.005727767944336</v>
          </cell>
        </row>
        <row r="70">
          <cell r="A70">
            <v>86</v>
          </cell>
          <cell r="B70">
            <v>6.935719644658879E-2</v>
          </cell>
          <cell r="C70">
            <v>6.5272216796875</v>
          </cell>
          <cell r="D70">
            <v>92.5272216796875</v>
          </cell>
        </row>
        <row r="71">
          <cell r="A71">
            <v>87</v>
          </cell>
          <cell r="B71">
            <v>6.935719644658879E-2</v>
          </cell>
          <cell r="C71">
            <v>6.077542781829834</v>
          </cell>
          <cell r="D71">
            <v>93.077542781829834</v>
          </cell>
        </row>
        <row r="72">
          <cell r="A72">
            <v>88</v>
          </cell>
          <cell r="B72">
            <v>6.935719644658879E-2</v>
          </cell>
          <cell r="C72">
            <v>5.6535682678222656</v>
          </cell>
          <cell r="D72">
            <v>93.653568267822266</v>
          </cell>
        </row>
        <row r="73">
          <cell r="A73">
            <v>89</v>
          </cell>
          <cell r="B73">
            <v>4.2402955223405328E-2</v>
          </cell>
          <cell r="C73">
            <v>5.2550868988037109</v>
          </cell>
          <cell r="D73">
            <v>94.255086898803711</v>
          </cell>
        </row>
        <row r="74">
          <cell r="A74">
            <v>90</v>
          </cell>
          <cell r="B74">
            <v>1.310743320050468E-2</v>
          </cell>
          <cell r="C74">
            <v>4.8817615509033203</v>
          </cell>
          <cell r="D74">
            <v>94.88176155090332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Workers ECI"/>
      <sheetName val="Business Management"/>
      <sheetName val="Professional"/>
      <sheetName val="Office &amp; Admin"/>
      <sheetName val="Service"/>
      <sheetName val="PIALL"/>
      <sheetName val="PIB"/>
      <sheetName val="PIP"/>
      <sheetName val="PIO"/>
      <sheetName val="PIS"/>
      <sheetName val="PISA"/>
      <sheetName val="SAL"/>
      <sheetName val="PAR"/>
      <sheetName val="GoodPding"/>
      <sheetName val="Trans"/>
    </sheetNames>
    <sheetDataSet>
      <sheetData sheetId="0" refreshError="1">
        <row r="1">
          <cell r="B1">
            <v>1981</v>
          </cell>
          <cell r="D1">
            <v>37.299999999999997</v>
          </cell>
          <cell r="E1">
            <v>38.200000000000003</v>
          </cell>
          <cell r="F1">
            <v>39</v>
          </cell>
          <cell r="G1">
            <v>38.166666666666664</v>
          </cell>
        </row>
        <row r="2">
          <cell r="B2">
            <v>1982</v>
          </cell>
          <cell r="C2">
            <v>39.6</v>
          </cell>
          <cell r="D2">
            <v>40.1</v>
          </cell>
          <cell r="E2">
            <v>41</v>
          </cell>
          <cell r="F2">
            <v>41.5</v>
          </cell>
          <cell r="G2">
            <v>40.866666666666667</v>
          </cell>
        </row>
        <row r="3">
          <cell r="B3">
            <v>1983</v>
          </cell>
          <cell r="C3">
            <v>42.2</v>
          </cell>
          <cell r="D3">
            <v>42.7</v>
          </cell>
          <cell r="E3">
            <v>43.4</v>
          </cell>
          <cell r="F3">
            <v>43.9</v>
          </cell>
          <cell r="G3">
            <v>43.333333333333336</v>
          </cell>
        </row>
        <row r="4">
          <cell r="B4">
            <v>1984</v>
          </cell>
          <cell r="C4">
            <v>44.7</v>
          </cell>
          <cell r="D4">
            <v>45</v>
          </cell>
          <cell r="E4">
            <v>45.6</v>
          </cell>
          <cell r="F4">
            <v>46.2</v>
          </cell>
          <cell r="G4">
            <v>45.6</v>
          </cell>
        </row>
        <row r="6">
          <cell r="B6">
            <v>1985</v>
          </cell>
          <cell r="C6">
            <v>46.8</v>
          </cell>
          <cell r="D6">
            <v>47.1</v>
          </cell>
          <cell r="E6">
            <v>47.8</v>
          </cell>
          <cell r="F6">
            <v>48.2</v>
          </cell>
          <cell r="G6">
            <v>47.70000000000001</v>
          </cell>
        </row>
        <row r="7">
          <cell r="B7">
            <v>1986</v>
          </cell>
          <cell r="C7">
            <v>48.7</v>
          </cell>
          <cell r="D7">
            <v>49</v>
          </cell>
          <cell r="E7">
            <v>49.6</v>
          </cell>
          <cell r="F7">
            <v>49.9</v>
          </cell>
          <cell r="G7">
            <v>49.5</v>
          </cell>
        </row>
        <row r="8">
          <cell r="B8">
            <v>1987</v>
          </cell>
          <cell r="C8">
            <v>50.3</v>
          </cell>
          <cell r="D8">
            <v>50.7</v>
          </cell>
          <cell r="E8">
            <v>51.2</v>
          </cell>
          <cell r="F8">
            <v>51.7</v>
          </cell>
          <cell r="G8">
            <v>51.20000000000001</v>
          </cell>
        </row>
        <row r="9">
          <cell r="B9">
            <v>1988</v>
          </cell>
          <cell r="C9">
            <v>52.4</v>
          </cell>
          <cell r="D9">
            <v>52.9</v>
          </cell>
          <cell r="E9">
            <v>53.7</v>
          </cell>
          <cell r="F9">
            <v>54.2</v>
          </cell>
          <cell r="G9">
            <v>53.6</v>
          </cell>
        </row>
        <row r="10">
          <cell r="B10">
            <v>1989</v>
          </cell>
          <cell r="C10">
            <v>54.9</v>
          </cell>
          <cell r="D10">
            <v>55.5</v>
          </cell>
          <cell r="E10">
            <v>56.4</v>
          </cell>
          <cell r="F10">
            <v>56.9</v>
          </cell>
          <cell r="G10">
            <v>56.266666666666673</v>
          </cell>
        </row>
        <row r="12">
          <cell r="B12">
            <v>1990</v>
          </cell>
          <cell r="C12">
            <v>57.9</v>
          </cell>
          <cell r="D12">
            <v>58.5</v>
          </cell>
          <cell r="E12">
            <v>59.3</v>
          </cell>
          <cell r="F12">
            <v>59.7</v>
          </cell>
          <cell r="G12">
            <v>59.166666666666664</v>
          </cell>
        </row>
        <row r="13">
          <cell r="B13">
            <v>1991</v>
          </cell>
          <cell r="C13">
            <v>60.5</v>
          </cell>
          <cell r="D13">
            <v>61.2</v>
          </cell>
          <cell r="E13">
            <v>61.9</v>
          </cell>
          <cell r="F13">
            <v>62.3</v>
          </cell>
          <cell r="G13">
            <v>61.79999999999999</v>
          </cell>
        </row>
        <row r="14">
          <cell r="B14">
            <v>1992</v>
          </cell>
          <cell r="C14">
            <v>63</v>
          </cell>
          <cell r="D14">
            <v>63.4</v>
          </cell>
          <cell r="E14">
            <v>64</v>
          </cell>
          <cell r="F14">
            <v>64.400000000000006</v>
          </cell>
          <cell r="G14">
            <v>63.933333333333337</v>
          </cell>
        </row>
        <row r="15">
          <cell r="B15">
            <v>1993</v>
          </cell>
          <cell r="C15">
            <v>65.2</v>
          </cell>
          <cell r="D15">
            <v>65.599999999999994</v>
          </cell>
          <cell r="E15">
            <v>66.3</v>
          </cell>
          <cell r="F15">
            <v>66.7</v>
          </cell>
          <cell r="G15">
            <v>66.199999999999989</v>
          </cell>
        </row>
        <row r="16">
          <cell r="B16">
            <v>1994</v>
          </cell>
          <cell r="C16">
            <v>67.3</v>
          </cell>
          <cell r="D16">
            <v>67.8</v>
          </cell>
          <cell r="E16">
            <v>68.400000000000006</v>
          </cell>
          <cell r="F16">
            <v>68.7</v>
          </cell>
          <cell r="G16">
            <v>68.3</v>
          </cell>
        </row>
        <row r="18">
          <cell r="B18">
            <v>1995</v>
          </cell>
          <cell r="C18">
            <v>69.3</v>
          </cell>
          <cell r="D18">
            <v>69.7</v>
          </cell>
          <cell r="E18">
            <v>70.3</v>
          </cell>
          <cell r="F18">
            <v>70.599999999999994</v>
          </cell>
          <cell r="G18">
            <v>70.2</v>
          </cell>
        </row>
        <row r="19">
          <cell r="B19">
            <v>1996</v>
          </cell>
          <cell r="C19">
            <v>71.2</v>
          </cell>
          <cell r="D19">
            <v>71.7</v>
          </cell>
          <cell r="E19">
            <v>72.3</v>
          </cell>
          <cell r="F19">
            <v>72.599999999999994</v>
          </cell>
          <cell r="G19">
            <v>72.2</v>
          </cell>
        </row>
        <row r="20">
          <cell r="B20">
            <v>1997</v>
          </cell>
          <cell r="C20">
            <v>73.3</v>
          </cell>
          <cell r="D20">
            <v>73.7</v>
          </cell>
          <cell r="E20">
            <v>74.400000000000006</v>
          </cell>
          <cell r="F20">
            <v>75</v>
          </cell>
          <cell r="G20">
            <v>74.366666666666674</v>
          </cell>
        </row>
        <row r="21">
          <cell r="B21">
            <v>1998</v>
          </cell>
          <cell r="C21">
            <v>75.599999999999994</v>
          </cell>
          <cell r="D21">
            <v>76.2</v>
          </cell>
          <cell r="E21">
            <v>77.099999999999994</v>
          </cell>
          <cell r="F21">
            <v>77.599999999999994</v>
          </cell>
          <cell r="G21">
            <v>76.966666666666669</v>
          </cell>
        </row>
        <row r="22">
          <cell r="B22">
            <v>1999</v>
          </cell>
          <cell r="C22">
            <v>77.900000000000006</v>
          </cell>
          <cell r="D22">
            <v>78.7</v>
          </cell>
          <cell r="E22">
            <v>79.5</v>
          </cell>
          <cell r="F22">
            <v>80.2</v>
          </cell>
          <cell r="G22">
            <v>79.466666666666654</v>
          </cell>
        </row>
        <row r="24">
          <cell r="B24">
            <v>2000</v>
          </cell>
          <cell r="C24">
            <v>81.3</v>
          </cell>
          <cell r="D24">
            <v>82.1</v>
          </cell>
          <cell r="E24">
            <v>83</v>
          </cell>
          <cell r="F24">
            <v>83.6</v>
          </cell>
          <cell r="G24">
            <v>82.899999999999991</v>
          </cell>
        </row>
        <row r="25">
          <cell r="B25">
            <v>2001</v>
          </cell>
          <cell r="C25">
            <v>84.6</v>
          </cell>
          <cell r="D25">
            <v>85.3</v>
          </cell>
          <cell r="E25">
            <v>86.3</v>
          </cell>
          <cell r="F25">
            <v>87</v>
          </cell>
          <cell r="G25">
            <v>86.2</v>
          </cell>
        </row>
        <row r="26">
          <cell r="B26">
            <v>2002</v>
          </cell>
          <cell r="C26">
            <v>87.9</v>
          </cell>
          <cell r="D26">
            <v>88.7</v>
          </cell>
          <cell r="E26">
            <v>89.5</v>
          </cell>
          <cell r="F26">
            <v>90</v>
          </cell>
          <cell r="G26">
            <v>89.399999999999991</v>
          </cell>
        </row>
        <row r="27">
          <cell r="B27">
            <v>2003</v>
          </cell>
          <cell r="C27">
            <v>91.3</v>
          </cell>
          <cell r="D27">
            <v>92</v>
          </cell>
          <cell r="E27">
            <v>93</v>
          </cell>
          <cell r="F27">
            <v>93.5</v>
          </cell>
          <cell r="G27">
            <v>92.833333333333329</v>
          </cell>
        </row>
        <row r="28">
          <cell r="B28">
            <v>2004</v>
          </cell>
          <cell r="C28">
            <v>94.7</v>
          </cell>
          <cell r="D28">
            <v>95.6</v>
          </cell>
          <cell r="E28">
            <v>96.5</v>
          </cell>
          <cell r="F28">
            <v>96.9</v>
          </cell>
          <cell r="G28">
            <v>96.333333333333329</v>
          </cell>
        </row>
        <row r="30">
          <cell r="B30">
            <v>2005</v>
          </cell>
          <cell r="C30">
            <v>98</v>
          </cell>
          <cell r="D30">
            <v>98.6</v>
          </cell>
          <cell r="E30">
            <v>99.5</v>
          </cell>
          <cell r="F30">
            <v>100</v>
          </cell>
          <cell r="G30">
            <v>99.366666666666674</v>
          </cell>
        </row>
        <row r="31">
          <cell r="B31">
            <v>2006</v>
          </cell>
          <cell r="C31">
            <v>100.7</v>
          </cell>
          <cell r="D31">
            <v>101.6</v>
          </cell>
          <cell r="E31">
            <v>102.7</v>
          </cell>
          <cell r="F31">
            <v>103.3</v>
          </cell>
          <cell r="G31">
            <v>102.53333333333335</v>
          </cell>
        </row>
        <row r="32">
          <cell r="B32">
            <v>2007</v>
          </cell>
          <cell r="C32">
            <v>104.2</v>
          </cell>
          <cell r="D32">
            <v>105</v>
          </cell>
          <cell r="E32">
            <v>106.1</v>
          </cell>
          <cell r="F32">
            <v>106.7</v>
          </cell>
          <cell r="G32">
            <v>105.93333333333334</v>
          </cell>
        </row>
        <row r="33">
          <cell r="B33">
            <v>2008</v>
          </cell>
          <cell r="C33">
            <v>107.6</v>
          </cell>
          <cell r="D33">
            <v>108.3</v>
          </cell>
          <cell r="E33">
            <v>109.2</v>
          </cell>
          <cell r="F33">
            <v>109.5</v>
          </cell>
          <cell r="G33">
            <v>109</v>
          </cell>
        </row>
        <row r="34">
          <cell r="B34">
            <v>2009</v>
          </cell>
          <cell r="C34">
            <v>109.9</v>
          </cell>
          <cell r="D34">
            <v>110.2</v>
          </cell>
          <cell r="E34">
            <v>110.8</v>
          </cell>
          <cell r="F34">
            <v>111</v>
          </cell>
          <cell r="G34">
            <v>110.66666666666667</v>
          </cell>
        </row>
        <row r="36">
          <cell r="B36">
            <v>2010</v>
          </cell>
          <cell r="C36">
            <v>111.8</v>
          </cell>
          <cell r="D36">
            <v>112.3</v>
          </cell>
          <cell r="E36">
            <v>112.9</v>
          </cell>
          <cell r="F36">
            <v>113.2</v>
          </cell>
          <cell r="G36">
            <v>112.8</v>
          </cell>
        </row>
        <row r="37">
          <cell r="B37">
            <v>2011</v>
          </cell>
          <cell r="C37">
            <v>114</v>
          </cell>
          <cell r="D37">
            <v>114.8</v>
          </cell>
          <cell r="E37">
            <v>115.2</v>
          </cell>
          <cell r="F37">
            <v>115.5</v>
          </cell>
          <cell r="G37">
            <v>115.16666666666667</v>
          </cell>
        </row>
        <row r="38">
          <cell r="B38">
            <v>2012</v>
          </cell>
          <cell r="C38">
            <v>116.2</v>
          </cell>
          <cell r="D38">
            <v>116.8</v>
          </cell>
          <cell r="E38">
            <v>117.4</v>
          </cell>
          <cell r="F38">
            <v>117.7</v>
          </cell>
          <cell r="G38">
            <v>117.3</v>
          </cell>
        </row>
        <row r="39">
          <cell r="B39">
            <v>2013</v>
          </cell>
          <cell r="C39">
            <v>118.4</v>
          </cell>
          <cell r="D39">
            <v>119</v>
          </cell>
          <cell r="E39">
            <v>119.6</v>
          </cell>
          <cell r="F39">
            <v>120</v>
          </cell>
          <cell r="G39">
            <v>119.53333333333335</v>
          </cell>
        </row>
        <row r="40">
          <cell r="B40">
            <v>2014</v>
          </cell>
          <cell r="C40">
            <v>120.5</v>
          </cell>
          <cell r="D40">
            <v>121.4</v>
          </cell>
          <cell r="E40">
            <v>122.2</v>
          </cell>
          <cell r="F40">
            <v>122.7</v>
          </cell>
          <cell r="G40">
            <v>122.10000000000001</v>
          </cell>
        </row>
        <row r="41">
          <cell r="B41">
            <v>2015</v>
          </cell>
          <cell r="C41">
            <v>123.6</v>
          </cell>
          <cell r="D41">
            <v>123.8</v>
          </cell>
          <cell r="E41">
            <v>124.6</v>
          </cell>
          <cell r="F41">
            <v>125.1</v>
          </cell>
          <cell r="G41">
            <v>124.27500000000001</v>
          </cell>
        </row>
        <row r="42">
          <cell r="B42">
            <v>2016</v>
          </cell>
          <cell r="C42">
            <v>126</v>
          </cell>
          <cell r="D42">
            <v>126.7</v>
          </cell>
          <cell r="E42">
            <v>127.5</v>
          </cell>
          <cell r="F42">
            <v>127.9</v>
          </cell>
          <cell r="G42">
            <v>127.02500000000001</v>
          </cell>
        </row>
        <row r="43">
          <cell r="B43">
            <v>2017</v>
          </cell>
          <cell r="C43">
            <v>129</v>
          </cell>
          <cell r="D43">
            <v>129.69999999999999</v>
          </cell>
          <cell r="E43">
            <v>130.69999999999999</v>
          </cell>
          <cell r="F43">
            <v>131.19999999999999</v>
          </cell>
          <cell r="G43">
            <v>130.14999999999998</v>
          </cell>
        </row>
        <row r="44">
          <cell r="B44">
            <v>2018</v>
          </cell>
          <cell r="C44">
            <v>132.5</v>
          </cell>
          <cell r="D44">
            <v>133.30000000000001</v>
          </cell>
          <cell r="E44">
            <v>134.4</v>
          </cell>
          <cell r="F44" t="str">
            <v>–</v>
          </cell>
          <cell r="G44">
            <v>133.4</v>
          </cell>
        </row>
        <row r="45">
          <cell r="B45">
            <v>2019</v>
          </cell>
          <cell r="G45">
            <v>138.5</v>
          </cell>
        </row>
      </sheetData>
      <sheetData sheetId="1" refreshError="1">
        <row r="3">
          <cell r="C3">
            <v>1989</v>
          </cell>
          <cell r="D3" t="str">
            <v>–</v>
          </cell>
          <cell r="E3">
            <v>54.1</v>
          </cell>
          <cell r="F3">
            <v>54.8</v>
          </cell>
          <cell r="G3">
            <v>55.2</v>
          </cell>
          <cell r="H3">
            <v>54.70000000000001</v>
          </cell>
        </row>
        <row r="4">
          <cell r="C4">
            <v>1990</v>
          </cell>
          <cell r="D4">
            <v>56.3</v>
          </cell>
          <cell r="E4">
            <v>57.1</v>
          </cell>
          <cell r="F4">
            <v>57.9</v>
          </cell>
          <cell r="G4">
            <v>58.3</v>
          </cell>
          <cell r="H4">
            <v>57.400000000000006</v>
          </cell>
        </row>
        <row r="5">
          <cell r="C5">
            <v>1991</v>
          </cell>
          <cell r="D5">
            <v>59.2</v>
          </cell>
          <cell r="E5">
            <v>59.9</v>
          </cell>
          <cell r="F5">
            <v>60.5</v>
          </cell>
          <cell r="G5">
            <v>60.9</v>
          </cell>
          <cell r="H5">
            <v>60.125</v>
          </cell>
        </row>
        <row r="6">
          <cell r="C6">
            <v>1992</v>
          </cell>
          <cell r="D6">
            <v>61.2</v>
          </cell>
          <cell r="E6">
            <v>61.4</v>
          </cell>
          <cell r="F6">
            <v>61.9</v>
          </cell>
          <cell r="G6">
            <v>62.3</v>
          </cell>
          <cell r="H6">
            <v>61.7</v>
          </cell>
        </row>
        <row r="7">
          <cell r="C7">
            <v>1993</v>
          </cell>
          <cell r="D7">
            <v>63.3</v>
          </cell>
          <cell r="E7">
            <v>63.6</v>
          </cell>
          <cell r="F7">
            <v>64.2</v>
          </cell>
          <cell r="G7">
            <v>64.599999999999994</v>
          </cell>
          <cell r="H7">
            <v>63.925000000000004</v>
          </cell>
        </row>
        <row r="8">
          <cell r="C8">
            <v>1994</v>
          </cell>
          <cell r="D8">
            <v>65.3</v>
          </cell>
          <cell r="E8">
            <v>65.8</v>
          </cell>
          <cell r="F8">
            <v>66.5</v>
          </cell>
          <cell r="G8">
            <v>66.900000000000006</v>
          </cell>
          <cell r="H8">
            <v>66.125</v>
          </cell>
        </row>
        <row r="9">
          <cell r="C9">
            <v>1995</v>
          </cell>
          <cell r="D9">
            <v>67.8</v>
          </cell>
          <cell r="E9">
            <v>68.099999999999994</v>
          </cell>
          <cell r="F9">
            <v>68.599999999999994</v>
          </cell>
          <cell r="G9">
            <v>69</v>
          </cell>
          <cell r="H9">
            <v>68.375</v>
          </cell>
        </row>
        <row r="10">
          <cell r="C10">
            <v>1996</v>
          </cell>
          <cell r="D10">
            <v>69.599999999999994</v>
          </cell>
          <cell r="E10">
            <v>69.900000000000006</v>
          </cell>
          <cell r="F10">
            <v>71</v>
          </cell>
          <cell r="G10">
            <v>71.2</v>
          </cell>
          <cell r="H10">
            <v>70.424999999999997</v>
          </cell>
        </row>
        <row r="11">
          <cell r="C11">
            <v>1997</v>
          </cell>
          <cell r="D11">
            <v>72.099999999999994</v>
          </cell>
          <cell r="E11">
            <v>72.599999999999994</v>
          </cell>
          <cell r="F11">
            <v>73.3</v>
          </cell>
          <cell r="G11">
            <v>74.3</v>
          </cell>
          <cell r="H11">
            <v>73.075000000000003</v>
          </cell>
        </row>
        <row r="12">
          <cell r="C12">
            <v>1998</v>
          </cell>
          <cell r="D12">
            <v>75.3</v>
          </cell>
          <cell r="E12">
            <v>75.599999999999994</v>
          </cell>
          <cell r="F12">
            <v>76.7</v>
          </cell>
          <cell r="G12">
            <v>76.8</v>
          </cell>
          <cell r="H12">
            <v>76.099999999999994</v>
          </cell>
        </row>
        <row r="13">
          <cell r="C13">
            <v>1999</v>
          </cell>
          <cell r="D13">
            <v>77.7</v>
          </cell>
          <cell r="E13">
            <v>78.7</v>
          </cell>
          <cell r="F13">
            <v>79.8</v>
          </cell>
          <cell r="G13">
            <v>80.5</v>
          </cell>
          <cell r="H13">
            <v>79.174999999999997</v>
          </cell>
        </row>
        <row r="14">
          <cell r="C14">
            <v>2000</v>
          </cell>
          <cell r="D14">
            <v>81.5</v>
          </cell>
          <cell r="E14">
            <v>82.2</v>
          </cell>
          <cell r="F14">
            <v>83.2</v>
          </cell>
          <cell r="G14">
            <v>83.7</v>
          </cell>
          <cell r="H14">
            <v>82.649999999999991</v>
          </cell>
        </row>
        <row r="15">
          <cell r="C15">
            <v>2001</v>
          </cell>
          <cell r="D15">
            <v>84.8</v>
          </cell>
          <cell r="E15">
            <v>85.9</v>
          </cell>
          <cell r="F15">
            <v>86.4</v>
          </cell>
          <cell r="G15">
            <v>87.3</v>
          </cell>
          <cell r="H15">
            <v>86.100000000000009</v>
          </cell>
        </row>
        <row r="16">
          <cell r="C16">
            <v>2002</v>
          </cell>
          <cell r="D16">
            <v>88.6</v>
          </cell>
          <cell r="E16">
            <v>89.7</v>
          </cell>
          <cell r="F16">
            <v>90</v>
          </cell>
          <cell r="G16">
            <v>90.3</v>
          </cell>
          <cell r="H16">
            <v>89.65</v>
          </cell>
        </row>
        <row r="17">
          <cell r="C17">
            <v>2003</v>
          </cell>
          <cell r="D17">
            <v>92.6</v>
          </cell>
          <cell r="E17">
            <v>93.1</v>
          </cell>
          <cell r="F17">
            <v>94.2</v>
          </cell>
          <cell r="G17">
            <v>94.7</v>
          </cell>
          <cell r="H17">
            <v>93.649999999999991</v>
          </cell>
        </row>
        <row r="18">
          <cell r="C18">
            <v>2004</v>
          </cell>
          <cell r="D18">
            <v>95.2</v>
          </cell>
          <cell r="E18">
            <v>95.9</v>
          </cell>
          <cell r="F18">
            <v>96.5</v>
          </cell>
          <cell r="G18">
            <v>97.1</v>
          </cell>
          <cell r="H18">
            <v>96.175000000000011</v>
          </cell>
        </row>
        <row r="19">
          <cell r="C19">
            <v>2005</v>
          </cell>
          <cell r="D19">
            <v>98.5</v>
          </cell>
          <cell r="E19">
            <v>99.1</v>
          </cell>
          <cell r="F19">
            <v>99.6</v>
          </cell>
          <cell r="G19">
            <v>100</v>
          </cell>
          <cell r="H19">
            <v>99.3</v>
          </cell>
        </row>
        <row r="20">
          <cell r="C20">
            <v>2006</v>
          </cell>
          <cell r="D20">
            <v>101.3</v>
          </cell>
          <cell r="E20">
            <v>101.9</v>
          </cell>
          <cell r="F20">
            <v>102.7</v>
          </cell>
          <cell r="G20">
            <v>103.2</v>
          </cell>
          <cell r="H20">
            <v>102.27499999999999</v>
          </cell>
        </row>
        <row r="21">
          <cell r="C21">
            <v>2007</v>
          </cell>
          <cell r="D21">
            <v>104.4</v>
          </cell>
          <cell r="E21">
            <v>105.2</v>
          </cell>
          <cell r="F21">
            <v>106.2</v>
          </cell>
          <cell r="G21">
            <v>106.6</v>
          </cell>
          <cell r="H21">
            <v>105.6</v>
          </cell>
        </row>
        <row r="22">
          <cell r="C22">
            <v>2008</v>
          </cell>
          <cell r="D22">
            <v>108.2</v>
          </cell>
          <cell r="E22">
            <v>108.9</v>
          </cell>
          <cell r="F22">
            <v>109.7</v>
          </cell>
          <cell r="G22">
            <v>109.8</v>
          </cell>
          <cell r="H22">
            <v>109.15</v>
          </cell>
        </row>
        <row r="23">
          <cell r="C23">
            <v>2009</v>
          </cell>
          <cell r="D23">
            <v>110</v>
          </cell>
          <cell r="E23">
            <v>110.1</v>
          </cell>
          <cell r="F23">
            <v>110.2</v>
          </cell>
          <cell r="G23">
            <v>110.4</v>
          </cell>
          <cell r="H23">
            <v>110.17500000000001</v>
          </cell>
        </row>
        <row r="24">
          <cell r="C24">
            <v>2010</v>
          </cell>
          <cell r="D24">
            <v>111.6</v>
          </cell>
          <cell r="E24">
            <v>112.1</v>
          </cell>
          <cell r="F24">
            <v>112.3</v>
          </cell>
          <cell r="G24">
            <v>112.7</v>
          </cell>
          <cell r="H24">
            <v>112.175</v>
          </cell>
        </row>
        <row r="25">
          <cell r="C25">
            <v>2011</v>
          </cell>
          <cell r="D25">
            <v>113.9</v>
          </cell>
          <cell r="E25">
            <v>114.7</v>
          </cell>
          <cell r="F25">
            <v>115.1</v>
          </cell>
          <cell r="G25">
            <v>115.3</v>
          </cell>
          <cell r="H25">
            <v>114.75000000000001</v>
          </cell>
        </row>
        <row r="26">
          <cell r="C26">
            <v>2012</v>
          </cell>
          <cell r="D26">
            <v>116.2</v>
          </cell>
          <cell r="E26">
            <v>117.2</v>
          </cell>
          <cell r="F26">
            <v>117.3</v>
          </cell>
          <cell r="G26">
            <v>117.4</v>
          </cell>
          <cell r="H26">
            <v>117.02500000000001</v>
          </cell>
        </row>
        <row r="27">
          <cell r="C27">
            <v>2013</v>
          </cell>
          <cell r="D27">
            <v>118.3</v>
          </cell>
          <cell r="E27">
            <v>119.5</v>
          </cell>
          <cell r="F27">
            <v>119.8</v>
          </cell>
          <cell r="G27">
            <v>120.2</v>
          </cell>
          <cell r="H27">
            <v>119.45</v>
          </cell>
        </row>
        <row r="28">
          <cell r="C28">
            <v>2014</v>
          </cell>
          <cell r="D28">
            <v>120.7</v>
          </cell>
          <cell r="E28">
            <v>122.3</v>
          </cell>
          <cell r="F28">
            <v>123.2</v>
          </cell>
          <cell r="G28">
            <v>123.3</v>
          </cell>
          <cell r="H28">
            <v>122.375</v>
          </cell>
        </row>
        <row r="29">
          <cell r="C29">
            <v>2015</v>
          </cell>
          <cell r="D29">
            <v>124.1</v>
          </cell>
          <cell r="E29">
            <v>124.4</v>
          </cell>
          <cell r="F29">
            <v>125.6</v>
          </cell>
          <cell r="G29">
            <v>126</v>
          </cell>
          <cell r="H29">
            <v>125.02500000000001</v>
          </cell>
        </row>
        <row r="30">
          <cell r="C30">
            <v>2016</v>
          </cell>
          <cell r="D30">
            <v>126.7</v>
          </cell>
          <cell r="E30">
            <v>127</v>
          </cell>
          <cell r="F30">
            <v>128</v>
          </cell>
          <cell r="G30">
            <v>128.69999999999999</v>
          </cell>
          <cell r="H30">
            <v>127.6</v>
          </cell>
        </row>
        <row r="31">
          <cell r="C31">
            <v>2017</v>
          </cell>
          <cell r="D31">
            <v>129.69999999999999</v>
          </cell>
          <cell r="E31">
            <v>130.80000000000001</v>
          </cell>
          <cell r="F31">
            <v>131.6</v>
          </cell>
          <cell r="G31">
            <v>131.9</v>
          </cell>
          <cell r="H31">
            <v>131</v>
          </cell>
        </row>
        <row r="32">
          <cell r="C32">
            <v>2018</v>
          </cell>
          <cell r="D32">
            <v>133.4</v>
          </cell>
          <cell r="E32">
            <v>134.1</v>
          </cell>
          <cell r="F32">
            <v>135</v>
          </cell>
          <cell r="G32" t="str">
            <v>–</v>
          </cell>
          <cell r="H32">
            <v>134.16666666666666</v>
          </cell>
        </row>
      </sheetData>
      <sheetData sheetId="2" refreshError="1">
        <row r="2">
          <cell r="C2">
            <v>1989</v>
          </cell>
          <cell r="D2" t="str">
            <v>–</v>
          </cell>
          <cell r="E2">
            <v>55.3</v>
          </cell>
          <cell r="F2">
            <v>56.8</v>
          </cell>
          <cell r="G2">
            <v>57.4</v>
          </cell>
          <cell r="H2">
            <v>56.5</v>
          </cell>
        </row>
        <row r="3">
          <cell r="C3">
            <v>1990</v>
          </cell>
          <cell r="D3">
            <v>58.4</v>
          </cell>
          <cell r="E3">
            <v>58.8</v>
          </cell>
          <cell r="F3">
            <v>60.2</v>
          </cell>
          <cell r="G3">
            <v>60.8</v>
          </cell>
          <cell r="H3">
            <v>59.55</v>
          </cell>
        </row>
        <row r="4">
          <cell r="C4">
            <v>1991</v>
          </cell>
          <cell r="D4">
            <v>61.4</v>
          </cell>
          <cell r="E4">
            <v>61.8</v>
          </cell>
          <cell r="F4">
            <v>62.8</v>
          </cell>
          <cell r="G4">
            <v>63.3</v>
          </cell>
          <cell r="H4">
            <v>62.325000000000003</v>
          </cell>
        </row>
        <row r="5">
          <cell r="C5">
            <v>1992</v>
          </cell>
          <cell r="D5">
            <v>63.9</v>
          </cell>
          <cell r="E5">
            <v>64.3</v>
          </cell>
          <cell r="F5">
            <v>65.400000000000006</v>
          </cell>
          <cell r="G5">
            <v>65.900000000000006</v>
          </cell>
          <cell r="H5">
            <v>64.875</v>
          </cell>
        </row>
        <row r="6">
          <cell r="C6">
            <v>1993</v>
          </cell>
          <cell r="D6">
            <v>66.5</v>
          </cell>
          <cell r="E6">
            <v>66.7</v>
          </cell>
          <cell r="F6">
            <v>67.5</v>
          </cell>
          <cell r="G6">
            <v>67.8</v>
          </cell>
          <cell r="H6">
            <v>67.125</v>
          </cell>
        </row>
        <row r="7">
          <cell r="C7">
            <v>1994</v>
          </cell>
          <cell r="D7">
            <v>68.5</v>
          </cell>
          <cell r="E7">
            <v>68.7</v>
          </cell>
          <cell r="F7">
            <v>69.599999999999994</v>
          </cell>
          <cell r="G7">
            <v>69.8</v>
          </cell>
          <cell r="H7">
            <v>69.149999999999991</v>
          </cell>
        </row>
        <row r="8">
          <cell r="C8">
            <v>1995</v>
          </cell>
          <cell r="D8">
            <v>70.3</v>
          </cell>
          <cell r="E8">
            <v>70.599999999999994</v>
          </cell>
          <cell r="F8">
            <v>71.3</v>
          </cell>
          <cell r="G8">
            <v>71.599999999999994</v>
          </cell>
          <cell r="H8">
            <v>70.949999999999989</v>
          </cell>
        </row>
        <row r="9">
          <cell r="C9">
            <v>1996</v>
          </cell>
          <cell r="D9">
            <v>72.3</v>
          </cell>
          <cell r="E9">
            <v>72.7</v>
          </cell>
          <cell r="F9">
            <v>73.400000000000006</v>
          </cell>
          <cell r="G9">
            <v>73.7</v>
          </cell>
          <cell r="H9">
            <v>73.025000000000006</v>
          </cell>
        </row>
        <row r="10">
          <cell r="C10">
            <v>1997</v>
          </cell>
          <cell r="D10">
            <v>74</v>
          </cell>
          <cell r="E10">
            <v>74.5</v>
          </cell>
          <cell r="F10">
            <v>75.2</v>
          </cell>
          <cell r="G10">
            <v>75.7</v>
          </cell>
          <cell r="H10">
            <v>74.849999999999994</v>
          </cell>
        </row>
        <row r="11">
          <cell r="C11">
            <v>1998</v>
          </cell>
          <cell r="D11">
            <v>76.099999999999994</v>
          </cell>
          <cell r="E11">
            <v>76.5</v>
          </cell>
          <cell r="F11">
            <v>77.5</v>
          </cell>
          <cell r="G11">
            <v>78</v>
          </cell>
          <cell r="H11">
            <v>77.025000000000006</v>
          </cell>
        </row>
        <row r="12">
          <cell r="C12">
            <v>1999</v>
          </cell>
          <cell r="D12">
            <v>78.2</v>
          </cell>
          <cell r="E12">
            <v>78.7</v>
          </cell>
          <cell r="F12">
            <v>79.599999999999994</v>
          </cell>
          <cell r="G12">
            <v>80.400000000000006</v>
          </cell>
          <cell r="H12">
            <v>79.224999999999994</v>
          </cell>
        </row>
        <row r="13">
          <cell r="C13">
            <v>2000</v>
          </cell>
          <cell r="D13">
            <v>81.2</v>
          </cell>
          <cell r="E13">
            <v>82.1</v>
          </cell>
          <cell r="F13">
            <v>83</v>
          </cell>
          <cell r="G13">
            <v>83.7</v>
          </cell>
          <cell r="H13">
            <v>82.5</v>
          </cell>
        </row>
        <row r="14">
          <cell r="C14">
            <v>2001</v>
          </cell>
          <cell r="D14">
            <v>84.8</v>
          </cell>
          <cell r="E14">
            <v>85.4</v>
          </cell>
          <cell r="F14">
            <v>86.7</v>
          </cell>
          <cell r="G14">
            <v>87.2</v>
          </cell>
          <cell r="H14">
            <v>86.024999999999991</v>
          </cell>
        </row>
        <row r="15">
          <cell r="C15">
            <v>2002</v>
          </cell>
          <cell r="D15">
            <v>87.7</v>
          </cell>
          <cell r="E15">
            <v>88.2</v>
          </cell>
          <cell r="F15">
            <v>89.3</v>
          </cell>
          <cell r="G15">
            <v>89.9</v>
          </cell>
          <cell r="H15">
            <v>88.775000000000006</v>
          </cell>
        </row>
        <row r="16">
          <cell r="C16">
            <v>2003</v>
          </cell>
          <cell r="D16">
            <v>90.8</v>
          </cell>
          <cell r="E16">
            <v>91.3</v>
          </cell>
          <cell r="F16">
            <v>92.4</v>
          </cell>
          <cell r="G16">
            <v>93</v>
          </cell>
          <cell r="H16">
            <v>91.875</v>
          </cell>
        </row>
        <row r="17">
          <cell r="C17">
            <v>2004</v>
          </cell>
          <cell r="D17">
            <v>94.2</v>
          </cell>
          <cell r="E17">
            <v>94.7</v>
          </cell>
          <cell r="F17">
            <v>96.1</v>
          </cell>
          <cell r="G17">
            <v>96.7</v>
          </cell>
          <cell r="H17">
            <v>95.424999999999997</v>
          </cell>
        </row>
        <row r="18">
          <cell r="C18">
            <v>2005</v>
          </cell>
          <cell r="D18">
            <v>97.8</v>
          </cell>
          <cell r="E18">
            <v>98.3</v>
          </cell>
          <cell r="F18">
            <v>99.4</v>
          </cell>
          <cell r="G18">
            <v>100</v>
          </cell>
          <cell r="H18">
            <v>98.875</v>
          </cell>
        </row>
        <row r="19">
          <cell r="C19">
            <v>2006</v>
          </cell>
          <cell r="D19">
            <v>100.7</v>
          </cell>
          <cell r="E19">
            <v>101.4</v>
          </cell>
          <cell r="F19">
            <v>103.2</v>
          </cell>
          <cell r="G19">
            <v>104</v>
          </cell>
          <cell r="H19">
            <v>102.325</v>
          </cell>
        </row>
        <row r="20">
          <cell r="C20">
            <v>2007</v>
          </cell>
          <cell r="D20">
            <v>104.9</v>
          </cell>
          <cell r="E20">
            <v>105.7</v>
          </cell>
          <cell r="F20">
            <v>107</v>
          </cell>
          <cell r="G20">
            <v>107.6</v>
          </cell>
          <cell r="H20">
            <v>106.30000000000001</v>
          </cell>
        </row>
        <row r="21">
          <cell r="C21">
            <v>2008</v>
          </cell>
          <cell r="D21">
            <v>108.4</v>
          </cell>
          <cell r="E21">
            <v>109</v>
          </cell>
          <cell r="F21">
            <v>110.4</v>
          </cell>
          <cell r="G21">
            <v>110.7</v>
          </cell>
          <cell r="H21">
            <v>109.625</v>
          </cell>
        </row>
        <row r="22">
          <cell r="C22">
            <v>2009</v>
          </cell>
          <cell r="D22">
            <v>111.3</v>
          </cell>
          <cell r="E22">
            <v>111.6</v>
          </cell>
          <cell r="F22">
            <v>112.2</v>
          </cell>
          <cell r="G22">
            <v>112.3</v>
          </cell>
          <cell r="H22">
            <v>111.85</v>
          </cell>
        </row>
        <row r="23">
          <cell r="C23">
            <v>2010</v>
          </cell>
          <cell r="D23">
            <v>112.9</v>
          </cell>
          <cell r="E23">
            <v>113.2</v>
          </cell>
          <cell r="F23">
            <v>114.1</v>
          </cell>
          <cell r="G23">
            <v>114.3</v>
          </cell>
          <cell r="H23">
            <v>113.62500000000001</v>
          </cell>
        </row>
        <row r="24">
          <cell r="C24">
            <v>2011</v>
          </cell>
          <cell r="D24">
            <v>115.1</v>
          </cell>
          <cell r="E24">
            <v>115.4</v>
          </cell>
          <cell r="F24">
            <v>115.9</v>
          </cell>
          <cell r="G24">
            <v>116.2</v>
          </cell>
          <cell r="H24">
            <v>115.64999999999999</v>
          </cell>
        </row>
        <row r="25">
          <cell r="C25">
            <v>2012</v>
          </cell>
          <cell r="D25">
            <v>117.1</v>
          </cell>
          <cell r="E25">
            <v>117.4</v>
          </cell>
          <cell r="F25">
            <v>118.1</v>
          </cell>
          <cell r="G25">
            <v>118.5</v>
          </cell>
          <cell r="H25">
            <v>117.77500000000001</v>
          </cell>
        </row>
        <row r="26">
          <cell r="C26">
            <v>2013</v>
          </cell>
          <cell r="D26" t="str">
            <v>.  119.1</v>
          </cell>
          <cell r="E26">
            <v>119.6</v>
          </cell>
          <cell r="F26">
            <v>120.3</v>
          </cell>
          <cell r="G26">
            <v>120.7</v>
          </cell>
          <cell r="H26">
            <v>120.19999999999999</v>
          </cell>
        </row>
        <row r="27">
          <cell r="C27">
            <v>2014</v>
          </cell>
          <cell r="D27" t="str">
            <v>.  121.2</v>
          </cell>
          <cell r="E27">
            <v>121.8</v>
          </cell>
          <cell r="F27">
            <v>122.7</v>
          </cell>
          <cell r="G27">
            <v>123.1</v>
          </cell>
          <cell r="H27">
            <v>122.53333333333335</v>
          </cell>
        </row>
        <row r="28">
          <cell r="C28">
            <v>2015</v>
          </cell>
          <cell r="D28">
            <v>123.9</v>
          </cell>
          <cell r="E28">
            <v>124.3</v>
          </cell>
          <cell r="F28">
            <v>125</v>
          </cell>
          <cell r="G28">
            <v>125.6</v>
          </cell>
          <cell r="H28">
            <v>124.69999999999999</v>
          </cell>
        </row>
        <row r="29">
          <cell r="C29">
            <v>2016</v>
          </cell>
          <cell r="D29">
            <v>126.2</v>
          </cell>
          <cell r="E29">
            <v>126.7</v>
          </cell>
          <cell r="F29">
            <v>127.6</v>
          </cell>
          <cell r="G29">
            <v>127.8</v>
          </cell>
          <cell r="H29">
            <v>127.075</v>
          </cell>
        </row>
        <row r="30">
          <cell r="C30">
            <v>2017</v>
          </cell>
          <cell r="D30">
            <v>128.69999999999999</v>
          </cell>
          <cell r="E30">
            <v>129.4</v>
          </cell>
          <cell r="F30">
            <v>130.19999999999999</v>
          </cell>
          <cell r="G30">
            <v>130.80000000000001</v>
          </cell>
          <cell r="H30">
            <v>129.77500000000001</v>
          </cell>
        </row>
        <row r="31">
          <cell r="C31">
            <v>2018</v>
          </cell>
          <cell r="D31">
            <v>131.6</v>
          </cell>
          <cell r="E31">
            <v>132.30000000000001</v>
          </cell>
          <cell r="F31">
            <v>133.4</v>
          </cell>
          <cell r="G31" t="str">
            <v>–</v>
          </cell>
          <cell r="H31">
            <v>132.43333333333331</v>
          </cell>
        </row>
      </sheetData>
      <sheetData sheetId="3" refreshError="1">
        <row r="1">
          <cell r="B1">
            <v>1989</v>
          </cell>
          <cell r="C1" t="str">
            <v>–</v>
          </cell>
          <cell r="D1">
            <v>53.9</v>
          </cell>
          <cell r="E1">
            <v>54.6</v>
          </cell>
          <cell r="F1">
            <v>55.2</v>
          </cell>
          <cell r="G1">
            <v>54.566666666666663</v>
          </cell>
        </row>
        <row r="2">
          <cell r="B2">
            <v>1990</v>
          </cell>
          <cell r="C2">
            <v>56.2</v>
          </cell>
          <cell r="D2">
            <v>56.8</v>
          </cell>
          <cell r="E2">
            <v>57.5</v>
          </cell>
          <cell r="F2">
            <v>58.1</v>
          </cell>
          <cell r="G2">
            <v>57.15</v>
          </cell>
        </row>
        <row r="3">
          <cell r="B3">
            <v>1991</v>
          </cell>
          <cell r="C3">
            <v>58.8</v>
          </cell>
          <cell r="D3">
            <v>59.3</v>
          </cell>
          <cell r="E3">
            <v>60</v>
          </cell>
          <cell r="F3">
            <v>60.4</v>
          </cell>
          <cell r="G3">
            <v>59.625</v>
          </cell>
        </row>
        <row r="4">
          <cell r="B4">
            <v>1992</v>
          </cell>
          <cell r="C4">
            <v>61.3</v>
          </cell>
          <cell r="D4">
            <v>61.7</v>
          </cell>
          <cell r="E4">
            <v>62.4</v>
          </cell>
          <cell r="F4">
            <v>62.9</v>
          </cell>
          <cell r="G4">
            <v>62.075000000000003</v>
          </cell>
        </row>
        <row r="5">
          <cell r="B5">
            <v>1993</v>
          </cell>
          <cell r="C5">
            <v>63.7</v>
          </cell>
          <cell r="D5">
            <v>64.2</v>
          </cell>
          <cell r="E5">
            <v>64.8</v>
          </cell>
          <cell r="F5">
            <v>65.3</v>
          </cell>
          <cell r="G5">
            <v>64.5</v>
          </cell>
        </row>
        <row r="6">
          <cell r="B6">
            <v>1994</v>
          </cell>
          <cell r="C6">
            <v>66</v>
          </cell>
          <cell r="D6">
            <v>66.5</v>
          </cell>
          <cell r="E6">
            <v>67.099999999999994</v>
          </cell>
          <cell r="F6">
            <v>67.400000000000006</v>
          </cell>
          <cell r="G6">
            <v>66.75</v>
          </cell>
        </row>
        <row r="7">
          <cell r="B7">
            <v>1995</v>
          </cell>
          <cell r="C7">
            <v>68.099999999999994</v>
          </cell>
          <cell r="D7">
            <v>68.599999999999994</v>
          </cell>
          <cell r="E7">
            <v>69</v>
          </cell>
          <cell r="F7">
            <v>69.5</v>
          </cell>
          <cell r="G7">
            <v>68.8</v>
          </cell>
        </row>
        <row r="8">
          <cell r="B8">
            <v>1996</v>
          </cell>
          <cell r="C8">
            <v>70.099999999999994</v>
          </cell>
          <cell r="D8">
            <v>70.400000000000006</v>
          </cell>
          <cell r="E8">
            <v>71.099999999999994</v>
          </cell>
          <cell r="F8">
            <v>71.400000000000006</v>
          </cell>
          <cell r="G8">
            <v>70.75</v>
          </cell>
        </row>
        <row r="9">
          <cell r="B9">
            <v>1997</v>
          </cell>
          <cell r="C9">
            <v>71.900000000000006</v>
          </cell>
          <cell r="D9">
            <v>72.5</v>
          </cell>
          <cell r="E9">
            <v>73.099999999999994</v>
          </cell>
          <cell r="F9">
            <v>73.7</v>
          </cell>
          <cell r="G9">
            <v>72.8</v>
          </cell>
        </row>
        <row r="10">
          <cell r="B10">
            <v>1998</v>
          </cell>
          <cell r="C10">
            <v>74.3</v>
          </cell>
          <cell r="D10">
            <v>75</v>
          </cell>
          <cell r="E10">
            <v>75.599999999999994</v>
          </cell>
          <cell r="F10">
            <v>76.099999999999994</v>
          </cell>
          <cell r="G10">
            <v>75.25</v>
          </cell>
        </row>
        <row r="11">
          <cell r="B11">
            <v>1999</v>
          </cell>
          <cell r="C11">
            <v>76.7</v>
          </cell>
          <cell r="D11">
            <v>77.2</v>
          </cell>
          <cell r="E11">
            <v>77.900000000000006</v>
          </cell>
          <cell r="F11">
            <v>78.7</v>
          </cell>
          <cell r="G11">
            <v>77.625</v>
          </cell>
        </row>
        <row r="12">
          <cell r="B12">
            <v>2000</v>
          </cell>
          <cell r="C12">
            <v>80</v>
          </cell>
          <cell r="D12">
            <v>80.8</v>
          </cell>
          <cell r="E12">
            <v>81.7</v>
          </cell>
          <cell r="F12">
            <v>82.3</v>
          </cell>
          <cell r="G12">
            <v>81.2</v>
          </cell>
        </row>
        <row r="13">
          <cell r="B13">
            <v>2001</v>
          </cell>
          <cell r="C13">
            <v>83.6</v>
          </cell>
          <cell r="D13">
            <v>84.4</v>
          </cell>
          <cell r="E13">
            <v>85.5</v>
          </cell>
          <cell r="F13">
            <v>86.2</v>
          </cell>
          <cell r="G13">
            <v>84.924999999999997</v>
          </cell>
        </row>
        <row r="14">
          <cell r="B14">
            <v>2002</v>
          </cell>
          <cell r="C14">
            <v>87.2</v>
          </cell>
          <cell r="D14">
            <v>87.9</v>
          </cell>
          <cell r="E14">
            <v>88.8</v>
          </cell>
          <cell r="F14">
            <v>89.4</v>
          </cell>
          <cell r="G14">
            <v>88.325000000000017</v>
          </cell>
        </row>
        <row r="15">
          <cell r="B15">
            <v>2003</v>
          </cell>
          <cell r="C15">
            <v>90.6</v>
          </cell>
          <cell r="D15">
            <v>91.5</v>
          </cell>
          <cell r="E15">
            <v>92.5</v>
          </cell>
          <cell r="F15">
            <v>92.9</v>
          </cell>
          <cell r="G15">
            <v>91.875</v>
          </cell>
        </row>
        <row r="16">
          <cell r="B16">
            <v>2004</v>
          </cell>
          <cell r="C16">
            <v>94.4</v>
          </cell>
          <cell r="D16">
            <v>95.4</v>
          </cell>
          <cell r="E16">
            <v>96.2</v>
          </cell>
          <cell r="F16">
            <v>96.9</v>
          </cell>
          <cell r="G16">
            <v>95.724999999999994</v>
          </cell>
        </row>
        <row r="17">
          <cell r="B17">
            <v>2005</v>
          </cell>
          <cell r="C17">
            <v>98</v>
          </cell>
          <cell r="D17">
            <v>98.7</v>
          </cell>
          <cell r="E17">
            <v>99.5</v>
          </cell>
          <cell r="F17">
            <v>100</v>
          </cell>
          <cell r="G17">
            <v>99.05</v>
          </cell>
        </row>
        <row r="18">
          <cell r="B18">
            <v>2006</v>
          </cell>
          <cell r="C18">
            <v>100.9</v>
          </cell>
          <cell r="D18">
            <v>101.9</v>
          </cell>
          <cell r="E18">
            <v>102.8</v>
          </cell>
          <cell r="F18">
            <v>103.5</v>
          </cell>
          <cell r="G18">
            <v>102.27500000000001</v>
          </cell>
        </row>
        <row r="19">
          <cell r="B19">
            <v>2007</v>
          </cell>
          <cell r="C19">
            <v>104.7</v>
          </cell>
          <cell r="D19">
            <v>105.5</v>
          </cell>
          <cell r="E19">
            <v>106.4</v>
          </cell>
          <cell r="F19">
            <v>107.1</v>
          </cell>
          <cell r="G19">
            <v>105.92500000000001</v>
          </cell>
        </row>
        <row r="20">
          <cell r="B20">
            <v>2008</v>
          </cell>
          <cell r="C20">
            <v>108</v>
          </cell>
          <cell r="D20">
            <v>108.6</v>
          </cell>
          <cell r="E20">
            <v>109.5</v>
          </cell>
          <cell r="F20">
            <v>110</v>
          </cell>
          <cell r="G20">
            <v>109.02500000000001</v>
          </cell>
        </row>
        <row r="21">
          <cell r="B21">
            <v>2009</v>
          </cell>
          <cell r="C21">
            <v>110.8</v>
          </cell>
          <cell r="D21">
            <v>111.3</v>
          </cell>
          <cell r="E21">
            <v>111.8</v>
          </cell>
          <cell r="F21">
            <v>112.1</v>
          </cell>
          <cell r="G21">
            <v>111.5</v>
          </cell>
        </row>
        <row r="22">
          <cell r="B22">
            <v>2010</v>
          </cell>
          <cell r="C22">
            <v>113</v>
          </cell>
          <cell r="D22">
            <v>113.4</v>
          </cell>
          <cell r="E22">
            <v>114.1</v>
          </cell>
          <cell r="F22">
            <v>114.4</v>
          </cell>
          <cell r="G22">
            <v>113.72499999999999</v>
          </cell>
        </row>
        <row r="23">
          <cell r="B23">
            <v>2011</v>
          </cell>
          <cell r="C23">
            <v>115.4</v>
          </cell>
          <cell r="D23">
            <v>116.1</v>
          </cell>
          <cell r="E23">
            <v>116.6</v>
          </cell>
          <cell r="F23">
            <v>116.8</v>
          </cell>
          <cell r="G23">
            <v>116.22500000000001</v>
          </cell>
        </row>
        <row r="24">
          <cell r="B24">
            <v>2012</v>
          </cell>
          <cell r="C24">
            <v>117.7</v>
          </cell>
          <cell r="D24">
            <v>118.3</v>
          </cell>
          <cell r="E24">
            <v>118.8</v>
          </cell>
          <cell r="F24">
            <v>119</v>
          </cell>
          <cell r="G24">
            <v>118</v>
          </cell>
        </row>
        <row r="25">
          <cell r="B25">
            <v>2013</v>
          </cell>
          <cell r="C25">
            <v>120</v>
          </cell>
          <cell r="D25">
            <v>120.6</v>
          </cell>
          <cell r="E25">
            <v>121.1</v>
          </cell>
          <cell r="F25">
            <v>121.4</v>
          </cell>
          <cell r="G25">
            <v>120.3</v>
          </cell>
        </row>
        <row r="26">
          <cell r="B26">
            <v>2014</v>
          </cell>
          <cell r="C26">
            <v>122.2</v>
          </cell>
          <cell r="D26">
            <v>123.2</v>
          </cell>
          <cell r="E26">
            <v>123.7</v>
          </cell>
          <cell r="F26">
            <v>124.2</v>
          </cell>
          <cell r="G26">
            <v>122.7</v>
          </cell>
        </row>
        <row r="27">
          <cell r="B27">
            <v>2015</v>
          </cell>
          <cell r="C27">
            <v>125</v>
          </cell>
          <cell r="D27">
            <v>125.7</v>
          </cell>
          <cell r="E27">
            <v>126.4</v>
          </cell>
          <cell r="F27">
            <v>127</v>
          </cell>
          <cell r="G27">
            <v>126</v>
          </cell>
        </row>
        <row r="28">
          <cell r="B28">
            <v>2016</v>
          </cell>
          <cell r="C28">
            <v>128.4</v>
          </cell>
          <cell r="D28">
            <v>129.19999999999999</v>
          </cell>
          <cell r="E28">
            <v>130</v>
          </cell>
          <cell r="F28">
            <v>130.5</v>
          </cell>
          <cell r="G28">
            <v>129.5</v>
          </cell>
        </row>
        <row r="29">
          <cell r="B29">
            <v>2017</v>
          </cell>
          <cell r="C29">
            <v>131.6</v>
          </cell>
          <cell r="D29">
            <v>132.30000000000001</v>
          </cell>
          <cell r="E29">
            <v>133.1</v>
          </cell>
          <cell r="F29">
            <v>133.69999999999999</v>
          </cell>
          <cell r="G29">
            <v>132.69999999999999</v>
          </cell>
        </row>
        <row r="30">
          <cell r="B30">
            <v>2018</v>
          </cell>
          <cell r="C30">
            <v>135.19999999999999</v>
          </cell>
          <cell r="D30">
            <v>136.6</v>
          </cell>
          <cell r="E30">
            <v>137.6</v>
          </cell>
          <cell r="F30" t="str">
            <v>–</v>
          </cell>
          <cell r="G30">
            <v>136.5</v>
          </cell>
        </row>
      </sheetData>
      <sheetData sheetId="4" refreshError="1">
        <row r="1">
          <cell r="C1">
            <v>1981</v>
          </cell>
          <cell r="D1" t="str">
            <v>–</v>
          </cell>
          <cell r="E1">
            <v>36.9</v>
          </cell>
          <cell r="F1">
            <v>37.9</v>
          </cell>
          <cell r="G1">
            <v>38.4</v>
          </cell>
          <cell r="H1">
            <v>37.733333333333327</v>
          </cell>
        </row>
        <row r="2">
          <cell r="C2">
            <v>1982</v>
          </cell>
          <cell r="D2">
            <v>39.6</v>
          </cell>
          <cell r="E2">
            <v>40</v>
          </cell>
          <cell r="F2">
            <v>40.9</v>
          </cell>
          <cell r="G2">
            <v>41.5</v>
          </cell>
          <cell r="H2">
            <v>40.5</v>
          </cell>
        </row>
        <row r="3">
          <cell r="C3">
            <v>1983</v>
          </cell>
          <cell r="D3">
            <v>42.2</v>
          </cell>
          <cell r="E3">
            <v>42.5</v>
          </cell>
          <cell r="F3">
            <v>43.1</v>
          </cell>
          <cell r="G3">
            <v>44</v>
          </cell>
          <cell r="H3">
            <v>42.95</v>
          </cell>
        </row>
        <row r="4">
          <cell r="C4">
            <v>1984</v>
          </cell>
          <cell r="D4">
            <v>45</v>
          </cell>
          <cell r="E4">
            <v>45.1</v>
          </cell>
          <cell r="F4">
            <v>46</v>
          </cell>
          <cell r="G4">
            <v>46.8</v>
          </cell>
          <cell r="H4">
            <v>45.724999999999994</v>
          </cell>
        </row>
        <row r="5">
          <cell r="C5">
            <v>1985</v>
          </cell>
          <cell r="D5">
            <v>47.2</v>
          </cell>
          <cell r="E5">
            <v>47.3</v>
          </cell>
          <cell r="F5">
            <v>48.3</v>
          </cell>
          <cell r="G5">
            <v>48.7</v>
          </cell>
          <cell r="H5">
            <v>47.875</v>
          </cell>
        </row>
        <row r="6">
          <cell r="C6">
            <v>1986</v>
          </cell>
          <cell r="D6">
            <v>49.1</v>
          </cell>
          <cell r="E6">
            <v>49.3</v>
          </cell>
          <cell r="F6">
            <v>50</v>
          </cell>
          <cell r="G6">
            <v>50.4</v>
          </cell>
          <cell r="H6">
            <v>49.7</v>
          </cell>
        </row>
        <row r="7">
          <cell r="C7">
            <v>1987</v>
          </cell>
          <cell r="D7">
            <v>50.9</v>
          </cell>
          <cell r="E7">
            <v>51.1</v>
          </cell>
          <cell r="F7">
            <v>51.6</v>
          </cell>
          <cell r="G7">
            <v>52</v>
          </cell>
          <cell r="H7">
            <v>51.4</v>
          </cell>
        </row>
        <row r="8">
          <cell r="C8">
            <v>1988</v>
          </cell>
          <cell r="D8">
            <v>52.7</v>
          </cell>
          <cell r="E8">
            <v>53.2</v>
          </cell>
          <cell r="F8">
            <v>54.4</v>
          </cell>
          <cell r="G8">
            <v>54.8</v>
          </cell>
          <cell r="H8">
            <v>53.775000000000006</v>
          </cell>
        </row>
        <row r="9">
          <cell r="C9">
            <v>1989</v>
          </cell>
          <cell r="D9">
            <v>55.4</v>
          </cell>
          <cell r="E9">
            <v>55.8</v>
          </cell>
          <cell r="F9">
            <v>56.8</v>
          </cell>
          <cell r="G9">
            <v>57.4</v>
          </cell>
          <cell r="H9">
            <v>56.35</v>
          </cell>
        </row>
        <row r="10">
          <cell r="C10">
            <v>1990</v>
          </cell>
          <cell r="D10">
            <v>58.1</v>
          </cell>
          <cell r="E10">
            <v>58.6</v>
          </cell>
          <cell r="F10">
            <v>59.5</v>
          </cell>
          <cell r="G10">
            <v>60.3</v>
          </cell>
          <cell r="H10">
            <v>59.125</v>
          </cell>
        </row>
        <row r="11">
          <cell r="C11">
            <v>1991</v>
          </cell>
          <cell r="D11">
            <v>61</v>
          </cell>
          <cell r="E11">
            <v>61.6</v>
          </cell>
          <cell r="F11">
            <v>62.7</v>
          </cell>
          <cell r="G11">
            <v>63.1</v>
          </cell>
          <cell r="H11">
            <v>62.1</v>
          </cell>
        </row>
        <row r="12">
          <cell r="C12">
            <v>1992</v>
          </cell>
          <cell r="D12">
            <v>63.7</v>
          </cell>
          <cell r="E12">
            <v>64</v>
          </cell>
          <cell r="F12">
            <v>64.8</v>
          </cell>
          <cell r="G12">
            <v>65.099999999999994</v>
          </cell>
          <cell r="H12">
            <v>64.400000000000006</v>
          </cell>
        </row>
        <row r="13">
          <cell r="C13">
            <v>1993</v>
          </cell>
          <cell r="D13">
            <v>65.8</v>
          </cell>
          <cell r="E13">
            <v>66.2</v>
          </cell>
          <cell r="F13">
            <v>66.900000000000006</v>
          </cell>
          <cell r="G13">
            <v>67.2</v>
          </cell>
          <cell r="H13">
            <v>66.525000000000006</v>
          </cell>
        </row>
        <row r="14">
          <cell r="C14">
            <v>1994</v>
          </cell>
          <cell r="D14">
            <v>67.900000000000006</v>
          </cell>
          <cell r="E14">
            <v>68.099999999999994</v>
          </cell>
          <cell r="F14">
            <v>68.900000000000006</v>
          </cell>
          <cell r="G14">
            <v>69.400000000000006</v>
          </cell>
          <cell r="H14">
            <v>68.575000000000003</v>
          </cell>
        </row>
        <row r="15">
          <cell r="C15">
            <v>1995</v>
          </cell>
          <cell r="D15">
            <v>69.8</v>
          </cell>
          <cell r="E15">
            <v>70.2</v>
          </cell>
          <cell r="F15">
            <v>70.7</v>
          </cell>
          <cell r="G15">
            <v>71.099999999999994</v>
          </cell>
          <cell r="H15">
            <v>70.449999999999989</v>
          </cell>
        </row>
        <row r="16">
          <cell r="C16">
            <v>1996</v>
          </cell>
          <cell r="D16">
            <v>71.400000000000006</v>
          </cell>
          <cell r="E16">
            <v>71.8</v>
          </cell>
          <cell r="F16">
            <v>72.400000000000006</v>
          </cell>
          <cell r="G16">
            <v>73.099999999999994</v>
          </cell>
          <cell r="H16">
            <v>72.174999999999997</v>
          </cell>
        </row>
        <row r="17">
          <cell r="C17">
            <v>1997</v>
          </cell>
          <cell r="D17">
            <v>73.7</v>
          </cell>
          <cell r="E17">
            <v>74.099999999999994</v>
          </cell>
          <cell r="F17">
            <v>75.099999999999994</v>
          </cell>
          <cell r="G17">
            <v>75.7</v>
          </cell>
          <cell r="H17">
            <v>74.650000000000006</v>
          </cell>
        </row>
        <row r="18">
          <cell r="C18">
            <v>1998</v>
          </cell>
          <cell r="D18">
            <v>76.400000000000006</v>
          </cell>
          <cell r="E18">
            <v>77</v>
          </cell>
          <cell r="F18">
            <v>77.8</v>
          </cell>
          <cell r="G18">
            <v>78.099999999999994</v>
          </cell>
          <cell r="H18">
            <v>77.324999999999989</v>
          </cell>
        </row>
        <row r="19">
          <cell r="C19">
            <v>1999</v>
          </cell>
          <cell r="D19">
            <v>78.900000000000006</v>
          </cell>
          <cell r="E19">
            <v>79.5</v>
          </cell>
          <cell r="F19">
            <v>79.900000000000006</v>
          </cell>
          <cell r="G19">
            <v>80.8</v>
          </cell>
          <cell r="H19">
            <v>79.775000000000006</v>
          </cell>
        </row>
        <row r="20">
          <cell r="C20">
            <v>2000</v>
          </cell>
          <cell r="D20">
            <v>81.5</v>
          </cell>
          <cell r="E20">
            <v>82.1</v>
          </cell>
          <cell r="F20">
            <v>82.9</v>
          </cell>
          <cell r="G20">
            <v>83.7</v>
          </cell>
          <cell r="H20">
            <v>82.55</v>
          </cell>
        </row>
        <row r="21">
          <cell r="C21">
            <v>2001</v>
          </cell>
          <cell r="D21">
            <v>84.8</v>
          </cell>
          <cell r="E21">
            <v>85.5</v>
          </cell>
          <cell r="F21">
            <v>86.5</v>
          </cell>
          <cell r="G21">
            <v>87.6</v>
          </cell>
          <cell r="H21">
            <v>86.1</v>
          </cell>
        </row>
        <row r="22">
          <cell r="C22">
            <v>2002</v>
          </cell>
          <cell r="D22">
            <v>88.4</v>
          </cell>
          <cell r="E22">
            <v>89</v>
          </cell>
          <cell r="F22">
            <v>90</v>
          </cell>
          <cell r="G22">
            <v>90.5</v>
          </cell>
          <cell r="H22">
            <v>89.474999999999994</v>
          </cell>
        </row>
        <row r="23">
          <cell r="C23">
            <v>2003</v>
          </cell>
          <cell r="D23">
            <v>91.6</v>
          </cell>
          <cell r="E23">
            <v>92.1</v>
          </cell>
          <cell r="F23">
            <v>93.1</v>
          </cell>
          <cell r="G23">
            <v>93.7</v>
          </cell>
          <cell r="H23">
            <v>92.624999999999986</v>
          </cell>
        </row>
        <row r="24">
          <cell r="C24">
            <v>2004</v>
          </cell>
          <cell r="D24">
            <v>94.7</v>
          </cell>
          <cell r="E24">
            <v>95.4</v>
          </cell>
          <cell r="F24">
            <v>96.4</v>
          </cell>
          <cell r="G24">
            <v>96.9</v>
          </cell>
          <cell r="H24">
            <v>95.85</v>
          </cell>
        </row>
        <row r="25">
          <cell r="C25">
            <v>2005</v>
          </cell>
          <cell r="D25">
            <v>97.6</v>
          </cell>
          <cell r="E25">
            <v>98.2</v>
          </cell>
          <cell r="F25">
            <v>99.4</v>
          </cell>
          <cell r="G25">
            <v>100</v>
          </cell>
          <cell r="H25">
            <v>98.800000000000011</v>
          </cell>
        </row>
        <row r="26">
          <cell r="C26">
            <v>2006</v>
          </cell>
          <cell r="D26">
            <v>100.8</v>
          </cell>
          <cell r="E26">
            <v>101.4</v>
          </cell>
          <cell r="F26">
            <v>102.5</v>
          </cell>
          <cell r="G26">
            <v>103.5</v>
          </cell>
          <cell r="H26">
            <v>102.05</v>
          </cell>
        </row>
        <row r="27">
          <cell r="C27">
            <v>2007</v>
          </cell>
          <cell r="D27">
            <v>104.8</v>
          </cell>
          <cell r="E27">
            <v>105.5</v>
          </cell>
          <cell r="F27">
            <v>106.9</v>
          </cell>
          <cell r="G27">
            <v>107.7</v>
          </cell>
          <cell r="H27">
            <v>106.22500000000001</v>
          </cell>
        </row>
        <row r="28">
          <cell r="C28">
            <v>2008</v>
          </cell>
          <cell r="D28">
            <v>108.4</v>
          </cell>
          <cell r="E28">
            <v>109.1</v>
          </cell>
          <cell r="F28">
            <v>110.2</v>
          </cell>
          <cell r="G28">
            <v>110.6</v>
          </cell>
          <cell r="H28">
            <v>109.57499999999999</v>
          </cell>
        </row>
        <row r="29">
          <cell r="C29">
            <v>2009</v>
          </cell>
          <cell r="D29">
            <v>111.5</v>
          </cell>
          <cell r="E29">
            <v>111.8</v>
          </cell>
          <cell r="F29">
            <v>112.6</v>
          </cell>
          <cell r="G29">
            <v>112.9</v>
          </cell>
          <cell r="H29">
            <v>112.19999999999999</v>
          </cell>
        </row>
        <row r="30">
          <cell r="C30">
            <v>2010</v>
          </cell>
          <cell r="D30">
            <v>113.4</v>
          </cell>
          <cell r="E30">
            <v>113.7</v>
          </cell>
          <cell r="F30">
            <v>114.6</v>
          </cell>
          <cell r="G30">
            <v>114.9</v>
          </cell>
          <cell r="H30">
            <v>114.15</v>
          </cell>
        </row>
        <row r="31">
          <cell r="C31">
            <v>2011</v>
          </cell>
          <cell r="D31">
            <v>115.7</v>
          </cell>
          <cell r="E31">
            <v>115.9</v>
          </cell>
          <cell r="F31">
            <v>116.2</v>
          </cell>
          <cell r="G31">
            <v>116.6</v>
          </cell>
          <cell r="H31">
            <v>116.1</v>
          </cell>
        </row>
        <row r="32">
          <cell r="C32">
            <v>2012</v>
          </cell>
          <cell r="D32">
            <v>117.3</v>
          </cell>
          <cell r="E32">
            <v>117.6</v>
          </cell>
          <cell r="F32">
            <v>118.2</v>
          </cell>
          <cell r="G32">
            <v>118.7</v>
          </cell>
          <cell r="H32">
            <v>117.94999999999999</v>
          </cell>
        </row>
        <row r="33">
          <cell r="C33">
            <v>2013</v>
          </cell>
          <cell r="D33">
            <v>119.3</v>
          </cell>
          <cell r="E33">
            <v>119.6</v>
          </cell>
          <cell r="F33">
            <v>120</v>
          </cell>
          <cell r="G33">
            <v>120.6</v>
          </cell>
          <cell r="H33">
            <v>119.875</v>
          </cell>
        </row>
        <row r="34">
          <cell r="C34">
            <v>2014</v>
          </cell>
          <cell r="D34">
            <v>120.9</v>
          </cell>
          <cell r="E34">
            <v>121.3</v>
          </cell>
          <cell r="F34">
            <v>122.3</v>
          </cell>
          <cell r="G34">
            <v>122.9</v>
          </cell>
          <cell r="H34">
            <v>121.85</v>
          </cell>
        </row>
        <row r="35">
          <cell r="C35">
            <v>2015</v>
          </cell>
          <cell r="D35">
            <v>123.7</v>
          </cell>
          <cell r="E35">
            <v>123.9</v>
          </cell>
          <cell r="F35">
            <v>124.7</v>
          </cell>
          <cell r="G35">
            <v>125.2</v>
          </cell>
          <cell r="H35">
            <v>124.375</v>
          </cell>
        </row>
        <row r="36">
          <cell r="C36">
            <v>2016</v>
          </cell>
          <cell r="D36">
            <v>126.3</v>
          </cell>
          <cell r="E36">
            <v>127.2</v>
          </cell>
          <cell r="F36">
            <v>128.4</v>
          </cell>
          <cell r="G36">
            <v>129.1</v>
          </cell>
          <cell r="H36">
            <v>127.75</v>
          </cell>
        </row>
        <row r="37">
          <cell r="C37">
            <v>2017</v>
          </cell>
          <cell r="D37">
            <v>130.30000000000001</v>
          </cell>
          <cell r="E37">
            <v>130.9</v>
          </cell>
          <cell r="F37">
            <v>131.80000000000001</v>
          </cell>
          <cell r="G37">
            <v>132.69999999999999</v>
          </cell>
          <cell r="H37">
            <v>131.42500000000001</v>
          </cell>
        </row>
        <row r="38">
          <cell r="C38">
            <v>2018</v>
          </cell>
          <cell r="D38">
            <v>134.19999999999999</v>
          </cell>
          <cell r="E38">
            <v>134.9</v>
          </cell>
          <cell r="F38">
            <v>136.19999999999999</v>
          </cell>
          <cell r="G38" t="str">
            <v>–</v>
          </cell>
          <cell r="H38">
            <v>135.1</v>
          </cell>
        </row>
      </sheetData>
      <sheetData sheetId="5" refreshError="1">
        <row r="1">
          <cell r="C1">
            <v>1980</v>
          </cell>
          <cell r="D1">
            <v>33.6</v>
          </cell>
          <cell r="E1">
            <v>34.4</v>
          </cell>
          <cell r="F1">
            <v>35.200000000000003</v>
          </cell>
          <cell r="G1">
            <v>35.9</v>
          </cell>
          <cell r="H1">
            <v>34.774999999999999</v>
          </cell>
        </row>
        <row r="2">
          <cell r="C2">
            <v>1981</v>
          </cell>
          <cell r="D2">
            <v>37.200000000000003</v>
          </cell>
          <cell r="E2">
            <v>37.9</v>
          </cell>
          <cell r="F2">
            <v>38.700000000000003</v>
          </cell>
          <cell r="G2">
            <v>39.5</v>
          </cell>
          <cell r="H2">
            <v>38.325000000000003</v>
          </cell>
        </row>
        <row r="3">
          <cell r="C3">
            <v>1982</v>
          </cell>
          <cell r="D3">
            <v>40.1</v>
          </cell>
          <cell r="E3">
            <v>40.700000000000003</v>
          </cell>
          <cell r="F3">
            <v>41.5</v>
          </cell>
          <cell r="G3">
            <v>42</v>
          </cell>
          <cell r="H3">
            <v>41.075000000000003</v>
          </cell>
        </row>
        <row r="4">
          <cell r="C4">
            <v>1983</v>
          </cell>
          <cell r="D4">
            <v>42.7</v>
          </cell>
          <cell r="E4">
            <v>43.2</v>
          </cell>
          <cell r="F4">
            <v>43.8</v>
          </cell>
          <cell r="G4">
            <v>44.4</v>
          </cell>
          <cell r="H4">
            <v>43.524999999999999</v>
          </cell>
        </row>
        <row r="5">
          <cell r="C5">
            <v>1984</v>
          </cell>
          <cell r="D5">
            <v>45.2</v>
          </cell>
          <cell r="E5">
            <v>45.6</v>
          </cell>
          <cell r="F5">
            <v>46</v>
          </cell>
          <cell r="G5">
            <v>46.6</v>
          </cell>
          <cell r="H5">
            <v>45.85</v>
          </cell>
        </row>
        <row r="6">
          <cell r="C6">
            <v>1985</v>
          </cell>
          <cell r="D6">
            <v>47.1</v>
          </cell>
          <cell r="E6">
            <v>47.5</v>
          </cell>
          <cell r="F6">
            <v>48.1</v>
          </cell>
          <cell r="G6">
            <v>48.4</v>
          </cell>
          <cell r="H6">
            <v>47.774999999999999</v>
          </cell>
        </row>
        <row r="7">
          <cell r="C7">
            <v>1986</v>
          </cell>
          <cell r="D7">
            <v>48.9</v>
          </cell>
          <cell r="E7">
            <v>49.3</v>
          </cell>
          <cell r="F7">
            <v>49.6</v>
          </cell>
          <cell r="G7">
            <v>49.9</v>
          </cell>
          <cell r="H7">
            <v>49.424999999999997</v>
          </cell>
        </row>
        <row r="8">
          <cell r="C8">
            <v>1987</v>
          </cell>
          <cell r="D8">
            <v>50.4</v>
          </cell>
          <cell r="E8">
            <v>50.8</v>
          </cell>
          <cell r="F8">
            <v>51.3</v>
          </cell>
          <cell r="G8">
            <v>51.6</v>
          </cell>
          <cell r="H8">
            <v>51.024999999999999</v>
          </cell>
        </row>
        <row r="9">
          <cell r="C9">
            <v>1988</v>
          </cell>
          <cell r="D9">
            <v>52.4</v>
          </cell>
          <cell r="E9">
            <v>53</v>
          </cell>
          <cell r="F9">
            <v>53.5</v>
          </cell>
          <cell r="G9">
            <v>54.1</v>
          </cell>
          <cell r="H9">
            <v>53.25</v>
          </cell>
        </row>
        <row r="10">
          <cell r="C10">
            <v>1989</v>
          </cell>
          <cell r="D10">
            <v>54.8</v>
          </cell>
          <cell r="E10">
            <v>55.4</v>
          </cell>
          <cell r="F10">
            <v>56.1</v>
          </cell>
          <cell r="G10">
            <v>56.7</v>
          </cell>
          <cell r="H10">
            <v>55.75</v>
          </cell>
        </row>
        <row r="11">
          <cell r="C11">
            <v>1990</v>
          </cell>
          <cell r="D11">
            <v>57.6</v>
          </cell>
          <cell r="E11">
            <v>58.3</v>
          </cell>
          <cell r="F11">
            <v>58.9</v>
          </cell>
          <cell r="G11">
            <v>59.3</v>
          </cell>
          <cell r="H11">
            <v>58.525000000000006</v>
          </cell>
        </row>
        <row r="12">
          <cell r="C12">
            <v>1991</v>
          </cell>
          <cell r="D12">
            <v>60.1</v>
          </cell>
          <cell r="E12">
            <v>60.9</v>
          </cell>
          <cell r="F12">
            <v>61.5</v>
          </cell>
          <cell r="G12">
            <v>61.9</v>
          </cell>
          <cell r="H12">
            <v>61.1</v>
          </cell>
        </row>
        <row r="13">
          <cell r="C13">
            <v>1992</v>
          </cell>
          <cell r="D13">
            <v>62.7</v>
          </cell>
          <cell r="E13">
            <v>63.1</v>
          </cell>
          <cell r="F13">
            <v>63.6</v>
          </cell>
          <cell r="G13">
            <v>64.099999999999994</v>
          </cell>
          <cell r="H13">
            <v>63.375</v>
          </cell>
        </row>
        <row r="14">
          <cell r="C14">
            <v>1993</v>
          </cell>
          <cell r="D14">
            <v>64.900000000000006</v>
          </cell>
          <cell r="E14">
            <v>65.400000000000006</v>
          </cell>
          <cell r="F14">
            <v>66</v>
          </cell>
          <cell r="G14">
            <v>66.400000000000006</v>
          </cell>
          <cell r="H14">
            <v>65.675000000000011</v>
          </cell>
        </row>
        <row r="15">
          <cell r="C15">
            <v>1994</v>
          </cell>
          <cell r="D15">
            <v>67.099999999999994</v>
          </cell>
          <cell r="E15">
            <v>67.599999999999994</v>
          </cell>
          <cell r="F15">
            <v>68.2</v>
          </cell>
          <cell r="G15">
            <v>68.5</v>
          </cell>
          <cell r="H15">
            <v>67.849999999999994</v>
          </cell>
        </row>
        <row r="16">
          <cell r="C16">
            <v>1995</v>
          </cell>
          <cell r="D16">
            <v>69</v>
          </cell>
          <cell r="E16">
            <v>69.5</v>
          </cell>
          <cell r="F16">
            <v>70</v>
          </cell>
          <cell r="G16">
            <v>70.2</v>
          </cell>
          <cell r="H16">
            <v>69.674999999999997</v>
          </cell>
        </row>
        <row r="17">
          <cell r="C17">
            <v>1996</v>
          </cell>
          <cell r="D17">
            <v>70.900000000000006</v>
          </cell>
          <cell r="E17">
            <v>71.5</v>
          </cell>
          <cell r="F17">
            <v>72</v>
          </cell>
          <cell r="G17">
            <v>72.400000000000006</v>
          </cell>
          <cell r="H17">
            <v>71.7</v>
          </cell>
        </row>
        <row r="18">
          <cell r="C18">
            <v>1997</v>
          </cell>
          <cell r="D18">
            <v>73</v>
          </cell>
          <cell r="E18">
            <v>73.599999999999994</v>
          </cell>
          <cell r="F18">
            <v>74.2</v>
          </cell>
          <cell r="G18">
            <v>74.900000000000006</v>
          </cell>
          <cell r="H18">
            <v>73.925000000000011</v>
          </cell>
        </row>
        <row r="19">
          <cell r="C19">
            <v>1998</v>
          </cell>
          <cell r="D19">
            <v>75.599999999999994</v>
          </cell>
          <cell r="E19">
            <v>76.2</v>
          </cell>
          <cell r="F19">
            <v>77.099999999999994</v>
          </cell>
          <cell r="G19">
            <v>77.5</v>
          </cell>
          <cell r="H19">
            <v>76.599999999999994</v>
          </cell>
        </row>
        <row r="20">
          <cell r="C20">
            <v>1999</v>
          </cell>
          <cell r="D20">
            <v>77.8</v>
          </cell>
          <cell r="E20">
            <v>78.7</v>
          </cell>
          <cell r="F20">
            <v>79.400000000000006</v>
          </cell>
          <cell r="G20">
            <v>80.2</v>
          </cell>
          <cell r="H20">
            <v>79.025000000000006</v>
          </cell>
        </row>
        <row r="21">
          <cell r="C21">
            <v>2000</v>
          </cell>
          <cell r="D21">
            <v>81.400000000000006</v>
          </cell>
          <cell r="E21">
            <v>82.3</v>
          </cell>
          <cell r="F21">
            <v>83.1</v>
          </cell>
          <cell r="G21">
            <v>83.6</v>
          </cell>
          <cell r="H21">
            <v>82.6</v>
          </cell>
        </row>
        <row r="22">
          <cell r="C22">
            <v>2001</v>
          </cell>
          <cell r="D22">
            <v>84.8</v>
          </cell>
          <cell r="E22">
            <v>85.6</v>
          </cell>
          <cell r="F22">
            <v>86.4</v>
          </cell>
          <cell r="G22">
            <v>87.1</v>
          </cell>
          <cell r="H22">
            <v>85.974999999999994</v>
          </cell>
        </row>
        <row r="23">
          <cell r="C23">
            <v>2002</v>
          </cell>
          <cell r="D23">
            <v>88.1</v>
          </cell>
          <cell r="E23">
            <v>89.1</v>
          </cell>
          <cell r="F23">
            <v>89.6</v>
          </cell>
          <cell r="G23">
            <v>90</v>
          </cell>
          <cell r="H23">
            <v>89.199999999999989</v>
          </cell>
        </row>
        <row r="24">
          <cell r="C24">
            <v>2003</v>
          </cell>
          <cell r="D24">
            <v>91.5</v>
          </cell>
          <cell r="E24">
            <v>92.2</v>
          </cell>
          <cell r="F24">
            <v>93.2</v>
          </cell>
          <cell r="G24">
            <v>93.6</v>
          </cell>
          <cell r="H24">
            <v>92.625</v>
          </cell>
        </row>
        <row r="25">
          <cell r="C25">
            <v>2004</v>
          </cell>
          <cell r="D25">
            <v>95</v>
          </cell>
          <cell r="E25">
            <v>95.9</v>
          </cell>
          <cell r="F25">
            <v>96.7</v>
          </cell>
          <cell r="G25">
            <v>97.1</v>
          </cell>
          <cell r="H25">
            <v>96.175000000000011</v>
          </cell>
        </row>
        <row r="26">
          <cell r="C26">
            <v>2005</v>
          </cell>
          <cell r="D26">
            <v>98.2</v>
          </cell>
          <cell r="E26">
            <v>98.9</v>
          </cell>
          <cell r="F26">
            <v>99.6</v>
          </cell>
          <cell r="G26">
            <v>100</v>
          </cell>
          <cell r="H26">
            <v>99.175000000000011</v>
          </cell>
        </row>
        <row r="27">
          <cell r="C27">
            <v>2006</v>
          </cell>
          <cell r="D27">
            <v>100.8</v>
          </cell>
          <cell r="E27">
            <v>101.7</v>
          </cell>
          <cell r="F27">
            <v>102.5</v>
          </cell>
          <cell r="G27">
            <v>103.2</v>
          </cell>
          <cell r="H27">
            <v>102.05</v>
          </cell>
        </row>
        <row r="28">
          <cell r="C28">
            <v>2007</v>
          </cell>
          <cell r="D28">
            <v>104</v>
          </cell>
          <cell r="E28">
            <v>104.9</v>
          </cell>
          <cell r="F28">
            <v>105.7</v>
          </cell>
          <cell r="G28">
            <v>106.3</v>
          </cell>
          <cell r="H28">
            <v>105.22500000000001</v>
          </cell>
        </row>
        <row r="29">
          <cell r="C29">
            <v>2008</v>
          </cell>
          <cell r="D29">
            <v>107.3</v>
          </cell>
          <cell r="E29">
            <v>108</v>
          </cell>
          <cell r="F29">
            <v>108.7</v>
          </cell>
          <cell r="G29">
            <v>108.9</v>
          </cell>
          <cell r="H29">
            <v>108.22499999999999</v>
          </cell>
        </row>
        <row r="30">
          <cell r="C30">
            <v>2009</v>
          </cell>
          <cell r="D30">
            <v>109.3</v>
          </cell>
          <cell r="E30">
            <v>109.6</v>
          </cell>
          <cell r="F30">
            <v>110</v>
          </cell>
          <cell r="G30">
            <v>110.2</v>
          </cell>
          <cell r="H30">
            <v>109.77499999999999</v>
          </cell>
        </row>
        <row r="31">
          <cell r="C31">
            <v>2010</v>
          </cell>
          <cell r="D31">
            <v>111.1</v>
          </cell>
          <cell r="E31">
            <v>111.7</v>
          </cell>
          <cell r="F31">
            <v>112.2</v>
          </cell>
          <cell r="G31">
            <v>112.5</v>
          </cell>
          <cell r="H31">
            <v>111.875</v>
          </cell>
        </row>
        <row r="32">
          <cell r="C32">
            <v>2011</v>
          </cell>
          <cell r="D32">
            <v>113.3</v>
          </cell>
          <cell r="E32">
            <v>114.3</v>
          </cell>
          <cell r="F32">
            <v>114.6</v>
          </cell>
          <cell r="G32">
            <v>115</v>
          </cell>
          <cell r="H32">
            <v>114.3</v>
          </cell>
        </row>
        <row r="33">
          <cell r="C33">
            <v>2012</v>
          </cell>
          <cell r="D33">
            <v>115.7</v>
          </cell>
          <cell r="E33">
            <v>116.4</v>
          </cell>
          <cell r="F33">
            <v>116.8</v>
          </cell>
          <cell r="G33">
            <v>117.1</v>
          </cell>
          <cell r="H33">
            <v>116.5</v>
          </cell>
        </row>
        <row r="34">
          <cell r="C34">
            <v>2013</v>
          </cell>
          <cell r="D34">
            <v>117.9</v>
          </cell>
          <cell r="E34">
            <v>118.6</v>
          </cell>
          <cell r="F34">
            <v>119</v>
          </cell>
          <cell r="G34">
            <v>119.4</v>
          </cell>
          <cell r="H34">
            <v>118.72499999999999</v>
          </cell>
        </row>
        <row r="35">
          <cell r="C35">
            <v>2014</v>
          </cell>
          <cell r="D35">
            <v>119.9</v>
          </cell>
          <cell r="E35">
            <v>121</v>
          </cell>
          <cell r="F35">
            <v>121.7</v>
          </cell>
          <cell r="G35">
            <v>122.2</v>
          </cell>
          <cell r="H35">
            <v>121.2</v>
          </cell>
        </row>
        <row r="36">
          <cell r="C36">
            <v>2015</v>
          </cell>
          <cell r="D36">
            <v>123.2</v>
          </cell>
          <cell r="E36">
            <v>123.3</v>
          </cell>
          <cell r="F36">
            <v>124</v>
          </cell>
          <cell r="G36">
            <v>124.5</v>
          </cell>
          <cell r="H36">
            <v>123.75</v>
          </cell>
        </row>
        <row r="37">
          <cell r="C37">
            <v>2016</v>
          </cell>
          <cell r="D37">
            <v>125.4</v>
          </cell>
          <cell r="E37">
            <v>126.2</v>
          </cell>
          <cell r="F37">
            <v>126.8</v>
          </cell>
          <cell r="G37">
            <v>127.2</v>
          </cell>
          <cell r="H37">
            <v>126.4</v>
          </cell>
        </row>
        <row r="38">
          <cell r="C38">
            <v>2017</v>
          </cell>
          <cell r="D38">
            <v>128.30000000000001</v>
          </cell>
          <cell r="E38">
            <v>129.19999999999999</v>
          </cell>
          <cell r="F38">
            <v>130</v>
          </cell>
          <cell r="G38">
            <v>130.5</v>
          </cell>
          <cell r="H38">
            <v>129.5</v>
          </cell>
        </row>
        <row r="39">
          <cell r="C39">
            <v>2018</v>
          </cell>
          <cell r="D39">
            <v>131.9</v>
          </cell>
          <cell r="E39">
            <v>132.9</v>
          </cell>
          <cell r="F39">
            <v>133.80000000000001</v>
          </cell>
          <cell r="G39" t="str">
            <v>–</v>
          </cell>
          <cell r="H39">
            <v>132.86666666666667</v>
          </cell>
        </row>
      </sheetData>
      <sheetData sheetId="6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46.6</v>
          </cell>
          <cell r="H1">
            <v>46.6</v>
          </cell>
        </row>
        <row r="2">
          <cell r="C2">
            <v>1986</v>
          </cell>
          <cell r="D2">
            <v>47.3</v>
          </cell>
          <cell r="E2">
            <v>47.8</v>
          </cell>
          <cell r="F2">
            <v>48.1</v>
          </cell>
          <cell r="G2">
            <v>48.5</v>
          </cell>
          <cell r="H2">
            <v>47.924999999999997</v>
          </cell>
        </row>
        <row r="3">
          <cell r="C3">
            <v>1987</v>
          </cell>
          <cell r="D3">
            <v>49.4</v>
          </cell>
          <cell r="E3">
            <v>49.7</v>
          </cell>
          <cell r="F3">
            <v>50.4</v>
          </cell>
          <cell r="G3">
            <v>50.6</v>
          </cell>
          <cell r="H3">
            <v>50.024999999999999</v>
          </cell>
        </row>
        <row r="4">
          <cell r="C4">
            <v>1988</v>
          </cell>
          <cell r="D4">
            <v>51.1</v>
          </cell>
          <cell r="E4">
            <v>51.6</v>
          </cell>
          <cell r="F4">
            <v>52.1</v>
          </cell>
          <cell r="G4">
            <v>52.7</v>
          </cell>
          <cell r="H4">
            <v>51.875</v>
          </cell>
        </row>
        <row r="5">
          <cell r="C5">
            <v>1989</v>
          </cell>
          <cell r="D5">
            <v>53.4</v>
          </cell>
          <cell r="E5">
            <v>53.9</v>
          </cell>
          <cell r="F5">
            <v>54.4</v>
          </cell>
          <cell r="G5">
            <v>54.7</v>
          </cell>
          <cell r="H5">
            <v>54.099999999999994</v>
          </cell>
        </row>
        <row r="6">
          <cell r="C6">
            <v>1990</v>
          </cell>
          <cell r="D6">
            <v>55.9</v>
          </cell>
          <cell r="E6">
            <v>56.8</v>
          </cell>
          <cell r="F6">
            <v>57.5</v>
          </cell>
          <cell r="G6">
            <v>57.8</v>
          </cell>
          <cell r="H6">
            <v>57</v>
          </cell>
        </row>
        <row r="7">
          <cell r="C7">
            <v>1991</v>
          </cell>
          <cell r="D7">
            <v>58.7</v>
          </cell>
          <cell r="E7">
            <v>59.5</v>
          </cell>
          <cell r="F7">
            <v>60.1</v>
          </cell>
          <cell r="G7">
            <v>60.5</v>
          </cell>
          <cell r="H7">
            <v>59.7</v>
          </cell>
        </row>
        <row r="8">
          <cell r="C8">
            <v>1992</v>
          </cell>
          <cell r="D8">
            <v>60.8</v>
          </cell>
          <cell r="E8">
            <v>61</v>
          </cell>
          <cell r="F8">
            <v>61.4</v>
          </cell>
          <cell r="G8">
            <v>61.7</v>
          </cell>
          <cell r="H8">
            <v>61.224999999999994</v>
          </cell>
        </row>
        <row r="9">
          <cell r="C9">
            <v>1993</v>
          </cell>
          <cell r="D9">
            <v>62.8</v>
          </cell>
          <cell r="E9">
            <v>63.2</v>
          </cell>
          <cell r="F9">
            <v>63.7</v>
          </cell>
          <cell r="G9">
            <v>64.099999999999994</v>
          </cell>
          <cell r="H9">
            <v>63.449999999999996</v>
          </cell>
        </row>
        <row r="10">
          <cell r="C10">
            <v>1994</v>
          </cell>
          <cell r="D10">
            <v>64.900000000000006</v>
          </cell>
          <cell r="E10">
            <v>65.400000000000006</v>
          </cell>
          <cell r="F10">
            <v>66.099999999999994</v>
          </cell>
          <cell r="G10">
            <v>66.5</v>
          </cell>
          <cell r="H10">
            <v>65.724999999999994</v>
          </cell>
        </row>
        <row r="11">
          <cell r="C11">
            <v>1995</v>
          </cell>
          <cell r="D11">
            <v>67.3</v>
          </cell>
          <cell r="E11">
            <v>67.599999999999994</v>
          </cell>
          <cell r="F11">
            <v>68</v>
          </cell>
          <cell r="G11">
            <v>68.400000000000006</v>
          </cell>
          <cell r="H11">
            <v>67.824999999999989</v>
          </cell>
        </row>
        <row r="12">
          <cell r="C12">
            <v>1996</v>
          </cell>
          <cell r="D12">
            <v>69</v>
          </cell>
          <cell r="E12">
            <v>69.400000000000006</v>
          </cell>
          <cell r="F12">
            <v>70.599999999999994</v>
          </cell>
          <cell r="G12">
            <v>70.8</v>
          </cell>
          <cell r="H12">
            <v>69.95</v>
          </cell>
        </row>
        <row r="13">
          <cell r="C13">
            <v>1997</v>
          </cell>
          <cell r="D13">
            <v>71.7</v>
          </cell>
          <cell r="E13">
            <v>72.2</v>
          </cell>
          <cell r="F13">
            <v>72.900000000000006</v>
          </cell>
          <cell r="G13">
            <v>74.099999999999994</v>
          </cell>
          <cell r="H13">
            <v>72.724999999999994</v>
          </cell>
        </row>
        <row r="14">
          <cell r="C14">
            <v>1998</v>
          </cell>
          <cell r="D14">
            <v>75.099999999999994</v>
          </cell>
          <cell r="E14">
            <v>75.5</v>
          </cell>
          <cell r="F14">
            <v>76.5</v>
          </cell>
          <cell r="G14">
            <v>76.400000000000006</v>
          </cell>
          <cell r="H14">
            <v>75.875</v>
          </cell>
        </row>
        <row r="15">
          <cell r="C15">
            <v>1999</v>
          </cell>
          <cell r="D15">
            <v>77.5</v>
          </cell>
          <cell r="E15">
            <v>78.599999999999994</v>
          </cell>
          <cell r="F15">
            <v>79.599999999999994</v>
          </cell>
          <cell r="G15">
            <v>80.400000000000006</v>
          </cell>
          <cell r="H15">
            <v>79.025000000000006</v>
          </cell>
        </row>
        <row r="16">
          <cell r="C16">
            <v>2000</v>
          </cell>
          <cell r="D16">
            <v>81.5</v>
          </cell>
          <cell r="E16">
            <v>82.3</v>
          </cell>
          <cell r="F16">
            <v>83.2</v>
          </cell>
          <cell r="G16">
            <v>83.7</v>
          </cell>
          <cell r="H16">
            <v>82.674999999999997</v>
          </cell>
        </row>
        <row r="17">
          <cell r="C17">
            <v>2001</v>
          </cell>
          <cell r="D17">
            <v>84.8</v>
          </cell>
          <cell r="E17">
            <v>85.9</v>
          </cell>
          <cell r="F17">
            <v>86.4</v>
          </cell>
          <cell r="G17">
            <v>87.2</v>
          </cell>
          <cell r="H17">
            <v>86.075000000000003</v>
          </cell>
        </row>
        <row r="18">
          <cell r="C18">
            <v>2002</v>
          </cell>
          <cell r="D18">
            <v>88.6</v>
          </cell>
          <cell r="E18">
            <v>89.8</v>
          </cell>
          <cell r="F18">
            <v>90</v>
          </cell>
          <cell r="G18">
            <v>90.1</v>
          </cell>
          <cell r="H18">
            <v>89.625</v>
          </cell>
        </row>
        <row r="19">
          <cell r="C19">
            <v>2003</v>
          </cell>
          <cell r="D19">
            <v>92.8</v>
          </cell>
          <cell r="E19">
            <v>93.3</v>
          </cell>
          <cell r="F19">
            <v>94.3</v>
          </cell>
          <cell r="G19">
            <v>94.8</v>
          </cell>
          <cell r="H19">
            <v>93.8</v>
          </cell>
        </row>
        <row r="20">
          <cell r="C20">
            <v>2004</v>
          </cell>
          <cell r="D20">
            <v>95.3</v>
          </cell>
          <cell r="E20">
            <v>96</v>
          </cell>
          <cell r="F20">
            <v>96.6</v>
          </cell>
          <cell r="G20">
            <v>97.1</v>
          </cell>
          <cell r="H20">
            <v>96.25</v>
          </cell>
        </row>
        <row r="21">
          <cell r="C21">
            <v>2005</v>
          </cell>
          <cell r="D21">
            <v>98.7</v>
          </cell>
          <cell r="E21">
            <v>99.3</v>
          </cell>
          <cell r="F21">
            <v>99.6</v>
          </cell>
          <cell r="G21">
            <v>100</v>
          </cell>
          <cell r="H21">
            <v>99.4</v>
          </cell>
        </row>
        <row r="22">
          <cell r="C22">
            <v>2006</v>
          </cell>
          <cell r="D22">
            <v>101.3</v>
          </cell>
          <cell r="E22">
            <v>102</v>
          </cell>
          <cell r="F22">
            <v>102.7</v>
          </cell>
          <cell r="G22">
            <v>103.1</v>
          </cell>
          <cell r="H22">
            <v>102.27500000000001</v>
          </cell>
        </row>
        <row r="23">
          <cell r="C23">
            <v>2007</v>
          </cell>
          <cell r="D23">
            <v>104.3</v>
          </cell>
          <cell r="E23">
            <v>105.1</v>
          </cell>
          <cell r="F23">
            <v>106</v>
          </cell>
          <cell r="G23">
            <v>106.3</v>
          </cell>
          <cell r="H23">
            <v>105.425</v>
          </cell>
        </row>
        <row r="24">
          <cell r="C24">
            <v>2008</v>
          </cell>
          <cell r="D24">
            <v>108</v>
          </cell>
          <cell r="E24">
            <v>108.7</v>
          </cell>
          <cell r="F24">
            <v>109.3</v>
          </cell>
          <cell r="G24">
            <v>109.5</v>
          </cell>
          <cell r="H24">
            <v>108.875</v>
          </cell>
        </row>
        <row r="25">
          <cell r="C25">
            <v>2009</v>
          </cell>
          <cell r="D25">
            <v>109.6</v>
          </cell>
          <cell r="E25">
            <v>109.7</v>
          </cell>
          <cell r="F25">
            <v>109.7</v>
          </cell>
          <cell r="G25">
            <v>109.9</v>
          </cell>
          <cell r="H25">
            <v>109.72499999999999</v>
          </cell>
        </row>
        <row r="26">
          <cell r="C26">
            <v>2010</v>
          </cell>
          <cell r="D26">
            <v>111.3</v>
          </cell>
          <cell r="E26">
            <v>111.7</v>
          </cell>
          <cell r="F26">
            <v>112</v>
          </cell>
          <cell r="G26">
            <v>112.3</v>
          </cell>
          <cell r="H26">
            <v>111.825</v>
          </cell>
        </row>
        <row r="27">
          <cell r="C27">
            <v>2011</v>
          </cell>
          <cell r="D27">
            <v>113.6</v>
          </cell>
          <cell r="E27">
            <v>114.5</v>
          </cell>
          <cell r="F27">
            <v>114.8</v>
          </cell>
          <cell r="G27">
            <v>115</v>
          </cell>
          <cell r="H27">
            <v>114.47499999999999</v>
          </cell>
        </row>
        <row r="28">
          <cell r="C28">
            <v>2012</v>
          </cell>
          <cell r="D28">
            <v>116</v>
          </cell>
          <cell r="E28">
            <v>116.9</v>
          </cell>
          <cell r="F28">
            <v>116.9</v>
          </cell>
          <cell r="G28">
            <v>117.1</v>
          </cell>
          <cell r="H28">
            <v>116.72499999999999</v>
          </cell>
        </row>
        <row r="29">
          <cell r="C29">
            <v>2013</v>
          </cell>
          <cell r="D29">
            <v>118</v>
          </cell>
          <cell r="E29">
            <v>119.3</v>
          </cell>
          <cell r="F29">
            <v>119.6</v>
          </cell>
          <cell r="G29">
            <v>119.9</v>
          </cell>
          <cell r="H29">
            <v>119.19999999999999</v>
          </cell>
        </row>
        <row r="30">
          <cell r="C30">
            <v>2014</v>
          </cell>
          <cell r="D30">
            <v>120.3</v>
          </cell>
          <cell r="E30">
            <v>122.1</v>
          </cell>
          <cell r="F30">
            <v>123</v>
          </cell>
          <cell r="G30">
            <v>123</v>
          </cell>
          <cell r="H30">
            <v>122.1</v>
          </cell>
        </row>
        <row r="31">
          <cell r="C31">
            <v>2015</v>
          </cell>
          <cell r="D31">
            <v>123.9</v>
          </cell>
          <cell r="E31">
            <v>124.2</v>
          </cell>
          <cell r="F31">
            <v>125.4</v>
          </cell>
          <cell r="G31">
            <v>125.7</v>
          </cell>
          <cell r="H31">
            <v>124.8</v>
          </cell>
        </row>
        <row r="32">
          <cell r="C32">
            <v>2016</v>
          </cell>
          <cell r="D32">
            <v>126.5</v>
          </cell>
          <cell r="E32">
            <v>126.8</v>
          </cell>
          <cell r="F32">
            <v>127.7</v>
          </cell>
          <cell r="G32">
            <v>128.4</v>
          </cell>
          <cell r="H32">
            <v>127.35</v>
          </cell>
        </row>
        <row r="33">
          <cell r="C33">
            <v>2017</v>
          </cell>
          <cell r="D33">
            <v>129.5</v>
          </cell>
          <cell r="E33">
            <v>130.6</v>
          </cell>
          <cell r="F33">
            <v>131.30000000000001</v>
          </cell>
          <cell r="G33">
            <v>131.69999999999999</v>
          </cell>
          <cell r="H33">
            <v>130.77500000000001</v>
          </cell>
        </row>
        <row r="34">
          <cell r="C34">
            <v>2018</v>
          </cell>
          <cell r="D34">
            <v>133.19999999999999</v>
          </cell>
          <cell r="E34">
            <v>133.9</v>
          </cell>
          <cell r="F34">
            <v>134.69999999999999</v>
          </cell>
          <cell r="G34" t="str">
            <v>–</v>
          </cell>
          <cell r="H34">
            <v>133.93333333333334</v>
          </cell>
        </row>
        <row r="35">
          <cell r="C35">
            <v>2019</v>
          </cell>
          <cell r="H35">
            <v>138.1</v>
          </cell>
        </row>
      </sheetData>
      <sheetData sheetId="7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46.9</v>
          </cell>
          <cell r="H1">
            <v>46.9</v>
          </cell>
        </row>
        <row r="2">
          <cell r="C2">
            <v>1986</v>
          </cell>
          <cell r="D2">
            <v>47.5</v>
          </cell>
          <cell r="E2">
            <v>47.8</v>
          </cell>
          <cell r="F2">
            <v>48.3</v>
          </cell>
          <cell r="G2">
            <v>48.7</v>
          </cell>
          <cell r="H2">
            <v>48.075000000000003</v>
          </cell>
        </row>
        <row r="3">
          <cell r="C3">
            <v>1987</v>
          </cell>
          <cell r="D3">
            <v>49.2</v>
          </cell>
          <cell r="E3">
            <v>49.5</v>
          </cell>
          <cell r="F3">
            <v>50.2</v>
          </cell>
          <cell r="G3">
            <v>50.6</v>
          </cell>
          <cell r="H3">
            <v>49.875</v>
          </cell>
        </row>
        <row r="4">
          <cell r="C4">
            <v>1988</v>
          </cell>
          <cell r="D4">
            <v>51.4</v>
          </cell>
          <cell r="E4">
            <v>52</v>
          </cell>
          <cell r="F4">
            <v>52.8</v>
          </cell>
          <cell r="G4">
            <v>53.1</v>
          </cell>
          <cell r="H4">
            <v>52.324999999999996</v>
          </cell>
        </row>
        <row r="5">
          <cell r="C5">
            <v>1989</v>
          </cell>
          <cell r="D5">
            <v>54</v>
          </cell>
          <cell r="E5">
            <v>54.5</v>
          </cell>
          <cell r="F5">
            <v>55.5</v>
          </cell>
          <cell r="G5">
            <v>56.1</v>
          </cell>
          <cell r="H5">
            <v>55.024999999999999</v>
          </cell>
        </row>
        <row r="6">
          <cell r="C6">
            <v>1990</v>
          </cell>
          <cell r="D6">
            <v>57.2</v>
          </cell>
          <cell r="E6">
            <v>57.7</v>
          </cell>
          <cell r="F6">
            <v>58.6</v>
          </cell>
          <cell r="G6">
            <v>59.2</v>
          </cell>
          <cell r="H6">
            <v>58.174999999999997</v>
          </cell>
        </row>
        <row r="7">
          <cell r="C7">
            <v>1991</v>
          </cell>
          <cell r="D7">
            <v>60</v>
          </cell>
          <cell r="E7">
            <v>60.5</v>
          </cell>
          <cell r="F7">
            <v>61.5</v>
          </cell>
          <cell r="G7">
            <v>62.1</v>
          </cell>
          <cell r="H7">
            <v>61.024999999999999</v>
          </cell>
        </row>
        <row r="8">
          <cell r="C8">
            <v>1992</v>
          </cell>
          <cell r="D8">
            <v>62.8</v>
          </cell>
          <cell r="E8">
            <v>63.4</v>
          </cell>
          <cell r="F8">
            <v>64.3</v>
          </cell>
          <cell r="G8">
            <v>64.900000000000006</v>
          </cell>
          <cell r="H8">
            <v>63.85</v>
          </cell>
        </row>
        <row r="9">
          <cell r="C9">
            <v>1993</v>
          </cell>
          <cell r="D9">
            <v>65.599999999999994</v>
          </cell>
          <cell r="E9">
            <v>66.099999999999994</v>
          </cell>
          <cell r="F9">
            <v>66.599999999999994</v>
          </cell>
          <cell r="G9">
            <v>67</v>
          </cell>
          <cell r="H9">
            <v>66.324999999999989</v>
          </cell>
        </row>
        <row r="10">
          <cell r="C10">
            <v>1994</v>
          </cell>
          <cell r="D10">
            <v>67.900000000000006</v>
          </cell>
          <cell r="E10">
            <v>68.3</v>
          </cell>
          <cell r="F10">
            <v>68.8</v>
          </cell>
          <cell r="G10">
            <v>69.099999999999994</v>
          </cell>
          <cell r="H10">
            <v>68.525000000000006</v>
          </cell>
        </row>
        <row r="11">
          <cell r="C11">
            <v>1995</v>
          </cell>
          <cell r="D11">
            <v>69.599999999999994</v>
          </cell>
          <cell r="E11">
            <v>70</v>
          </cell>
          <cell r="F11">
            <v>70.5</v>
          </cell>
          <cell r="G11">
            <v>70.8</v>
          </cell>
          <cell r="H11">
            <v>70.224999999999994</v>
          </cell>
        </row>
        <row r="12">
          <cell r="C12">
            <v>1996</v>
          </cell>
          <cell r="D12">
            <v>71.7</v>
          </cell>
          <cell r="E12">
            <v>72.3</v>
          </cell>
          <cell r="F12">
            <v>72.599999999999994</v>
          </cell>
          <cell r="G12">
            <v>72.900000000000006</v>
          </cell>
          <cell r="H12">
            <v>72.375</v>
          </cell>
        </row>
        <row r="13">
          <cell r="C13">
            <v>1997</v>
          </cell>
          <cell r="D13">
            <v>73.400000000000006</v>
          </cell>
          <cell r="E13">
            <v>74.099999999999994</v>
          </cell>
          <cell r="F13">
            <v>74.5</v>
          </cell>
          <cell r="G13">
            <v>75.099999999999994</v>
          </cell>
          <cell r="H13">
            <v>74.275000000000006</v>
          </cell>
        </row>
        <row r="14">
          <cell r="C14">
            <v>1998</v>
          </cell>
          <cell r="D14">
            <v>75.599999999999994</v>
          </cell>
          <cell r="E14">
            <v>76.3</v>
          </cell>
          <cell r="F14">
            <v>77.2</v>
          </cell>
          <cell r="G14">
            <v>77.7</v>
          </cell>
          <cell r="H14">
            <v>76.699999999999989</v>
          </cell>
        </row>
        <row r="15">
          <cell r="C15">
            <v>1999</v>
          </cell>
          <cell r="D15">
            <v>77.900000000000006</v>
          </cell>
          <cell r="E15">
            <v>78.5</v>
          </cell>
          <cell r="F15">
            <v>79.099999999999994</v>
          </cell>
          <cell r="G15">
            <v>79.900000000000006</v>
          </cell>
          <cell r="H15">
            <v>78.849999999999994</v>
          </cell>
        </row>
        <row r="16">
          <cell r="C16">
            <v>2000</v>
          </cell>
          <cell r="D16">
            <v>80.900000000000006</v>
          </cell>
          <cell r="E16">
            <v>82.1</v>
          </cell>
          <cell r="F16">
            <v>82.9</v>
          </cell>
          <cell r="G16">
            <v>83.8</v>
          </cell>
          <cell r="H16">
            <v>82.424999999999997</v>
          </cell>
        </row>
        <row r="17">
          <cell r="C17">
            <v>2001</v>
          </cell>
          <cell r="D17">
            <v>85.2</v>
          </cell>
          <cell r="E17">
            <v>85.8</v>
          </cell>
          <cell r="F17">
            <v>86.8</v>
          </cell>
          <cell r="G17">
            <v>87.4</v>
          </cell>
          <cell r="H17">
            <v>86.300000000000011</v>
          </cell>
        </row>
        <row r="18">
          <cell r="C18">
            <v>2002</v>
          </cell>
          <cell r="D18">
            <v>88</v>
          </cell>
          <cell r="E18">
            <v>88.6</v>
          </cell>
          <cell r="F18">
            <v>89.2</v>
          </cell>
          <cell r="G18">
            <v>89.6</v>
          </cell>
          <cell r="H18">
            <v>88.85</v>
          </cell>
        </row>
        <row r="19">
          <cell r="C19">
            <v>2003</v>
          </cell>
          <cell r="D19">
            <v>90.7</v>
          </cell>
          <cell r="E19">
            <v>91.4</v>
          </cell>
          <cell r="F19">
            <v>92.3</v>
          </cell>
          <cell r="G19">
            <v>92.9</v>
          </cell>
          <cell r="H19">
            <v>91.825000000000017</v>
          </cell>
        </row>
        <row r="20">
          <cell r="C20">
            <v>2004</v>
          </cell>
          <cell r="D20">
            <v>94.5</v>
          </cell>
          <cell r="E20">
            <v>95.2</v>
          </cell>
          <cell r="F20">
            <v>96.3</v>
          </cell>
          <cell r="G20">
            <v>97.1</v>
          </cell>
          <cell r="H20">
            <v>95.775000000000006</v>
          </cell>
        </row>
        <row r="21">
          <cell r="C21">
            <v>2005</v>
          </cell>
          <cell r="D21">
            <v>98.5</v>
          </cell>
          <cell r="E21">
            <v>99</v>
          </cell>
          <cell r="F21">
            <v>99.7</v>
          </cell>
          <cell r="G21">
            <v>100</v>
          </cell>
          <cell r="H21">
            <v>99.3</v>
          </cell>
        </row>
        <row r="22">
          <cell r="C22">
            <v>2006</v>
          </cell>
          <cell r="D22">
            <v>101</v>
          </cell>
          <cell r="E22">
            <v>101.8</v>
          </cell>
          <cell r="F22">
            <v>103.1</v>
          </cell>
          <cell r="G22">
            <v>103.9</v>
          </cell>
          <cell r="H22">
            <v>102.44999999999999</v>
          </cell>
        </row>
        <row r="23">
          <cell r="C23">
            <v>2007</v>
          </cell>
          <cell r="D23">
            <v>104.9</v>
          </cell>
          <cell r="E23">
            <v>105.9</v>
          </cell>
          <cell r="F23">
            <v>106.7</v>
          </cell>
          <cell r="G23">
            <v>107.3</v>
          </cell>
          <cell r="H23">
            <v>106.2</v>
          </cell>
        </row>
        <row r="24">
          <cell r="C24">
            <v>2008</v>
          </cell>
          <cell r="D24">
            <v>108.3</v>
          </cell>
          <cell r="E24">
            <v>109</v>
          </cell>
          <cell r="F24">
            <v>109.9</v>
          </cell>
          <cell r="G24">
            <v>110.3</v>
          </cell>
          <cell r="H24">
            <v>109.37500000000001</v>
          </cell>
        </row>
        <row r="25">
          <cell r="C25">
            <v>2009</v>
          </cell>
          <cell r="D25">
            <v>111</v>
          </cell>
          <cell r="E25">
            <v>111.1</v>
          </cell>
          <cell r="F25">
            <v>111.4</v>
          </cell>
          <cell r="G25">
            <v>111.4</v>
          </cell>
          <cell r="H25">
            <v>111.22499999999999</v>
          </cell>
        </row>
        <row r="26">
          <cell r="C26">
            <v>2010</v>
          </cell>
          <cell r="D26">
            <v>112.2</v>
          </cell>
          <cell r="E26">
            <v>112.6</v>
          </cell>
          <cell r="F26">
            <v>113.3</v>
          </cell>
          <cell r="G26">
            <v>113.5</v>
          </cell>
          <cell r="H26">
            <v>112.9</v>
          </cell>
        </row>
        <row r="27">
          <cell r="C27">
            <v>2011</v>
          </cell>
          <cell r="D27">
            <v>114.6</v>
          </cell>
          <cell r="E27">
            <v>115.1</v>
          </cell>
          <cell r="F27">
            <v>115.4</v>
          </cell>
          <cell r="G27">
            <v>115.7</v>
          </cell>
          <cell r="H27">
            <v>115.2</v>
          </cell>
        </row>
        <row r="28">
          <cell r="C28">
            <v>2012</v>
          </cell>
          <cell r="D28">
            <v>116.8</v>
          </cell>
          <cell r="E28">
            <v>117.3</v>
          </cell>
          <cell r="F28">
            <v>117.7</v>
          </cell>
          <cell r="G28">
            <v>118.2</v>
          </cell>
          <cell r="H28">
            <v>117.5</v>
          </cell>
        </row>
        <row r="29">
          <cell r="C29">
            <v>2013</v>
          </cell>
          <cell r="D29">
            <v>118.9</v>
          </cell>
          <cell r="E29">
            <v>119.5</v>
          </cell>
          <cell r="F29">
            <v>120.2</v>
          </cell>
          <cell r="G29">
            <v>120.5</v>
          </cell>
          <cell r="H29">
            <v>119.77500000000001</v>
          </cell>
        </row>
        <row r="30">
          <cell r="C30">
            <v>2014</v>
          </cell>
          <cell r="D30">
            <v>121</v>
          </cell>
          <cell r="E30">
            <v>121.9</v>
          </cell>
          <cell r="F30">
            <v>122.5</v>
          </cell>
          <cell r="G30">
            <v>122.9</v>
          </cell>
          <cell r="H30">
            <v>122.07499999999999</v>
          </cell>
        </row>
        <row r="31">
          <cell r="C31">
            <v>2015</v>
          </cell>
          <cell r="D31">
            <v>123.7</v>
          </cell>
          <cell r="E31">
            <v>124.1</v>
          </cell>
          <cell r="F31">
            <v>124.5</v>
          </cell>
          <cell r="G31">
            <v>124.9</v>
          </cell>
          <cell r="H31">
            <v>124.30000000000001</v>
          </cell>
        </row>
        <row r="32">
          <cell r="C32">
            <v>2016</v>
          </cell>
          <cell r="D32">
            <v>125.7</v>
          </cell>
          <cell r="E32">
            <v>126.2</v>
          </cell>
          <cell r="F32">
            <v>126.7</v>
          </cell>
          <cell r="G32">
            <v>126.7</v>
          </cell>
          <cell r="H32">
            <v>126.325</v>
          </cell>
        </row>
        <row r="33">
          <cell r="C33">
            <v>2017</v>
          </cell>
          <cell r="D33">
            <v>127.8</v>
          </cell>
          <cell r="E33">
            <v>128.69999999999999</v>
          </cell>
          <cell r="F33">
            <v>129.1</v>
          </cell>
          <cell r="G33">
            <v>129.6</v>
          </cell>
          <cell r="H33">
            <v>128.80000000000001</v>
          </cell>
        </row>
        <row r="34">
          <cell r="C34">
            <v>2018</v>
          </cell>
          <cell r="D34">
            <v>130.80000000000001</v>
          </cell>
          <cell r="E34">
            <v>131.6</v>
          </cell>
          <cell r="F34">
            <v>132.30000000000001</v>
          </cell>
          <cell r="G34" t="str">
            <v>–</v>
          </cell>
          <cell r="H34">
            <v>131.56666666666666</v>
          </cell>
        </row>
      </sheetData>
      <sheetData sheetId="8" refreshError="1">
        <row r="1">
          <cell r="C1">
            <v>1985</v>
          </cell>
          <cell r="D1" t="str">
            <v>–</v>
          </cell>
          <cell r="E1" t="str">
            <v>–</v>
          </cell>
          <cell r="F1" t="str">
            <v>–</v>
          </cell>
          <cell r="G1">
            <v>46.1</v>
          </cell>
          <cell r="H1">
            <v>46.1</v>
          </cell>
        </row>
        <row r="2">
          <cell r="C2">
            <v>1986</v>
          </cell>
          <cell r="D2">
            <v>46.7</v>
          </cell>
          <cell r="E2">
            <v>47.1</v>
          </cell>
          <cell r="F2">
            <v>47.4</v>
          </cell>
          <cell r="G2">
            <v>47.8</v>
          </cell>
          <cell r="H2">
            <v>47.25</v>
          </cell>
        </row>
        <row r="3">
          <cell r="C3">
            <v>1987</v>
          </cell>
          <cell r="D3">
            <v>48.3</v>
          </cell>
          <cell r="E3">
            <v>48.7</v>
          </cell>
          <cell r="F3">
            <v>49.3</v>
          </cell>
          <cell r="G3">
            <v>49.7</v>
          </cell>
          <cell r="H3">
            <v>49</v>
          </cell>
        </row>
        <row r="4">
          <cell r="C4">
            <v>1988</v>
          </cell>
          <cell r="D4">
            <v>50.7</v>
          </cell>
          <cell r="E4">
            <v>51.2</v>
          </cell>
          <cell r="F4">
            <v>51.9</v>
          </cell>
          <cell r="G4">
            <v>52.2</v>
          </cell>
          <cell r="H4">
            <v>51.5</v>
          </cell>
        </row>
        <row r="5">
          <cell r="C5">
            <v>1989</v>
          </cell>
          <cell r="D5">
            <v>53.1</v>
          </cell>
          <cell r="E5">
            <v>53.7</v>
          </cell>
          <cell r="F5">
            <v>54.3</v>
          </cell>
          <cell r="G5">
            <v>54.9</v>
          </cell>
          <cell r="H5">
            <v>54.000000000000007</v>
          </cell>
        </row>
        <row r="6">
          <cell r="C6">
            <v>1990</v>
          </cell>
          <cell r="D6">
            <v>55.9</v>
          </cell>
          <cell r="E6">
            <v>56.5</v>
          </cell>
          <cell r="F6">
            <v>57.1</v>
          </cell>
          <cell r="G6">
            <v>57.6</v>
          </cell>
          <cell r="H6">
            <v>56.774999999999999</v>
          </cell>
        </row>
        <row r="7">
          <cell r="C7">
            <v>1991</v>
          </cell>
          <cell r="D7">
            <v>58.3</v>
          </cell>
          <cell r="E7">
            <v>59</v>
          </cell>
          <cell r="F7">
            <v>59.6</v>
          </cell>
          <cell r="G7">
            <v>60.1</v>
          </cell>
          <cell r="H7">
            <v>59.25</v>
          </cell>
        </row>
        <row r="8">
          <cell r="C8">
            <v>1992</v>
          </cell>
          <cell r="D8">
            <v>61</v>
          </cell>
          <cell r="E8">
            <v>61.4</v>
          </cell>
          <cell r="F8">
            <v>62</v>
          </cell>
          <cell r="G8">
            <v>62.5</v>
          </cell>
          <cell r="H8">
            <v>61.725000000000001</v>
          </cell>
        </row>
        <row r="9">
          <cell r="C9">
            <v>1993</v>
          </cell>
          <cell r="D9">
            <v>63.4</v>
          </cell>
          <cell r="E9">
            <v>64</v>
          </cell>
          <cell r="F9">
            <v>64.599999999999994</v>
          </cell>
          <cell r="G9">
            <v>65.099999999999994</v>
          </cell>
          <cell r="H9">
            <v>64.275000000000006</v>
          </cell>
        </row>
        <row r="10">
          <cell r="C10">
            <v>1994</v>
          </cell>
          <cell r="D10">
            <v>65.8</v>
          </cell>
          <cell r="E10">
            <v>66.3</v>
          </cell>
          <cell r="F10">
            <v>66.8</v>
          </cell>
          <cell r="G10">
            <v>67.099999999999994</v>
          </cell>
          <cell r="H10">
            <v>66.5</v>
          </cell>
        </row>
        <row r="11">
          <cell r="C11">
            <v>1995</v>
          </cell>
          <cell r="D11">
            <v>67.900000000000006</v>
          </cell>
          <cell r="E11">
            <v>68.3</v>
          </cell>
          <cell r="F11">
            <v>68.8</v>
          </cell>
          <cell r="G11">
            <v>69.2</v>
          </cell>
          <cell r="H11">
            <v>68.55</v>
          </cell>
        </row>
        <row r="12">
          <cell r="C12">
            <v>1996</v>
          </cell>
          <cell r="D12">
            <v>69.8</v>
          </cell>
          <cell r="E12">
            <v>70.2</v>
          </cell>
          <cell r="F12">
            <v>70.900000000000006</v>
          </cell>
          <cell r="G12">
            <v>71.099999999999994</v>
          </cell>
          <cell r="H12">
            <v>70.5</v>
          </cell>
        </row>
        <row r="13">
          <cell r="C13">
            <v>1997</v>
          </cell>
          <cell r="D13">
            <v>71.8</v>
          </cell>
          <cell r="E13">
            <v>72.3</v>
          </cell>
          <cell r="F13">
            <v>72.900000000000006</v>
          </cell>
          <cell r="G13">
            <v>73.5</v>
          </cell>
          <cell r="H13">
            <v>72.625</v>
          </cell>
        </row>
        <row r="14">
          <cell r="C14">
            <v>1998</v>
          </cell>
          <cell r="D14">
            <v>74.2</v>
          </cell>
          <cell r="E14">
            <v>74.900000000000006</v>
          </cell>
          <cell r="F14">
            <v>75.5</v>
          </cell>
          <cell r="G14">
            <v>75.900000000000006</v>
          </cell>
          <cell r="H14">
            <v>75.125</v>
          </cell>
        </row>
        <row r="15">
          <cell r="C15">
            <v>1999</v>
          </cell>
          <cell r="D15">
            <v>76.5</v>
          </cell>
          <cell r="E15">
            <v>77.099999999999994</v>
          </cell>
          <cell r="F15">
            <v>77.8</v>
          </cell>
          <cell r="G15">
            <v>78.5</v>
          </cell>
          <cell r="H15">
            <v>77.474999999999994</v>
          </cell>
        </row>
        <row r="16">
          <cell r="C16">
            <v>2000</v>
          </cell>
          <cell r="D16">
            <v>80</v>
          </cell>
          <cell r="E16">
            <v>80.8</v>
          </cell>
          <cell r="F16">
            <v>81.7</v>
          </cell>
          <cell r="G16">
            <v>82.3</v>
          </cell>
          <cell r="H16">
            <v>81.2</v>
          </cell>
        </row>
        <row r="17">
          <cell r="C17">
            <v>2001</v>
          </cell>
          <cell r="D17">
            <v>83.8</v>
          </cell>
          <cell r="E17">
            <v>84.6</v>
          </cell>
          <cell r="F17">
            <v>85.6</v>
          </cell>
          <cell r="G17">
            <v>86.3</v>
          </cell>
          <cell r="H17">
            <v>85.074999999999989</v>
          </cell>
        </row>
        <row r="18">
          <cell r="C18">
            <v>2002</v>
          </cell>
          <cell r="D18">
            <v>87.4</v>
          </cell>
          <cell r="E18">
            <v>88.1</v>
          </cell>
          <cell r="F18">
            <v>88.9</v>
          </cell>
          <cell r="G18">
            <v>89.5</v>
          </cell>
          <cell r="H18">
            <v>88.474999999999994</v>
          </cell>
        </row>
        <row r="19">
          <cell r="C19">
            <v>2003</v>
          </cell>
          <cell r="D19">
            <v>90.7</v>
          </cell>
          <cell r="E19">
            <v>91.7</v>
          </cell>
          <cell r="F19">
            <v>92.5</v>
          </cell>
          <cell r="G19">
            <v>92.9</v>
          </cell>
          <cell r="H19">
            <v>91.949999999999989</v>
          </cell>
        </row>
        <row r="20">
          <cell r="C20">
            <v>2004</v>
          </cell>
          <cell r="D20">
            <v>94.5</v>
          </cell>
          <cell r="E20">
            <v>95.6</v>
          </cell>
          <cell r="F20">
            <v>96.3</v>
          </cell>
          <cell r="G20">
            <v>97</v>
          </cell>
          <cell r="H20">
            <v>95.85</v>
          </cell>
        </row>
        <row r="21">
          <cell r="C21">
            <v>2005</v>
          </cell>
          <cell r="D21">
            <v>98.1</v>
          </cell>
          <cell r="E21">
            <v>98.9</v>
          </cell>
          <cell r="F21">
            <v>99.5</v>
          </cell>
          <cell r="G21">
            <v>100</v>
          </cell>
          <cell r="H21">
            <v>99.125</v>
          </cell>
        </row>
        <row r="22">
          <cell r="C22">
            <v>2006</v>
          </cell>
          <cell r="D22">
            <v>100.9</v>
          </cell>
          <cell r="E22">
            <v>101.9</v>
          </cell>
          <cell r="F22">
            <v>102.7</v>
          </cell>
          <cell r="G22">
            <v>103.4</v>
          </cell>
          <cell r="H22">
            <v>102.22499999999999</v>
          </cell>
        </row>
        <row r="23">
          <cell r="C23">
            <v>2007</v>
          </cell>
          <cell r="D23">
            <v>104.5</v>
          </cell>
          <cell r="E23">
            <v>105.4</v>
          </cell>
          <cell r="F23">
            <v>106</v>
          </cell>
          <cell r="G23">
            <v>106.7</v>
          </cell>
          <cell r="H23">
            <v>105.64999999999999</v>
          </cell>
        </row>
        <row r="24">
          <cell r="C24">
            <v>2008</v>
          </cell>
          <cell r="D24">
            <v>107.8</v>
          </cell>
          <cell r="E24">
            <v>108.5</v>
          </cell>
          <cell r="F24">
            <v>109.2</v>
          </cell>
          <cell r="G24">
            <v>109.6</v>
          </cell>
          <cell r="H24">
            <v>108.77500000000001</v>
          </cell>
        </row>
        <row r="25">
          <cell r="C25">
            <v>2009</v>
          </cell>
          <cell r="D25">
            <v>110.5</v>
          </cell>
          <cell r="E25">
            <v>110.9</v>
          </cell>
          <cell r="F25">
            <v>111.3</v>
          </cell>
          <cell r="G25">
            <v>111.6</v>
          </cell>
          <cell r="H25">
            <v>111.07499999999999</v>
          </cell>
        </row>
        <row r="26">
          <cell r="C26">
            <v>2010</v>
          </cell>
          <cell r="D26">
            <v>112.6</v>
          </cell>
          <cell r="E26">
            <v>113.1</v>
          </cell>
          <cell r="F26">
            <v>113.7</v>
          </cell>
          <cell r="G26">
            <v>114</v>
          </cell>
          <cell r="H26">
            <v>113.35</v>
          </cell>
        </row>
        <row r="27">
          <cell r="C27">
            <v>2011</v>
          </cell>
          <cell r="D27">
            <v>115.1</v>
          </cell>
          <cell r="E27">
            <v>115.8</v>
          </cell>
          <cell r="F27">
            <v>116.2</v>
          </cell>
          <cell r="G27">
            <v>116.5</v>
          </cell>
          <cell r="H27">
            <v>115.89999999999999</v>
          </cell>
        </row>
        <row r="28">
          <cell r="C28">
            <v>2012</v>
          </cell>
          <cell r="D28">
            <v>117.5</v>
          </cell>
          <cell r="E28">
            <v>118.1</v>
          </cell>
          <cell r="F28">
            <v>118.4</v>
          </cell>
          <cell r="G28">
            <v>118.7</v>
          </cell>
          <cell r="H28">
            <v>118.175</v>
          </cell>
        </row>
        <row r="29">
          <cell r="C29">
            <v>2013</v>
          </cell>
          <cell r="D29">
            <v>119.7</v>
          </cell>
          <cell r="E29">
            <v>120.4</v>
          </cell>
          <cell r="F29">
            <v>120.7</v>
          </cell>
          <cell r="G29">
            <v>121.1</v>
          </cell>
          <cell r="H29">
            <v>120.47499999999999</v>
          </cell>
        </row>
        <row r="30">
          <cell r="C30">
            <v>2014</v>
          </cell>
          <cell r="D30">
            <v>121.8</v>
          </cell>
          <cell r="E30">
            <v>122.9</v>
          </cell>
          <cell r="F30">
            <v>123.3</v>
          </cell>
          <cell r="G30">
            <v>123.8</v>
          </cell>
          <cell r="H30">
            <v>122.95</v>
          </cell>
        </row>
        <row r="31">
          <cell r="C31">
            <v>2015</v>
          </cell>
          <cell r="D31">
            <v>124.6</v>
          </cell>
          <cell r="E31">
            <v>125.4</v>
          </cell>
          <cell r="F31">
            <v>125.9</v>
          </cell>
          <cell r="G31">
            <v>126.6</v>
          </cell>
          <cell r="H31">
            <v>125.625</v>
          </cell>
        </row>
        <row r="32">
          <cell r="C32">
            <v>2016</v>
          </cell>
          <cell r="D32">
            <v>128.1</v>
          </cell>
          <cell r="E32">
            <v>129</v>
          </cell>
          <cell r="F32">
            <v>129.6</v>
          </cell>
          <cell r="G32">
            <v>130.19999999999999</v>
          </cell>
          <cell r="H32">
            <v>129.22499999999999</v>
          </cell>
        </row>
        <row r="33">
          <cell r="C33">
            <v>2017</v>
          </cell>
          <cell r="D33">
            <v>131.4</v>
          </cell>
          <cell r="E33">
            <v>132.1</v>
          </cell>
          <cell r="F33">
            <v>132.80000000000001</v>
          </cell>
          <cell r="G33">
            <v>133.30000000000001</v>
          </cell>
          <cell r="H33">
            <v>132.4</v>
          </cell>
        </row>
        <row r="34">
          <cell r="C34">
            <v>2018</v>
          </cell>
          <cell r="D34">
            <v>135</v>
          </cell>
          <cell r="E34">
            <v>136.5</v>
          </cell>
          <cell r="F34">
            <v>137.30000000000001</v>
          </cell>
          <cell r="G34" t="str">
            <v>–</v>
          </cell>
          <cell r="H34">
            <v>136.26666666666668</v>
          </cell>
        </row>
      </sheetData>
      <sheetData sheetId="9" refreshError="1">
        <row r="1">
          <cell r="C1">
            <v>1980</v>
          </cell>
          <cell r="D1">
            <v>35.299999999999997</v>
          </cell>
          <cell r="E1">
            <v>35.700000000000003</v>
          </cell>
          <cell r="F1">
            <v>36.4</v>
          </cell>
          <cell r="G1">
            <v>37.1</v>
          </cell>
          <cell r="H1">
            <v>36.125</v>
          </cell>
        </row>
        <row r="2">
          <cell r="C2">
            <v>1981</v>
          </cell>
          <cell r="D2">
            <v>39</v>
          </cell>
          <cell r="E2">
            <v>39.299999999999997</v>
          </cell>
          <cell r="F2">
            <v>40.1</v>
          </cell>
          <cell r="G2">
            <v>40.5</v>
          </cell>
          <cell r="H2">
            <v>39.725000000000001</v>
          </cell>
        </row>
        <row r="3">
          <cell r="C3">
            <v>1982</v>
          </cell>
          <cell r="D3">
            <v>41.9</v>
          </cell>
          <cell r="E3">
            <v>42.4</v>
          </cell>
          <cell r="F3">
            <v>43.1</v>
          </cell>
          <cell r="G3">
            <v>43.9</v>
          </cell>
          <cell r="H3">
            <v>42.825000000000003</v>
          </cell>
        </row>
        <row r="4">
          <cell r="C4">
            <v>1983</v>
          </cell>
          <cell r="D4">
            <v>44.7</v>
          </cell>
          <cell r="E4">
            <v>45</v>
          </cell>
          <cell r="F4">
            <v>45.3</v>
          </cell>
          <cell r="G4">
            <v>46.3</v>
          </cell>
          <cell r="H4">
            <v>45.325000000000003</v>
          </cell>
        </row>
        <row r="5">
          <cell r="C5">
            <v>1984</v>
          </cell>
          <cell r="D5">
            <v>47.7</v>
          </cell>
          <cell r="E5">
            <v>47.6</v>
          </cell>
          <cell r="F5">
            <v>48.4</v>
          </cell>
          <cell r="G5">
            <v>49.4</v>
          </cell>
          <cell r="H5">
            <v>48.275000000000006</v>
          </cell>
        </row>
        <row r="6">
          <cell r="C6">
            <v>1985</v>
          </cell>
          <cell r="D6">
            <v>49.6</v>
          </cell>
          <cell r="E6">
            <v>49.7</v>
          </cell>
          <cell r="F6">
            <v>50.6</v>
          </cell>
          <cell r="G6">
            <v>50.9</v>
          </cell>
          <cell r="H6">
            <v>50.2</v>
          </cell>
        </row>
        <row r="7">
          <cell r="C7">
            <v>1986</v>
          </cell>
          <cell r="D7">
            <v>51.5</v>
          </cell>
          <cell r="E7">
            <v>51.5</v>
          </cell>
          <cell r="F7">
            <v>52</v>
          </cell>
          <cell r="G7">
            <v>52.4</v>
          </cell>
          <cell r="H7">
            <v>51.85</v>
          </cell>
        </row>
        <row r="8">
          <cell r="C8">
            <v>1987</v>
          </cell>
          <cell r="D8">
            <v>52.9</v>
          </cell>
          <cell r="E8">
            <v>53.1</v>
          </cell>
          <cell r="F8">
            <v>53.4</v>
          </cell>
          <cell r="G8">
            <v>53.7</v>
          </cell>
          <cell r="H8">
            <v>53.275000000000006</v>
          </cell>
        </row>
        <row r="9">
          <cell r="C9">
            <v>1988</v>
          </cell>
          <cell r="D9">
            <v>54.5</v>
          </cell>
          <cell r="E9">
            <v>55</v>
          </cell>
          <cell r="F9">
            <v>55.9</v>
          </cell>
          <cell r="G9">
            <v>56.5</v>
          </cell>
          <cell r="H9">
            <v>55.475000000000001</v>
          </cell>
        </row>
        <row r="10">
          <cell r="C10">
            <v>1989</v>
          </cell>
          <cell r="D10">
            <v>57.1</v>
          </cell>
          <cell r="E10">
            <v>57.6</v>
          </cell>
          <cell r="F10">
            <v>58.2</v>
          </cell>
          <cell r="G10">
            <v>59</v>
          </cell>
          <cell r="H10">
            <v>57.975000000000001</v>
          </cell>
        </row>
        <row r="11">
          <cell r="C11">
            <v>1990</v>
          </cell>
          <cell r="D11">
            <v>59.8</v>
          </cell>
          <cell r="E11">
            <v>60.4</v>
          </cell>
          <cell r="F11">
            <v>60.9</v>
          </cell>
          <cell r="G11">
            <v>61.8</v>
          </cell>
          <cell r="H11">
            <v>60.724999999999994</v>
          </cell>
        </row>
        <row r="12">
          <cell r="C12">
            <v>1991</v>
          </cell>
          <cell r="D12">
            <v>62.3</v>
          </cell>
          <cell r="E12">
            <v>63.3</v>
          </cell>
          <cell r="F12">
            <v>64.2</v>
          </cell>
          <cell r="G12">
            <v>64.7</v>
          </cell>
          <cell r="H12">
            <v>63.625</v>
          </cell>
        </row>
        <row r="13">
          <cell r="C13">
            <v>1992</v>
          </cell>
          <cell r="D13">
            <v>65.3</v>
          </cell>
          <cell r="E13">
            <v>65.7</v>
          </cell>
          <cell r="F13">
            <v>66.400000000000006</v>
          </cell>
          <cell r="G13">
            <v>66.7</v>
          </cell>
          <cell r="H13">
            <v>66.025000000000006</v>
          </cell>
        </row>
        <row r="14">
          <cell r="C14">
            <v>1993</v>
          </cell>
          <cell r="D14">
            <v>67.5</v>
          </cell>
          <cell r="E14">
            <v>67.900000000000006</v>
          </cell>
          <cell r="F14">
            <v>68.5</v>
          </cell>
          <cell r="G14">
            <v>68.8</v>
          </cell>
          <cell r="H14">
            <v>68.174999999999997</v>
          </cell>
        </row>
        <row r="15">
          <cell r="C15">
            <v>1994</v>
          </cell>
          <cell r="D15">
            <v>69.400000000000006</v>
          </cell>
          <cell r="E15">
            <v>69.7</v>
          </cell>
          <cell r="F15">
            <v>70.099999999999994</v>
          </cell>
          <cell r="G15">
            <v>70.8</v>
          </cell>
          <cell r="H15">
            <v>70</v>
          </cell>
        </row>
        <row r="16">
          <cell r="C16">
            <v>1995</v>
          </cell>
          <cell r="D16">
            <v>71</v>
          </cell>
          <cell r="E16">
            <v>71.400000000000006</v>
          </cell>
          <cell r="F16">
            <v>71.8</v>
          </cell>
          <cell r="G16">
            <v>72.099999999999994</v>
          </cell>
          <cell r="H16">
            <v>71.574999999999989</v>
          </cell>
        </row>
        <row r="17">
          <cell r="C17">
            <v>1996</v>
          </cell>
          <cell r="D17">
            <v>72.400000000000006</v>
          </cell>
          <cell r="E17">
            <v>72.8</v>
          </cell>
          <cell r="F17">
            <v>73.3</v>
          </cell>
          <cell r="G17">
            <v>74.2</v>
          </cell>
          <cell r="H17">
            <v>73.174999999999997</v>
          </cell>
        </row>
        <row r="18">
          <cell r="C18">
            <v>1997</v>
          </cell>
          <cell r="D18">
            <v>74.7</v>
          </cell>
          <cell r="E18">
            <v>75.400000000000006</v>
          </cell>
          <cell r="F18">
            <v>76.599999999999994</v>
          </cell>
          <cell r="G18">
            <v>77.2</v>
          </cell>
          <cell r="H18">
            <v>75.975000000000009</v>
          </cell>
        </row>
        <row r="19">
          <cell r="C19">
            <v>1998</v>
          </cell>
          <cell r="D19">
            <v>77.900000000000006</v>
          </cell>
          <cell r="E19">
            <v>78.3</v>
          </cell>
          <cell r="F19">
            <v>79</v>
          </cell>
          <cell r="G19">
            <v>79.400000000000006</v>
          </cell>
          <cell r="H19">
            <v>78.650000000000006</v>
          </cell>
        </row>
        <row r="20">
          <cell r="C20">
            <v>1999</v>
          </cell>
          <cell r="D20">
            <v>80.3</v>
          </cell>
          <cell r="E20">
            <v>80.900000000000006</v>
          </cell>
          <cell r="F20">
            <v>81.2</v>
          </cell>
          <cell r="G20">
            <v>82.1</v>
          </cell>
          <cell r="H20">
            <v>81.125</v>
          </cell>
        </row>
        <row r="21">
          <cell r="C21">
            <v>2000</v>
          </cell>
          <cell r="D21">
            <v>82.8</v>
          </cell>
          <cell r="E21">
            <v>83.7</v>
          </cell>
          <cell r="F21">
            <v>84.4</v>
          </cell>
          <cell r="G21">
            <v>85.3</v>
          </cell>
          <cell r="H21">
            <v>84.05</v>
          </cell>
        </row>
        <row r="22">
          <cell r="C22">
            <v>2001</v>
          </cell>
          <cell r="D22">
            <v>86.4</v>
          </cell>
          <cell r="E22">
            <v>87.1</v>
          </cell>
          <cell r="F22">
            <v>87.9</v>
          </cell>
          <cell r="G22">
            <v>89.1</v>
          </cell>
          <cell r="H22">
            <v>87.625</v>
          </cell>
        </row>
        <row r="23">
          <cell r="C23">
            <v>2002</v>
          </cell>
          <cell r="D23">
            <v>90</v>
          </cell>
          <cell r="E23">
            <v>90.6</v>
          </cell>
          <cell r="F23">
            <v>91.5</v>
          </cell>
          <cell r="G23">
            <v>92</v>
          </cell>
          <cell r="H23">
            <v>91.025000000000006</v>
          </cell>
        </row>
        <row r="24">
          <cell r="C24">
            <v>2003</v>
          </cell>
          <cell r="D24">
            <v>93.1</v>
          </cell>
          <cell r="E24">
            <v>93.6</v>
          </cell>
          <cell r="F24">
            <v>94.3</v>
          </cell>
          <cell r="G24">
            <v>94.9</v>
          </cell>
          <cell r="H24">
            <v>93.974999999999994</v>
          </cell>
        </row>
        <row r="25">
          <cell r="C25">
            <v>2004</v>
          </cell>
          <cell r="D25">
            <v>96.1</v>
          </cell>
          <cell r="E25">
            <v>96.8</v>
          </cell>
          <cell r="F25">
            <v>97.2</v>
          </cell>
          <cell r="G25">
            <v>97.7</v>
          </cell>
          <cell r="H25">
            <v>96.949999999999989</v>
          </cell>
        </row>
        <row r="26">
          <cell r="C26">
            <v>2005</v>
          </cell>
          <cell r="D26">
            <v>98.4</v>
          </cell>
          <cell r="E26">
            <v>99</v>
          </cell>
          <cell r="F26">
            <v>99.5</v>
          </cell>
          <cell r="G26">
            <v>100</v>
          </cell>
          <cell r="H26">
            <v>99.224999999999994</v>
          </cell>
        </row>
        <row r="27">
          <cell r="C27">
            <v>2006</v>
          </cell>
          <cell r="D27">
            <v>100.8</v>
          </cell>
          <cell r="E27">
            <v>101.5</v>
          </cell>
          <cell r="F27">
            <v>102.3</v>
          </cell>
          <cell r="G27">
            <v>103.1</v>
          </cell>
          <cell r="H27">
            <v>101.92500000000001</v>
          </cell>
        </row>
        <row r="28">
          <cell r="C28">
            <v>2007</v>
          </cell>
          <cell r="D28">
            <v>104.5</v>
          </cell>
          <cell r="E28">
            <v>105.2</v>
          </cell>
          <cell r="F28">
            <v>106.4</v>
          </cell>
          <cell r="G28">
            <v>107</v>
          </cell>
          <cell r="H28">
            <v>105.77500000000001</v>
          </cell>
        </row>
        <row r="29">
          <cell r="C29">
            <v>2008</v>
          </cell>
          <cell r="D29">
            <v>107.8</v>
          </cell>
          <cell r="E29">
            <v>108.7</v>
          </cell>
          <cell r="F29">
            <v>109.4</v>
          </cell>
          <cell r="G29">
            <v>109.8</v>
          </cell>
          <cell r="H29">
            <v>108.925</v>
          </cell>
        </row>
        <row r="30">
          <cell r="C30">
            <v>2009</v>
          </cell>
          <cell r="D30">
            <v>110.7</v>
          </cell>
          <cell r="E30">
            <v>110.9</v>
          </cell>
          <cell r="F30">
            <v>111.7</v>
          </cell>
          <cell r="G30">
            <v>111.8</v>
          </cell>
          <cell r="H30">
            <v>111.27500000000001</v>
          </cell>
        </row>
        <row r="31">
          <cell r="C31">
            <v>2010</v>
          </cell>
          <cell r="D31">
            <v>112.4</v>
          </cell>
          <cell r="E31">
            <v>112.7</v>
          </cell>
          <cell r="F31">
            <v>113.3</v>
          </cell>
          <cell r="G31">
            <v>113.5</v>
          </cell>
          <cell r="H31">
            <v>112.97500000000001</v>
          </cell>
        </row>
        <row r="32">
          <cell r="C32">
            <v>2011</v>
          </cell>
          <cell r="D32">
            <v>114.5</v>
          </cell>
          <cell r="E32">
            <v>114.7</v>
          </cell>
          <cell r="F32">
            <v>115</v>
          </cell>
          <cell r="G32">
            <v>115.4</v>
          </cell>
          <cell r="H32">
            <v>114.9</v>
          </cell>
        </row>
        <row r="33">
          <cell r="C33">
            <v>2012</v>
          </cell>
          <cell r="D33">
            <v>116</v>
          </cell>
          <cell r="E33">
            <v>116.4</v>
          </cell>
          <cell r="F33">
            <v>116.8</v>
          </cell>
          <cell r="G33">
            <v>117.4</v>
          </cell>
          <cell r="H33">
            <v>116.65</v>
          </cell>
        </row>
        <row r="34">
          <cell r="C34">
            <v>2013</v>
          </cell>
          <cell r="D34">
            <v>117.9</v>
          </cell>
          <cell r="E34">
            <v>118.3</v>
          </cell>
          <cell r="F34">
            <v>118.4</v>
          </cell>
          <cell r="G34">
            <v>119</v>
          </cell>
          <cell r="H34">
            <v>118.4</v>
          </cell>
        </row>
        <row r="35">
          <cell r="C35">
            <v>2014</v>
          </cell>
          <cell r="D35">
            <v>119.2</v>
          </cell>
          <cell r="E35">
            <v>119.6</v>
          </cell>
          <cell r="F35">
            <v>120.5</v>
          </cell>
          <cell r="G35">
            <v>121.1</v>
          </cell>
          <cell r="H35">
            <v>120.1</v>
          </cell>
        </row>
        <row r="36">
          <cell r="C36">
            <v>2015</v>
          </cell>
          <cell r="D36">
            <v>122</v>
          </cell>
          <cell r="E36">
            <v>122.1</v>
          </cell>
          <cell r="F36">
            <v>122.6</v>
          </cell>
          <cell r="G36">
            <v>123.2</v>
          </cell>
          <cell r="H36">
            <v>122.47499999999999</v>
          </cell>
        </row>
        <row r="37">
          <cell r="C37">
            <v>2016</v>
          </cell>
          <cell r="D37">
            <v>124.4</v>
          </cell>
          <cell r="E37">
            <v>125.5</v>
          </cell>
          <cell r="F37">
            <v>126.5</v>
          </cell>
          <cell r="G37">
            <v>127.2</v>
          </cell>
          <cell r="H37">
            <v>125.89999999999999</v>
          </cell>
        </row>
        <row r="38">
          <cell r="C38">
            <v>2017</v>
          </cell>
          <cell r="D38">
            <v>128.6</v>
          </cell>
          <cell r="E38">
            <v>129.19999999999999</v>
          </cell>
          <cell r="F38">
            <v>130</v>
          </cell>
          <cell r="G38">
            <v>130.9</v>
          </cell>
          <cell r="H38">
            <v>129.67499999999998</v>
          </cell>
        </row>
        <row r="39">
          <cell r="C39">
            <v>2018</v>
          </cell>
          <cell r="D39">
            <v>132.69999999999999</v>
          </cell>
          <cell r="E39">
            <v>133.5</v>
          </cell>
          <cell r="F39">
            <v>134.5</v>
          </cell>
          <cell r="G39" t="str">
            <v>–</v>
          </cell>
          <cell r="H39">
            <v>133.56666666666666</v>
          </cell>
        </row>
      </sheetData>
      <sheetData sheetId="10" refreshError="1">
        <row r="1">
          <cell r="C1">
            <v>1986</v>
          </cell>
          <cell r="D1">
            <v>49</v>
          </cell>
          <cell r="E1">
            <v>49.6</v>
          </cell>
          <cell r="F1">
            <v>49.9</v>
          </cell>
          <cell r="G1">
            <v>49.9</v>
          </cell>
          <cell r="H1">
            <v>49.6</v>
          </cell>
        </row>
        <row r="2">
          <cell r="C2">
            <v>1987</v>
          </cell>
          <cell r="D2">
            <v>50.4</v>
          </cell>
          <cell r="E2">
            <v>50.7</v>
          </cell>
          <cell r="F2">
            <v>50.7</v>
          </cell>
          <cell r="G2">
            <v>50.5</v>
          </cell>
          <cell r="H2">
            <v>50.575000000000003</v>
          </cell>
        </row>
        <row r="3">
          <cell r="C3">
            <v>1988</v>
          </cell>
          <cell r="D3">
            <v>51.2</v>
          </cell>
          <cell r="E3">
            <v>52.4</v>
          </cell>
          <cell r="F3">
            <v>52.7</v>
          </cell>
          <cell r="G3">
            <v>53.9</v>
          </cell>
          <cell r="H3">
            <v>52.550000000000004</v>
          </cell>
        </row>
        <row r="4">
          <cell r="C4">
            <v>1989</v>
          </cell>
          <cell r="D4">
            <v>55</v>
          </cell>
          <cell r="E4">
            <v>56</v>
          </cell>
          <cell r="F4">
            <v>57.1</v>
          </cell>
          <cell r="G4">
            <v>57.8</v>
          </cell>
          <cell r="H4">
            <v>56.474999999999994</v>
          </cell>
        </row>
        <row r="5">
          <cell r="C5">
            <v>1990</v>
          </cell>
          <cell r="D5">
            <v>58</v>
          </cell>
          <cell r="E5">
            <v>59.1</v>
          </cell>
          <cell r="F5">
            <v>59.3</v>
          </cell>
          <cell r="G5">
            <v>59.4</v>
          </cell>
          <cell r="H5">
            <v>58.949999999999996</v>
          </cell>
        </row>
        <row r="6">
          <cell r="C6">
            <v>1991</v>
          </cell>
          <cell r="D6">
            <v>60.5</v>
          </cell>
          <cell r="E6">
            <v>61.5</v>
          </cell>
          <cell r="F6">
            <v>61.5</v>
          </cell>
          <cell r="G6">
            <v>61.4</v>
          </cell>
          <cell r="H6">
            <v>61.225000000000001</v>
          </cell>
        </row>
        <row r="7">
          <cell r="C7">
            <v>1992</v>
          </cell>
          <cell r="D7">
            <v>62.5</v>
          </cell>
          <cell r="E7">
            <v>62.8</v>
          </cell>
          <cell r="F7">
            <v>62.6</v>
          </cell>
          <cell r="G7">
            <v>63</v>
          </cell>
          <cell r="H7">
            <v>62.725000000000001</v>
          </cell>
        </row>
        <row r="8">
          <cell r="C8">
            <v>1993</v>
          </cell>
          <cell r="D8">
            <v>63.2</v>
          </cell>
          <cell r="E8">
            <v>63.7</v>
          </cell>
          <cell r="F8">
            <v>64.7</v>
          </cell>
          <cell r="G8">
            <v>65.2</v>
          </cell>
          <cell r="H8">
            <v>64.2</v>
          </cell>
        </row>
        <row r="9">
          <cell r="C9">
            <v>1994</v>
          </cell>
          <cell r="D9">
            <v>65.599999999999994</v>
          </cell>
          <cell r="E9">
            <v>66.5</v>
          </cell>
          <cell r="F9">
            <v>66.7</v>
          </cell>
          <cell r="G9">
            <v>67</v>
          </cell>
          <cell r="H9">
            <v>66.45</v>
          </cell>
        </row>
        <row r="10">
          <cell r="C10">
            <v>1995</v>
          </cell>
          <cell r="D10">
            <v>67.3</v>
          </cell>
          <cell r="E10">
            <v>68.5</v>
          </cell>
          <cell r="F10">
            <v>69</v>
          </cell>
          <cell r="G10">
            <v>69</v>
          </cell>
          <cell r="H10">
            <v>68.45</v>
          </cell>
        </row>
        <row r="11">
          <cell r="C11">
            <v>1996</v>
          </cell>
          <cell r="D11">
            <v>69.900000000000006</v>
          </cell>
          <cell r="E11">
            <v>71.099999999999994</v>
          </cell>
          <cell r="F11">
            <v>70.900000000000006</v>
          </cell>
          <cell r="G11">
            <v>71.7</v>
          </cell>
          <cell r="H11">
            <v>70.900000000000006</v>
          </cell>
        </row>
        <row r="12">
          <cell r="C12">
            <v>1997</v>
          </cell>
          <cell r="D12">
            <v>72.8</v>
          </cell>
          <cell r="E12">
            <v>73.2</v>
          </cell>
          <cell r="F12">
            <v>74</v>
          </cell>
          <cell r="G12">
            <v>74.7</v>
          </cell>
          <cell r="H12">
            <v>73.674999999999997</v>
          </cell>
        </row>
        <row r="13">
          <cell r="C13">
            <v>1998</v>
          </cell>
          <cell r="D13">
            <v>75.8</v>
          </cell>
          <cell r="E13">
            <v>76.900000000000006</v>
          </cell>
          <cell r="F13">
            <v>78.599999999999994</v>
          </cell>
          <cell r="G13">
            <v>79.8</v>
          </cell>
          <cell r="H13">
            <v>77.774999999999991</v>
          </cell>
        </row>
        <row r="14">
          <cell r="C14">
            <v>1999</v>
          </cell>
          <cell r="D14">
            <v>78.2</v>
          </cell>
          <cell r="E14">
            <v>79.8</v>
          </cell>
          <cell r="F14">
            <v>80.7</v>
          </cell>
          <cell r="G14">
            <v>81.400000000000006</v>
          </cell>
          <cell r="H14">
            <v>80.025000000000006</v>
          </cell>
        </row>
        <row r="15">
          <cell r="C15">
            <v>2000</v>
          </cell>
          <cell r="D15">
            <v>83.4</v>
          </cell>
          <cell r="E15">
            <v>84.2</v>
          </cell>
          <cell r="F15">
            <v>84.7</v>
          </cell>
          <cell r="G15">
            <v>84.8</v>
          </cell>
          <cell r="H15">
            <v>84.275000000000006</v>
          </cell>
        </row>
        <row r="16">
          <cell r="C16">
            <v>2001</v>
          </cell>
          <cell r="D16">
            <v>85.3</v>
          </cell>
          <cell r="E16">
            <v>86.5</v>
          </cell>
          <cell r="F16">
            <v>86.8</v>
          </cell>
          <cell r="G16">
            <v>87.7</v>
          </cell>
          <cell r="H16">
            <v>86.575000000000003</v>
          </cell>
        </row>
        <row r="17">
          <cell r="C17">
            <v>2002</v>
          </cell>
          <cell r="D17">
            <v>88.3</v>
          </cell>
          <cell r="E17">
            <v>90.5</v>
          </cell>
          <cell r="F17">
            <v>90.5</v>
          </cell>
          <cell r="G17">
            <v>90.6</v>
          </cell>
          <cell r="H17">
            <v>89.974999999999994</v>
          </cell>
        </row>
        <row r="18">
          <cell r="C18">
            <v>2003</v>
          </cell>
          <cell r="D18">
            <v>91.5</v>
          </cell>
          <cell r="E18">
            <v>92.4</v>
          </cell>
          <cell r="F18">
            <v>93.6</v>
          </cell>
          <cell r="G18">
            <v>93.6</v>
          </cell>
          <cell r="H18">
            <v>92.775000000000006</v>
          </cell>
        </row>
        <row r="19">
          <cell r="C19">
            <v>2004</v>
          </cell>
          <cell r="D19">
            <v>94.7</v>
          </cell>
          <cell r="E19">
            <v>95.9</v>
          </cell>
          <cell r="F19">
            <v>96.9</v>
          </cell>
          <cell r="G19">
            <v>96</v>
          </cell>
          <cell r="H19">
            <v>95.875</v>
          </cell>
        </row>
        <row r="20">
          <cell r="C20">
            <v>2005</v>
          </cell>
          <cell r="D20">
            <v>96.9</v>
          </cell>
          <cell r="E20">
            <v>97.6</v>
          </cell>
          <cell r="F20">
            <v>99.1</v>
          </cell>
          <cell r="G20">
            <v>100</v>
          </cell>
          <cell r="H20">
            <v>98.4</v>
          </cell>
        </row>
        <row r="21">
          <cell r="C21">
            <v>2006</v>
          </cell>
          <cell r="D21">
            <v>99.9</v>
          </cell>
          <cell r="E21">
            <v>101.1</v>
          </cell>
          <cell r="F21">
            <v>101.7</v>
          </cell>
          <cell r="G21">
            <v>102.3</v>
          </cell>
          <cell r="H21">
            <v>101.25</v>
          </cell>
        </row>
        <row r="22">
          <cell r="C22">
            <v>2007</v>
          </cell>
          <cell r="D22">
            <v>102.4</v>
          </cell>
          <cell r="E22">
            <v>103.6</v>
          </cell>
          <cell r="F22">
            <v>104.2</v>
          </cell>
          <cell r="G22">
            <v>105.2</v>
          </cell>
          <cell r="H22">
            <v>103.85</v>
          </cell>
        </row>
        <row r="23">
          <cell r="C23">
            <v>2008</v>
          </cell>
          <cell r="D23">
            <v>105</v>
          </cell>
          <cell r="E23">
            <v>106.2</v>
          </cell>
          <cell r="F23">
            <v>106</v>
          </cell>
          <cell r="G23">
            <v>105.5</v>
          </cell>
          <cell r="H23">
            <v>105.675</v>
          </cell>
        </row>
        <row r="24">
          <cell r="C24">
            <v>2009</v>
          </cell>
          <cell r="D24">
            <v>104.3</v>
          </cell>
          <cell r="E24">
            <v>104.5</v>
          </cell>
          <cell r="F24">
            <v>105.3</v>
          </cell>
          <cell r="G24">
            <v>105.8</v>
          </cell>
          <cell r="H24">
            <v>104.97500000000001</v>
          </cell>
        </row>
        <row r="25">
          <cell r="C25">
            <v>2010</v>
          </cell>
          <cell r="D25">
            <v>105.8</v>
          </cell>
          <cell r="E25">
            <v>107.5</v>
          </cell>
          <cell r="F25">
            <v>107.4</v>
          </cell>
          <cell r="G25">
            <v>108.1</v>
          </cell>
          <cell r="H25">
            <v>107.20000000000002</v>
          </cell>
        </row>
        <row r="26">
          <cell r="C26">
            <v>2011</v>
          </cell>
          <cell r="D26">
            <v>107.8</v>
          </cell>
          <cell r="E26">
            <v>109.8</v>
          </cell>
          <cell r="F26">
            <v>110.3</v>
          </cell>
          <cell r="G26">
            <v>110.7</v>
          </cell>
          <cell r="H26">
            <v>109.64999999999999</v>
          </cell>
        </row>
        <row r="27">
          <cell r="C27">
            <v>2012</v>
          </cell>
          <cell r="D27">
            <v>111.4</v>
          </cell>
          <cell r="E27">
            <v>112.6</v>
          </cell>
          <cell r="F27">
            <v>113.1</v>
          </cell>
          <cell r="G27">
            <v>112.8</v>
          </cell>
          <cell r="H27">
            <v>112.47500000000001</v>
          </cell>
        </row>
        <row r="28">
          <cell r="C28">
            <v>2013</v>
          </cell>
          <cell r="D28">
            <v>113.6</v>
          </cell>
          <cell r="E28">
            <v>114.5</v>
          </cell>
          <cell r="F28">
            <v>115.1</v>
          </cell>
          <cell r="G28">
            <v>115.9</v>
          </cell>
          <cell r="H28">
            <v>114.77500000000001</v>
          </cell>
        </row>
        <row r="29">
          <cell r="C29">
            <v>2014</v>
          </cell>
          <cell r="D29">
            <v>115.6</v>
          </cell>
          <cell r="E29">
            <v>117.1</v>
          </cell>
          <cell r="F29">
            <v>117.9</v>
          </cell>
          <cell r="G29">
            <v>119</v>
          </cell>
          <cell r="H29">
            <v>117.4</v>
          </cell>
        </row>
        <row r="30">
          <cell r="C30">
            <v>2015</v>
          </cell>
          <cell r="D30">
            <v>121.3</v>
          </cell>
          <cell r="E30">
            <v>119.2</v>
          </cell>
          <cell r="F30">
            <v>120.1</v>
          </cell>
          <cell r="G30">
            <v>120.1</v>
          </cell>
          <cell r="H30">
            <v>120.17500000000001</v>
          </cell>
        </row>
        <row r="31">
          <cell r="C31">
            <v>2016</v>
          </cell>
          <cell r="D31">
            <v>120.8</v>
          </cell>
          <cell r="E31">
            <v>123.3</v>
          </cell>
          <cell r="F31">
            <v>122.7</v>
          </cell>
          <cell r="G31">
            <v>122.2</v>
          </cell>
          <cell r="H31">
            <v>122.25</v>
          </cell>
        </row>
        <row r="32">
          <cell r="C32">
            <v>2017</v>
          </cell>
          <cell r="D32">
            <v>123.6</v>
          </cell>
          <cell r="E32">
            <v>124.1</v>
          </cell>
          <cell r="F32">
            <v>125.7</v>
          </cell>
          <cell r="G32">
            <v>125.5</v>
          </cell>
          <cell r="H32">
            <v>124.72499999999999</v>
          </cell>
        </row>
        <row r="33">
          <cell r="C33">
            <v>2018</v>
          </cell>
          <cell r="D33">
            <v>127.7</v>
          </cell>
          <cell r="E33">
            <v>128.5</v>
          </cell>
          <cell r="F33">
            <v>130.4</v>
          </cell>
          <cell r="G33">
            <v>130.80000000000001</v>
          </cell>
          <cell r="H33">
            <v>130.80000000000001</v>
          </cell>
        </row>
        <row r="34">
          <cell r="C34">
            <v>2019</v>
          </cell>
          <cell r="H34">
            <v>134.19999999999999</v>
          </cell>
        </row>
      </sheetData>
      <sheetData sheetId="11" refreshError="1">
        <row r="1">
          <cell r="C1">
            <v>1981</v>
          </cell>
          <cell r="D1" t="str">
            <v>–</v>
          </cell>
          <cell r="E1">
            <v>34.200000000000003</v>
          </cell>
          <cell r="F1">
            <v>36.1</v>
          </cell>
          <cell r="G1">
            <v>36.799999999999997</v>
          </cell>
          <cell r="H1">
            <v>35.700000000000003</v>
          </cell>
        </row>
        <row r="2">
          <cell r="C2">
            <v>1982</v>
          </cell>
          <cell r="D2">
            <v>37.299999999999997</v>
          </cell>
          <cell r="E2">
            <v>37.5</v>
          </cell>
          <cell r="F2">
            <v>39.1</v>
          </cell>
          <cell r="G2">
            <v>39.4</v>
          </cell>
          <cell r="H2">
            <v>38.325000000000003</v>
          </cell>
        </row>
        <row r="3">
          <cell r="C3">
            <v>1983</v>
          </cell>
          <cell r="D3">
            <v>39.9</v>
          </cell>
          <cell r="E3">
            <v>40.1</v>
          </cell>
          <cell r="F3">
            <v>41.4</v>
          </cell>
          <cell r="G3">
            <v>41.8</v>
          </cell>
          <cell r="H3">
            <v>40.799999999999997</v>
          </cell>
        </row>
        <row r="4">
          <cell r="C4">
            <v>1984</v>
          </cell>
          <cell r="D4">
            <v>42.4</v>
          </cell>
          <cell r="E4">
            <v>42.7</v>
          </cell>
          <cell r="F4">
            <v>44.2</v>
          </cell>
          <cell r="G4">
            <v>44.6</v>
          </cell>
          <cell r="H4">
            <v>43.475000000000001</v>
          </cell>
        </row>
        <row r="5">
          <cell r="C5">
            <v>1985</v>
          </cell>
          <cell r="D5">
            <v>45.1</v>
          </cell>
          <cell r="E5">
            <v>45.2</v>
          </cell>
          <cell r="F5">
            <v>46.8</v>
          </cell>
          <cell r="G5">
            <v>47.1</v>
          </cell>
          <cell r="H5">
            <v>46.050000000000004</v>
          </cell>
        </row>
        <row r="6">
          <cell r="C6">
            <v>1986</v>
          </cell>
          <cell r="D6">
            <v>47.6</v>
          </cell>
          <cell r="E6">
            <v>47.9</v>
          </cell>
          <cell r="F6">
            <v>49.2</v>
          </cell>
          <cell r="G6">
            <v>49.6</v>
          </cell>
          <cell r="H6">
            <v>48.574999999999996</v>
          </cell>
        </row>
        <row r="7">
          <cell r="C7">
            <v>1987</v>
          </cell>
          <cell r="D7">
            <v>50</v>
          </cell>
          <cell r="E7">
            <v>50.1</v>
          </cell>
          <cell r="F7">
            <v>51.3</v>
          </cell>
          <cell r="G7">
            <v>51.8</v>
          </cell>
          <cell r="H7">
            <v>50.8</v>
          </cell>
        </row>
        <row r="8">
          <cell r="C8">
            <v>1988</v>
          </cell>
          <cell r="D8">
            <v>52.4</v>
          </cell>
          <cell r="E8">
            <v>52.6</v>
          </cell>
          <cell r="F8">
            <v>54.1</v>
          </cell>
          <cell r="G8">
            <v>54.7</v>
          </cell>
          <cell r="H8">
            <v>53.45</v>
          </cell>
        </row>
        <row r="9">
          <cell r="C9">
            <v>1989</v>
          </cell>
          <cell r="D9">
            <v>55.3</v>
          </cell>
          <cell r="E9">
            <v>55.7</v>
          </cell>
          <cell r="F9">
            <v>57.5</v>
          </cell>
          <cell r="G9">
            <v>58.1</v>
          </cell>
          <cell r="H9">
            <v>56.65</v>
          </cell>
        </row>
        <row r="10">
          <cell r="C10">
            <v>1990</v>
          </cell>
          <cell r="D10">
            <v>58.9</v>
          </cell>
          <cell r="E10">
            <v>59.3</v>
          </cell>
          <cell r="F10">
            <v>60.9</v>
          </cell>
          <cell r="G10">
            <v>61.5</v>
          </cell>
          <cell r="H10">
            <v>60.15</v>
          </cell>
        </row>
        <row r="11">
          <cell r="C11">
            <v>1991</v>
          </cell>
          <cell r="D11">
            <v>62.2</v>
          </cell>
          <cell r="E11">
            <v>62.4</v>
          </cell>
          <cell r="F11">
            <v>63.4</v>
          </cell>
          <cell r="G11">
            <v>63.7</v>
          </cell>
          <cell r="H11">
            <v>62.924999999999997</v>
          </cell>
        </row>
        <row r="12">
          <cell r="C12">
            <v>1992</v>
          </cell>
          <cell r="D12">
            <v>64.099999999999994</v>
          </cell>
          <cell r="E12">
            <v>64.400000000000006</v>
          </cell>
          <cell r="F12">
            <v>65.599999999999994</v>
          </cell>
          <cell r="G12">
            <v>66</v>
          </cell>
          <cell r="H12">
            <v>65.025000000000006</v>
          </cell>
        </row>
        <row r="13">
          <cell r="C13">
            <v>1993</v>
          </cell>
          <cell r="D13">
            <v>66.400000000000006</v>
          </cell>
          <cell r="E13">
            <v>66.599999999999994</v>
          </cell>
          <cell r="F13">
            <v>67.599999999999994</v>
          </cell>
          <cell r="G13">
            <v>67.900000000000006</v>
          </cell>
          <cell r="H13">
            <v>67.125</v>
          </cell>
        </row>
        <row r="14">
          <cell r="C14">
            <v>1994</v>
          </cell>
          <cell r="D14">
            <v>68.3</v>
          </cell>
          <cell r="E14">
            <v>68.5</v>
          </cell>
          <cell r="F14">
            <v>69.599999999999994</v>
          </cell>
          <cell r="G14">
            <v>69.900000000000006</v>
          </cell>
          <cell r="H14">
            <v>69.075000000000003</v>
          </cell>
        </row>
        <row r="15">
          <cell r="C15">
            <v>1995</v>
          </cell>
          <cell r="D15">
            <v>70.400000000000006</v>
          </cell>
          <cell r="E15">
            <v>70.7</v>
          </cell>
          <cell r="F15">
            <v>71.7</v>
          </cell>
          <cell r="G15">
            <v>72</v>
          </cell>
          <cell r="H15">
            <v>71.2</v>
          </cell>
        </row>
        <row r="16">
          <cell r="C16">
            <v>1996</v>
          </cell>
          <cell r="D16">
            <v>72.3</v>
          </cell>
          <cell r="E16">
            <v>72.5</v>
          </cell>
          <cell r="F16">
            <v>73.400000000000006</v>
          </cell>
          <cell r="G16">
            <v>73.900000000000006</v>
          </cell>
          <cell r="H16">
            <v>73.025000000000006</v>
          </cell>
        </row>
        <row r="17">
          <cell r="C17">
            <v>1997</v>
          </cell>
          <cell r="D17">
            <v>74.2</v>
          </cell>
          <cell r="E17">
            <v>74.2</v>
          </cell>
          <cell r="F17">
            <v>75.2</v>
          </cell>
          <cell r="G17">
            <v>75.599999999999994</v>
          </cell>
          <cell r="H17">
            <v>74.800000000000011</v>
          </cell>
        </row>
        <row r="18">
          <cell r="C18">
            <v>1998</v>
          </cell>
          <cell r="D18">
            <v>76</v>
          </cell>
          <cell r="E18">
            <v>76.2</v>
          </cell>
          <cell r="F18">
            <v>77.400000000000006</v>
          </cell>
          <cell r="G18">
            <v>77.8</v>
          </cell>
          <cell r="H18">
            <v>76.849999999999994</v>
          </cell>
        </row>
        <row r="19">
          <cell r="C19">
            <v>1999</v>
          </cell>
          <cell r="D19">
            <v>78.2</v>
          </cell>
          <cell r="E19">
            <v>78.5</v>
          </cell>
          <cell r="F19">
            <v>79.7</v>
          </cell>
          <cell r="G19">
            <v>80.5</v>
          </cell>
          <cell r="H19">
            <v>79.224999999999994</v>
          </cell>
        </row>
        <row r="20">
          <cell r="C20">
            <v>2000</v>
          </cell>
          <cell r="D20">
            <v>81</v>
          </cell>
          <cell r="E20">
            <v>81.2</v>
          </cell>
          <cell r="F20">
            <v>82.3</v>
          </cell>
          <cell r="G20">
            <v>82.9</v>
          </cell>
          <cell r="H20">
            <v>81.849999999999994</v>
          </cell>
        </row>
        <row r="21">
          <cell r="C21">
            <v>2001</v>
          </cell>
          <cell r="D21">
            <v>83.7</v>
          </cell>
          <cell r="E21">
            <v>84.2</v>
          </cell>
          <cell r="F21">
            <v>85.9</v>
          </cell>
          <cell r="G21">
            <v>86.4</v>
          </cell>
          <cell r="H21">
            <v>85.050000000000011</v>
          </cell>
        </row>
        <row r="22">
          <cell r="C22">
            <v>2002</v>
          </cell>
          <cell r="D22">
            <v>86.9</v>
          </cell>
          <cell r="E22">
            <v>87.2</v>
          </cell>
          <cell r="F22">
            <v>89.1</v>
          </cell>
          <cell r="G22">
            <v>89.9</v>
          </cell>
          <cell r="H22">
            <v>88.275000000000006</v>
          </cell>
        </row>
        <row r="23">
          <cell r="C23">
            <v>2003</v>
          </cell>
          <cell r="D23">
            <v>90.5</v>
          </cell>
          <cell r="E23">
            <v>90.9</v>
          </cell>
          <cell r="F23">
            <v>92.4</v>
          </cell>
          <cell r="G23">
            <v>92.9</v>
          </cell>
          <cell r="H23">
            <v>91.675000000000011</v>
          </cell>
        </row>
        <row r="24">
          <cell r="C24">
            <v>2004</v>
          </cell>
          <cell r="D24">
            <v>93.5</v>
          </cell>
          <cell r="E24">
            <v>93.9</v>
          </cell>
          <cell r="F24">
            <v>95.5</v>
          </cell>
          <cell r="G24">
            <v>96.1</v>
          </cell>
          <cell r="H24">
            <v>94.75</v>
          </cell>
        </row>
        <row r="25">
          <cell r="C25">
            <v>2005</v>
          </cell>
          <cell r="D25">
            <v>96.9</v>
          </cell>
          <cell r="E25">
            <v>97.3</v>
          </cell>
          <cell r="F25">
            <v>99.1</v>
          </cell>
          <cell r="G25">
            <v>100</v>
          </cell>
          <cell r="H25">
            <v>98.324999999999989</v>
          </cell>
        </row>
        <row r="26">
          <cell r="C26">
            <v>2006</v>
          </cell>
          <cell r="D26">
            <v>100.5</v>
          </cell>
          <cell r="E26">
            <v>100.9</v>
          </cell>
          <cell r="F26">
            <v>103.2</v>
          </cell>
          <cell r="G26">
            <v>104.1</v>
          </cell>
          <cell r="H26">
            <v>102.17500000000001</v>
          </cell>
        </row>
        <row r="27">
          <cell r="C27">
            <v>2007</v>
          </cell>
          <cell r="D27">
            <v>105.1</v>
          </cell>
          <cell r="E27">
            <v>105.7</v>
          </cell>
          <cell r="F27">
            <v>107.6</v>
          </cell>
          <cell r="G27">
            <v>108.4</v>
          </cell>
          <cell r="H27">
            <v>106.69999999999999</v>
          </cell>
        </row>
        <row r="28">
          <cell r="C28">
            <v>2008</v>
          </cell>
          <cell r="D28">
            <v>108.9</v>
          </cell>
          <cell r="E28">
            <v>109.4</v>
          </cell>
          <cell r="F28">
            <v>111.3</v>
          </cell>
          <cell r="G28">
            <v>111.6</v>
          </cell>
          <cell r="H28">
            <v>110.30000000000001</v>
          </cell>
        </row>
        <row r="29">
          <cell r="C29">
            <v>2009</v>
          </cell>
          <cell r="D29">
            <v>112.3</v>
          </cell>
          <cell r="E29">
            <v>112.8</v>
          </cell>
          <cell r="F29">
            <v>113.9</v>
          </cell>
          <cell r="G29">
            <v>114.2</v>
          </cell>
          <cell r="H29">
            <v>113.3</v>
          </cell>
        </row>
        <row r="30">
          <cell r="C30">
            <v>2010</v>
          </cell>
          <cell r="D30">
            <v>114.5</v>
          </cell>
          <cell r="E30">
            <v>114.7</v>
          </cell>
          <cell r="F30">
            <v>115.9</v>
          </cell>
          <cell r="G30">
            <v>116.2</v>
          </cell>
          <cell r="H30">
            <v>115.325</v>
          </cell>
        </row>
        <row r="31">
          <cell r="C31">
            <v>2011</v>
          </cell>
          <cell r="D31">
            <v>116.6</v>
          </cell>
          <cell r="E31">
            <v>116.7</v>
          </cell>
          <cell r="F31">
            <v>117.6</v>
          </cell>
          <cell r="G31">
            <v>117.7</v>
          </cell>
          <cell r="H31">
            <v>117.14999999999999</v>
          </cell>
        </row>
        <row r="32">
          <cell r="C32">
            <v>2012</v>
          </cell>
          <cell r="D32">
            <v>118.3</v>
          </cell>
          <cell r="E32">
            <v>118.6</v>
          </cell>
          <cell r="F32">
            <v>119.7</v>
          </cell>
          <cell r="G32">
            <v>119.9</v>
          </cell>
          <cell r="H32">
            <v>119.125</v>
          </cell>
        </row>
        <row r="33">
          <cell r="C33">
            <v>2013</v>
          </cell>
          <cell r="D33">
            <v>120.5</v>
          </cell>
          <cell r="E33">
            <v>120.7</v>
          </cell>
          <cell r="F33">
            <v>121.7</v>
          </cell>
          <cell r="G33">
            <v>122.2</v>
          </cell>
          <cell r="H33">
            <v>121.27499999999999</v>
          </cell>
        </row>
        <row r="34">
          <cell r="C34">
            <v>2014</v>
          </cell>
          <cell r="D34">
            <v>122.8</v>
          </cell>
          <cell r="E34">
            <v>123.1</v>
          </cell>
          <cell r="F34">
            <v>124.2</v>
          </cell>
          <cell r="G34">
            <v>124.7</v>
          </cell>
          <cell r="H34">
            <v>123.69999999999999</v>
          </cell>
        </row>
        <row r="35">
          <cell r="C35">
            <v>2015</v>
          </cell>
          <cell r="D35">
            <v>125.4</v>
          </cell>
          <cell r="E35">
            <v>125.8</v>
          </cell>
          <cell r="F35">
            <v>127</v>
          </cell>
          <cell r="G35">
            <v>127.8</v>
          </cell>
          <cell r="H35">
            <v>126.5</v>
          </cell>
        </row>
        <row r="36">
          <cell r="C36">
            <v>2016</v>
          </cell>
          <cell r="D36">
            <v>128.4</v>
          </cell>
          <cell r="E36">
            <v>128.69999999999999</v>
          </cell>
          <cell r="F36">
            <v>130.30000000000001</v>
          </cell>
          <cell r="G36">
            <v>130.9</v>
          </cell>
          <cell r="H36">
            <v>129.57500000000002</v>
          </cell>
        </row>
        <row r="37">
          <cell r="C37">
            <v>2017</v>
          </cell>
          <cell r="D37">
            <v>131.69999999999999</v>
          </cell>
          <cell r="E37">
            <v>132</v>
          </cell>
          <cell r="F37">
            <v>133.4</v>
          </cell>
          <cell r="G37">
            <v>134.19999999999999</v>
          </cell>
          <cell r="H37">
            <v>132.82499999999999</v>
          </cell>
        </row>
        <row r="38">
          <cell r="C38">
            <v>2018</v>
          </cell>
          <cell r="D38">
            <v>134.6</v>
          </cell>
          <cell r="E38">
            <v>135.1</v>
          </cell>
          <cell r="F38">
            <v>136.80000000000001</v>
          </cell>
          <cell r="G38" t="str">
            <v>–</v>
          </cell>
          <cell r="H38">
            <v>135.5</v>
          </cell>
        </row>
      </sheetData>
      <sheetData sheetId="12" refreshError="1">
        <row r="1">
          <cell r="C1">
            <v>1989</v>
          </cell>
          <cell r="D1" t="str">
            <v>–</v>
          </cell>
          <cell r="E1">
            <v>56.7</v>
          </cell>
          <cell r="F1">
            <v>58.9</v>
          </cell>
          <cell r="G1">
            <v>59.4</v>
          </cell>
          <cell r="H1">
            <v>58.333333333333336</v>
          </cell>
        </row>
        <row r="2">
          <cell r="C2">
            <v>1990</v>
          </cell>
          <cell r="D2">
            <v>60.4</v>
          </cell>
          <cell r="E2">
            <v>60.7</v>
          </cell>
          <cell r="F2">
            <v>62.6</v>
          </cell>
          <cell r="G2">
            <v>63.1</v>
          </cell>
          <cell r="H2">
            <v>61.699999999999996</v>
          </cell>
        </row>
        <row r="3">
          <cell r="C3">
            <v>1991</v>
          </cell>
          <cell r="D3">
            <v>63.7</v>
          </cell>
          <cell r="E3">
            <v>63.8</v>
          </cell>
          <cell r="F3">
            <v>64.900000000000006</v>
          </cell>
          <cell r="G3">
            <v>65.2</v>
          </cell>
          <cell r="H3">
            <v>64.400000000000006</v>
          </cell>
        </row>
        <row r="4">
          <cell r="C4">
            <v>1992</v>
          </cell>
          <cell r="D4">
            <v>65.5</v>
          </cell>
          <cell r="E4">
            <v>65.8</v>
          </cell>
          <cell r="F4">
            <v>67.2</v>
          </cell>
          <cell r="G4">
            <v>67.599999999999994</v>
          </cell>
          <cell r="H4">
            <v>66.525000000000006</v>
          </cell>
        </row>
        <row r="5">
          <cell r="C5">
            <v>1993</v>
          </cell>
          <cell r="D5">
            <v>67.8</v>
          </cell>
          <cell r="E5">
            <v>67.900000000000006</v>
          </cell>
          <cell r="F5">
            <v>69</v>
          </cell>
          <cell r="G5">
            <v>69.2</v>
          </cell>
          <cell r="H5">
            <v>68.474999999999994</v>
          </cell>
        </row>
        <row r="6">
          <cell r="C6">
            <v>1994</v>
          </cell>
          <cell r="D6">
            <v>69.5</v>
          </cell>
          <cell r="E6">
            <v>69.599999999999994</v>
          </cell>
          <cell r="F6">
            <v>70.900000000000006</v>
          </cell>
          <cell r="G6">
            <v>71.2</v>
          </cell>
          <cell r="H6">
            <v>70.3</v>
          </cell>
        </row>
        <row r="7">
          <cell r="C7">
            <v>1995</v>
          </cell>
          <cell r="D7">
            <v>71.5</v>
          </cell>
          <cell r="E7">
            <v>71.599999999999994</v>
          </cell>
          <cell r="F7">
            <v>72.8</v>
          </cell>
          <cell r="G7">
            <v>73.099999999999994</v>
          </cell>
          <cell r="H7">
            <v>72.25</v>
          </cell>
        </row>
        <row r="8">
          <cell r="C8">
            <v>1996</v>
          </cell>
          <cell r="D8">
            <v>73.2</v>
          </cell>
          <cell r="E8">
            <v>73.5</v>
          </cell>
          <cell r="F8">
            <v>74.599999999999994</v>
          </cell>
          <cell r="G8">
            <v>75</v>
          </cell>
          <cell r="H8">
            <v>74.074999999999989</v>
          </cell>
        </row>
        <row r="9">
          <cell r="C9">
            <v>1997</v>
          </cell>
          <cell r="D9">
            <v>75.2</v>
          </cell>
          <cell r="E9">
            <v>75.2</v>
          </cell>
          <cell r="F9">
            <v>76.3</v>
          </cell>
          <cell r="G9">
            <v>76.599999999999994</v>
          </cell>
          <cell r="H9">
            <v>75.824999999999989</v>
          </cell>
        </row>
        <row r="10">
          <cell r="C10">
            <v>1998</v>
          </cell>
          <cell r="D10">
            <v>76.900000000000006</v>
          </cell>
          <cell r="E10">
            <v>76.900000000000006</v>
          </cell>
          <cell r="F10">
            <v>78.099999999999994</v>
          </cell>
          <cell r="G10">
            <v>78.599999999999994</v>
          </cell>
          <cell r="H10">
            <v>77.625</v>
          </cell>
        </row>
        <row r="11">
          <cell r="C11">
            <v>1999</v>
          </cell>
          <cell r="D11">
            <v>78.7</v>
          </cell>
          <cell r="E11">
            <v>79</v>
          </cell>
          <cell r="F11">
            <v>80.5</v>
          </cell>
          <cell r="G11">
            <v>81.2</v>
          </cell>
          <cell r="H11">
            <v>79.849999999999994</v>
          </cell>
        </row>
        <row r="12">
          <cell r="C12">
            <v>2000</v>
          </cell>
          <cell r="D12">
            <v>81.7</v>
          </cell>
          <cell r="E12">
            <v>82</v>
          </cell>
          <cell r="F12">
            <v>83.2</v>
          </cell>
          <cell r="G12">
            <v>83.6</v>
          </cell>
          <cell r="H12">
            <v>82.625</v>
          </cell>
        </row>
        <row r="13">
          <cell r="C13">
            <v>2001</v>
          </cell>
          <cell r="D13">
            <v>84.2</v>
          </cell>
          <cell r="E13">
            <v>84.6</v>
          </cell>
          <cell r="F13">
            <v>86.7</v>
          </cell>
          <cell r="G13">
            <v>86.9</v>
          </cell>
          <cell r="H13">
            <v>85.6</v>
          </cell>
        </row>
        <row r="14">
          <cell r="C14">
            <v>2002</v>
          </cell>
          <cell r="D14">
            <v>87.1</v>
          </cell>
          <cell r="E14">
            <v>87.4</v>
          </cell>
          <cell r="F14">
            <v>89.7</v>
          </cell>
          <cell r="G14">
            <v>90.4</v>
          </cell>
          <cell r="H14">
            <v>88.65</v>
          </cell>
        </row>
        <row r="15">
          <cell r="C15">
            <v>2003</v>
          </cell>
          <cell r="D15">
            <v>90.9</v>
          </cell>
          <cell r="E15">
            <v>91.2</v>
          </cell>
          <cell r="F15">
            <v>92.7</v>
          </cell>
          <cell r="G15">
            <v>93.1</v>
          </cell>
          <cell r="H15">
            <v>91.974999999999994</v>
          </cell>
        </row>
        <row r="16">
          <cell r="C16">
            <v>2004</v>
          </cell>
          <cell r="D16">
            <v>93.6</v>
          </cell>
          <cell r="E16">
            <v>93.9</v>
          </cell>
          <cell r="F16">
            <v>95.5</v>
          </cell>
          <cell r="G16">
            <v>96.1</v>
          </cell>
          <cell r="H16">
            <v>94.775000000000006</v>
          </cell>
        </row>
        <row r="17">
          <cell r="C17">
            <v>2005</v>
          </cell>
          <cell r="D17">
            <v>96.7</v>
          </cell>
          <cell r="E17">
            <v>97.1</v>
          </cell>
          <cell r="F17">
            <v>98.8</v>
          </cell>
          <cell r="G17">
            <v>100</v>
          </cell>
          <cell r="H17">
            <v>98.15</v>
          </cell>
        </row>
        <row r="18">
          <cell r="C18">
            <v>2006</v>
          </cell>
          <cell r="D18">
            <v>100.2</v>
          </cell>
          <cell r="E18">
            <v>100.8</v>
          </cell>
          <cell r="F18">
            <v>103.4</v>
          </cell>
          <cell r="G18">
            <v>104</v>
          </cell>
          <cell r="H18">
            <v>102.1</v>
          </cell>
        </row>
        <row r="19">
          <cell r="C19">
            <v>2007</v>
          </cell>
          <cell r="D19">
            <v>104.8</v>
          </cell>
          <cell r="E19">
            <v>105.3</v>
          </cell>
          <cell r="F19">
            <v>107.5</v>
          </cell>
          <cell r="G19">
            <v>108.2</v>
          </cell>
          <cell r="H19">
            <v>106.45</v>
          </cell>
        </row>
        <row r="20">
          <cell r="C20">
            <v>2008</v>
          </cell>
          <cell r="D20">
            <v>108.6</v>
          </cell>
          <cell r="E20">
            <v>109.1</v>
          </cell>
          <cell r="F20">
            <v>111.1</v>
          </cell>
          <cell r="G20">
            <v>111.4</v>
          </cell>
          <cell r="H20">
            <v>110.04999999999998</v>
          </cell>
        </row>
        <row r="21">
          <cell r="C21">
            <v>2009</v>
          </cell>
          <cell r="D21">
            <v>111.9</v>
          </cell>
          <cell r="E21">
            <v>112.4</v>
          </cell>
          <cell r="F21">
            <v>113.6</v>
          </cell>
          <cell r="G21">
            <v>113.9</v>
          </cell>
          <cell r="H21">
            <v>112.94999999999999</v>
          </cell>
        </row>
        <row r="22">
          <cell r="C22">
            <v>2010</v>
          </cell>
          <cell r="D22">
            <v>114</v>
          </cell>
          <cell r="E22">
            <v>114.2</v>
          </cell>
          <cell r="F22">
            <v>115.3</v>
          </cell>
          <cell r="G22">
            <v>115.5</v>
          </cell>
          <cell r="H22">
            <v>114.75</v>
          </cell>
        </row>
        <row r="23">
          <cell r="C23">
            <v>2011</v>
          </cell>
          <cell r="D23">
            <v>115.9</v>
          </cell>
          <cell r="E23">
            <v>115.9</v>
          </cell>
          <cell r="F23">
            <v>116.8</v>
          </cell>
          <cell r="G23">
            <v>116.9</v>
          </cell>
          <cell r="H23">
            <v>116.375</v>
          </cell>
        </row>
        <row r="24">
          <cell r="C24">
            <v>2012</v>
          </cell>
          <cell r="D24">
            <v>117.5</v>
          </cell>
          <cell r="E24">
            <v>117.7</v>
          </cell>
          <cell r="F24">
            <v>118.8</v>
          </cell>
          <cell r="G24">
            <v>119</v>
          </cell>
          <cell r="H24">
            <v>118.25</v>
          </cell>
        </row>
        <row r="25">
          <cell r="C25">
            <v>2013</v>
          </cell>
          <cell r="D25">
            <v>119.5</v>
          </cell>
          <cell r="E25">
            <v>119.7</v>
          </cell>
          <cell r="F25">
            <v>120.6</v>
          </cell>
          <cell r="G25">
            <v>121</v>
          </cell>
          <cell r="H25">
            <v>120.19999999999999</v>
          </cell>
        </row>
        <row r="26">
          <cell r="C26">
            <v>2014</v>
          </cell>
          <cell r="D26">
            <v>121.6</v>
          </cell>
          <cell r="E26">
            <v>121.8</v>
          </cell>
          <cell r="F26">
            <v>123</v>
          </cell>
          <cell r="G26">
            <v>123.5</v>
          </cell>
          <cell r="H26">
            <v>122.47499999999999</v>
          </cell>
        </row>
        <row r="27">
          <cell r="C27">
            <v>2015</v>
          </cell>
          <cell r="D27">
            <v>124.2</v>
          </cell>
          <cell r="E27">
            <v>124.6</v>
          </cell>
          <cell r="F27">
            <v>125.8</v>
          </cell>
          <cell r="G27">
            <v>126.7</v>
          </cell>
          <cell r="H27">
            <v>125.325</v>
          </cell>
        </row>
        <row r="28">
          <cell r="C28">
            <v>2016</v>
          </cell>
          <cell r="D28">
            <v>127.1</v>
          </cell>
          <cell r="E28">
            <v>127.4</v>
          </cell>
          <cell r="F28">
            <v>129.1</v>
          </cell>
          <cell r="G28">
            <v>129.69999999999999</v>
          </cell>
          <cell r="H28">
            <v>128.32499999999999</v>
          </cell>
        </row>
        <row r="29">
          <cell r="C29">
            <v>2017</v>
          </cell>
          <cell r="D29">
            <v>130.4</v>
          </cell>
          <cell r="E29">
            <v>130.6</v>
          </cell>
          <cell r="F29">
            <v>132.1</v>
          </cell>
          <cell r="G29">
            <v>132.80000000000001</v>
          </cell>
          <cell r="H29">
            <v>131.47500000000002</v>
          </cell>
        </row>
        <row r="30">
          <cell r="C30">
            <v>2018</v>
          </cell>
          <cell r="D30">
            <v>133.19999999999999</v>
          </cell>
          <cell r="E30">
            <v>133.6</v>
          </cell>
          <cell r="F30">
            <v>135.19999999999999</v>
          </cell>
          <cell r="G30" t="str">
            <v>–</v>
          </cell>
          <cell r="H30">
            <v>133.99999999999997</v>
          </cell>
        </row>
      </sheetData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s By Other MP"/>
      <sheetName val="Physicians Services"/>
      <sheetName val="Medical Care Commodities"/>
      <sheetName val="Prescription Drugs"/>
      <sheetName val="Inpatient Hosp"/>
      <sheetName val="Outpatient Hosp"/>
      <sheetName val="Nursing Homes &amp; Adult Day"/>
      <sheetName val="Transportation"/>
      <sheetName val="Medical Care"/>
      <sheetName val="CPI ALL"/>
    </sheetNames>
    <sheetDataSet>
      <sheetData sheetId="0" refreshError="1">
        <row r="1">
          <cell r="B1" t="str">
            <v>Year</v>
          </cell>
          <cell r="C1" t="str">
            <v>Jan</v>
          </cell>
          <cell r="D1" t="str">
            <v>Feb</v>
          </cell>
          <cell r="E1" t="str">
            <v>Mar</v>
          </cell>
          <cell r="F1" t="str">
            <v>Apr</v>
          </cell>
          <cell r="G1" t="str">
            <v>May</v>
          </cell>
          <cell r="H1" t="str">
            <v>Jun</v>
          </cell>
          <cell r="I1" t="str">
            <v>Jul</v>
          </cell>
          <cell r="J1" t="str">
            <v>Aug</v>
          </cell>
          <cell r="K1" t="str">
            <v>Sep</v>
          </cell>
          <cell r="L1" t="str">
            <v>Oct</v>
          </cell>
          <cell r="M1" t="str">
            <v>Nov</v>
          </cell>
          <cell r="N1" t="str">
            <v>Dec</v>
          </cell>
          <cell r="O1" t="str">
            <v>Annual</v>
          </cell>
        </row>
        <row r="2">
          <cell r="B2">
            <v>1989</v>
          </cell>
          <cell r="C2">
            <v>111.3</v>
          </cell>
          <cell r="D2">
            <v>111.8</v>
          </cell>
          <cell r="E2">
            <v>112.2</v>
          </cell>
          <cell r="F2">
            <v>112.7</v>
          </cell>
          <cell r="G2">
            <v>113</v>
          </cell>
          <cell r="H2">
            <v>113.7</v>
          </cell>
          <cell r="I2">
            <v>114.9</v>
          </cell>
          <cell r="J2">
            <v>115.3</v>
          </cell>
          <cell r="K2">
            <v>115.6</v>
          </cell>
          <cell r="L2">
            <v>116</v>
          </cell>
          <cell r="M2">
            <v>116.7</v>
          </cell>
          <cell r="N2">
            <v>117</v>
          </cell>
          <cell r="O2">
            <v>114.18333333333334</v>
          </cell>
        </row>
        <row r="3">
          <cell r="B3">
            <v>1990</v>
          </cell>
          <cell r="C3">
            <v>117.4</v>
          </cell>
          <cell r="D3">
            <v>117.8</v>
          </cell>
          <cell r="E3">
            <v>118.3</v>
          </cell>
          <cell r="F3">
            <v>118.8</v>
          </cell>
          <cell r="G3">
            <v>119.2</v>
          </cell>
          <cell r="H3">
            <v>119.5</v>
          </cell>
          <cell r="I3">
            <v>120.7</v>
          </cell>
          <cell r="J3">
            <v>121.5</v>
          </cell>
          <cell r="K3">
            <v>121.8</v>
          </cell>
          <cell r="L3">
            <v>122</v>
          </cell>
          <cell r="M3">
            <v>122.3</v>
          </cell>
          <cell r="N3">
            <v>123</v>
          </cell>
          <cell r="O3">
            <v>120.19166666666666</v>
          </cell>
        </row>
        <row r="4">
          <cell r="B4">
            <v>1991</v>
          </cell>
          <cell r="C4">
            <v>123.3</v>
          </cell>
          <cell r="D4">
            <v>124.1</v>
          </cell>
          <cell r="E4">
            <v>124.9</v>
          </cell>
          <cell r="F4">
            <v>125.4</v>
          </cell>
          <cell r="G4">
            <v>126.2</v>
          </cell>
          <cell r="H4">
            <v>126.5</v>
          </cell>
          <cell r="I4">
            <v>126.5</v>
          </cell>
          <cell r="J4">
            <v>127.3</v>
          </cell>
          <cell r="K4">
            <v>128</v>
          </cell>
          <cell r="L4">
            <v>128.4</v>
          </cell>
          <cell r="M4">
            <v>129.19999999999999</v>
          </cell>
          <cell r="N4">
            <v>129.69999999999999</v>
          </cell>
          <cell r="O4">
            <v>126.625</v>
          </cell>
        </row>
        <row r="5">
          <cell r="B5">
            <v>1992</v>
          </cell>
          <cell r="C5">
            <v>130.30000000000001</v>
          </cell>
          <cell r="D5">
            <v>130.5</v>
          </cell>
          <cell r="E5">
            <v>130.69999999999999</v>
          </cell>
          <cell r="F5">
            <v>131</v>
          </cell>
          <cell r="G5">
            <v>131.1</v>
          </cell>
          <cell r="H5">
            <v>131.30000000000001</v>
          </cell>
          <cell r="I5">
            <v>131.80000000000001</v>
          </cell>
          <cell r="J5">
            <v>131.80000000000001</v>
          </cell>
          <cell r="K5">
            <v>132.1</v>
          </cell>
          <cell r="L5">
            <v>133.1</v>
          </cell>
          <cell r="M5">
            <v>133.30000000000001</v>
          </cell>
          <cell r="N5">
            <v>133.69999999999999</v>
          </cell>
          <cell r="O5">
            <v>131.72499999999999</v>
          </cell>
        </row>
        <row r="6">
          <cell r="B6">
            <v>1993</v>
          </cell>
          <cell r="C6">
            <v>134</v>
          </cell>
          <cell r="D6">
            <v>134</v>
          </cell>
          <cell r="E6">
            <v>133.9</v>
          </cell>
          <cell r="F6">
            <v>134.6</v>
          </cell>
          <cell r="G6">
            <v>135.4</v>
          </cell>
          <cell r="H6">
            <v>135.9</v>
          </cell>
          <cell r="I6">
            <v>136.4</v>
          </cell>
          <cell r="J6">
            <v>136.69999999999999</v>
          </cell>
          <cell r="K6">
            <v>136.9</v>
          </cell>
          <cell r="L6">
            <v>137.19999999999999</v>
          </cell>
          <cell r="M6">
            <v>137.5</v>
          </cell>
          <cell r="N6">
            <v>138</v>
          </cell>
          <cell r="O6">
            <v>135.875</v>
          </cell>
        </row>
        <row r="7">
          <cell r="B7">
            <v>1994</v>
          </cell>
          <cell r="C7">
            <v>138.19999999999999</v>
          </cell>
          <cell r="D7">
            <v>139.1</v>
          </cell>
          <cell r="E7">
            <v>139.6</v>
          </cell>
          <cell r="F7">
            <v>140.4</v>
          </cell>
          <cell r="G7">
            <v>140.6</v>
          </cell>
          <cell r="H7">
            <v>141.19999999999999</v>
          </cell>
          <cell r="I7">
            <v>141.5</v>
          </cell>
          <cell r="J7">
            <v>142.19999999999999</v>
          </cell>
          <cell r="K7">
            <v>142.80000000000001</v>
          </cell>
          <cell r="L7">
            <v>143.19999999999999</v>
          </cell>
          <cell r="M7">
            <v>143.30000000000001</v>
          </cell>
          <cell r="N7">
            <v>143.5</v>
          </cell>
          <cell r="O7">
            <v>141.29999999999998</v>
          </cell>
        </row>
        <row r="8">
          <cell r="B8">
            <v>1995</v>
          </cell>
          <cell r="C8">
            <v>143.69999999999999</v>
          </cell>
          <cell r="D8">
            <v>143.80000000000001</v>
          </cell>
          <cell r="E8">
            <v>143.69999999999999</v>
          </cell>
          <cell r="F8">
            <v>144</v>
          </cell>
          <cell r="G8">
            <v>144</v>
          </cell>
          <cell r="H8">
            <v>144.30000000000001</v>
          </cell>
          <cell r="I8">
            <v>143</v>
          </cell>
          <cell r="J8">
            <v>143.80000000000001</v>
          </cell>
          <cell r="K8">
            <v>143.9</v>
          </cell>
          <cell r="L8">
            <v>144.1</v>
          </cell>
          <cell r="M8">
            <v>144.1</v>
          </cell>
          <cell r="N8">
            <v>144.6</v>
          </cell>
          <cell r="O8">
            <v>143.91666666666666</v>
          </cell>
        </row>
        <row r="9">
          <cell r="B9">
            <v>1996</v>
          </cell>
          <cell r="C9">
            <v>144.69999999999999</v>
          </cell>
          <cell r="D9">
            <v>144.9</v>
          </cell>
          <cell r="E9">
            <v>145.1</v>
          </cell>
          <cell r="F9">
            <v>145.19999999999999</v>
          </cell>
          <cell r="G9">
            <v>145.69999999999999</v>
          </cell>
          <cell r="H9">
            <v>146.30000000000001</v>
          </cell>
          <cell r="I9">
            <v>146.69999999999999</v>
          </cell>
          <cell r="J9">
            <v>147</v>
          </cell>
          <cell r="K9">
            <v>147.4</v>
          </cell>
          <cell r="L9">
            <v>147.9</v>
          </cell>
          <cell r="M9">
            <v>148.69999999999999</v>
          </cell>
          <cell r="N9">
            <v>148.9</v>
          </cell>
          <cell r="O9">
            <v>146.54166666666671</v>
          </cell>
        </row>
        <row r="10">
          <cell r="B10">
            <v>1997</v>
          </cell>
          <cell r="C10">
            <v>149.1</v>
          </cell>
          <cell r="D10">
            <v>150.19999999999999</v>
          </cell>
          <cell r="E10">
            <v>150.80000000000001</v>
          </cell>
          <cell r="F10">
            <v>151.30000000000001</v>
          </cell>
          <cell r="G10">
            <v>151.5</v>
          </cell>
          <cell r="H10">
            <v>151.80000000000001</v>
          </cell>
          <cell r="I10">
            <v>152.19999999999999</v>
          </cell>
          <cell r="J10">
            <v>152.80000000000001</v>
          </cell>
          <cell r="K10">
            <v>152.9</v>
          </cell>
          <cell r="L10">
            <v>152.80000000000001</v>
          </cell>
          <cell r="M10">
            <v>153.30000000000001</v>
          </cell>
          <cell r="N10">
            <v>153.5</v>
          </cell>
          <cell r="O10">
            <v>151.85</v>
          </cell>
        </row>
        <row r="11">
          <cell r="B11">
            <v>1998</v>
          </cell>
          <cell r="C11">
            <v>153.9</v>
          </cell>
          <cell r="D11">
            <v>154</v>
          </cell>
          <cell r="E11">
            <v>154.5</v>
          </cell>
          <cell r="F11">
            <v>155</v>
          </cell>
          <cell r="G11">
            <v>155.30000000000001</v>
          </cell>
          <cell r="H11">
            <v>155.5</v>
          </cell>
          <cell r="I11">
            <v>155.5</v>
          </cell>
          <cell r="J11">
            <v>155.1</v>
          </cell>
          <cell r="K11">
            <v>155.6</v>
          </cell>
          <cell r="L11">
            <v>156.1</v>
          </cell>
          <cell r="M11">
            <v>156.69999999999999</v>
          </cell>
          <cell r="N11">
            <v>157.19999999999999</v>
          </cell>
          <cell r="O11">
            <v>155.36666666666665</v>
          </cell>
        </row>
        <row r="12">
          <cell r="B12">
            <v>1999</v>
          </cell>
          <cell r="C12">
            <v>157.80000000000001</v>
          </cell>
          <cell r="D12">
            <v>157.9</v>
          </cell>
          <cell r="E12">
            <v>158</v>
          </cell>
          <cell r="F12">
            <v>158.1</v>
          </cell>
          <cell r="G12">
            <v>158.19999999999999</v>
          </cell>
          <cell r="H12">
            <v>158.30000000000001</v>
          </cell>
          <cell r="I12">
            <v>158.69999999999999</v>
          </cell>
          <cell r="J12">
            <v>158.80000000000001</v>
          </cell>
          <cell r="K12">
            <v>159.30000000000001</v>
          </cell>
          <cell r="L12">
            <v>159.80000000000001</v>
          </cell>
          <cell r="M12">
            <v>159.69999999999999</v>
          </cell>
          <cell r="N12">
            <v>159.69999999999999</v>
          </cell>
          <cell r="O12">
            <v>158.69166666666666</v>
          </cell>
        </row>
        <row r="13">
          <cell r="B13">
            <v>2000</v>
          </cell>
          <cell r="C13">
            <v>159.80000000000001</v>
          </cell>
          <cell r="D13">
            <v>160</v>
          </cell>
          <cell r="E13">
            <v>160.19999999999999</v>
          </cell>
          <cell r="F13">
            <v>160.4</v>
          </cell>
          <cell r="G13">
            <v>161.1</v>
          </cell>
          <cell r="H13">
            <v>161.9</v>
          </cell>
          <cell r="I13">
            <v>162.5</v>
          </cell>
          <cell r="J13">
            <v>163</v>
          </cell>
          <cell r="K13">
            <v>163.30000000000001</v>
          </cell>
          <cell r="L13">
            <v>163.19999999999999</v>
          </cell>
          <cell r="M13">
            <v>163.4</v>
          </cell>
          <cell r="N13">
            <v>163.69999999999999</v>
          </cell>
          <cell r="O13">
            <v>161.87500000000003</v>
          </cell>
        </row>
        <row r="14">
          <cell r="B14">
            <v>2001</v>
          </cell>
          <cell r="C14">
            <v>164.1</v>
          </cell>
          <cell r="D14">
            <v>165.3</v>
          </cell>
          <cell r="E14">
            <v>166</v>
          </cell>
          <cell r="F14">
            <v>166.3</v>
          </cell>
          <cell r="G14">
            <v>166.6</v>
          </cell>
          <cell r="H14">
            <v>167.3</v>
          </cell>
          <cell r="I14">
            <v>167.7</v>
          </cell>
          <cell r="J14">
            <v>168.6</v>
          </cell>
          <cell r="K14">
            <v>168.8</v>
          </cell>
          <cell r="L14">
            <v>168.7</v>
          </cell>
          <cell r="M14">
            <v>169.1</v>
          </cell>
          <cell r="N14">
            <v>169.3</v>
          </cell>
          <cell r="O14">
            <v>167.31666666666666</v>
          </cell>
        </row>
        <row r="15">
          <cell r="B15">
            <v>2002</v>
          </cell>
          <cell r="C15">
            <v>169.8</v>
          </cell>
          <cell r="D15">
            <v>169.9</v>
          </cell>
          <cell r="E15">
            <v>170.1</v>
          </cell>
          <cell r="F15">
            <v>171.4</v>
          </cell>
          <cell r="G15">
            <v>171.2</v>
          </cell>
          <cell r="H15">
            <v>171.2</v>
          </cell>
          <cell r="I15">
            <v>171.5</v>
          </cell>
          <cell r="J15">
            <v>171.6</v>
          </cell>
          <cell r="K15">
            <v>171.8</v>
          </cell>
          <cell r="L15">
            <v>173.7</v>
          </cell>
          <cell r="M15">
            <v>174.4</v>
          </cell>
          <cell r="N15">
            <v>175.4</v>
          </cell>
          <cell r="O15">
            <v>171.83333333333334</v>
          </cell>
        </row>
        <row r="16">
          <cell r="B16">
            <v>2003</v>
          </cell>
          <cell r="C16">
            <v>175.6</v>
          </cell>
          <cell r="D16">
            <v>175.7</v>
          </cell>
          <cell r="E16">
            <v>175.6</v>
          </cell>
          <cell r="F16">
            <v>175.9</v>
          </cell>
          <cell r="G16">
            <v>176.1</v>
          </cell>
          <cell r="H16">
            <v>176.6</v>
          </cell>
          <cell r="I16">
            <v>177.1</v>
          </cell>
          <cell r="J16">
            <v>177.4</v>
          </cell>
          <cell r="K16">
            <v>177.9</v>
          </cell>
          <cell r="L16">
            <v>178.7</v>
          </cell>
          <cell r="M16">
            <v>178.7</v>
          </cell>
          <cell r="N16">
            <v>179.4</v>
          </cell>
          <cell r="O16">
            <v>177.05833333333337</v>
          </cell>
        </row>
        <row r="17">
          <cell r="B17">
            <v>2004</v>
          </cell>
          <cell r="C17">
            <v>179.5</v>
          </cell>
          <cell r="D17">
            <v>179.2</v>
          </cell>
          <cell r="E17">
            <v>180.3</v>
          </cell>
          <cell r="F17">
            <v>181.4</v>
          </cell>
          <cell r="G17">
            <v>181.8</v>
          </cell>
          <cell r="H17">
            <v>182.1</v>
          </cell>
          <cell r="I17">
            <v>182.1</v>
          </cell>
          <cell r="J17">
            <v>182.9</v>
          </cell>
          <cell r="K17">
            <v>183.1</v>
          </cell>
          <cell r="L17">
            <v>183.3</v>
          </cell>
          <cell r="M17">
            <v>183.3</v>
          </cell>
          <cell r="N17">
            <v>183.7</v>
          </cell>
          <cell r="O17">
            <v>181.89166666666665</v>
          </cell>
        </row>
        <row r="18">
          <cell r="B18">
            <v>2005</v>
          </cell>
          <cell r="C18">
            <v>184.3</v>
          </cell>
          <cell r="D18">
            <v>186</v>
          </cell>
          <cell r="E18">
            <v>186.1</v>
          </cell>
          <cell r="F18">
            <v>186.2</v>
          </cell>
          <cell r="G18">
            <v>186.7</v>
          </cell>
          <cell r="H18">
            <v>186.7</v>
          </cell>
          <cell r="I18">
            <v>186.9</v>
          </cell>
          <cell r="J18">
            <v>187</v>
          </cell>
          <cell r="K18">
            <v>187.2</v>
          </cell>
          <cell r="L18">
            <v>188</v>
          </cell>
          <cell r="M18">
            <v>188.2</v>
          </cell>
          <cell r="N18">
            <v>188.3</v>
          </cell>
          <cell r="O18">
            <v>186.80000000000004</v>
          </cell>
        </row>
        <row r="19">
          <cell r="B19">
            <v>2006</v>
          </cell>
          <cell r="C19">
            <v>188.1</v>
          </cell>
          <cell r="D19">
            <v>190.4</v>
          </cell>
          <cell r="E19">
            <v>191.1</v>
          </cell>
          <cell r="F19">
            <v>191.2</v>
          </cell>
          <cell r="G19">
            <v>191.4</v>
          </cell>
          <cell r="H19">
            <v>191.4</v>
          </cell>
          <cell r="I19">
            <v>192.3</v>
          </cell>
          <cell r="J19">
            <v>193.3</v>
          </cell>
          <cell r="K19">
            <v>194.2</v>
          </cell>
          <cell r="L19">
            <v>194.2</v>
          </cell>
          <cell r="M19">
            <v>194.1</v>
          </cell>
          <cell r="N19">
            <v>194.2</v>
          </cell>
          <cell r="O19">
            <v>192.1583333333333</v>
          </cell>
        </row>
        <row r="20">
          <cell r="B20">
            <v>2007</v>
          </cell>
          <cell r="C20">
            <v>195.01300000000001</v>
          </cell>
          <cell r="D20">
            <v>195.667</v>
          </cell>
          <cell r="E20">
            <v>196.56100000000001</v>
          </cell>
          <cell r="F20">
            <v>196.74100000000001</v>
          </cell>
          <cell r="G20">
            <v>196.96</v>
          </cell>
          <cell r="H20">
            <v>197.12700000000001</v>
          </cell>
          <cell r="I20">
            <v>197.38800000000001</v>
          </cell>
          <cell r="J20">
            <v>197.613</v>
          </cell>
          <cell r="K20">
            <v>197.702</v>
          </cell>
          <cell r="L20">
            <v>198.43199999999999</v>
          </cell>
          <cell r="M20">
            <v>199.45400000000001</v>
          </cell>
          <cell r="N20">
            <v>200.31200000000001</v>
          </cell>
          <cell r="O20">
            <v>197.41416666666666</v>
          </cell>
        </row>
        <row r="21">
          <cell r="B21">
            <v>2008</v>
          </cell>
          <cell r="C21">
            <v>200.94399999999999</v>
          </cell>
          <cell r="D21">
            <v>202.63399999999999</v>
          </cell>
          <cell r="E21">
            <v>202.67</v>
          </cell>
          <cell r="F21">
            <v>203.50700000000001</v>
          </cell>
          <cell r="G21">
            <v>204.70599999999999</v>
          </cell>
          <cell r="H21">
            <v>205.904</v>
          </cell>
          <cell r="I21">
            <v>207.626</v>
          </cell>
          <cell r="J21">
            <v>207.17099999999999</v>
          </cell>
          <cell r="K21">
            <v>207.25899999999999</v>
          </cell>
          <cell r="L21">
            <v>207.78800000000001</v>
          </cell>
          <cell r="M21">
            <v>207.851</v>
          </cell>
          <cell r="N21">
            <v>207.85</v>
          </cell>
          <cell r="O21">
            <v>205.49249999999998</v>
          </cell>
        </row>
        <row r="22">
          <cell r="B22">
            <v>2009</v>
          </cell>
          <cell r="C22">
            <v>208.59</v>
          </cell>
          <cell r="D22">
            <v>208.75200000000001</v>
          </cell>
          <cell r="E22">
            <v>208.941</v>
          </cell>
          <cell r="F22">
            <v>209.08099999999999</v>
          </cell>
          <cell r="G22">
            <v>209.02099999999999</v>
          </cell>
          <cell r="H22">
            <v>209.62799999999999</v>
          </cell>
          <cell r="I22">
            <v>209.727</v>
          </cell>
          <cell r="J22">
            <v>209.87</v>
          </cell>
          <cell r="K22">
            <v>209.86600000000001</v>
          </cell>
          <cell r="L22">
            <v>210.67599999999999</v>
          </cell>
          <cell r="M22">
            <v>211.66800000000001</v>
          </cell>
          <cell r="N22">
            <v>211.524</v>
          </cell>
          <cell r="O22">
            <v>209.77866666666668</v>
          </cell>
        </row>
        <row r="23">
          <cell r="B23">
            <v>2010</v>
          </cell>
          <cell r="C23">
            <v>212.02699999999999</v>
          </cell>
          <cell r="D23">
            <v>213.566</v>
          </cell>
          <cell r="E23">
            <v>214.10900000000001</v>
          </cell>
          <cell r="F23">
            <v>214.203</v>
          </cell>
          <cell r="G23">
            <v>213.703</v>
          </cell>
          <cell r="H23">
            <v>213.88</v>
          </cell>
          <cell r="I23">
            <v>214.315</v>
          </cell>
          <cell r="J23">
            <v>215.023</v>
          </cell>
          <cell r="K23">
            <v>215.36500000000001</v>
          </cell>
          <cell r="L23">
            <v>215.32599999999999</v>
          </cell>
          <cell r="M23">
            <v>215.49600000000001</v>
          </cell>
          <cell r="N23">
            <v>215.42699999999999</v>
          </cell>
          <cell r="O23">
            <v>214.37</v>
          </cell>
        </row>
        <row r="24">
          <cell r="B24">
            <v>2011</v>
          </cell>
          <cell r="C24">
            <v>216.45</v>
          </cell>
          <cell r="D24">
            <v>217.57400000000001</v>
          </cell>
          <cell r="E24">
            <v>216.964</v>
          </cell>
          <cell r="F24">
            <v>217.22900000000001</v>
          </cell>
          <cell r="G24">
            <v>217.35900000000001</v>
          </cell>
          <cell r="H24">
            <v>217.702</v>
          </cell>
          <cell r="I24">
            <v>217.934</v>
          </cell>
          <cell r="J24">
            <v>217.303</v>
          </cell>
          <cell r="K24">
            <v>217.184</v>
          </cell>
          <cell r="L24">
            <v>217.49100000000001</v>
          </cell>
          <cell r="M24">
            <v>217.809</v>
          </cell>
          <cell r="N24">
            <v>218.22300000000001</v>
          </cell>
          <cell r="O24">
            <v>217.43516666666667</v>
          </cell>
        </row>
        <row r="25">
          <cell r="B25">
            <v>2012</v>
          </cell>
          <cell r="C25">
            <v>218.44399999999999</v>
          </cell>
          <cell r="D25">
            <v>219.023</v>
          </cell>
          <cell r="E25">
            <v>219.28700000000001</v>
          </cell>
          <cell r="F25">
            <v>219.29499999999999</v>
          </cell>
          <cell r="G25">
            <v>219.65299999999999</v>
          </cell>
          <cell r="H25">
            <v>219.523</v>
          </cell>
          <cell r="I25">
            <v>219.61699999999999</v>
          </cell>
          <cell r="J25">
            <v>220.20599999999999</v>
          </cell>
          <cell r="K25">
            <v>220.03</v>
          </cell>
          <cell r="L25">
            <v>220.17099999999999</v>
          </cell>
          <cell r="M25">
            <v>220.02199999999999</v>
          </cell>
          <cell r="N25">
            <v>220.029</v>
          </cell>
          <cell r="O25">
            <v>219.60833333333332</v>
          </cell>
        </row>
        <row r="26">
          <cell r="B26">
            <v>2013</v>
          </cell>
          <cell r="C26">
            <v>221.35400000000001</v>
          </cell>
          <cell r="D26">
            <v>222.14699999999999</v>
          </cell>
          <cell r="E26">
            <v>222.72200000000001</v>
          </cell>
          <cell r="F26">
            <v>222.666</v>
          </cell>
          <cell r="G26">
            <v>222.518</v>
          </cell>
          <cell r="H26">
            <v>223.298</v>
          </cell>
          <cell r="I26">
            <v>223.40799999999999</v>
          </cell>
          <cell r="J26">
            <v>223.61</v>
          </cell>
          <cell r="K26">
            <v>224.453</v>
          </cell>
          <cell r="L26">
            <v>224.595</v>
          </cell>
          <cell r="M26">
            <v>224.75</v>
          </cell>
          <cell r="N26">
            <v>224.58</v>
          </cell>
          <cell r="O26">
            <v>223.34174999999996</v>
          </cell>
        </row>
        <row r="27">
          <cell r="B27">
            <v>2014</v>
          </cell>
          <cell r="C27">
            <v>225.03399999999999</v>
          </cell>
          <cell r="D27">
            <v>225.215</v>
          </cell>
          <cell r="E27">
            <v>225.20699999999999</v>
          </cell>
          <cell r="F27">
            <v>224.672</v>
          </cell>
          <cell r="G27">
            <v>225.29499999999999</v>
          </cell>
          <cell r="H27">
            <v>226.608</v>
          </cell>
          <cell r="I27">
            <v>227.07599999999999</v>
          </cell>
          <cell r="J27">
            <v>226.30600000000001</v>
          </cell>
          <cell r="K27">
            <v>225.94499999999999</v>
          </cell>
          <cell r="L27">
            <v>227.18299999999999</v>
          </cell>
          <cell r="M27">
            <v>229.11799999999999</v>
          </cell>
          <cell r="N27">
            <v>229.05699999999999</v>
          </cell>
          <cell r="O27">
            <v>226.393</v>
          </cell>
        </row>
        <row r="28">
          <cell r="B28">
            <v>2015</v>
          </cell>
          <cell r="C28">
            <v>227.60300000000001</v>
          </cell>
          <cell r="D28">
            <v>228.005</v>
          </cell>
          <cell r="E28">
            <v>227.97399999999999</v>
          </cell>
          <cell r="F28">
            <v>227.964</v>
          </cell>
          <cell r="G28">
            <v>228.02699999999999</v>
          </cell>
          <cell r="H28">
            <v>227.99199999999999</v>
          </cell>
          <cell r="I28">
            <v>228.29599999999999</v>
          </cell>
          <cell r="J28">
            <v>228.83600000000001</v>
          </cell>
          <cell r="K28">
            <v>228.803</v>
          </cell>
          <cell r="L28">
            <v>228.8</v>
          </cell>
          <cell r="M28">
            <v>228.36500000000001</v>
          </cell>
          <cell r="N28">
            <v>228.2191</v>
          </cell>
          <cell r="O28">
            <v>228.24034166666664</v>
          </cell>
        </row>
        <row r="29">
          <cell r="B29">
            <v>2016</v>
          </cell>
          <cell r="C29">
            <v>228.81700000000001</v>
          </cell>
          <cell r="D29">
            <v>228.858</v>
          </cell>
          <cell r="E29">
            <v>228.68199999999999</v>
          </cell>
          <cell r="F29">
            <v>228.93299999999999</v>
          </cell>
          <cell r="G29">
            <v>231.20599999999999</v>
          </cell>
          <cell r="H29">
            <v>230.32400000000001</v>
          </cell>
          <cell r="I29">
            <v>232.46899999999999</v>
          </cell>
          <cell r="J29">
            <v>231.911</v>
          </cell>
          <cell r="K29">
            <v>231.95099999999999</v>
          </cell>
          <cell r="L29">
            <v>232.01499999999999</v>
          </cell>
          <cell r="M29">
            <v>233.07599999999999</v>
          </cell>
          <cell r="N29">
            <v>233.25899999999999</v>
          </cell>
          <cell r="O29">
            <v>230.95841666666664</v>
          </cell>
        </row>
        <row r="30">
          <cell r="B30">
            <v>2017</v>
          </cell>
          <cell r="C30">
            <v>234.95400000000001</v>
          </cell>
          <cell r="D30">
            <v>235.67099999999999</v>
          </cell>
          <cell r="E30">
            <v>236.29300000000001</v>
          </cell>
          <cell r="F30">
            <v>236.29300000000001</v>
          </cell>
          <cell r="G30">
            <v>236.29300000000001</v>
          </cell>
          <cell r="H30">
            <v>236.08699999999999</v>
          </cell>
          <cell r="I30">
            <v>236.12899999999999</v>
          </cell>
          <cell r="J30">
            <v>236.12899999999999</v>
          </cell>
          <cell r="K30">
            <v>237.209</v>
          </cell>
          <cell r="L30">
            <v>237.71700000000001</v>
          </cell>
          <cell r="M30">
            <v>238.24299999999999</v>
          </cell>
          <cell r="N30">
            <v>238.09</v>
          </cell>
          <cell r="O30">
            <v>236.5923333333333</v>
          </cell>
        </row>
        <row r="31">
          <cell r="B31">
            <v>2018</v>
          </cell>
          <cell r="C31">
            <v>237.02699999999999</v>
          </cell>
          <cell r="D31">
            <v>235.05600000000001</v>
          </cell>
          <cell r="E31">
            <v>236.93799999999999</v>
          </cell>
          <cell r="F31">
            <v>237.43</v>
          </cell>
          <cell r="G31">
            <v>237.66300000000001</v>
          </cell>
          <cell r="H31"/>
          <cell r="I31"/>
          <cell r="J31"/>
          <cell r="K31"/>
          <cell r="L31"/>
          <cell r="M31"/>
          <cell r="N31"/>
          <cell r="O31">
            <v>236.8228</v>
          </cell>
        </row>
      </sheetData>
      <sheetData sheetId="1" refreshError="1">
        <row r="2">
          <cell r="A2" t="str">
            <v>Year</v>
          </cell>
          <cell r="B2" t="str">
            <v>Jan</v>
          </cell>
          <cell r="C2" t="str">
            <v>Feb</v>
          </cell>
          <cell r="D2" t="str">
            <v>Mar</v>
          </cell>
          <cell r="E2" t="str">
            <v>Apr</v>
          </cell>
          <cell r="F2" t="str">
            <v>May</v>
          </cell>
          <cell r="G2" t="str">
            <v>Jun</v>
          </cell>
          <cell r="H2" t="str">
            <v>Jul</v>
          </cell>
          <cell r="I2" t="str">
            <v>Aug</v>
          </cell>
          <cell r="J2" t="str">
            <v>Sep</v>
          </cell>
          <cell r="K2" t="str">
            <v>Oct</v>
          </cell>
          <cell r="L2" t="str">
            <v>Nov</v>
          </cell>
          <cell r="M2" t="str">
            <v>Dec</v>
          </cell>
          <cell r="N2" t="str">
            <v>Annual</v>
          </cell>
        </row>
        <row r="3">
          <cell r="A3">
            <v>1960</v>
          </cell>
          <cell r="B3">
            <v>21.7</v>
          </cell>
          <cell r="C3">
            <v>21.8</v>
          </cell>
          <cell r="D3">
            <v>22</v>
          </cell>
          <cell r="E3">
            <v>22.2</v>
          </cell>
          <cell r="F3">
            <v>21.9</v>
          </cell>
        </row>
        <row r="4">
          <cell r="A4">
            <v>1961</v>
          </cell>
          <cell r="B4">
            <v>22.2</v>
          </cell>
          <cell r="C4">
            <v>22.4</v>
          </cell>
          <cell r="D4">
            <v>22.6</v>
          </cell>
          <cell r="E4">
            <v>22.8</v>
          </cell>
          <cell r="F4">
            <v>22.4</v>
          </cell>
        </row>
        <row r="5">
          <cell r="A5">
            <v>1962</v>
          </cell>
          <cell r="B5">
            <v>22.9</v>
          </cell>
          <cell r="C5">
            <v>23.1</v>
          </cell>
          <cell r="D5">
            <v>23.2</v>
          </cell>
          <cell r="E5">
            <v>23.3</v>
          </cell>
          <cell r="F5">
            <v>23.1</v>
          </cell>
        </row>
        <row r="6">
          <cell r="A6">
            <v>1963</v>
          </cell>
          <cell r="B6">
            <v>23.5</v>
          </cell>
          <cell r="C6">
            <v>23.6</v>
          </cell>
          <cell r="D6">
            <v>23.7</v>
          </cell>
          <cell r="E6">
            <v>23.8</v>
          </cell>
          <cell r="F6">
            <v>23.6</v>
          </cell>
        </row>
        <row r="7">
          <cell r="A7">
            <v>1964</v>
          </cell>
          <cell r="B7">
            <v>24.1</v>
          </cell>
          <cell r="C7">
            <v>24.5</v>
          </cell>
          <cell r="D7">
            <v>24.2</v>
          </cell>
        </row>
        <row r="8">
          <cell r="A8">
            <v>1965</v>
          </cell>
          <cell r="B8">
            <v>25</v>
          </cell>
          <cell r="C8">
            <v>25.2</v>
          </cell>
          <cell r="D8">
            <v>25.4</v>
          </cell>
          <cell r="E8">
            <v>25.1</v>
          </cell>
        </row>
        <row r="9">
          <cell r="A9">
            <v>1966</v>
          </cell>
          <cell r="B9">
            <v>25.9</v>
          </cell>
          <cell r="C9">
            <v>26.4</v>
          </cell>
          <cell r="D9">
            <v>27</v>
          </cell>
          <cell r="E9">
            <v>27.4</v>
          </cell>
          <cell r="F9">
            <v>26.5</v>
          </cell>
        </row>
        <row r="10">
          <cell r="A10">
            <v>1967</v>
          </cell>
          <cell r="B10">
            <v>28</v>
          </cell>
          <cell r="C10">
            <v>28.3</v>
          </cell>
          <cell r="D10">
            <v>28.8</v>
          </cell>
          <cell r="E10">
            <v>29.1</v>
          </cell>
          <cell r="F10">
            <v>28.4</v>
          </cell>
        </row>
        <row r="11">
          <cell r="A11">
            <v>1968</v>
          </cell>
          <cell r="B11">
            <v>29.6</v>
          </cell>
          <cell r="C11">
            <v>29.9</v>
          </cell>
          <cell r="D11">
            <v>30.2</v>
          </cell>
          <cell r="E11">
            <v>30.8</v>
          </cell>
          <cell r="F11">
            <v>30</v>
          </cell>
        </row>
        <row r="12">
          <cell r="A12">
            <v>1969</v>
          </cell>
          <cell r="B12">
            <v>30.9</v>
          </cell>
          <cell r="C12">
            <v>31.2</v>
          </cell>
          <cell r="D12">
            <v>31.5</v>
          </cell>
          <cell r="E12">
            <v>31.6</v>
          </cell>
          <cell r="F12">
            <v>31.8</v>
          </cell>
          <cell r="G12">
            <v>32.1</v>
          </cell>
          <cell r="H12">
            <v>32.200000000000003</v>
          </cell>
          <cell r="I12">
            <v>32.4</v>
          </cell>
          <cell r="J12">
            <v>32.6</v>
          </cell>
          <cell r="K12">
            <v>32.700000000000003</v>
          </cell>
          <cell r="L12">
            <v>32.799999999999997</v>
          </cell>
          <cell r="M12">
            <v>33</v>
          </cell>
          <cell r="N12">
            <v>32.06666666666667</v>
          </cell>
        </row>
        <row r="13">
          <cell r="A13">
            <v>1970</v>
          </cell>
          <cell r="B13">
            <v>33.200000000000003</v>
          </cell>
          <cell r="C13">
            <v>33.299999999999997</v>
          </cell>
          <cell r="D13">
            <v>33.799999999999997</v>
          </cell>
          <cell r="E13">
            <v>33.9</v>
          </cell>
          <cell r="F13">
            <v>34.200000000000003</v>
          </cell>
          <cell r="G13">
            <v>34.5</v>
          </cell>
          <cell r="H13">
            <v>34.6</v>
          </cell>
          <cell r="I13">
            <v>34.799999999999997</v>
          </cell>
          <cell r="J13">
            <v>35</v>
          </cell>
          <cell r="K13">
            <v>35.1</v>
          </cell>
          <cell r="L13">
            <v>35.4</v>
          </cell>
          <cell r="M13">
            <v>35.700000000000003</v>
          </cell>
          <cell r="N13">
            <v>34.458333333333329</v>
          </cell>
        </row>
        <row r="14">
          <cell r="A14">
            <v>1971</v>
          </cell>
          <cell r="B14">
            <v>35.799999999999997</v>
          </cell>
          <cell r="C14">
            <v>36</v>
          </cell>
          <cell r="D14">
            <v>36.4</v>
          </cell>
          <cell r="E14">
            <v>36.5</v>
          </cell>
          <cell r="F14">
            <v>36.700000000000003</v>
          </cell>
          <cell r="G14">
            <v>36.9</v>
          </cell>
          <cell r="H14">
            <v>37</v>
          </cell>
          <cell r="I14">
            <v>37.299999999999997</v>
          </cell>
          <cell r="J14">
            <v>37.4</v>
          </cell>
          <cell r="K14">
            <v>37.4</v>
          </cell>
          <cell r="L14">
            <v>37.5</v>
          </cell>
          <cell r="M14">
            <v>37.5</v>
          </cell>
          <cell r="N14">
            <v>36.86666666666666</v>
          </cell>
        </row>
        <row r="15">
          <cell r="A15">
            <v>1972</v>
          </cell>
          <cell r="B15">
            <v>37.6</v>
          </cell>
          <cell r="C15">
            <v>37.700000000000003</v>
          </cell>
          <cell r="D15">
            <v>37.700000000000003</v>
          </cell>
          <cell r="E15">
            <v>37.799999999999997</v>
          </cell>
          <cell r="F15">
            <v>37.9</v>
          </cell>
          <cell r="G15">
            <v>38</v>
          </cell>
          <cell r="H15">
            <v>38.1</v>
          </cell>
          <cell r="I15">
            <v>38.1</v>
          </cell>
          <cell r="J15">
            <v>38.200000000000003</v>
          </cell>
          <cell r="K15">
            <v>38.200000000000003</v>
          </cell>
          <cell r="L15">
            <v>38.299999999999997</v>
          </cell>
          <cell r="M15">
            <v>38.5</v>
          </cell>
          <cell r="N15">
            <v>38.008333333333333</v>
          </cell>
        </row>
        <row r="16">
          <cell r="A16">
            <v>1973</v>
          </cell>
          <cell r="B16">
            <v>38.5</v>
          </cell>
          <cell r="C16">
            <v>38.700000000000003</v>
          </cell>
          <cell r="D16">
            <v>38.799999999999997</v>
          </cell>
          <cell r="E16">
            <v>38.9</v>
          </cell>
          <cell r="F16">
            <v>39.1</v>
          </cell>
          <cell r="G16">
            <v>39.200000000000003</v>
          </cell>
          <cell r="H16">
            <v>39.299999999999997</v>
          </cell>
          <cell r="I16">
            <v>39.4</v>
          </cell>
          <cell r="J16">
            <v>39.700000000000003</v>
          </cell>
          <cell r="K16">
            <v>39.700000000000003</v>
          </cell>
          <cell r="L16">
            <v>39.799999999999997</v>
          </cell>
          <cell r="M16">
            <v>40</v>
          </cell>
          <cell r="N16">
            <v>39.258333333333333</v>
          </cell>
        </row>
        <row r="17">
          <cell r="A17">
            <v>1974</v>
          </cell>
          <cell r="B17">
            <v>40.1</v>
          </cell>
          <cell r="C17">
            <v>40.5</v>
          </cell>
          <cell r="D17">
            <v>41.2</v>
          </cell>
          <cell r="E17">
            <v>41.4</v>
          </cell>
          <cell r="F17">
            <v>42</v>
          </cell>
          <cell r="G17">
            <v>42.7</v>
          </cell>
          <cell r="H17">
            <v>43.3</v>
          </cell>
          <cell r="I17">
            <v>43.8</v>
          </cell>
          <cell r="J17">
            <v>44.3</v>
          </cell>
          <cell r="K17">
            <v>44.7</v>
          </cell>
          <cell r="L17">
            <v>44.9</v>
          </cell>
          <cell r="M17">
            <v>45.3</v>
          </cell>
          <cell r="N17">
            <v>42.849999999999994</v>
          </cell>
        </row>
        <row r="18">
          <cell r="A18">
            <v>1975</v>
          </cell>
          <cell r="B18">
            <v>45.7</v>
          </cell>
          <cell r="C18">
            <v>46.3</v>
          </cell>
          <cell r="D18">
            <v>46.9</v>
          </cell>
          <cell r="E18">
            <v>47.2</v>
          </cell>
          <cell r="F18">
            <v>47.5</v>
          </cell>
          <cell r="G18">
            <v>47.9</v>
          </cell>
          <cell r="H18">
            <v>48.2</v>
          </cell>
          <cell r="I18">
            <v>48.6</v>
          </cell>
          <cell r="J18">
            <v>49.1</v>
          </cell>
          <cell r="K18">
            <v>49.5</v>
          </cell>
          <cell r="L18">
            <v>50</v>
          </cell>
          <cell r="M18">
            <v>50.6</v>
          </cell>
          <cell r="N18">
            <v>48.125000000000007</v>
          </cell>
        </row>
        <row r="19">
          <cell r="A19">
            <v>1976</v>
          </cell>
          <cell r="B19">
            <v>51</v>
          </cell>
          <cell r="C19">
            <v>51.7</v>
          </cell>
          <cell r="D19">
            <v>52.3</v>
          </cell>
          <cell r="E19">
            <v>52.7</v>
          </cell>
          <cell r="F19">
            <v>53.1</v>
          </cell>
          <cell r="G19">
            <v>53.5</v>
          </cell>
          <cell r="H19">
            <v>53.8</v>
          </cell>
          <cell r="I19">
            <v>54.1</v>
          </cell>
          <cell r="J19">
            <v>54.6</v>
          </cell>
          <cell r="K19">
            <v>54.8</v>
          </cell>
          <cell r="L19">
            <v>55.4</v>
          </cell>
          <cell r="M19">
            <v>55.6</v>
          </cell>
          <cell r="N19">
            <v>53.550000000000004</v>
          </cell>
        </row>
        <row r="20">
          <cell r="A20">
            <v>1977</v>
          </cell>
          <cell r="B20">
            <v>56</v>
          </cell>
          <cell r="C20">
            <v>56.5</v>
          </cell>
          <cell r="D20">
            <v>57.2</v>
          </cell>
          <cell r="E20">
            <v>57.7</v>
          </cell>
          <cell r="F20">
            <v>58</v>
          </cell>
          <cell r="G20">
            <v>58.4</v>
          </cell>
          <cell r="H20">
            <v>58.8</v>
          </cell>
          <cell r="I20">
            <v>59.2</v>
          </cell>
          <cell r="J20">
            <v>59.6</v>
          </cell>
          <cell r="K20">
            <v>59.8</v>
          </cell>
          <cell r="L20">
            <v>60.2</v>
          </cell>
          <cell r="M20">
            <v>60.6</v>
          </cell>
          <cell r="N20">
            <v>58.5</v>
          </cell>
        </row>
        <row r="21">
          <cell r="A21">
            <v>1978</v>
          </cell>
          <cell r="B21">
            <v>61.2</v>
          </cell>
          <cell r="C21">
            <v>61.7</v>
          </cell>
          <cell r="D21">
            <v>62</v>
          </cell>
          <cell r="E21">
            <v>62.4</v>
          </cell>
          <cell r="F21">
            <v>62.7</v>
          </cell>
          <cell r="G21">
            <v>63</v>
          </cell>
          <cell r="H21">
            <v>63.4</v>
          </cell>
          <cell r="I21">
            <v>63.9</v>
          </cell>
          <cell r="J21">
            <v>64.400000000000006</v>
          </cell>
          <cell r="K21">
            <v>64.8</v>
          </cell>
          <cell r="L21">
            <v>65.3</v>
          </cell>
          <cell r="M21">
            <v>65.599999999999994</v>
          </cell>
          <cell r="N21">
            <v>63.366666666666653</v>
          </cell>
        </row>
        <row r="22">
          <cell r="A22">
            <v>1979</v>
          </cell>
          <cell r="B22">
            <v>66.599999999999994</v>
          </cell>
          <cell r="C22">
            <v>67.099999999999994</v>
          </cell>
          <cell r="D22">
            <v>67.5</v>
          </cell>
          <cell r="E22">
            <v>67.900000000000006</v>
          </cell>
          <cell r="F22">
            <v>68.400000000000006</v>
          </cell>
          <cell r="G22">
            <v>68.7</v>
          </cell>
          <cell r="H22">
            <v>69.5</v>
          </cell>
          <cell r="I22">
            <v>70</v>
          </cell>
          <cell r="J22">
            <v>70.599999999999994</v>
          </cell>
          <cell r="K22">
            <v>70.900000000000006</v>
          </cell>
          <cell r="L22">
            <v>71.2</v>
          </cell>
          <cell r="M22">
            <v>71.7</v>
          </cell>
          <cell r="N22">
            <v>69.175000000000011</v>
          </cell>
        </row>
        <row r="23">
          <cell r="A23">
            <v>1980</v>
          </cell>
          <cell r="B23">
            <v>72.7</v>
          </cell>
          <cell r="C23">
            <v>73.900000000000006</v>
          </cell>
          <cell r="D23">
            <v>74.5</v>
          </cell>
          <cell r="E23">
            <v>75.2</v>
          </cell>
          <cell r="F23">
            <v>76</v>
          </cell>
          <cell r="G23">
            <v>76.5</v>
          </cell>
          <cell r="H23">
            <v>76.900000000000006</v>
          </cell>
          <cell r="I23">
            <v>77.3</v>
          </cell>
          <cell r="J23">
            <v>77.900000000000006</v>
          </cell>
          <cell r="K23">
            <v>78.400000000000006</v>
          </cell>
          <cell r="L23">
            <v>79</v>
          </cell>
          <cell r="M23">
            <v>79.599999999999994</v>
          </cell>
          <cell r="N23">
            <v>76.49166666666666</v>
          </cell>
        </row>
        <row r="24">
          <cell r="A24">
            <v>1981</v>
          </cell>
          <cell r="B24">
            <v>80.599999999999994</v>
          </cell>
          <cell r="C24">
            <v>81.7</v>
          </cell>
          <cell r="D24">
            <v>82.5</v>
          </cell>
          <cell r="E24">
            <v>83</v>
          </cell>
          <cell r="F24">
            <v>83.9</v>
          </cell>
          <cell r="G24">
            <v>84.5</v>
          </cell>
          <cell r="H24">
            <v>85.4</v>
          </cell>
          <cell r="I24">
            <v>86</v>
          </cell>
          <cell r="J24">
            <v>86.6</v>
          </cell>
          <cell r="K24">
            <v>87.5</v>
          </cell>
          <cell r="L24">
            <v>88.4</v>
          </cell>
          <cell r="M24">
            <v>88.9</v>
          </cell>
          <cell r="N24">
            <v>84.916666666666671</v>
          </cell>
        </row>
        <row r="25">
          <cell r="A25">
            <v>1982</v>
          </cell>
          <cell r="B25">
            <v>89.6</v>
          </cell>
          <cell r="C25">
            <v>90.5</v>
          </cell>
          <cell r="D25">
            <v>91</v>
          </cell>
          <cell r="E25">
            <v>91.5</v>
          </cell>
          <cell r="F25">
            <v>92</v>
          </cell>
          <cell r="G25">
            <v>92.7</v>
          </cell>
          <cell r="H25">
            <v>93.4</v>
          </cell>
          <cell r="I25">
            <v>93.8</v>
          </cell>
          <cell r="J25">
            <v>94.4</v>
          </cell>
          <cell r="K25">
            <v>94.9</v>
          </cell>
          <cell r="L25">
            <v>95.2</v>
          </cell>
          <cell r="M25">
            <v>95.6</v>
          </cell>
          <cell r="N25">
            <v>92.883333333333326</v>
          </cell>
        </row>
        <row r="26">
          <cell r="A26">
            <v>1983</v>
          </cell>
          <cell r="B26">
            <v>96.9</v>
          </cell>
          <cell r="C26">
            <v>97.9</v>
          </cell>
          <cell r="D26">
            <v>98.4</v>
          </cell>
          <cell r="E26">
            <v>98.9</v>
          </cell>
          <cell r="F26">
            <v>99.2</v>
          </cell>
          <cell r="G26">
            <v>99.9</v>
          </cell>
          <cell r="H26">
            <v>100.5</v>
          </cell>
          <cell r="I26">
            <v>100.8</v>
          </cell>
          <cell r="J26">
            <v>101.3</v>
          </cell>
          <cell r="K26">
            <v>101.8</v>
          </cell>
          <cell r="L26">
            <v>102.4</v>
          </cell>
          <cell r="M26">
            <v>102.8</v>
          </cell>
          <cell r="N26">
            <v>100.06666666666666</v>
          </cell>
        </row>
        <row r="27">
          <cell r="A27">
            <v>1984</v>
          </cell>
          <cell r="B27">
            <v>104</v>
          </cell>
          <cell r="C27">
            <v>105.2</v>
          </cell>
          <cell r="D27">
            <v>105.7</v>
          </cell>
          <cell r="E27">
            <v>106.1</v>
          </cell>
          <cell r="F27">
            <v>106.6</v>
          </cell>
          <cell r="G27">
            <v>107.1</v>
          </cell>
          <cell r="H27">
            <v>107.4</v>
          </cell>
          <cell r="I27">
            <v>107.8</v>
          </cell>
          <cell r="J27">
            <v>108.2</v>
          </cell>
          <cell r="K27">
            <v>108.6</v>
          </cell>
          <cell r="L27">
            <v>108.8</v>
          </cell>
          <cell r="M27">
            <v>109</v>
          </cell>
          <cell r="N27">
            <v>107.04166666666667</v>
          </cell>
        </row>
        <row r="28">
          <cell r="A28">
            <v>1985</v>
          </cell>
          <cell r="B28">
            <v>109.7</v>
          </cell>
          <cell r="C28">
            <v>110.7</v>
          </cell>
          <cell r="D28">
            <v>111.5</v>
          </cell>
          <cell r="E28">
            <v>111.9</v>
          </cell>
          <cell r="F28">
            <v>112.4</v>
          </cell>
          <cell r="G28">
            <v>113</v>
          </cell>
          <cell r="H28">
            <v>113.7</v>
          </cell>
          <cell r="I28">
            <v>114.2</v>
          </cell>
          <cell r="J28">
            <v>114.7</v>
          </cell>
          <cell r="K28">
            <v>115.2</v>
          </cell>
          <cell r="L28">
            <v>115.9</v>
          </cell>
          <cell r="M28">
            <v>116.5</v>
          </cell>
          <cell r="N28">
            <v>113.28333333333335</v>
          </cell>
        </row>
        <row r="29">
          <cell r="A29">
            <v>1986</v>
          </cell>
          <cell r="B29">
            <v>117.1</v>
          </cell>
          <cell r="C29">
            <v>118.1</v>
          </cell>
          <cell r="D29">
            <v>119.3</v>
          </cell>
          <cell r="E29">
            <v>119.9</v>
          </cell>
          <cell r="F29">
            <v>120.5</v>
          </cell>
          <cell r="G29">
            <v>121.1</v>
          </cell>
          <cell r="H29">
            <v>121.7</v>
          </cell>
          <cell r="I29">
            <v>122.3</v>
          </cell>
          <cell r="J29">
            <v>123.3</v>
          </cell>
          <cell r="K29">
            <v>123.9</v>
          </cell>
          <cell r="L29">
            <v>124.9</v>
          </cell>
          <cell r="M29">
            <v>125.5</v>
          </cell>
          <cell r="N29">
            <v>121.46666666666668</v>
          </cell>
        </row>
        <row r="30">
          <cell r="A30">
            <v>1987</v>
          </cell>
          <cell r="B30">
            <v>126.6</v>
          </cell>
          <cell r="C30">
            <v>127.3</v>
          </cell>
          <cell r="D30">
            <v>128.1</v>
          </cell>
          <cell r="E30">
            <v>128.9</v>
          </cell>
          <cell r="F30">
            <v>129.30000000000001</v>
          </cell>
          <cell r="G30">
            <v>130.4</v>
          </cell>
          <cell r="H30">
            <v>131</v>
          </cell>
          <cell r="I30">
            <v>131.5</v>
          </cell>
          <cell r="J30">
            <v>132.5</v>
          </cell>
          <cell r="K30">
            <v>132.80000000000001</v>
          </cell>
          <cell r="L30">
            <v>133.19999999999999</v>
          </cell>
          <cell r="M30">
            <v>133.4</v>
          </cell>
          <cell r="N30">
            <v>130.41666666666666</v>
          </cell>
        </row>
        <row r="31">
          <cell r="A31">
            <v>1988</v>
          </cell>
          <cell r="B31">
            <v>135</v>
          </cell>
          <cell r="C31">
            <v>136.6</v>
          </cell>
          <cell r="D31">
            <v>137.19999999999999</v>
          </cell>
          <cell r="E31">
            <v>137.9</v>
          </cell>
          <cell r="F31">
            <v>138.5</v>
          </cell>
          <cell r="G31">
            <v>139.80000000000001</v>
          </cell>
          <cell r="H31">
            <v>140.9</v>
          </cell>
          <cell r="I31">
            <v>141.19999999999999</v>
          </cell>
          <cell r="J31">
            <v>141.69999999999999</v>
          </cell>
          <cell r="K31">
            <v>142.30000000000001</v>
          </cell>
          <cell r="L31">
            <v>142.9</v>
          </cell>
          <cell r="M31">
            <v>143.4</v>
          </cell>
          <cell r="N31">
            <v>139.78333333333333</v>
          </cell>
        </row>
        <row r="32">
          <cell r="A32">
            <v>1989</v>
          </cell>
          <cell r="B32">
            <v>145.30000000000001</v>
          </cell>
          <cell r="C32">
            <v>147</v>
          </cell>
          <cell r="D32">
            <v>148</v>
          </cell>
          <cell r="E32">
            <v>148.4</v>
          </cell>
          <cell r="F32">
            <v>148.69999999999999</v>
          </cell>
          <cell r="G32">
            <v>149.6</v>
          </cell>
          <cell r="H32">
            <v>150.80000000000001</v>
          </cell>
          <cell r="I32">
            <v>151.4</v>
          </cell>
          <cell r="J32">
            <v>151.9</v>
          </cell>
          <cell r="K32">
            <v>152.6</v>
          </cell>
          <cell r="L32">
            <v>153.19999999999999</v>
          </cell>
          <cell r="M32">
            <v>153.69999999999999</v>
          </cell>
          <cell r="N32">
            <v>150.05000000000004</v>
          </cell>
        </row>
        <row r="33">
          <cell r="A33">
            <v>1990</v>
          </cell>
          <cell r="B33">
            <v>155.1</v>
          </cell>
          <cell r="C33">
            <v>156.6</v>
          </cell>
          <cell r="D33">
            <v>157.69999999999999</v>
          </cell>
          <cell r="E33">
            <v>158.80000000000001</v>
          </cell>
          <cell r="F33">
            <v>160</v>
          </cell>
          <cell r="G33">
            <v>160.6</v>
          </cell>
          <cell r="H33">
            <v>161.9</v>
          </cell>
          <cell r="I33">
            <v>162.69999999999999</v>
          </cell>
          <cell r="J33">
            <v>163.1</v>
          </cell>
          <cell r="K33">
            <v>164</v>
          </cell>
          <cell r="L33">
            <v>164.5</v>
          </cell>
          <cell r="M33">
            <v>165.1</v>
          </cell>
          <cell r="N33">
            <v>160.84166666666667</v>
          </cell>
        </row>
        <row r="34">
          <cell r="A34">
            <v>1991</v>
          </cell>
          <cell r="B34">
            <v>166.4</v>
          </cell>
          <cell r="C34">
            <v>167.3</v>
          </cell>
          <cell r="D34">
            <v>168.5</v>
          </cell>
          <cell r="E34">
            <v>168.8</v>
          </cell>
          <cell r="F34">
            <v>169.2</v>
          </cell>
          <cell r="G34">
            <v>169.9</v>
          </cell>
          <cell r="H34">
            <v>170.7</v>
          </cell>
          <cell r="I34">
            <v>171.6</v>
          </cell>
          <cell r="J34">
            <v>172.4</v>
          </cell>
          <cell r="K34">
            <v>173.1</v>
          </cell>
          <cell r="L34">
            <v>173.4</v>
          </cell>
          <cell r="M34">
            <v>174.2</v>
          </cell>
          <cell r="N34">
            <v>170.45833333333334</v>
          </cell>
        </row>
        <row r="35">
          <cell r="A35">
            <v>1992</v>
          </cell>
          <cell r="B35">
            <v>175.4</v>
          </cell>
          <cell r="C35">
            <v>177.5</v>
          </cell>
          <cell r="D35">
            <v>178.8</v>
          </cell>
          <cell r="E35">
            <v>179.4</v>
          </cell>
          <cell r="F35">
            <v>180.3</v>
          </cell>
          <cell r="G35">
            <v>181.1</v>
          </cell>
          <cell r="H35">
            <v>181.8</v>
          </cell>
          <cell r="I35">
            <v>182.7</v>
          </cell>
          <cell r="J35">
            <v>183.2</v>
          </cell>
          <cell r="K35">
            <v>184</v>
          </cell>
          <cell r="L35">
            <v>184.6</v>
          </cell>
          <cell r="M35">
            <v>185.1</v>
          </cell>
          <cell r="N35">
            <v>181.15833333333333</v>
          </cell>
        </row>
        <row r="36">
          <cell r="A36">
            <v>1993</v>
          </cell>
          <cell r="B36">
            <v>186.6</v>
          </cell>
          <cell r="C36">
            <v>187.9</v>
          </cell>
          <cell r="D36">
            <v>188.6</v>
          </cell>
          <cell r="E36">
            <v>189</v>
          </cell>
          <cell r="F36">
            <v>191</v>
          </cell>
          <cell r="G36">
            <v>191.6</v>
          </cell>
          <cell r="H36">
            <v>192.2</v>
          </cell>
          <cell r="I36">
            <v>192.8</v>
          </cell>
          <cell r="J36">
            <v>193.2</v>
          </cell>
          <cell r="K36">
            <v>193.9</v>
          </cell>
          <cell r="L36">
            <v>194.1</v>
          </cell>
          <cell r="M36">
            <v>194.5</v>
          </cell>
          <cell r="N36">
            <v>191.28333333333333</v>
          </cell>
        </row>
        <row r="37">
          <cell r="A37">
            <v>1994</v>
          </cell>
          <cell r="B37">
            <v>195.5</v>
          </cell>
          <cell r="C37">
            <v>196.9</v>
          </cell>
          <cell r="D37">
            <v>197.7</v>
          </cell>
          <cell r="E37">
            <v>198.6</v>
          </cell>
          <cell r="F37">
            <v>199.1</v>
          </cell>
          <cell r="G37">
            <v>199.8</v>
          </cell>
          <cell r="H37">
            <v>200.4</v>
          </cell>
          <cell r="I37">
            <v>200.7</v>
          </cell>
          <cell r="J37">
            <v>201.1</v>
          </cell>
          <cell r="K37">
            <v>201.9</v>
          </cell>
          <cell r="L37">
            <v>202.3</v>
          </cell>
          <cell r="M37">
            <v>203.1</v>
          </cell>
          <cell r="N37">
            <v>199.75833333333333</v>
          </cell>
        </row>
        <row r="38">
          <cell r="A38">
            <v>1995</v>
          </cell>
          <cell r="B38">
            <v>204</v>
          </cell>
          <cell r="C38">
            <v>206.1</v>
          </cell>
          <cell r="D38">
            <v>206.7</v>
          </cell>
          <cell r="E38">
            <v>207.4</v>
          </cell>
          <cell r="F38">
            <v>208.3</v>
          </cell>
          <cell r="G38">
            <v>208.7</v>
          </cell>
          <cell r="H38">
            <v>209.8</v>
          </cell>
          <cell r="I38">
            <v>210.1</v>
          </cell>
          <cell r="J38">
            <v>210.3</v>
          </cell>
          <cell r="K38">
            <v>210.9</v>
          </cell>
          <cell r="L38">
            <v>211.5</v>
          </cell>
          <cell r="M38">
            <v>212.1</v>
          </cell>
          <cell r="N38">
            <v>208.82499999999996</v>
          </cell>
        </row>
        <row r="39">
          <cell r="A39">
            <v>1996</v>
          </cell>
          <cell r="B39">
            <v>213.4</v>
          </cell>
          <cell r="C39">
            <v>214.5</v>
          </cell>
          <cell r="D39">
            <v>215</v>
          </cell>
          <cell r="E39">
            <v>215.4</v>
          </cell>
          <cell r="F39">
            <v>215.9</v>
          </cell>
          <cell r="G39">
            <v>216</v>
          </cell>
          <cell r="H39">
            <v>217</v>
          </cell>
          <cell r="I39">
            <v>217</v>
          </cell>
          <cell r="J39">
            <v>217.3</v>
          </cell>
          <cell r="K39">
            <v>217.9</v>
          </cell>
          <cell r="L39">
            <v>218.6</v>
          </cell>
          <cell r="M39">
            <v>218.5</v>
          </cell>
          <cell r="N39">
            <v>216.375</v>
          </cell>
        </row>
        <row r="40">
          <cell r="A40">
            <v>1997</v>
          </cell>
          <cell r="B40">
            <v>219.8</v>
          </cell>
          <cell r="C40">
            <v>220.7</v>
          </cell>
          <cell r="D40">
            <v>221.9</v>
          </cell>
          <cell r="E40">
            <v>222.3</v>
          </cell>
          <cell r="F40">
            <v>222.9</v>
          </cell>
          <cell r="G40">
            <v>223.2</v>
          </cell>
          <cell r="H40">
            <v>223.5</v>
          </cell>
          <cell r="I40">
            <v>223.8</v>
          </cell>
          <cell r="J40">
            <v>223.8</v>
          </cell>
          <cell r="K40">
            <v>223.9</v>
          </cell>
          <cell r="L40">
            <v>224.1</v>
          </cell>
          <cell r="M40">
            <v>224.5</v>
          </cell>
          <cell r="N40">
            <v>222.86666666666667</v>
          </cell>
        </row>
        <row r="41">
          <cell r="A41">
            <v>1998</v>
          </cell>
          <cell r="B41">
            <v>225.3</v>
          </cell>
          <cell r="C41">
            <v>226.9</v>
          </cell>
          <cell r="D41">
            <v>227.6</v>
          </cell>
          <cell r="E41">
            <v>228.1</v>
          </cell>
          <cell r="F41">
            <v>228.6</v>
          </cell>
          <cell r="G41">
            <v>229.8</v>
          </cell>
          <cell r="H41">
            <v>230.1</v>
          </cell>
          <cell r="I41">
            <v>230.9</v>
          </cell>
          <cell r="J41">
            <v>231.4</v>
          </cell>
          <cell r="K41">
            <v>231.4</v>
          </cell>
          <cell r="L41">
            <v>231.7</v>
          </cell>
          <cell r="M41">
            <v>231.9</v>
          </cell>
          <cell r="N41">
            <v>229.47499999999999</v>
          </cell>
        </row>
        <row r="42">
          <cell r="A42">
            <v>1999</v>
          </cell>
          <cell r="B42">
            <v>232.9</v>
          </cell>
          <cell r="C42">
            <v>233.9</v>
          </cell>
          <cell r="D42">
            <v>234.4</v>
          </cell>
          <cell r="E42">
            <v>235.3</v>
          </cell>
          <cell r="F42">
            <v>235.2</v>
          </cell>
          <cell r="G42">
            <v>236.1</v>
          </cell>
          <cell r="H42">
            <v>236.9</v>
          </cell>
          <cell r="I42">
            <v>237</v>
          </cell>
          <cell r="J42">
            <v>237.1</v>
          </cell>
          <cell r="K42">
            <v>237.7</v>
          </cell>
          <cell r="L42">
            <v>237.9</v>
          </cell>
          <cell r="M42">
            <v>237.9</v>
          </cell>
          <cell r="N42">
            <v>236.02500000000001</v>
          </cell>
        </row>
        <row r="43">
          <cell r="A43">
            <v>2000</v>
          </cell>
          <cell r="B43">
            <v>239.6</v>
          </cell>
          <cell r="C43">
            <v>241.8</v>
          </cell>
          <cell r="D43">
            <v>243.4</v>
          </cell>
          <cell r="E43">
            <v>244</v>
          </cell>
          <cell r="F43">
            <v>244.1</v>
          </cell>
          <cell r="G43">
            <v>245.2</v>
          </cell>
          <cell r="H43">
            <v>245.4</v>
          </cell>
          <cell r="I43">
            <v>245.8</v>
          </cell>
          <cell r="J43">
            <v>246.3</v>
          </cell>
          <cell r="K43">
            <v>246.6</v>
          </cell>
          <cell r="L43">
            <v>246.5</v>
          </cell>
          <cell r="M43">
            <v>247.1</v>
          </cell>
          <cell r="N43">
            <v>244.64999999999998</v>
          </cell>
        </row>
        <row r="44">
          <cell r="A44">
            <v>2001</v>
          </cell>
          <cell r="B44">
            <v>250.1</v>
          </cell>
          <cell r="C44">
            <v>251.5</v>
          </cell>
          <cell r="D44">
            <v>251.8</v>
          </cell>
          <cell r="E44">
            <v>252.8</v>
          </cell>
          <cell r="F44">
            <v>252.8</v>
          </cell>
          <cell r="G44">
            <v>253.6</v>
          </cell>
          <cell r="H44">
            <v>253.5</v>
          </cell>
          <cell r="I44">
            <v>255</v>
          </cell>
          <cell r="J44">
            <v>255.1</v>
          </cell>
          <cell r="K44">
            <v>255.8</v>
          </cell>
          <cell r="L44">
            <v>255.9</v>
          </cell>
          <cell r="M44">
            <v>255.8</v>
          </cell>
          <cell r="N44">
            <v>253.64166666666668</v>
          </cell>
        </row>
        <row r="45">
          <cell r="A45">
            <v>2002</v>
          </cell>
          <cell r="B45">
            <v>258.10000000000002</v>
          </cell>
          <cell r="C45">
            <v>258.10000000000002</v>
          </cell>
          <cell r="D45">
            <v>258.3</v>
          </cell>
          <cell r="E45">
            <v>258.2</v>
          </cell>
          <cell r="F45">
            <v>258.7</v>
          </cell>
          <cell r="G45">
            <v>259.2</v>
          </cell>
          <cell r="H45">
            <v>262</v>
          </cell>
          <cell r="I45">
            <v>262</v>
          </cell>
          <cell r="J45">
            <v>261.7</v>
          </cell>
          <cell r="K45">
            <v>263.2</v>
          </cell>
          <cell r="L45">
            <v>263.89999999999998</v>
          </cell>
          <cell r="M45">
            <v>264.10000000000002</v>
          </cell>
          <cell r="N45">
            <v>260.625</v>
          </cell>
        </row>
        <row r="46">
          <cell r="A46">
            <v>2003</v>
          </cell>
          <cell r="B46">
            <v>265</v>
          </cell>
          <cell r="C46">
            <v>266</v>
          </cell>
          <cell r="D46">
            <v>266</v>
          </cell>
          <cell r="E46">
            <v>266.7</v>
          </cell>
          <cell r="F46">
            <v>267.60000000000002</v>
          </cell>
          <cell r="G46">
            <v>267.3</v>
          </cell>
          <cell r="H46">
            <v>268.10000000000002</v>
          </cell>
          <cell r="I46">
            <v>268.2</v>
          </cell>
          <cell r="J46">
            <v>268.5</v>
          </cell>
          <cell r="K46">
            <v>269.2</v>
          </cell>
          <cell r="L46">
            <v>269.2</v>
          </cell>
          <cell r="M46">
            <v>270.10000000000002</v>
          </cell>
          <cell r="N46">
            <v>267.6583333333333</v>
          </cell>
        </row>
        <row r="47">
          <cell r="A47">
            <v>2004</v>
          </cell>
          <cell r="B47">
            <v>271.5</v>
          </cell>
          <cell r="C47">
            <v>275.10000000000002</v>
          </cell>
          <cell r="D47">
            <v>277.3</v>
          </cell>
          <cell r="E47">
            <v>277.8</v>
          </cell>
          <cell r="F47">
            <v>278.10000000000002</v>
          </cell>
          <cell r="G47">
            <v>278.3</v>
          </cell>
          <cell r="H47">
            <v>278.5</v>
          </cell>
          <cell r="I47">
            <v>280</v>
          </cell>
          <cell r="J47">
            <v>280.2</v>
          </cell>
          <cell r="K47">
            <v>280.7</v>
          </cell>
          <cell r="L47">
            <v>280.89999999999998</v>
          </cell>
          <cell r="M47">
            <v>280.8</v>
          </cell>
          <cell r="N47">
            <v>278.26666666666671</v>
          </cell>
        </row>
        <row r="48">
          <cell r="A48">
            <v>2005</v>
          </cell>
          <cell r="B48">
            <v>282</v>
          </cell>
          <cell r="C48">
            <v>285.2</v>
          </cell>
          <cell r="D48">
            <v>285.89999999999998</v>
          </cell>
          <cell r="E48">
            <v>286.89999999999998</v>
          </cell>
          <cell r="F48">
            <v>287.7</v>
          </cell>
          <cell r="G48">
            <v>287.8</v>
          </cell>
          <cell r="H48">
            <v>288.39999999999998</v>
          </cell>
          <cell r="I48">
            <v>288.60000000000002</v>
          </cell>
          <cell r="J48">
            <v>289</v>
          </cell>
          <cell r="K48">
            <v>289.2</v>
          </cell>
          <cell r="L48">
            <v>289.3</v>
          </cell>
          <cell r="M48">
            <v>289.5</v>
          </cell>
          <cell r="N48">
            <v>287.45833333333331</v>
          </cell>
        </row>
        <row r="49">
          <cell r="A49">
            <v>2006</v>
          </cell>
          <cell r="B49">
            <v>288.5</v>
          </cell>
          <cell r="C49">
            <v>289.8</v>
          </cell>
          <cell r="D49">
            <v>291.39999999999998</v>
          </cell>
          <cell r="E49">
            <v>291.39999999999998</v>
          </cell>
          <cell r="F49">
            <v>291.7</v>
          </cell>
          <cell r="G49">
            <v>291.7</v>
          </cell>
          <cell r="H49">
            <v>292.10000000000002</v>
          </cell>
          <cell r="I49">
            <v>292.5</v>
          </cell>
          <cell r="J49">
            <v>292.5</v>
          </cell>
          <cell r="K49">
            <v>293.2</v>
          </cell>
          <cell r="L49">
            <v>293.7</v>
          </cell>
          <cell r="M49">
            <v>294.3</v>
          </cell>
          <cell r="N49">
            <v>291.89999999999998</v>
          </cell>
        </row>
        <row r="50">
          <cell r="A50">
            <v>2007</v>
          </cell>
          <cell r="B50">
            <v>297.75099999999998</v>
          </cell>
          <cell r="C50">
            <v>301.56</v>
          </cell>
          <cell r="D50">
            <v>301.97399999999999</v>
          </cell>
          <cell r="E50">
            <v>302.06799999999998</v>
          </cell>
          <cell r="F50">
            <v>302.32</v>
          </cell>
          <cell r="G50">
            <v>302.64299999999997</v>
          </cell>
          <cell r="H50">
            <v>303.89</v>
          </cell>
          <cell r="I50">
            <v>304.45699999999999</v>
          </cell>
          <cell r="J50">
            <v>304.49799999999999</v>
          </cell>
          <cell r="K50">
            <v>305.74900000000002</v>
          </cell>
          <cell r="L50">
            <v>305.69099999999997</v>
          </cell>
          <cell r="M50">
            <v>306.30399999999997</v>
          </cell>
          <cell r="N50">
            <v>303.24208333333331</v>
          </cell>
        </row>
        <row r="51">
          <cell r="A51">
            <v>2008</v>
          </cell>
          <cell r="B51">
            <v>308.14499999999998</v>
          </cell>
          <cell r="C51">
            <v>307.774</v>
          </cell>
          <cell r="D51">
            <v>308.42399999999998</v>
          </cell>
          <cell r="E51">
            <v>308.488</v>
          </cell>
          <cell r="F51">
            <v>310.77600000000001</v>
          </cell>
          <cell r="G51">
            <v>311.03699999999998</v>
          </cell>
          <cell r="H51">
            <v>311.27</v>
          </cell>
          <cell r="I51">
            <v>312.78800000000001</v>
          </cell>
          <cell r="J51">
            <v>313.59199999999998</v>
          </cell>
          <cell r="K51">
            <v>314.041</v>
          </cell>
          <cell r="L51">
            <v>314.52999999999997</v>
          </cell>
          <cell r="M51">
            <v>315.233</v>
          </cell>
          <cell r="N51">
            <v>311.3415</v>
          </cell>
        </row>
        <row r="52">
          <cell r="A52">
            <v>2009</v>
          </cell>
          <cell r="B52">
            <v>316.74400000000003</v>
          </cell>
          <cell r="C52">
            <v>317.75799999999998</v>
          </cell>
          <cell r="D52">
            <v>318.87299999999999</v>
          </cell>
          <cell r="E52">
            <v>318.72199999999998</v>
          </cell>
          <cell r="F52">
            <v>320.95499999999998</v>
          </cell>
          <cell r="G52">
            <v>321.18099999999998</v>
          </cell>
          <cell r="H52">
            <v>321.89800000000002</v>
          </cell>
          <cell r="I52">
            <v>322.33999999999997</v>
          </cell>
          <cell r="J52">
            <v>322.58199999999999</v>
          </cell>
          <cell r="K52">
            <v>322.91199999999998</v>
          </cell>
          <cell r="L52">
            <v>322.88299999999998</v>
          </cell>
          <cell r="M52">
            <v>323.12400000000002</v>
          </cell>
          <cell r="N52">
            <v>320.83099999999996</v>
          </cell>
        </row>
        <row r="53">
          <cell r="A53">
            <v>2010</v>
          </cell>
          <cell r="B53">
            <v>327.17599999999999</v>
          </cell>
          <cell r="C53">
            <v>329.02800000000002</v>
          </cell>
          <cell r="D53">
            <v>329.08699999999999</v>
          </cell>
          <cell r="E53">
            <v>329.62299999999999</v>
          </cell>
          <cell r="F53">
            <v>329.72399999999999</v>
          </cell>
          <cell r="G53">
            <v>330.91500000000002</v>
          </cell>
          <cell r="H53">
            <v>332.47899999999998</v>
          </cell>
          <cell r="I53">
            <v>332.83600000000001</v>
          </cell>
          <cell r="J53">
            <v>333.71499999999997</v>
          </cell>
          <cell r="K53">
            <v>333.39400000000001</v>
          </cell>
          <cell r="L53">
            <v>333.86900000000003</v>
          </cell>
          <cell r="M53">
            <v>334.11200000000002</v>
          </cell>
          <cell r="N53">
            <v>331.32983333333334</v>
          </cell>
        </row>
        <row r="54">
          <cell r="A54">
            <v>2011</v>
          </cell>
          <cell r="B54">
            <v>335.625</v>
          </cell>
          <cell r="C54">
            <v>339.05399999999997</v>
          </cell>
          <cell r="D54">
            <v>339.53199999999998</v>
          </cell>
          <cell r="E54">
            <v>339.42700000000002</v>
          </cell>
          <cell r="F54">
            <v>339.53399999999999</v>
          </cell>
          <cell r="G54">
            <v>340.01100000000002</v>
          </cell>
          <cell r="H54">
            <v>340.58499999999998</v>
          </cell>
          <cell r="I54">
            <v>341.14100000000002</v>
          </cell>
          <cell r="J54">
            <v>341.041</v>
          </cell>
          <cell r="K54">
            <v>342.26600000000002</v>
          </cell>
          <cell r="L54">
            <v>342.435</v>
          </cell>
          <cell r="M54">
            <v>342.96600000000001</v>
          </cell>
          <cell r="N54">
            <v>340.30141666666668</v>
          </cell>
        </row>
        <row r="55">
          <cell r="A55">
            <v>2012</v>
          </cell>
          <cell r="B55">
            <v>343.65699999999998</v>
          </cell>
          <cell r="C55">
            <v>343.56400000000002</v>
          </cell>
          <cell r="D55">
            <v>343.86700000000002</v>
          </cell>
          <cell r="E55">
            <v>344.15100000000001</v>
          </cell>
          <cell r="F55">
            <v>345.11799999999999</v>
          </cell>
          <cell r="G55">
            <v>347.40800000000002</v>
          </cell>
          <cell r="H55">
            <v>348.82799999999997</v>
          </cell>
          <cell r="I55">
            <v>349.608</v>
          </cell>
          <cell r="J55">
            <v>350.86500000000001</v>
          </cell>
          <cell r="K55">
            <v>350.41500000000002</v>
          </cell>
          <cell r="L55">
            <v>350.27699999999999</v>
          </cell>
          <cell r="M55">
            <v>349.91</v>
          </cell>
          <cell r="N55">
            <v>347.30566666666664</v>
          </cell>
        </row>
        <row r="56">
          <cell r="A56">
            <v>2013</v>
          </cell>
          <cell r="B56">
            <v>351.25</v>
          </cell>
          <cell r="C56">
            <v>352.26600000000002</v>
          </cell>
          <cell r="D56">
            <v>352.57499999999999</v>
          </cell>
          <cell r="E56">
            <v>353.529</v>
          </cell>
          <cell r="F56">
            <v>353.37200000000001</v>
          </cell>
          <cell r="G56">
            <v>355.10500000000002</v>
          </cell>
          <cell r="H56">
            <v>354.77499999999998</v>
          </cell>
          <cell r="I56">
            <v>354.71199999999999</v>
          </cell>
          <cell r="J56">
            <v>354.96699999999998</v>
          </cell>
          <cell r="K56">
            <v>355.35399999999998</v>
          </cell>
          <cell r="L56">
            <v>355.55500000000001</v>
          </cell>
          <cell r="M56">
            <v>356.46899999999999</v>
          </cell>
          <cell r="N56">
            <v>354.16075000000001</v>
          </cell>
        </row>
        <row r="57">
          <cell r="A57">
            <v>2014</v>
          </cell>
          <cell r="B57">
            <v>356.79599999999999</v>
          </cell>
          <cell r="C57">
            <v>356.93900000000002</v>
          </cell>
          <cell r="D57">
            <v>357.46499999999997</v>
          </cell>
          <cell r="E57">
            <v>358.41500000000002</v>
          </cell>
          <cell r="F57">
            <v>359.54700000000003</v>
          </cell>
          <cell r="G57">
            <v>359.05599999999998</v>
          </cell>
          <cell r="H57">
            <v>358.58499999999998</v>
          </cell>
          <cell r="I57">
            <v>359.96699999999998</v>
          </cell>
          <cell r="J57">
            <v>359.87900000000002</v>
          </cell>
          <cell r="K57">
            <v>359.85500000000002</v>
          </cell>
          <cell r="L57">
            <v>361.00099999999998</v>
          </cell>
          <cell r="M57">
            <v>361.65899999999999</v>
          </cell>
          <cell r="N57">
            <v>359.09699999999998</v>
          </cell>
        </row>
        <row r="58">
          <cell r="A58">
            <v>2015</v>
          </cell>
          <cell r="B58">
            <v>362.74</v>
          </cell>
          <cell r="C58">
            <v>361.24200000000002</v>
          </cell>
          <cell r="D58">
            <v>363.53100000000001</v>
          </cell>
          <cell r="E58">
            <v>365.14600000000002</v>
          </cell>
          <cell r="F58">
            <v>365.214</v>
          </cell>
          <cell r="G58">
            <v>366.541</v>
          </cell>
          <cell r="H58">
            <v>367.45</v>
          </cell>
          <cell r="I58">
            <v>366.36500000000001</v>
          </cell>
          <cell r="J58">
            <v>367.17599999999999</v>
          </cell>
          <cell r="K58">
            <v>366.65199999999999</v>
          </cell>
          <cell r="L58">
            <v>370.59899999999999</v>
          </cell>
          <cell r="M58">
            <v>370.32400000000001</v>
          </cell>
          <cell r="N58">
            <v>366.08166666666665</v>
          </cell>
        </row>
        <row r="59">
          <cell r="A59">
            <v>2016</v>
          </cell>
          <cell r="B59">
            <v>370.911</v>
          </cell>
          <cell r="C59">
            <v>372.09100000000001</v>
          </cell>
          <cell r="D59">
            <v>372.67200000000003</v>
          </cell>
          <cell r="E59">
            <v>372.96100000000001</v>
          </cell>
          <cell r="F59">
            <v>376.26299999999998</v>
          </cell>
          <cell r="G59">
            <v>377.678</v>
          </cell>
          <cell r="H59">
            <v>380.08300000000003</v>
          </cell>
          <cell r="I59">
            <v>382.15600000000001</v>
          </cell>
          <cell r="J59">
            <v>382.13400000000001</v>
          </cell>
          <cell r="K59">
            <v>381.40600000000001</v>
          </cell>
          <cell r="L59">
            <v>384.11</v>
          </cell>
          <cell r="M59">
            <v>384.51900000000001</v>
          </cell>
          <cell r="N59">
            <v>378.08200000000005</v>
          </cell>
        </row>
        <row r="60">
          <cell r="A60">
            <v>2017</v>
          </cell>
          <cell r="B60">
            <v>384.88200000000001</v>
          </cell>
          <cell r="C60">
            <v>385.35300000000001</v>
          </cell>
          <cell r="D60">
            <v>383.96499999999997</v>
          </cell>
          <cell r="E60">
            <v>379.88600000000002</v>
          </cell>
          <cell r="F60">
            <v>379.20699999999999</v>
          </cell>
          <cell r="G60">
            <v>377.74700000000001</v>
          </cell>
          <cell r="H60">
            <v>377.98899999999998</v>
          </cell>
          <cell r="I60">
            <v>378.99</v>
          </cell>
          <cell r="J60">
            <v>379.16899999999998</v>
          </cell>
          <cell r="K60">
            <v>379.072</v>
          </cell>
          <cell r="L60">
            <v>377.03699999999998</v>
          </cell>
          <cell r="M60">
            <v>377.73399999999998</v>
          </cell>
          <cell r="N60">
            <v>380.08591666666672</v>
          </cell>
        </row>
        <row r="61">
          <cell r="A61">
            <v>2018</v>
          </cell>
          <cell r="B61">
            <v>379.077</v>
          </cell>
          <cell r="C61">
            <v>380.47</v>
          </cell>
          <cell r="D61">
            <v>380.76600000000002</v>
          </cell>
          <cell r="E61">
            <v>381.07600000000002</v>
          </cell>
          <cell r="F61">
            <v>381.30900000000003</v>
          </cell>
          <cell r="N61">
            <v>380.53960000000001</v>
          </cell>
        </row>
      </sheetData>
      <sheetData sheetId="2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1967</v>
          </cell>
          <cell r="B2">
            <v>45.1</v>
          </cell>
          <cell r="C2">
            <v>45.1</v>
          </cell>
          <cell r="D2">
            <v>44.9</v>
          </cell>
          <cell r="E2">
            <v>44.8</v>
          </cell>
          <cell r="F2">
            <v>44.8</v>
          </cell>
          <cell r="G2">
            <v>44.7</v>
          </cell>
          <cell r="H2">
            <v>44.8</v>
          </cell>
          <cell r="I2">
            <v>44.9</v>
          </cell>
          <cell r="J2">
            <v>44.9</v>
          </cell>
          <cell r="K2">
            <v>44.9</v>
          </cell>
          <cell r="L2">
            <v>44.9</v>
          </cell>
          <cell r="M2">
            <v>45</v>
          </cell>
          <cell r="N2">
            <v>44.9</v>
          </cell>
        </row>
        <row r="3">
          <cell r="A3">
            <v>1968</v>
          </cell>
          <cell r="B3">
            <v>45</v>
          </cell>
          <cell r="C3">
            <v>45</v>
          </cell>
          <cell r="D3">
            <v>45</v>
          </cell>
          <cell r="E3">
            <v>45</v>
          </cell>
          <cell r="F3">
            <v>44.9</v>
          </cell>
          <cell r="G3">
            <v>44.9</v>
          </cell>
          <cell r="H3">
            <v>44.9</v>
          </cell>
          <cell r="I3">
            <v>44.9</v>
          </cell>
          <cell r="J3">
            <v>45</v>
          </cell>
          <cell r="K3">
            <v>45.1</v>
          </cell>
          <cell r="L3">
            <v>45.1</v>
          </cell>
          <cell r="M3">
            <v>45.2</v>
          </cell>
          <cell r="N3">
            <v>45</v>
          </cell>
        </row>
        <row r="4">
          <cell r="A4">
            <v>1969</v>
          </cell>
          <cell r="B4">
            <v>45.2</v>
          </cell>
          <cell r="C4">
            <v>45.2</v>
          </cell>
          <cell r="D4">
            <v>45.3</v>
          </cell>
          <cell r="E4">
            <v>45.3</v>
          </cell>
          <cell r="F4">
            <v>45.4</v>
          </cell>
          <cell r="G4">
            <v>45.4</v>
          </cell>
          <cell r="H4">
            <v>45.4</v>
          </cell>
          <cell r="I4">
            <v>45.4</v>
          </cell>
          <cell r="J4">
            <v>45.5</v>
          </cell>
          <cell r="K4">
            <v>45.5</v>
          </cell>
          <cell r="L4">
            <v>45.6</v>
          </cell>
          <cell r="M4">
            <v>45.7</v>
          </cell>
          <cell r="N4">
            <v>45.408333333333331</v>
          </cell>
        </row>
        <row r="5">
          <cell r="A5">
            <v>1970</v>
          </cell>
          <cell r="B5">
            <v>45.8</v>
          </cell>
          <cell r="C5">
            <v>45.9</v>
          </cell>
          <cell r="D5">
            <v>46</v>
          </cell>
          <cell r="E5">
            <v>46.3</v>
          </cell>
          <cell r="F5">
            <v>46.4</v>
          </cell>
          <cell r="G5">
            <v>46.5</v>
          </cell>
          <cell r="H5">
            <v>46.7</v>
          </cell>
          <cell r="I5">
            <v>46.8</v>
          </cell>
          <cell r="J5">
            <v>46.8</v>
          </cell>
          <cell r="K5">
            <v>46.8</v>
          </cell>
          <cell r="L5">
            <v>46.7</v>
          </cell>
          <cell r="M5">
            <v>46.8</v>
          </cell>
          <cell r="N5">
            <v>46.458333333333336</v>
          </cell>
        </row>
        <row r="6">
          <cell r="A6">
            <v>1971</v>
          </cell>
          <cell r="B6">
            <v>46.9</v>
          </cell>
          <cell r="C6">
            <v>47.1</v>
          </cell>
          <cell r="D6">
            <v>47.1</v>
          </cell>
          <cell r="E6">
            <v>47.2</v>
          </cell>
          <cell r="F6">
            <v>47.2</v>
          </cell>
          <cell r="G6">
            <v>47.3</v>
          </cell>
          <cell r="H6">
            <v>47.3</v>
          </cell>
          <cell r="I6">
            <v>47.3</v>
          </cell>
          <cell r="J6">
            <v>47.4</v>
          </cell>
          <cell r="K6">
            <v>47.4</v>
          </cell>
          <cell r="L6">
            <v>47.5</v>
          </cell>
          <cell r="M6">
            <v>47.5</v>
          </cell>
          <cell r="N6">
            <v>47.266666666666673</v>
          </cell>
        </row>
        <row r="7">
          <cell r="A7">
            <v>1972</v>
          </cell>
          <cell r="B7">
            <v>47.4</v>
          </cell>
          <cell r="C7">
            <v>47.3</v>
          </cell>
          <cell r="D7">
            <v>47.4</v>
          </cell>
          <cell r="E7">
            <v>47.3</v>
          </cell>
          <cell r="F7">
            <v>47.3</v>
          </cell>
          <cell r="G7">
            <v>47.4</v>
          </cell>
          <cell r="H7">
            <v>47.4</v>
          </cell>
          <cell r="I7">
            <v>47.4</v>
          </cell>
          <cell r="J7">
            <v>47.4</v>
          </cell>
          <cell r="K7">
            <v>47.4</v>
          </cell>
          <cell r="L7">
            <v>47.4</v>
          </cell>
          <cell r="M7">
            <v>47.5</v>
          </cell>
          <cell r="N7">
            <v>47.383333333333326</v>
          </cell>
        </row>
        <row r="8">
          <cell r="A8">
            <v>1973</v>
          </cell>
          <cell r="B8">
            <v>47.5</v>
          </cell>
          <cell r="C8">
            <v>47.5</v>
          </cell>
          <cell r="D8">
            <v>47.4</v>
          </cell>
          <cell r="E8">
            <v>47.4</v>
          </cell>
          <cell r="F8">
            <v>47.5</v>
          </cell>
          <cell r="G8">
            <v>47.5</v>
          </cell>
          <cell r="H8">
            <v>47.5</v>
          </cell>
          <cell r="I8">
            <v>47.5</v>
          </cell>
          <cell r="J8">
            <v>47.6</v>
          </cell>
          <cell r="K8">
            <v>47.6</v>
          </cell>
          <cell r="L8">
            <v>47.7</v>
          </cell>
          <cell r="M8">
            <v>47.8</v>
          </cell>
          <cell r="N8">
            <v>47.541666666666664</v>
          </cell>
        </row>
        <row r="9">
          <cell r="A9">
            <v>1974</v>
          </cell>
          <cell r="B9">
            <v>47.9</v>
          </cell>
          <cell r="C9">
            <v>48</v>
          </cell>
          <cell r="D9">
            <v>48.1</v>
          </cell>
          <cell r="E9">
            <v>48.3</v>
          </cell>
          <cell r="F9">
            <v>48.4</v>
          </cell>
          <cell r="G9">
            <v>48.7</v>
          </cell>
          <cell r="H9">
            <v>49.1</v>
          </cell>
          <cell r="I9">
            <v>49.6</v>
          </cell>
          <cell r="J9">
            <v>49.9</v>
          </cell>
          <cell r="K9">
            <v>50.3</v>
          </cell>
          <cell r="L9">
            <v>50.7</v>
          </cell>
          <cell r="M9">
            <v>51.1</v>
          </cell>
          <cell r="N9">
            <v>49.175000000000011</v>
          </cell>
        </row>
        <row r="10">
          <cell r="A10">
            <v>1975</v>
          </cell>
          <cell r="B10">
            <v>51.5</v>
          </cell>
          <cell r="C10">
            <v>52</v>
          </cell>
          <cell r="D10">
            <v>52.4</v>
          </cell>
          <cell r="E10">
            <v>52.7</v>
          </cell>
          <cell r="F10">
            <v>52.9</v>
          </cell>
          <cell r="G10">
            <v>53.2</v>
          </cell>
          <cell r="H10">
            <v>53.5</v>
          </cell>
          <cell r="I10">
            <v>53.7</v>
          </cell>
          <cell r="J10">
            <v>54</v>
          </cell>
          <cell r="K10">
            <v>54.3</v>
          </cell>
          <cell r="L10">
            <v>54.6</v>
          </cell>
          <cell r="M10">
            <v>54.9</v>
          </cell>
          <cell r="N10">
            <v>53.30833333333333</v>
          </cell>
        </row>
        <row r="11">
          <cell r="A11">
            <v>1976</v>
          </cell>
          <cell r="B11">
            <v>55.1</v>
          </cell>
          <cell r="C11">
            <v>55.3</v>
          </cell>
          <cell r="D11">
            <v>55.5</v>
          </cell>
          <cell r="E11">
            <v>55.9</v>
          </cell>
          <cell r="F11">
            <v>56.2</v>
          </cell>
          <cell r="G11">
            <v>56.4</v>
          </cell>
          <cell r="H11">
            <v>56.6</v>
          </cell>
          <cell r="I11">
            <v>57</v>
          </cell>
          <cell r="J11">
            <v>57.2</v>
          </cell>
          <cell r="K11">
            <v>57.5</v>
          </cell>
          <cell r="L11">
            <v>57.7</v>
          </cell>
          <cell r="M11">
            <v>57.9</v>
          </cell>
          <cell r="N11">
            <v>56.525000000000006</v>
          </cell>
        </row>
        <row r="12">
          <cell r="A12">
            <v>1977</v>
          </cell>
          <cell r="B12">
            <v>58.3</v>
          </cell>
          <cell r="C12">
            <v>58.6</v>
          </cell>
          <cell r="D12">
            <v>58.9</v>
          </cell>
          <cell r="E12">
            <v>59.3</v>
          </cell>
          <cell r="F12">
            <v>59.6</v>
          </cell>
          <cell r="G12">
            <v>60</v>
          </cell>
          <cell r="H12">
            <v>60.3</v>
          </cell>
          <cell r="I12">
            <v>60.6</v>
          </cell>
          <cell r="J12">
            <v>61.1</v>
          </cell>
          <cell r="K12">
            <v>61.5</v>
          </cell>
          <cell r="L12">
            <v>61.7</v>
          </cell>
          <cell r="M12">
            <v>62</v>
          </cell>
          <cell r="N12">
            <v>60.158333333333339</v>
          </cell>
        </row>
        <row r="13">
          <cell r="A13">
            <v>1978</v>
          </cell>
          <cell r="B13">
            <v>62.4</v>
          </cell>
          <cell r="C13">
            <v>62.8</v>
          </cell>
          <cell r="D13">
            <v>63.2</v>
          </cell>
          <cell r="E13">
            <v>63.5</v>
          </cell>
          <cell r="F13">
            <v>63.8</v>
          </cell>
          <cell r="G13">
            <v>64.2</v>
          </cell>
          <cell r="H13">
            <v>64.5</v>
          </cell>
          <cell r="I13">
            <v>64.8</v>
          </cell>
          <cell r="J13">
            <v>65.2</v>
          </cell>
          <cell r="K13">
            <v>65.5</v>
          </cell>
          <cell r="L13">
            <v>66.099999999999994</v>
          </cell>
          <cell r="M13">
            <v>66.599999999999994</v>
          </cell>
          <cell r="N13">
            <v>64.38333333333334</v>
          </cell>
        </row>
        <row r="14">
          <cell r="A14">
            <v>1979</v>
          </cell>
          <cell r="B14">
            <v>66.900000000000006</v>
          </cell>
          <cell r="C14">
            <v>67.3</v>
          </cell>
          <cell r="D14">
            <v>67.599999999999994</v>
          </cell>
          <cell r="E14">
            <v>67.900000000000006</v>
          </cell>
          <cell r="F14">
            <v>68.2</v>
          </cell>
          <cell r="G14">
            <v>68.599999999999994</v>
          </cell>
          <cell r="H14">
            <v>69</v>
          </cell>
          <cell r="I14">
            <v>69.5</v>
          </cell>
          <cell r="J14">
            <v>69.900000000000006</v>
          </cell>
          <cell r="K14">
            <v>70.3</v>
          </cell>
          <cell r="L14">
            <v>70.900000000000006</v>
          </cell>
          <cell r="M14">
            <v>71.7</v>
          </cell>
          <cell r="N14">
            <v>68.983333333333334</v>
          </cell>
        </row>
        <row r="15">
          <cell r="A15">
            <v>1980</v>
          </cell>
          <cell r="B15">
            <v>72.2</v>
          </cell>
          <cell r="C15">
            <v>72.7</v>
          </cell>
          <cell r="D15">
            <v>73.3</v>
          </cell>
          <cell r="E15">
            <v>73.8</v>
          </cell>
          <cell r="F15">
            <v>74.5</v>
          </cell>
          <cell r="G15">
            <v>75.099999999999994</v>
          </cell>
          <cell r="H15">
            <v>75.8</v>
          </cell>
          <cell r="I15">
            <v>76.3</v>
          </cell>
          <cell r="J15">
            <v>76.900000000000006</v>
          </cell>
          <cell r="K15">
            <v>77.5</v>
          </cell>
          <cell r="L15">
            <v>78.2</v>
          </cell>
          <cell r="M15">
            <v>78.7</v>
          </cell>
          <cell r="N15">
            <v>75.416666666666671</v>
          </cell>
        </row>
        <row r="16">
          <cell r="A16">
            <v>1981</v>
          </cell>
          <cell r="B16">
            <v>79.5</v>
          </cell>
          <cell r="C16">
            <v>80.400000000000006</v>
          </cell>
          <cell r="D16">
            <v>81</v>
          </cell>
          <cell r="E16">
            <v>81.599999999999994</v>
          </cell>
          <cell r="F16">
            <v>82.6</v>
          </cell>
          <cell r="G16">
            <v>83.4</v>
          </cell>
          <cell r="H16">
            <v>84.1</v>
          </cell>
          <cell r="I16">
            <v>84.9</v>
          </cell>
          <cell r="J16">
            <v>85.6</v>
          </cell>
          <cell r="K16">
            <v>86.3</v>
          </cell>
          <cell r="L16">
            <v>86.8</v>
          </cell>
          <cell r="M16">
            <v>87.6</v>
          </cell>
          <cell r="N16">
            <v>83.649999999999991</v>
          </cell>
        </row>
        <row r="17">
          <cell r="A17">
            <v>1982</v>
          </cell>
          <cell r="B17">
            <v>88.2</v>
          </cell>
          <cell r="C17">
            <v>88.9</v>
          </cell>
          <cell r="D17">
            <v>89.7</v>
          </cell>
          <cell r="E17">
            <v>90.5</v>
          </cell>
          <cell r="F17">
            <v>91.2</v>
          </cell>
          <cell r="G17">
            <v>92</v>
          </cell>
          <cell r="H17">
            <v>92.5</v>
          </cell>
          <cell r="I17">
            <v>93.3</v>
          </cell>
          <cell r="J17">
            <v>94.2</v>
          </cell>
          <cell r="K17">
            <v>95.1</v>
          </cell>
          <cell r="L17">
            <v>95.7</v>
          </cell>
          <cell r="M17">
            <v>96.1</v>
          </cell>
          <cell r="N17">
            <v>92.283333333333346</v>
          </cell>
        </row>
        <row r="18">
          <cell r="A18">
            <v>1983</v>
          </cell>
          <cell r="B18">
            <v>97</v>
          </cell>
          <cell r="C18">
            <v>97.5</v>
          </cell>
          <cell r="D18">
            <v>98.1</v>
          </cell>
          <cell r="E18">
            <v>98.9</v>
          </cell>
          <cell r="F18">
            <v>99.4</v>
          </cell>
          <cell r="G18">
            <v>99.8</v>
          </cell>
          <cell r="H18">
            <v>100.4</v>
          </cell>
          <cell r="I18">
            <v>101</v>
          </cell>
          <cell r="J18">
            <v>101.6</v>
          </cell>
          <cell r="K18">
            <v>102.2</v>
          </cell>
          <cell r="L18">
            <v>102.9</v>
          </cell>
          <cell r="M18">
            <v>103.5</v>
          </cell>
          <cell r="N18">
            <v>100.19166666666666</v>
          </cell>
        </row>
        <row r="19">
          <cell r="A19">
            <v>1984</v>
          </cell>
          <cell r="B19">
            <v>104.1</v>
          </cell>
          <cell r="C19">
            <v>104.8</v>
          </cell>
          <cell r="D19">
            <v>105.3</v>
          </cell>
          <cell r="E19">
            <v>105.9</v>
          </cell>
          <cell r="F19">
            <v>106.7</v>
          </cell>
          <cell r="G19">
            <v>107.2</v>
          </cell>
          <cell r="H19">
            <v>107.8</v>
          </cell>
          <cell r="I19">
            <v>108.3</v>
          </cell>
          <cell r="J19">
            <v>108.9</v>
          </cell>
          <cell r="K19">
            <v>109.7</v>
          </cell>
          <cell r="L19">
            <v>110.4</v>
          </cell>
          <cell r="M19">
            <v>111.2</v>
          </cell>
          <cell r="N19">
            <v>107.52500000000002</v>
          </cell>
        </row>
        <row r="20">
          <cell r="A20">
            <v>1985</v>
          </cell>
          <cell r="B20">
            <v>111.7</v>
          </cell>
          <cell r="C20">
            <v>112.4</v>
          </cell>
          <cell r="D20">
            <v>112.9</v>
          </cell>
          <cell r="E20">
            <v>113.6</v>
          </cell>
          <cell r="F20">
            <v>114.1</v>
          </cell>
          <cell r="G20">
            <v>115.1</v>
          </cell>
          <cell r="H20">
            <v>115.5</v>
          </cell>
          <cell r="I20">
            <v>116.2</v>
          </cell>
          <cell r="J20">
            <v>116.8</v>
          </cell>
          <cell r="K20">
            <v>117.4</v>
          </cell>
          <cell r="L20">
            <v>118.1</v>
          </cell>
          <cell r="M20">
            <v>118.2</v>
          </cell>
          <cell r="N20">
            <v>115.16666666666669</v>
          </cell>
        </row>
        <row r="21">
          <cell r="A21">
            <v>1986</v>
          </cell>
          <cell r="B21">
            <v>119.1</v>
          </cell>
          <cell r="C21">
            <v>120.2</v>
          </cell>
          <cell r="D21">
            <v>120.8</v>
          </cell>
          <cell r="E21">
            <v>121.4</v>
          </cell>
          <cell r="F21">
            <v>121.8</v>
          </cell>
          <cell r="G21">
            <v>122.3</v>
          </cell>
          <cell r="H21">
            <v>123.4</v>
          </cell>
          <cell r="I21">
            <v>123.7</v>
          </cell>
          <cell r="J21">
            <v>124.2</v>
          </cell>
          <cell r="K21">
            <v>124.7</v>
          </cell>
          <cell r="L21">
            <v>125</v>
          </cell>
          <cell r="M21">
            <v>126.2</v>
          </cell>
          <cell r="N21">
            <v>122.73333333333333</v>
          </cell>
        </row>
        <row r="22">
          <cell r="A22">
            <v>1987</v>
          </cell>
          <cell r="B22">
            <v>127</v>
          </cell>
          <cell r="C22">
            <v>127.6</v>
          </cell>
          <cell r="D22">
            <v>128.4</v>
          </cell>
          <cell r="E22">
            <v>128.69999999999999</v>
          </cell>
          <cell r="F22">
            <v>129.6</v>
          </cell>
          <cell r="G22">
            <v>130.6</v>
          </cell>
          <cell r="H22">
            <v>131.30000000000001</v>
          </cell>
          <cell r="I22">
            <v>132.1</v>
          </cell>
          <cell r="J22">
            <v>132.80000000000001</v>
          </cell>
          <cell r="K22">
            <v>133.69999999999999</v>
          </cell>
          <cell r="L22">
            <v>134.4</v>
          </cell>
          <cell r="M22">
            <v>135.1</v>
          </cell>
          <cell r="N22">
            <v>130.94166666666666</v>
          </cell>
        </row>
        <row r="23">
          <cell r="A23">
            <v>1988</v>
          </cell>
          <cell r="B23">
            <v>135.80000000000001</v>
          </cell>
          <cell r="C23">
            <v>136.30000000000001</v>
          </cell>
          <cell r="D23">
            <v>136.9</v>
          </cell>
          <cell r="E23">
            <v>137.80000000000001</v>
          </cell>
          <cell r="F23">
            <v>138.69999999999999</v>
          </cell>
          <cell r="G23">
            <v>139.19999999999999</v>
          </cell>
          <cell r="H23">
            <v>140.19999999999999</v>
          </cell>
          <cell r="I23">
            <v>141</v>
          </cell>
          <cell r="J23">
            <v>142</v>
          </cell>
          <cell r="K23">
            <v>143.4</v>
          </cell>
          <cell r="L23">
            <v>143.6</v>
          </cell>
          <cell r="M23">
            <v>144.5</v>
          </cell>
          <cell r="N23">
            <v>139.95000000000002</v>
          </cell>
        </row>
        <row r="24">
          <cell r="A24">
            <v>1989</v>
          </cell>
          <cell r="B24">
            <v>145.30000000000001</v>
          </cell>
          <cell r="C24">
            <v>146</v>
          </cell>
          <cell r="D24">
            <v>147.1</v>
          </cell>
          <cell r="E24">
            <v>148.1</v>
          </cell>
          <cell r="F24">
            <v>149.6</v>
          </cell>
          <cell r="G24">
            <v>150.80000000000001</v>
          </cell>
          <cell r="H24">
            <v>151.1</v>
          </cell>
          <cell r="I24">
            <v>152</v>
          </cell>
          <cell r="J24">
            <v>153.30000000000001</v>
          </cell>
          <cell r="K24">
            <v>154.30000000000001</v>
          </cell>
          <cell r="L24">
            <v>155.69999999999999</v>
          </cell>
          <cell r="M24">
            <v>156.30000000000001</v>
          </cell>
          <cell r="N24">
            <v>150.79999999999998</v>
          </cell>
        </row>
        <row r="25">
          <cell r="A25">
            <v>1990</v>
          </cell>
          <cell r="B25">
            <v>157.30000000000001</v>
          </cell>
          <cell r="C25">
            <v>158.69999999999999</v>
          </cell>
          <cell r="D25">
            <v>159.69999999999999</v>
          </cell>
          <cell r="E25">
            <v>160.9</v>
          </cell>
          <cell r="F25">
            <v>161.80000000000001</v>
          </cell>
          <cell r="G25">
            <v>163</v>
          </cell>
          <cell r="H25">
            <v>163.80000000000001</v>
          </cell>
          <cell r="I25">
            <v>164.8</v>
          </cell>
          <cell r="J25">
            <v>166</v>
          </cell>
          <cell r="K25">
            <v>167.1</v>
          </cell>
          <cell r="L25">
            <v>168.2</v>
          </cell>
          <cell r="M25">
            <v>169.5</v>
          </cell>
          <cell r="N25">
            <v>163.4</v>
          </cell>
        </row>
        <row r="26">
          <cell r="A26">
            <v>1991</v>
          </cell>
          <cell r="B26">
            <v>170.7</v>
          </cell>
          <cell r="C26">
            <v>171.5</v>
          </cell>
          <cell r="D26">
            <v>172.8</v>
          </cell>
          <cell r="E26">
            <v>173.9</v>
          </cell>
          <cell r="F26">
            <v>175.1</v>
          </cell>
          <cell r="G26">
            <v>176.3</v>
          </cell>
          <cell r="H26">
            <v>177.5</v>
          </cell>
          <cell r="I26">
            <v>178.9</v>
          </cell>
          <cell r="J26">
            <v>180</v>
          </cell>
          <cell r="K26">
            <v>180.7</v>
          </cell>
          <cell r="L26">
            <v>181.7</v>
          </cell>
          <cell r="M26">
            <v>182.1</v>
          </cell>
          <cell r="N26">
            <v>176.76666666666668</v>
          </cell>
        </row>
        <row r="27">
          <cell r="A27">
            <v>1992</v>
          </cell>
          <cell r="B27">
            <v>183.3</v>
          </cell>
          <cell r="C27">
            <v>184.9</v>
          </cell>
          <cell r="D27">
            <v>186.2</v>
          </cell>
          <cell r="E27">
            <v>187.5</v>
          </cell>
          <cell r="F27">
            <v>187.4</v>
          </cell>
          <cell r="G27">
            <v>187.9</v>
          </cell>
          <cell r="H27">
            <v>188.4</v>
          </cell>
          <cell r="I27">
            <v>188.9</v>
          </cell>
          <cell r="J27">
            <v>189.6</v>
          </cell>
          <cell r="K27">
            <v>190.1</v>
          </cell>
          <cell r="L27">
            <v>190.9</v>
          </cell>
          <cell r="M27">
            <v>191.5</v>
          </cell>
          <cell r="N27">
            <v>188.04999999999998</v>
          </cell>
        </row>
        <row r="28">
          <cell r="A28">
            <v>1993</v>
          </cell>
          <cell r="B28">
            <v>192.1</v>
          </cell>
          <cell r="C28">
            <v>192.9</v>
          </cell>
          <cell r="D28">
            <v>193.3</v>
          </cell>
          <cell r="E28">
            <v>193.3</v>
          </cell>
          <cell r="F28">
            <v>194.1</v>
          </cell>
          <cell r="G28">
            <v>194.7</v>
          </cell>
          <cell r="H28">
            <v>195.5</v>
          </cell>
          <cell r="I28">
            <v>196.1</v>
          </cell>
          <cell r="J28">
            <v>196.4</v>
          </cell>
          <cell r="K28">
            <v>196.9</v>
          </cell>
          <cell r="L28">
            <v>197.1</v>
          </cell>
          <cell r="M28">
            <v>197.5</v>
          </cell>
          <cell r="N28">
            <v>194.99166666666667</v>
          </cell>
        </row>
        <row r="29">
          <cell r="A29">
            <v>1994</v>
          </cell>
          <cell r="B29">
            <v>198</v>
          </cell>
          <cell r="C29">
            <v>198.4</v>
          </cell>
          <cell r="D29">
            <v>198.6</v>
          </cell>
          <cell r="E29">
            <v>199.4</v>
          </cell>
          <cell r="F29">
            <v>200</v>
          </cell>
          <cell r="G29">
            <v>200.4</v>
          </cell>
          <cell r="H29">
            <v>201</v>
          </cell>
          <cell r="I29">
            <v>201.6</v>
          </cell>
          <cell r="J29">
            <v>202</v>
          </cell>
          <cell r="K29">
            <v>202.4</v>
          </cell>
          <cell r="L29">
            <v>203.2</v>
          </cell>
          <cell r="M29">
            <v>203.4</v>
          </cell>
          <cell r="N29">
            <v>200.70000000000002</v>
          </cell>
        </row>
        <row r="30">
          <cell r="A30">
            <v>1995</v>
          </cell>
          <cell r="B30">
            <v>203.3</v>
          </cell>
          <cell r="C30">
            <v>203.3</v>
          </cell>
          <cell r="D30">
            <v>203.4</v>
          </cell>
          <cell r="E30">
            <v>203.3</v>
          </cell>
          <cell r="F30">
            <v>203.4</v>
          </cell>
          <cell r="G30">
            <v>203.7</v>
          </cell>
          <cell r="H30">
            <v>204.1</v>
          </cell>
          <cell r="I30">
            <v>204.6</v>
          </cell>
          <cell r="J30">
            <v>205.1</v>
          </cell>
          <cell r="K30">
            <v>205.9</v>
          </cell>
          <cell r="L30">
            <v>206.6</v>
          </cell>
          <cell r="M30">
            <v>206.9</v>
          </cell>
          <cell r="N30">
            <v>204.46666666666667</v>
          </cell>
        </row>
        <row r="31">
          <cell r="A31">
            <v>1996</v>
          </cell>
          <cell r="B31">
            <v>207.9</v>
          </cell>
          <cell r="C31">
            <v>208.3</v>
          </cell>
          <cell r="D31">
            <v>208.7</v>
          </cell>
          <cell r="E31">
            <v>209.3</v>
          </cell>
          <cell r="F31">
            <v>209.7</v>
          </cell>
          <cell r="G31">
            <v>210.3</v>
          </cell>
          <cell r="H31">
            <v>210.6</v>
          </cell>
          <cell r="I31">
            <v>211</v>
          </cell>
          <cell r="J31">
            <v>211.5</v>
          </cell>
          <cell r="K31">
            <v>212.6</v>
          </cell>
          <cell r="L31">
            <v>212.3</v>
          </cell>
          <cell r="M31">
            <v>212.3</v>
          </cell>
          <cell r="N31">
            <v>210.37500000000003</v>
          </cell>
        </row>
        <row r="32">
          <cell r="A32">
            <v>1997</v>
          </cell>
          <cell r="B32">
            <v>213</v>
          </cell>
          <cell r="C32">
            <v>213.8</v>
          </cell>
          <cell r="D32">
            <v>214.5</v>
          </cell>
          <cell r="E32">
            <v>214.9</v>
          </cell>
          <cell r="F32">
            <v>215.5</v>
          </cell>
          <cell r="G32">
            <v>215.6</v>
          </cell>
          <cell r="H32">
            <v>215.6</v>
          </cell>
          <cell r="I32">
            <v>215.4</v>
          </cell>
          <cell r="J32">
            <v>215.5</v>
          </cell>
          <cell r="K32">
            <v>215.9</v>
          </cell>
          <cell r="L32">
            <v>216.3</v>
          </cell>
          <cell r="M32">
            <v>217.1</v>
          </cell>
          <cell r="N32">
            <v>215.25833333333333</v>
          </cell>
        </row>
        <row r="33">
          <cell r="A33">
            <v>1998</v>
          </cell>
          <cell r="B33">
            <v>217.9</v>
          </cell>
          <cell r="C33">
            <v>218.3</v>
          </cell>
          <cell r="D33">
            <v>218.3</v>
          </cell>
          <cell r="E33">
            <v>219.8</v>
          </cell>
          <cell r="F33">
            <v>221.2</v>
          </cell>
          <cell r="G33">
            <v>221.6</v>
          </cell>
          <cell r="H33">
            <v>221.8</v>
          </cell>
          <cell r="I33">
            <v>223</v>
          </cell>
          <cell r="J33">
            <v>224.2</v>
          </cell>
          <cell r="K33">
            <v>224.6</v>
          </cell>
          <cell r="L33">
            <v>225.1</v>
          </cell>
          <cell r="M33">
            <v>226</v>
          </cell>
          <cell r="N33">
            <v>221.81666666666663</v>
          </cell>
        </row>
        <row r="34">
          <cell r="A34">
            <v>1999</v>
          </cell>
          <cell r="B34">
            <v>226.2</v>
          </cell>
          <cell r="C34">
            <v>226.9</v>
          </cell>
          <cell r="D34">
            <v>227.6</v>
          </cell>
          <cell r="E34">
            <v>229</v>
          </cell>
          <cell r="F34">
            <v>229.2</v>
          </cell>
          <cell r="G34">
            <v>230</v>
          </cell>
          <cell r="H34">
            <v>231.2</v>
          </cell>
          <cell r="I34">
            <v>232.3</v>
          </cell>
          <cell r="J34">
            <v>233.1</v>
          </cell>
          <cell r="K34">
            <v>233.6</v>
          </cell>
          <cell r="L34">
            <v>234.4</v>
          </cell>
          <cell r="M34">
            <v>234.9</v>
          </cell>
          <cell r="N34">
            <v>230.70000000000002</v>
          </cell>
        </row>
        <row r="35">
          <cell r="A35">
            <v>2000</v>
          </cell>
          <cell r="B35">
            <v>235.5</v>
          </cell>
          <cell r="C35">
            <v>235.6</v>
          </cell>
          <cell r="D35">
            <v>236.2</v>
          </cell>
          <cell r="E35">
            <v>236.8</v>
          </cell>
          <cell r="F35">
            <v>237.4</v>
          </cell>
          <cell r="G35">
            <v>237.7</v>
          </cell>
          <cell r="H35">
            <v>238.1</v>
          </cell>
          <cell r="I35">
            <v>238.9</v>
          </cell>
          <cell r="J35">
            <v>239.4</v>
          </cell>
          <cell r="K35">
            <v>239.9</v>
          </cell>
          <cell r="L35">
            <v>240.6</v>
          </cell>
          <cell r="M35">
            <v>241.5</v>
          </cell>
          <cell r="N35">
            <v>238.13333333333333</v>
          </cell>
        </row>
        <row r="36">
          <cell r="A36">
            <v>2001</v>
          </cell>
          <cell r="B36">
            <v>242.6</v>
          </cell>
          <cell r="C36">
            <v>243.8</v>
          </cell>
          <cell r="D36">
            <v>244.8</v>
          </cell>
          <cell r="E36">
            <v>245.6</v>
          </cell>
          <cell r="F36">
            <v>246.5</v>
          </cell>
          <cell r="G36">
            <v>247.8</v>
          </cell>
          <cell r="H36">
            <v>248</v>
          </cell>
          <cell r="I36">
            <v>248.8</v>
          </cell>
          <cell r="J36">
            <v>249.6</v>
          </cell>
          <cell r="K36">
            <v>250.5</v>
          </cell>
          <cell r="L36">
            <v>251.1</v>
          </cell>
          <cell r="M36">
            <v>252</v>
          </cell>
          <cell r="N36">
            <v>247.59166666666667</v>
          </cell>
        </row>
        <row r="37">
          <cell r="A37">
            <v>2002</v>
          </cell>
          <cell r="B37">
            <v>252.9</v>
          </cell>
          <cell r="C37">
            <v>253.6</v>
          </cell>
          <cell r="D37">
            <v>254</v>
          </cell>
          <cell r="E37">
            <v>254.7</v>
          </cell>
          <cell r="F37">
            <v>255.3</v>
          </cell>
          <cell r="G37">
            <v>256.10000000000002</v>
          </cell>
          <cell r="H37">
            <v>257</v>
          </cell>
          <cell r="I37">
            <v>257.39999999999998</v>
          </cell>
          <cell r="J37">
            <v>257.8</v>
          </cell>
          <cell r="K37">
            <v>258.5</v>
          </cell>
          <cell r="L37">
            <v>259.60000000000002</v>
          </cell>
          <cell r="M37">
            <v>260</v>
          </cell>
          <cell r="N37">
            <v>256.40833333333336</v>
          </cell>
        </row>
        <row r="38">
          <cell r="A38">
            <v>2003</v>
          </cell>
          <cell r="B38">
            <v>260.60000000000002</v>
          </cell>
          <cell r="C38">
            <v>260.3</v>
          </cell>
          <cell r="D38">
            <v>261.3</v>
          </cell>
          <cell r="E38">
            <v>261.5</v>
          </cell>
          <cell r="F38">
            <v>261.7</v>
          </cell>
          <cell r="G38">
            <v>261.8</v>
          </cell>
          <cell r="H38">
            <v>263.2</v>
          </cell>
          <cell r="I38">
            <v>263.89999999999998</v>
          </cell>
          <cell r="J38">
            <v>264.8</v>
          </cell>
          <cell r="K38">
            <v>264.8</v>
          </cell>
          <cell r="L38">
            <v>264.3</v>
          </cell>
          <cell r="M38">
            <v>265.60000000000002</v>
          </cell>
          <cell r="N38">
            <v>262.81666666666672</v>
          </cell>
        </row>
        <row r="39">
          <cell r="A39">
            <v>2004</v>
          </cell>
          <cell r="B39">
            <v>265.8</v>
          </cell>
          <cell r="C39">
            <v>266.60000000000002</v>
          </cell>
          <cell r="D39">
            <v>267.2</v>
          </cell>
          <cell r="E39">
            <v>268.39999999999998</v>
          </cell>
          <cell r="F39">
            <v>269</v>
          </cell>
          <cell r="G39">
            <v>269.39999999999998</v>
          </cell>
          <cell r="H39">
            <v>269.60000000000002</v>
          </cell>
          <cell r="I39">
            <v>269.89999999999998</v>
          </cell>
          <cell r="J39">
            <v>270.8</v>
          </cell>
          <cell r="K39">
            <v>271.8</v>
          </cell>
          <cell r="L39">
            <v>271.39999999999998</v>
          </cell>
          <cell r="M39">
            <v>271.39999999999998</v>
          </cell>
          <cell r="N39">
            <v>269.27500000000003</v>
          </cell>
        </row>
        <row r="40">
          <cell r="A40">
            <v>2005</v>
          </cell>
          <cell r="B40">
            <v>271.60000000000002</v>
          </cell>
          <cell r="C40">
            <v>272.8</v>
          </cell>
          <cell r="D40">
            <v>273.2</v>
          </cell>
          <cell r="E40">
            <v>273.5</v>
          </cell>
          <cell r="F40">
            <v>274.60000000000002</v>
          </cell>
          <cell r="G40">
            <v>275.60000000000002</v>
          </cell>
          <cell r="H40">
            <v>276.3</v>
          </cell>
          <cell r="I40">
            <v>276.8</v>
          </cell>
          <cell r="J40">
            <v>277.7</v>
          </cell>
          <cell r="K40">
            <v>278.89999999999998</v>
          </cell>
          <cell r="L40">
            <v>280.3</v>
          </cell>
          <cell r="M40">
            <v>280.8</v>
          </cell>
          <cell r="N40">
            <v>276.00833333333338</v>
          </cell>
        </row>
        <row r="41">
          <cell r="A41">
            <v>2006</v>
          </cell>
          <cell r="B41">
            <v>282</v>
          </cell>
          <cell r="C41">
            <v>283.10000000000002</v>
          </cell>
          <cell r="D41">
            <v>284.3</v>
          </cell>
          <cell r="E41">
            <v>285.3</v>
          </cell>
          <cell r="F41">
            <v>286.3</v>
          </cell>
          <cell r="G41">
            <v>286.3</v>
          </cell>
          <cell r="H41">
            <v>287.10000000000002</v>
          </cell>
          <cell r="I41">
            <v>287.60000000000002</v>
          </cell>
          <cell r="J41">
            <v>288.10000000000002</v>
          </cell>
          <cell r="K41">
            <v>288.10000000000002</v>
          </cell>
          <cell r="L41">
            <v>286.60000000000002</v>
          </cell>
          <cell r="M41">
            <v>285.89999999999998</v>
          </cell>
          <cell r="N41">
            <v>285.89166666666665</v>
          </cell>
        </row>
        <row r="42">
          <cell r="A42">
            <v>2007</v>
          </cell>
          <cell r="B42">
            <v>288.08800000000002</v>
          </cell>
          <cell r="C42">
            <v>287.70299999999997</v>
          </cell>
          <cell r="D42">
            <v>286.94</v>
          </cell>
          <cell r="E42">
            <v>288.34899999999999</v>
          </cell>
          <cell r="F42">
            <v>288.661</v>
          </cell>
          <cell r="G42">
            <v>288.50799999999998</v>
          </cell>
          <cell r="H42">
            <v>290.25700000000001</v>
          </cell>
          <cell r="I42">
            <v>291.16399999999999</v>
          </cell>
          <cell r="J42">
            <v>291.33999999999997</v>
          </cell>
          <cell r="K42">
            <v>292.161</v>
          </cell>
          <cell r="L42">
            <v>293.20100000000002</v>
          </cell>
          <cell r="M42">
            <v>293.61</v>
          </cell>
          <cell r="N42">
            <v>289.99850000000004</v>
          </cell>
        </row>
        <row r="43">
          <cell r="A43">
            <v>2008</v>
          </cell>
          <cell r="B43">
            <v>295.35500000000002</v>
          </cell>
          <cell r="C43">
            <v>296.13</v>
          </cell>
          <cell r="D43">
            <v>297.30799999999999</v>
          </cell>
          <cell r="E43">
            <v>296.95100000000002</v>
          </cell>
          <cell r="F43">
            <v>294.89600000000002</v>
          </cell>
          <cell r="G43">
            <v>295.19400000000002</v>
          </cell>
          <cell r="H43">
            <v>294.77699999999999</v>
          </cell>
          <cell r="I43">
            <v>295.00299999999999</v>
          </cell>
          <cell r="J43">
            <v>295.46100000000001</v>
          </cell>
          <cell r="K43">
            <v>295.791</v>
          </cell>
          <cell r="L43">
            <v>297.31700000000001</v>
          </cell>
          <cell r="M43">
            <v>298.36099999999999</v>
          </cell>
          <cell r="N43">
            <v>296.0453333333333</v>
          </cell>
        </row>
        <row r="44">
          <cell r="A44">
            <v>2009</v>
          </cell>
          <cell r="B44">
            <v>299.99799999999999</v>
          </cell>
          <cell r="C44">
            <v>302.18400000000003</v>
          </cell>
          <cell r="D44">
            <v>302.90800000000002</v>
          </cell>
          <cell r="E44">
            <v>303.97899999999998</v>
          </cell>
          <cell r="F44">
            <v>304.697</v>
          </cell>
          <cell r="G44">
            <v>304.68299999999999</v>
          </cell>
          <cell r="H44">
            <v>304.22899999999998</v>
          </cell>
          <cell r="I44">
            <v>305.79700000000003</v>
          </cell>
          <cell r="J44">
            <v>307.67099999999999</v>
          </cell>
          <cell r="K44">
            <v>308.37900000000002</v>
          </cell>
          <cell r="L44">
            <v>308.54599999999999</v>
          </cell>
          <cell r="M44">
            <v>308.221</v>
          </cell>
          <cell r="N44">
            <v>305.1076666666666</v>
          </cell>
        </row>
        <row r="45">
          <cell r="A45">
            <v>2010</v>
          </cell>
          <cell r="B45">
            <v>310.49400000000003</v>
          </cell>
          <cell r="C45">
            <v>312.86399999999998</v>
          </cell>
          <cell r="D45">
            <v>314.02300000000002</v>
          </cell>
          <cell r="E45">
            <v>314.53500000000003</v>
          </cell>
          <cell r="F45">
            <v>314.923</v>
          </cell>
          <cell r="G45">
            <v>314.88799999999998</v>
          </cell>
          <cell r="H45">
            <v>314.113</v>
          </cell>
          <cell r="I45">
            <v>314.88099999999997</v>
          </cell>
          <cell r="J45">
            <v>315.80399999999997</v>
          </cell>
          <cell r="K45">
            <v>316.08199999999999</v>
          </cell>
          <cell r="L45">
            <v>316.79399999999998</v>
          </cell>
          <cell r="M45">
            <v>317.19900000000001</v>
          </cell>
          <cell r="N45">
            <v>314.71666666666664</v>
          </cell>
        </row>
        <row r="46">
          <cell r="A46">
            <v>2011</v>
          </cell>
          <cell r="B46">
            <v>318.92899999999997</v>
          </cell>
          <cell r="C46">
            <v>321.18599999999998</v>
          </cell>
          <cell r="D46">
            <v>322.69099999999997</v>
          </cell>
          <cell r="E46">
            <v>324.24099999999999</v>
          </cell>
          <cell r="F46">
            <v>324.399</v>
          </cell>
          <cell r="G46">
            <v>324.10199999999998</v>
          </cell>
          <cell r="H46">
            <v>324.15899999999999</v>
          </cell>
          <cell r="I46">
            <v>324.39499999999998</v>
          </cell>
          <cell r="J46">
            <v>325.13</v>
          </cell>
          <cell r="K46">
            <v>325.96199999999999</v>
          </cell>
          <cell r="L46">
            <v>326.62400000000002</v>
          </cell>
          <cell r="M46">
            <v>327.25400000000002</v>
          </cell>
          <cell r="N46">
            <v>324.08933333333334</v>
          </cell>
        </row>
        <row r="47">
          <cell r="A47">
            <v>2012</v>
          </cell>
          <cell r="B47">
            <v>329.20100000000002</v>
          </cell>
          <cell r="C47">
            <v>331.86700000000002</v>
          </cell>
          <cell r="D47">
            <v>333.18799999999999</v>
          </cell>
          <cell r="E47">
            <v>333.06</v>
          </cell>
          <cell r="F47">
            <v>333.13099999999997</v>
          </cell>
          <cell r="G47">
            <v>333.34800000000001</v>
          </cell>
          <cell r="H47">
            <v>335.048</v>
          </cell>
          <cell r="I47">
            <v>336.00400000000002</v>
          </cell>
          <cell r="J47">
            <v>335.721</v>
          </cell>
          <cell r="K47">
            <v>335.76799999999997</v>
          </cell>
          <cell r="L47">
            <v>334.28500000000003</v>
          </cell>
          <cell r="M47">
            <v>332.68400000000003</v>
          </cell>
          <cell r="N47">
            <v>333.60874999999999</v>
          </cell>
        </row>
        <row r="48">
          <cell r="A48">
            <v>2013</v>
          </cell>
          <cell r="B48">
            <v>334.04599999999999</v>
          </cell>
          <cell r="C48">
            <v>334.40499999999997</v>
          </cell>
          <cell r="D48">
            <v>335.19799999999998</v>
          </cell>
          <cell r="E48">
            <v>335.29300000000001</v>
          </cell>
          <cell r="F48">
            <v>333.06400000000002</v>
          </cell>
          <cell r="G48">
            <v>333.83699999999999</v>
          </cell>
          <cell r="H48">
            <v>334.673</v>
          </cell>
          <cell r="I48">
            <v>335.98500000000001</v>
          </cell>
          <cell r="J48">
            <v>336.52699999999999</v>
          </cell>
          <cell r="K48">
            <v>337.47800000000001</v>
          </cell>
          <cell r="L48">
            <v>337.00599999999997</v>
          </cell>
          <cell r="M48">
            <v>333.80099999999999</v>
          </cell>
          <cell r="N48">
            <v>335.10941666666668</v>
          </cell>
        </row>
        <row r="49">
          <cell r="A49">
            <v>2014</v>
          </cell>
          <cell r="B49">
            <v>336.75599999999997</v>
          </cell>
          <cell r="C49">
            <v>340.06700000000001</v>
          </cell>
          <cell r="D49">
            <v>339.56700000000001</v>
          </cell>
          <cell r="E49">
            <v>340.53500000000003</v>
          </cell>
          <cell r="F49">
            <v>341.43200000000002</v>
          </cell>
          <cell r="G49">
            <v>343.22399999999999</v>
          </cell>
          <cell r="H49">
            <v>344.68700000000001</v>
          </cell>
          <cell r="I49">
            <v>344.755</v>
          </cell>
          <cell r="J49">
            <v>346.34699999999998</v>
          </cell>
          <cell r="K49">
            <v>346.32400000000001</v>
          </cell>
          <cell r="L49">
            <v>347.61599999999999</v>
          </cell>
          <cell r="M49">
            <v>349.75</v>
          </cell>
          <cell r="N49">
            <v>343.42166666666662</v>
          </cell>
        </row>
        <row r="50">
          <cell r="A50">
            <v>2015</v>
          </cell>
          <cell r="B50">
            <v>349.98</v>
          </cell>
          <cell r="C50">
            <v>353.48399999999998</v>
          </cell>
          <cell r="D50">
            <v>353.995</v>
          </cell>
          <cell r="E50">
            <v>354.339</v>
          </cell>
          <cell r="F50">
            <v>354.64699999999999</v>
          </cell>
          <cell r="G50">
            <v>354.524</v>
          </cell>
          <cell r="H50">
            <v>355.23500000000001</v>
          </cell>
          <cell r="I50">
            <v>356.334</v>
          </cell>
          <cell r="J50">
            <v>355.74599999999998</v>
          </cell>
          <cell r="K50">
            <v>355.89400000000001</v>
          </cell>
          <cell r="L50">
            <v>356.286</v>
          </cell>
          <cell r="M50">
            <v>355.03</v>
          </cell>
          <cell r="N50">
            <v>354.62449999999995</v>
          </cell>
        </row>
        <row r="51">
          <cell r="A51">
            <v>2016</v>
          </cell>
          <cell r="B51">
            <v>357.41399999999999</v>
          </cell>
          <cell r="C51">
            <v>361.435</v>
          </cell>
          <cell r="D51">
            <v>362.38600000000002</v>
          </cell>
          <cell r="E51">
            <v>363.84300000000002</v>
          </cell>
          <cell r="F51">
            <v>361.86599999999999</v>
          </cell>
          <cell r="G51">
            <v>364.50099999999998</v>
          </cell>
          <cell r="H51">
            <v>366.78399999999999</v>
          </cell>
          <cell r="I51">
            <v>372.10599999999999</v>
          </cell>
          <cell r="J51">
            <v>374.142</v>
          </cell>
          <cell r="K51">
            <v>373.79199999999997</v>
          </cell>
          <cell r="L51">
            <v>371.54</v>
          </cell>
          <cell r="M51">
            <v>371.56099999999998</v>
          </cell>
          <cell r="N51">
            <v>366.78083333333331</v>
          </cell>
        </row>
        <row r="52">
          <cell r="A52">
            <v>2017</v>
          </cell>
          <cell r="B52">
            <v>374.15</v>
          </cell>
          <cell r="C52">
            <v>376.07799999999997</v>
          </cell>
          <cell r="D52">
            <v>376.44</v>
          </cell>
          <cell r="E52">
            <v>373.23099999999999</v>
          </cell>
          <cell r="F52">
            <v>373.63099999999997</v>
          </cell>
          <cell r="G52">
            <v>376.18200000000002</v>
          </cell>
          <cell r="H52">
            <v>380.30200000000002</v>
          </cell>
          <cell r="I52">
            <v>381.11399999999998</v>
          </cell>
          <cell r="J52">
            <v>377.86900000000003</v>
          </cell>
          <cell r="K52">
            <v>377.03800000000001</v>
          </cell>
          <cell r="L52">
            <v>378.32799999999997</v>
          </cell>
          <cell r="M52">
            <v>380.08699999999999</v>
          </cell>
          <cell r="N52">
            <v>377.03749999999991</v>
          </cell>
        </row>
        <row r="53">
          <cell r="A53">
            <v>2018</v>
          </cell>
          <cell r="B53">
            <v>380.846</v>
          </cell>
          <cell r="C53">
            <v>381.97500000000002</v>
          </cell>
          <cell r="D53">
            <v>381.80399999999997</v>
          </cell>
          <cell r="E53">
            <v>380.47899999999998</v>
          </cell>
          <cell r="F53">
            <v>383.73399999999998</v>
          </cell>
          <cell r="G53"/>
          <cell r="N53">
            <v>381.76760000000002</v>
          </cell>
        </row>
      </sheetData>
      <sheetData sheetId="3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1960</v>
          </cell>
          <cell r="B2">
            <v>54.2</v>
          </cell>
          <cell r="C2">
            <v>54.4</v>
          </cell>
          <cell r="D2">
            <v>53.8</v>
          </cell>
          <cell r="E2">
            <v>53.1</v>
          </cell>
          <cell r="F2">
            <v>54</v>
          </cell>
          <cell r="N2">
            <v>53.9</v>
          </cell>
        </row>
        <row r="3">
          <cell r="A3">
            <v>1961</v>
          </cell>
          <cell r="B3">
            <v>52.7</v>
          </cell>
          <cell r="C3">
            <v>52.4</v>
          </cell>
          <cell r="D3">
            <v>51.5</v>
          </cell>
          <cell r="E3">
            <v>51.4</v>
          </cell>
          <cell r="F3">
            <v>52.2</v>
          </cell>
          <cell r="N3">
            <v>52.04</v>
          </cell>
        </row>
        <row r="4">
          <cell r="A4">
            <v>1962</v>
          </cell>
          <cell r="B4">
            <v>50.7</v>
          </cell>
          <cell r="C4">
            <v>50.4</v>
          </cell>
          <cell r="D4">
            <v>49.3</v>
          </cell>
          <cell r="E4">
            <v>49.3</v>
          </cell>
          <cell r="F4">
            <v>50.1</v>
          </cell>
          <cell r="N4">
            <v>49.959999999999994</v>
          </cell>
        </row>
        <row r="5">
          <cell r="A5">
            <v>1963</v>
          </cell>
          <cell r="B5">
            <v>49.1</v>
          </cell>
          <cell r="C5">
            <v>49</v>
          </cell>
          <cell r="D5">
            <v>48.7</v>
          </cell>
          <cell r="E5">
            <v>48.6</v>
          </cell>
          <cell r="F5">
            <v>48.9</v>
          </cell>
          <cell r="N5">
            <v>48.86</v>
          </cell>
        </row>
        <row r="6">
          <cell r="A6">
            <v>1964</v>
          </cell>
          <cell r="B6">
            <v>48.4</v>
          </cell>
          <cell r="C6">
            <v>48</v>
          </cell>
          <cell r="D6">
            <v>48.3</v>
          </cell>
          <cell r="N6">
            <v>48.233333333333327</v>
          </cell>
        </row>
        <row r="7">
          <cell r="A7">
            <v>1965</v>
          </cell>
          <cell r="B7">
            <v>47.8</v>
          </cell>
          <cell r="C7">
            <v>47.7</v>
          </cell>
          <cell r="D7">
            <v>47.7</v>
          </cell>
          <cell r="E7">
            <v>47.8</v>
          </cell>
          <cell r="N7">
            <v>47.75</v>
          </cell>
        </row>
        <row r="8">
          <cell r="A8">
            <v>1966</v>
          </cell>
          <cell r="B8">
            <v>47.8</v>
          </cell>
          <cell r="C8">
            <v>47.6</v>
          </cell>
          <cell r="D8">
            <v>47.6</v>
          </cell>
          <cell r="E8">
            <v>47.5</v>
          </cell>
          <cell r="F8">
            <v>47.7</v>
          </cell>
          <cell r="N8">
            <v>47.64</v>
          </cell>
        </row>
        <row r="9">
          <cell r="A9">
            <v>1967</v>
          </cell>
          <cell r="B9">
            <v>47.1</v>
          </cell>
          <cell r="C9">
            <v>46.7</v>
          </cell>
          <cell r="D9">
            <v>46.6</v>
          </cell>
          <cell r="E9">
            <v>46.5</v>
          </cell>
          <cell r="F9">
            <v>46.8</v>
          </cell>
          <cell r="N9">
            <v>46.739999999999995</v>
          </cell>
        </row>
        <row r="10">
          <cell r="A10">
            <v>1968</v>
          </cell>
          <cell r="B10">
            <v>46.2</v>
          </cell>
          <cell r="C10">
            <v>45.9</v>
          </cell>
          <cell r="D10">
            <v>45.8</v>
          </cell>
          <cell r="E10">
            <v>46.1</v>
          </cell>
          <cell r="F10">
            <v>46</v>
          </cell>
          <cell r="N10">
            <v>45.999999999999993</v>
          </cell>
        </row>
        <row r="11">
          <cell r="A11">
            <v>1969</v>
          </cell>
          <cell r="B11">
            <v>46.2</v>
          </cell>
          <cell r="C11">
            <v>46.3</v>
          </cell>
          <cell r="D11">
            <v>46.4</v>
          </cell>
          <cell r="E11">
            <v>46.4</v>
          </cell>
          <cell r="F11">
            <v>46.6</v>
          </cell>
          <cell r="G11">
            <v>46.6</v>
          </cell>
          <cell r="H11">
            <v>46.6</v>
          </cell>
          <cell r="I11">
            <v>46.7</v>
          </cell>
          <cell r="J11">
            <v>46.7</v>
          </cell>
          <cell r="K11">
            <v>46.8</v>
          </cell>
          <cell r="L11">
            <v>46.8</v>
          </cell>
          <cell r="M11">
            <v>46.9</v>
          </cell>
          <cell r="N11">
            <v>46.583333333333336</v>
          </cell>
        </row>
        <row r="12">
          <cell r="A12">
            <v>1970</v>
          </cell>
          <cell r="B12">
            <v>47</v>
          </cell>
          <cell r="C12">
            <v>47.2</v>
          </cell>
          <cell r="D12">
            <v>47.2</v>
          </cell>
          <cell r="E12">
            <v>47.5</v>
          </cell>
          <cell r="F12">
            <v>47.6</v>
          </cell>
          <cell r="G12">
            <v>47.7</v>
          </cell>
          <cell r="H12">
            <v>47.7</v>
          </cell>
          <cell r="I12">
            <v>47.8</v>
          </cell>
          <cell r="J12">
            <v>47.7</v>
          </cell>
          <cell r="K12">
            <v>47.3</v>
          </cell>
          <cell r="L12">
            <v>47</v>
          </cell>
          <cell r="M12">
            <v>46.9</v>
          </cell>
          <cell r="N12">
            <v>47.383333333333333</v>
          </cell>
        </row>
        <row r="13">
          <cell r="A13">
            <v>1971</v>
          </cell>
          <cell r="B13">
            <v>47.1</v>
          </cell>
          <cell r="C13">
            <v>47.2</v>
          </cell>
          <cell r="D13">
            <v>47.1</v>
          </cell>
          <cell r="E13">
            <v>47.1</v>
          </cell>
          <cell r="F13">
            <v>47.3</v>
          </cell>
          <cell r="G13">
            <v>47.4</v>
          </cell>
          <cell r="H13">
            <v>47.6</v>
          </cell>
          <cell r="I13">
            <v>47.6</v>
          </cell>
          <cell r="J13">
            <v>47.7</v>
          </cell>
          <cell r="K13">
            <v>47.6</v>
          </cell>
          <cell r="L13">
            <v>47.6</v>
          </cell>
          <cell r="M13">
            <v>47.6</v>
          </cell>
          <cell r="N13">
            <v>47.408333333333339</v>
          </cell>
        </row>
        <row r="14">
          <cell r="A14">
            <v>1972</v>
          </cell>
          <cell r="B14">
            <v>47.5</v>
          </cell>
          <cell r="C14">
            <v>47.4</v>
          </cell>
          <cell r="D14">
            <v>47.3</v>
          </cell>
          <cell r="E14">
            <v>47.2</v>
          </cell>
          <cell r="F14">
            <v>47.1</v>
          </cell>
          <cell r="G14">
            <v>47.2</v>
          </cell>
          <cell r="H14">
            <v>47.2</v>
          </cell>
          <cell r="I14">
            <v>47.2</v>
          </cell>
          <cell r="J14">
            <v>47.1</v>
          </cell>
          <cell r="K14">
            <v>47.1</v>
          </cell>
          <cell r="L14">
            <v>47.1</v>
          </cell>
          <cell r="M14">
            <v>47.1</v>
          </cell>
          <cell r="N14">
            <v>47.208333333333336</v>
          </cell>
        </row>
        <row r="15">
          <cell r="A15">
            <v>1973</v>
          </cell>
          <cell r="B15">
            <v>47.1</v>
          </cell>
          <cell r="C15">
            <v>47.2</v>
          </cell>
          <cell r="D15">
            <v>46.9</v>
          </cell>
          <cell r="E15">
            <v>47</v>
          </cell>
          <cell r="F15">
            <v>47</v>
          </cell>
          <cell r="G15">
            <v>47</v>
          </cell>
          <cell r="H15">
            <v>47</v>
          </cell>
          <cell r="I15">
            <v>47.1</v>
          </cell>
          <cell r="J15">
            <v>47.1</v>
          </cell>
          <cell r="K15">
            <v>47.1</v>
          </cell>
          <cell r="L15">
            <v>47.1</v>
          </cell>
          <cell r="M15">
            <v>47.1</v>
          </cell>
          <cell r="N15">
            <v>47.058333333333344</v>
          </cell>
        </row>
        <row r="16">
          <cell r="A16">
            <v>1974</v>
          </cell>
          <cell r="B16">
            <v>47.3</v>
          </cell>
          <cell r="C16">
            <v>47.4</v>
          </cell>
          <cell r="D16">
            <v>47.5</v>
          </cell>
          <cell r="E16">
            <v>47.6</v>
          </cell>
          <cell r="F16">
            <v>47.6</v>
          </cell>
          <cell r="G16">
            <v>47.8</v>
          </cell>
          <cell r="H16">
            <v>48.1</v>
          </cell>
          <cell r="I16">
            <v>48.5</v>
          </cell>
          <cell r="J16">
            <v>48.7</v>
          </cell>
          <cell r="K16">
            <v>49</v>
          </cell>
          <cell r="L16">
            <v>49.3</v>
          </cell>
          <cell r="M16">
            <v>49.6</v>
          </cell>
          <cell r="N16">
            <v>48.199999999999996</v>
          </cell>
        </row>
        <row r="17">
          <cell r="A17">
            <v>1975</v>
          </cell>
          <cell r="B17">
            <v>50</v>
          </cell>
          <cell r="C17">
            <v>50.3</v>
          </cell>
          <cell r="D17">
            <v>50.4</v>
          </cell>
          <cell r="E17">
            <v>50.6</v>
          </cell>
          <cell r="F17">
            <v>50.8</v>
          </cell>
          <cell r="G17">
            <v>51</v>
          </cell>
          <cell r="H17">
            <v>51.3</v>
          </cell>
          <cell r="I17">
            <v>51.5</v>
          </cell>
          <cell r="J17">
            <v>51.7</v>
          </cell>
          <cell r="K17">
            <v>51.9</v>
          </cell>
          <cell r="L17">
            <v>52.1</v>
          </cell>
          <cell r="M17">
            <v>52.4</v>
          </cell>
          <cell r="N17">
            <v>51.166666666666657</v>
          </cell>
        </row>
        <row r="18">
          <cell r="A18">
            <v>1976</v>
          </cell>
          <cell r="B18">
            <v>52.6</v>
          </cell>
          <cell r="C18">
            <v>53</v>
          </cell>
          <cell r="D18">
            <v>53.2</v>
          </cell>
          <cell r="E18">
            <v>53.5</v>
          </cell>
          <cell r="F18">
            <v>53.8</v>
          </cell>
          <cell r="G18">
            <v>53.9</v>
          </cell>
          <cell r="H18">
            <v>54.2</v>
          </cell>
          <cell r="I18">
            <v>54.3</v>
          </cell>
          <cell r="J18">
            <v>54.5</v>
          </cell>
          <cell r="K18">
            <v>54.6</v>
          </cell>
          <cell r="L18">
            <v>54.8</v>
          </cell>
          <cell r="M18">
            <v>55</v>
          </cell>
          <cell r="N18">
            <v>53.949999999999996</v>
          </cell>
        </row>
        <row r="19">
          <cell r="A19">
            <v>1977</v>
          </cell>
          <cell r="B19">
            <v>55.3</v>
          </cell>
          <cell r="C19">
            <v>55.9</v>
          </cell>
          <cell r="D19">
            <v>56.2</v>
          </cell>
          <cell r="E19">
            <v>56.5</v>
          </cell>
          <cell r="F19">
            <v>56.7</v>
          </cell>
          <cell r="G19">
            <v>57.1</v>
          </cell>
          <cell r="H19">
            <v>57.2</v>
          </cell>
          <cell r="I19">
            <v>57.5</v>
          </cell>
          <cell r="J19">
            <v>57.8</v>
          </cell>
          <cell r="K19">
            <v>58.3</v>
          </cell>
          <cell r="L19">
            <v>58.7</v>
          </cell>
          <cell r="M19">
            <v>58.9</v>
          </cell>
          <cell r="N19">
            <v>57.175000000000004</v>
          </cell>
        </row>
        <row r="20">
          <cell r="A20">
            <v>1978</v>
          </cell>
          <cell r="B20">
            <v>59.5</v>
          </cell>
          <cell r="C20">
            <v>60.2</v>
          </cell>
          <cell r="D20">
            <v>60.6</v>
          </cell>
          <cell r="E20">
            <v>60.9</v>
          </cell>
          <cell r="F20">
            <v>61.2</v>
          </cell>
          <cell r="G20">
            <v>61.5</v>
          </cell>
          <cell r="H20">
            <v>61.8</v>
          </cell>
          <cell r="I20">
            <v>62</v>
          </cell>
          <cell r="J20">
            <v>62.2</v>
          </cell>
          <cell r="K20">
            <v>62.7</v>
          </cell>
          <cell r="L20">
            <v>63.2</v>
          </cell>
          <cell r="M20">
            <v>63.8</v>
          </cell>
          <cell r="N20">
            <v>61.633333333333347</v>
          </cell>
        </row>
        <row r="21">
          <cell r="A21">
            <v>1979</v>
          </cell>
          <cell r="B21">
            <v>64.3</v>
          </cell>
          <cell r="C21">
            <v>64.8</v>
          </cell>
          <cell r="D21">
            <v>65.2</v>
          </cell>
          <cell r="E21">
            <v>65.5</v>
          </cell>
          <cell r="F21">
            <v>65.8</v>
          </cell>
          <cell r="G21">
            <v>66.2</v>
          </cell>
          <cell r="H21">
            <v>66.400000000000006</v>
          </cell>
          <cell r="I21">
            <v>66.900000000000006</v>
          </cell>
          <cell r="J21">
            <v>67.2</v>
          </cell>
          <cell r="K21">
            <v>67.7</v>
          </cell>
          <cell r="L21">
            <v>68.099999999999994</v>
          </cell>
          <cell r="M21">
            <v>68.5</v>
          </cell>
          <cell r="N21">
            <v>66.38333333333334</v>
          </cell>
        </row>
        <row r="22">
          <cell r="A22">
            <v>1980</v>
          </cell>
          <cell r="B22">
            <v>69.2</v>
          </cell>
          <cell r="C22">
            <v>70.099999999999994</v>
          </cell>
          <cell r="D22">
            <v>70.599999999999994</v>
          </cell>
          <cell r="E22">
            <v>71.3</v>
          </cell>
          <cell r="F22">
            <v>71.900000000000006</v>
          </cell>
          <cell r="G22">
            <v>72.5</v>
          </cell>
          <cell r="H22">
            <v>72.8</v>
          </cell>
          <cell r="I22">
            <v>73.2</v>
          </cell>
          <cell r="J22">
            <v>73.7</v>
          </cell>
          <cell r="K22">
            <v>74.2</v>
          </cell>
          <cell r="L22">
            <v>74.7</v>
          </cell>
          <cell r="M22">
            <v>75.2</v>
          </cell>
          <cell r="N22">
            <v>72.450000000000017</v>
          </cell>
        </row>
        <row r="23">
          <cell r="A23">
            <v>1981</v>
          </cell>
          <cell r="B23">
            <v>76.2</v>
          </cell>
          <cell r="C23">
            <v>77.2</v>
          </cell>
          <cell r="D23">
            <v>78</v>
          </cell>
          <cell r="E23">
            <v>78.900000000000006</v>
          </cell>
          <cell r="F23">
            <v>79.8</v>
          </cell>
          <cell r="G23">
            <v>80.7</v>
          </cell>
          <cell r="H23">
            <v>81.3</v>
          </cell>
          <cell r="I23">
            <v>82.1</v>
          </cell>
          <cell r="J23">
            <v>82.6</v>
          </cell>
          <cell r="K23">
            <v>83.6</v>
          </cell>
          <cell r="L23">
            <v>84.1</v>
          </cell>
          <cell r="M23">
            <v>84.7</v>
          </cell>
          <cell r="N23">
            <v>80.76666666666668</v>
          </cell>
        </row>
        <row r="24">
          <cell r="A24">
            <v>1982</v>
          </cell>
          <cell r="B24">
            <v>85.2</v>
          </cell>
          <cell r="C24">
            <v>86</v>
          </cell>
          <cell r="D24">
            <v>87.1</v>
          </cell>
          <cell r="E24">
            <v>88.4</v>
          </cell>
          <cell r="F24">
            <v>89.1</v>
          </cell>
          <cell r="G24">
            <v>89.8</v>
          </cell>
          <cell r="H24">
            <v>90.5</v>
          </cell>
          <cell r="I24">
            <v>91.6</v>
          </cell>
          <cell r="J24">
            <v>92.3</v>
          </cell>
          <cell r="K24">
            <v>93.4</v>
          </cell>
          <cell r="L24">
            <v>94.1</v>
          </cell>
          <cell r="M24">
            <v>94.9</v>
          </cell>
          <cell r="N24">
            <v>90.199999999999989</v>
          </cell>
        </row>
        <row r="25">
          <cell r="A25">
            <v>1983</v>
          </cell>
          <cell r="B25">
            <v>95.6</v>
          </cell>
          <cell r="C25">
            <v>96.4</v>
          </cell>
          <cell r="D25">
            <v>97.7</v>
          </cell>
          <cell r="E25">
            <v>99.1</v>
          </cell>
          <cell r="F25">
            <v>99.7</v>
          </cell>
          <cell r="G25">
            <v>100</v>
          </cell>
          <cell r="H25">
            <v>100.4</v>
          </cell>
          <cell r="I25">
            <v>101</v>
          </cell>
          <cell r="J25">
            <v>101.5</v>
          </cell>
          <cell r="K25">
            <v>102.3</v>
          </cell>
          <cell r="L25">
            <v>103.4</v>
          </cell>
          <cell r="M25">
            <v>104.1</v>
          </cell>
          <cell r="N25">
            <v>100.09999999999998</v>
          </cell>
        </row>
        <row r="26">
          <cell r="A26">
            <v>1984</v>
          </cell>
          <cell r="B26">
            <v>104.7</v>
          </cell>
          <cell r="C26">
            <v>106</v>
          </cell>
          <cell r="D26">
            <v>106.8</v>
          </cell>
          <cell r="E26">
            <v>108</v>
          </cell>
          <cell r="F26">
            <v>109.1</v>
          </cell>
          <cell r="G26">
            <v>109.3</v>
          </cell>
          <cell r="H26">
            <v>110</v>
          </cell>
          <cell r="I26">
            <v>110.8</v>
          </cell>
          <cell r="J26">
            <v>111.4</v>
          </cell>
          <cell r="K26">
            <v>112.5</v>
          </cell>
          <cell r="L26">
            <v>113.4</v>
          </cell>
          <cell r="M26">
            <v>114.4</v>
          </cell>
          <cell r="N26">
            <v>109.7</v>
          </cell>
        </row>
        <row r="27">
          <cell r="A27">
            <v>1985</v>
          </cell>
          <cell r="B27">
            <v>114.9</v>
          </cell>
          <cell r="C27">
            <v>115.9</v>
          </cell>
          <cell r="D27">
            <v>117.5</v>
          </cell>
          <cell r="E27">
            <v>118.7</v>
          </cell>
          <cell r="F27">
            <v>119.2</v>
          </cell>
          <cell r="G27">
            <v>120.2</v>
          </cell>
          <cell r="H27">
            <v>121</v>
          </cell>
          <cell r="I27">
            <v>121.5</v>
          </cell>
          <cell r="J27">
            <v>122.1</v>
          </cell>
          <cell r="K27">
            <v>122.9</v>
          </cell>
          <cell r="L27">
            <v>123.5</v>
          </cell>
          <cell r="M27">
            <v>123.8</v>
          </cell>
          <cell r="N27">
            <v>120.10000000000001</v>
          </cell>
        </row>
        <row r="28">
          <cell r="A28">
            <v>1986</v>
          </cell>
          <cell r="B28">
            <v>124.5</v>
          </cell>
          <cell r="C28">
            <v>126.4</v>
          </cell>
          <cell r="D28">
            <v>127.9</v>
          </cell>
          <cell r="E28">
            <v>128.69999999999999</v>
          </cell>
          <cell r="F28">
            <v>129.4</v>
          </cell>
          <cell r="G28">
            <v>130.30000000000001</v>
          </cell>
          <cell r="H28">
            <v>131.5</v>
          </cell>
          <cell r="I28">
            <v>132</v>
          </cell>
          <cell r="J28">
            <v>132.5</v>
          </cell>
          <cell r="K28">
            <v>133</v>
          </cell>
          <cell r="L28">
            <v>133.9</v>
          </cell>
          <cell r="M28">
            <v>134.9</v>
          </cell>
          <cell r="N28">
            <v>130.41666666666669</v>
          </cell>
        </row>
        <row r="29">
          <cell r="A29">
            <v>1987</v>
          </cell>
          <cell r="B29">
            <v>135.80000000000001</v>
          </cell>
          <cell r="C29">
            <v>136.6</v>
          </cell>
          <cell r="D29">
            <v>137.80000000000001</v>
          </cell>
          <cell r="E29">
            <v>138.69999999999999</v>
          </cell>
          <cell r="F29">
            <v>139.80000000000001</v>
          </cell>
          <cell r="G29">
            <v>140.30000000000001</v>
          </cell>
          <cell r="H29">
            <v>141.4</v>
          </cell>
          <cell r="I29">
            <v>142.1</v>
          </cell>
          <cell r="J29">
            <v>143</v>
          </cell>
          <cell r="K29">
            <v>144</v>
          </cell>
          <cell r="L29">
            <v>145</v>
          </cell>
          <cell r="M29">
            <v>145.69999999999999</v>
          </cell>
          <cell r="N29">
            <v>140.85</v>
          </cell>
        </row>
        <row r="30">
          <cell r="A30">
            <v>1988</v>
          </cell>
          <cell r="B30">
            <v>146.69999999999999</v>
          </cell>
          <cell r="C30">
            <v>147.80000000000001</v>
          </cell>
          <cell r="D30">
            <v>148.6</v>
          </cell>
          <cell r="E30">
            <v>149.6</v>
          </cell>
          <cell r="F30">
            <v>150.9</v>
          </cell>
          <cell r="G30">
            <v>151.5</v>
          </cell>
          <cell r="H30">
            <v>152.80000000000001</v>
          </cell>
          <cell r="I30">
            <v>153.30000000000001</v>
          </cell>
          <cell r="J30">
            <v>154.19999999999999</v>
          </cell>
          <cell r="K30">
            <v>155.6</v>
          </cell>
          <cell r="L30">
            <v>156.1</v>
          </cell>
          <cell r="M30">
            <v>157.1</v>
          </cell>
          <cell r="N30">
            <v>152.01666666666665</v>
          </cell>
        </row>
        <row r="31">
          <cell r="A31">
            <v>1989</v>
          </cell>
          <cell r="B31">
            <v>158.4</v>
          </cell>
          <cell r="C31">
            <v>159</v>
          </cell>
          <cell r="D31">
            <v>160.80000000000001</v>
          </cell>
          <cell r="E31">
            <v>162</v>
          </cell>
          <cell r="F31">
            <v>163.9</v>
          </cell>
          <cell r="G31">
            <v>165.3</v>
          </cell>
          <cell r="H31">
            <v>166.1</v>
          </cell>
          <cell r="I31">
            <v>167.1</v>
          </cell>
          <cell r="J31">
            <v>168.4</v>
          </cell>
          <cell r="K31">
            <v>169.2</v>
          </cell>
          <cell r="L31">
            <v>170.6</v>
          </cell>
          <cell r="M31">
            <v>172</v>
          </cell>
          <cell r="N31">
            <v>165.23333333333332</v>
          </cell>
        </row>
        <row r="32">
          <cell r="A32">
            <v>1990</v>
          </cell>
          <cell r="B32">
            <v>173.2</v>
          </cell>
          <cell r="C32">
            <v>175.6</v>
          </cell>
          <cell r="D32">
            <v>177.8</v>
          </cell>
          <cell r="E32">
            <v>178.9</v>
          </cell>
          <cell r="F32">
            <v>180.1</v>
          </cell>
          <cell r="G32">
            <v>181.5</v>
          </cell>
          <cell r="H32">
            <v>183.1</v>
          </cell>
          <cell r="I32">
            <v>183.7</v>
          </cell>
          <cell r="J32">
            <v>184.6</v>
          </cell>
          <cell r="K32">
            <v>185.9</v>
          </cell>
          <cell r="L32">
            <v>186.8</v>
          </cell>
          <cell r="M32">
            <v>189</v>
          </cell>
          <cell r="N32">
            <v>181.68333333333331</v>
          </cell>
        </row>
        <row r="33">
          <cell r="A33">
            <v>1991</v>
          </cell>
          <cell r="B33">
            <v>190.9</v>
          </cell>
          <cell r="C33">
            <v>192.9</v>
          </cell>
          <cell r="D33">
            <v>195</v>
          </cell>
          <cell r="E33">
            <v>195.9</v>
          </cell>
          <cell r="F33">
            <v>197.7</v>
          </cell>
          <cell r="G33">
            <v>199.3</v>
          </cell>
          <cell r="H33">
            <v>200.6</v>
          </cell>
          <cell r="I33">
            <v>202.5</v>
          </cell>
          <cell r="J33">
            <v>204.2</v>
          </cell>
          <cell r="K33">
            <v>204.6</v>
          </cell>
          <cell r="L33">
            <v>205.6</v>
          </cell>
          <cell r="M33">
            <v>206.7</v>
          </cell>
          <cell r="N33">
            <v>199.6583333333333</v>
          </cell>
        </row>
        <row r="34">
          <cell r="A34">
            <v>1992</v>
          </cell>
          <cell r="B34">
            <v>208.7</v>
          </cell>
          <cell r="C34">
            <v>211.1</v>
          </cell>
          <cell r="D34">
            <v>212.9</v>
          </cell>
          <cell r="E34">
            <v>214.4</v>
          </cell>
          <cell r="F34">
            <v>214.5</v>
          </cell>
          <cell r="G34">
            <v>214.5</v>
          </cell>
          <cell r="H34">
            <v>215.2</v>
          </cell>
          <cell r="I34">
            <v>215.4</v>
          </cell>
          <cell r="J34">
            <v>216.2</v>
          </cell>
          <cell r="K34">
            <v>217.4</v>
          </cell>
          <cell r="L34">
            <v>218</v>
          </cell>
          <cell r="M34">
            <v>218.5</v>
          </cell>
          <cell r="N34">
            <v>214.73333333333335</v>
          </cell>
        </row>
        <row r="35">
          <cell r="A35">
            <v>1993</v>
          </cell>
          <cell r="B35">
            <v>219.8</v>
          </cell>
          <cell r="C35">
            <v>221.6</v>
          </cell>
          <cell r="D35">
            <v>222.8</v>
          </cell>
          <cell r="E35">
            <v>221.2</v>
          </cell>
          <cell r="F35">
            <v>221.5</v>
          </cell>
          <cell r="G35">
            <v>222.2</v>
          </cell>
          <cell r="H35">
            <v>223.3</v>
          </cell>
          <cell r="I35">
            <v>223.9</v>
          </cell>
          <cell r="J35">
            <v>224.4</v>
          </cell>
          <cell r="K35">
            <v>224.7</v>
          </cell>
          <cell r="L35">
            <v>225.2</v>
          </cell>
          <cell r="M35">
            <v>225.7</v>
          </cell>
          <cell r="N35">
            <v>223.02499999999998</v>
          </cell>
        </row>
        <row r="36">
          <cell r="A36">
            <v>1994</v>
          </cell>
          <cell r="B36">
            <v>226.6</v>
          </cell>
          <cell r="C36">
            <v>228.2</v>
          </cell>
          <cell r="D36">
            <v>229.1</v>
          </cell>
          <cell r="E36">
            <v>229.7</v>
          </cell>
          <cell r="F36">
            <v>230.7</v>
          </cell>
          <cell r="G36">
            <v>231.1</v>
          </cell>
          <cell r="H36">
            <v>230.7</v>
          </cell>
          <cell r="I36">
            <v>231</v>
          </cell>
          <cell r="J36">
            <v>231.3</v>
          </cell>
          <cell r="K36">
            <v>232.3</v>
          </cell>
          <cell r="L36">
            <v>232.9</v>
          </cell>
          <cell r="M36">
            <v>233.2</v>
          </cell>
          <cell r="N36">
            <v>230.56666666666669</v>
          </cell>
        </row>
        <row r="37">
          <cell r="A37">
            <v>1995</v>
          </cell>
          <cell r="B37">
            <v>233</v>
          </cell>
          <cell r="C37">
            <v>233.6</v>
          </cell>
          <cell r="D37">
            <v>233.6</v>
          </cell>
          <cell r="E37">
            <v>233.5</v>
          </cell>
          <cell r="F37">
            <v>233.9</v>
          </cell>
          <cell r="G37">
            <v>234.4</v>
          </cell>
          <cell r="H37">
            <v>235</v>
          </cell>
          <cell r="I37">
            <v>235.4</v>
          </cell>
          <cell r="J37">
            <v>235.7</v>
          </cell>
          <cell r="K37">
            <v>236.7</v>
          </cell>
          <cell r="L37">
            <v>237.7</v>
          </cell>
          <cell r="M37">
            <v>237.8</v>
          </cell>
          <cell r="N37">
            <v>235.02500000000001</v>
          </cell>
        </row>
        <row r="38">
          <cell r="A38">
            <v>1996</v>
          </cell>
          <cell r="B38">
            <v>238.9</v>
          </cell>
          <cell r="C38">
            <v>240.2</v>
          </cell>
          <cell r="D38">
            <v>241.1</v>
          </cell>
          <cell r="E38">
            <v>242</v>
          </cell>
          <cell r="F38">
            <v>242.1</v>
          </cell>
          <cell r="G38">
            <v>242.9</v>
          </cell>
          <cell r="H38">
            <v>243.3</v>
          </cell>
          <cell r="I38">
            <v>243.9</v>
          </cell>
          <cell r="J38">
            <v>243.9</v>
          </cell>
          <cell r="K38">
            <v>245.5</v>
          </cell>
          <cell r="L38">
            <v>245.1</v>
          </cell>
          <cell r="M38">
            <v>245.4</v>
          </cell>
          <cell r="N38">
            <v>242.85833333333335</v>
          </cell>
        </row>
        <row r="39">
          <cell r="A39">
            <v>1997</v>
          </cell>
          <cell r="B39">
            <v>246.5</v>
          </cell>
          <cell r="C39">
            <v>247.6</v>
          </cell>
          <cell r="D39">
            <v>248.6</v>
          </cell>
          <cell r="E39">
            <v>249.2</v>
          </cell>
          <cell r="F39">
            <v>249.9</v>
          </cell>
          <cell r="G39">
            <v>250.4</v>
          </cell>
          <cell r="H39">
            <v>250</v>
          </cell>
          <cell r="I39">
            <v>249.4</v>
          </cell>
          <cell r="J39">
            <v>249.3</v>
          </cell>
          <cell r="K39">
            <v>249</v>
          </cell>
          <cell r="L39">
            <v>249.7</v>
          </cell>
          <cell r="M39">
            <v>251.5</v>
          </cell>
          <cell r="N39">
            <v>249.25833333333335</v>
          </cell>
        </row>
        <row r="40">
          <cell r="A40">
            <v>1998</v>
          </cell>
          <cell r="B40">
            <v>252.4</v>
          </cell>
          <cell r="C40">
            <v>253.7</v>
          </cell>
          <cell r="D40">
            <v>253.9</v>
          </cell>
          <cell r="E40">
            <v>255.9</v>
          </cell>
          <cell r="F40">
            <v>258.2</v>
          </cell>
          <cell r="G40">
            <v>258.7</v>
          </cell>
          <cell r="H40">
            <v>259.39999999999998</v>
          </cell>
          <cell r="I40">
            <v>260.5</v>
          </cell>
          <cell r="J40">
            <v>261.8</v>
          </cell>
          <cell r="K40">
            <v>262.39999999999998</v>
          </cell>
          <cell r="L40">
            <v>262.8</v>
          </cell>
          <cell r="M40">
            <v>263.8</v>
          </cell>
          <cell r="N40">
            <v>258.62500000000006</v>
          </cell>
        </row>
        <row r="41">
          <cell r="A41">
            <v>1999</v>
          </cell>
          <cell r="B41">
            <v>265.5</v>
          </cell>
          <cell r="C41">
            <v>267.39999999999998</v>
          </cell>
          <cell r="D41">
            <v>268.60000000000002</v>
          </cell>
          <cell r="E41">
            <v>270.8</v>
          </cell>
          <cell r="F41">
            <v>271.8</v>
          </cell>
          <cell r="G41">
            <v>273.39999999999998</v>
          </cell>
          <cell r="H41">
            <v>274.39999999999998</v>
          </cell>
          <cell r="I41">
            <v>276.10000000000002</v>
          </cell>
          <cell r="J41">
            <v>276.39999999999998</v>
          </cell>
          <cell r="K41">
            <v>277.3</v>
          </cell>
          <cell r="L41">
            <v>278.89999999999998</v>
          </cell>
          <cell r="M41">
            <v>279.89999999999998</v>
          </cell>
          <cell r="N41">
            <v>273.37500000000006</v>
          </cell>
        </row>
        <row r="42">
          <cell r="A42">
            <v>2000</v>
          </cell>
          <cell r="B42">
            <v>280.89999999999998</v>
          </cell>
          <cell r="C42">
            <v>281.5</v>
          </cell>
          <cell r="D42">
            <v>282.7</v>
          </cell>
          <cell r="E42">
            <v>284.10000000000002</v>
          </cell>
          <cell r="F42">
            <v>284</v>
          </cell>
          <cell r="G42">
            <v>285.10000000000002</v>
          </cell>
          <cell r="H42">
            <v>286</v>
          </cell>
          <cell r="I42">
            <v>287.2</v>
          </cell>
          <cell r="J42">
            <v>287.3</v>
          </cell>
          <cell r="K42">
            <v>287.8</v>
          </cell>
          <cell r="L42">
            <v>288.5</v>
          </cell>
          <cell r="M42">
            <v>290</v>
          </cell>
          <cell r="N42">
            <v>285.42500000000001</v>
          </cell>
        </row>
        <row r="43">
          <cell r="A43">
            <v>2001</v>
          </cell>
          <cell r="B43">
            <v>292.10000000000002</v>
          </cell>
          <cell r="C43">
            <v>294.8</v>
          </cell>
          <cell r="D43">
            <v>296.5</v>
          </cell>
          <cell r="E43">
            <v>297.8</v>
          </cell>
          <cell r="F43">
            <v>298.5</v>
          </cell>
          <cell r="G43">
            <v>300.7</v>
          </cell>
          <cell r="H43">
            <v>302.3</v>
          </cell>
          <cell r="I43">
            <v>303.39999999999998</v>
          </cell>
          <cell r="J43">
            <v>304.8</v>
          </cell>
          <cell r="K43">
            <v>305.7</v>
          </cell>
          <cell r="L43">
            <v>306.3</v>
          </cell>
          <cell r="M43">
            <v>307.3</v>
          </cell>
          <cell r="N43">
            <v>300.85000000000008</v>
          </cell>
        </row>
        <row r="44">
          <cell r="A44">
            <v>2002</v>
          </cell>
          <cell r="B44">
            <v>309.10000000000002</v>
          </cell>
          <cell r="C44">
            <v>312</v>
          </cell>
          <cell r="D44">
            <v>312.8</v>
          </cell>
          <cell r="E44">
            <v>314.10000000000002</v>
          </cell>
          <cell r="F44">
            <v>315.3</v>
          </cell>
          <cell r="G44">
            <v>317</v>
          </cell>
          <cell r="H44">
            <v>318.2</v>
          </cell>
          <cell r="I44">
            <v>318.2</v>
          </cell>
          <cell r="J44">
            <v>318.89999999999998</v>
          </cell>
          <cell r="K44">
            <v>320</v>
          </cell>
          <cell r="L44">
            <v>321</v>
          </cell>
          <cell r="M44">
            <v>321.2</v>
          </cell>
          <cell r="N44">
            <v>316.48333333333329</v>
          </cell>
        </row>
        <row r="45">
          <cell r="A45">
            <v>2003</v>
          </cell>
          <cell r="B45">
            <v>323.2</v>
          </cell>
          <cell r="C45">
            <v>323.60000000000002</v>
          </cell>
          <cell r="D45">
            <v>324.5</v>
          </cell>
          <cell r="E45">
            <v>324.7</v>
          </cell>
          <cell r="F45">
            <v>324.60000000000002</v>
          </cell>
          <cell r="G45">
            <v>325</v>
          </cell>
          <cell r="H45">
            <v>326.8</v>
          </cell>
          <cell r="I45">
            <v>327.7</v>
          </cell>
          <cell r="J45">
            <v>328.8</v>
          </cell>
          <cell r="K45">
            <v>329.1</v>
          </cell>
          <cell r="L45">
            <v>328.1</v>
          </cell>
          <cell r="M45">
            <v>329.1</v>
          </cell>
          <cell r="N45">
            <v>326.26666666666665</v>
          </cell>
        </row>
        <row r="46">
          <cell r="A46">
            <v>2004</v>
          </cell>
          <cell r="B46">
            <v>330.4</v>
          </cell>
          <cell r="C46">
            <v>332.5</v>
          </cell>
          <cell r="D46">
            <v>333.6</v>
          </cell>
          <cell r="E46">
            <v>335.3</v>
          </cell>
          <cell r="F46">
            <v>336.8</v>
          </cell>
          <cell r="G46">
            <v>337.7</v>
          </cell>
          <cell r="H46">
            <v>338.4</v>
          </cell>
          <cell r="I46">
            <v>338.7</v>
          </cell>
          <cell r="J46">
            <v>339.7</v>
          </cell>
          <cell r="K46">
            <v>340.7</v>
          </cell>
          <cell r="L46">
            <v>340.5</v>
          </cell>
          <cell r="M46">
            <v>340.7</v>
          </cell>
          <cell r="N46">
            <v>337.08333333333326</v>
          </cell>
        </row>
        <row r="47">
          <cell r="A47">
            <v>2005</v>
          </cell>
          <cell r="B47">
            <v>342.6</v>
          </cell>
          <cell r="C47">
            <v>344.5</v>
          </cell>
          <cell r="D47">
            <v>344.5</v>
          </cell>
          <cell r="E47">
            <v>344.8</v>
          </cell>
          <cell r="F47">
            <v>346.8</v>
          </cell>
          <cell r="G47">
            <v>348.6</v>
          </cell>
          <cell r="H47">
            <v>349.9</v>
          </cell>
          <cell r="I47">
            <v>350.7</v>
          </cell>
          <cell r="J47">
            <v>351.8</v>
          </cell>
          <cell r="K47">
            <v>353.2</v>
          </cell>
          <cell r="L47">
            <v>355.1</v>
          </cell>
          <cell r="M47">
            <v>355.7</v>
          </cell>
          <cell r="N47">
            <v>349.01666666666665</v>
          </cell>
        </row>
        <row r="48">
          <cell r="A48">
            <v>2006</v>
          </cell>
          <cell r="B48">
            <v>357.6</v>
          </cell>
          <cell r="C48">
            <v>359.9</v>
          </cell>
          <cell r="D48">
            <v>361.5</v>
          </cell>
          <cell r="E48">
            <v>362.7</v>
          </cell>
          <cell r="F48">
            <v>364.2</v>
          </cell>
          <cell r="G48">
            <v>365.2</v>
          </cell>
          <cell r="H48">
            <v>366.1</v>
          </cell>
          <cell r="I48">
            <v>367.2</v>
          </cell>
          <cell r="J48">
            <v>368.4</v>
          </cell>
          <cell r="K48">
            <v>367.7</v>
          </cell>
          <cell r="L48">
            <v>364.5</v>
          </cell>
          <cell r="M48">
            <v>362.3</v>
          </cell>
          <cell r="N48">
            <v>363.94166666666661</v>
          </cell>
        </row>
        <row r="49">
          <cell r="A49">
            <v>2007</v>
          </cell>
          <cell r="B49">
            <v>367.072</v>
          </cell>
          <cell r="C49">
            <v>366.55799999999999</v>
          </cell>
          <cell r="D49">
            <v>365.07799999999997</v>
          </cell>
          <cell r="E49">
            <v>366.83800000000002</v>
          </cell>
          <cell r="F49">
            <v>366.952</v>
          </cell>
          <cell r="G49">
            <v>366.78199999999998</v>
          </cell>
          <cell r="H49">
            <v>369.39</v>
          </cell>
          <cell r="I49">
            <v>370.721</v>
          </cell>
          <cell r="J49">
            <v>370.97199999999998</v>
          </cell>
          <cell r="K49">
            <v>371.85599999999999</v>
          </cell>
          <cell r="L49">
            <v>373.28</v>
          </cell>
          <cell r="M49">
            <v>374.38900000000001</v>
          </cell>
          <cell r="N49">
            <v>369.15733333333333</v>
          </cell>
        </row>
        <row r="50">
          <cell r="A50">
            <v>2008</v>
          </cell>
          <cell r="B50">
            <v>377.82799999999997</v>
          </cell>
          <cell r="C50">
            <v>379.31</v>
          </cell>
          <cell r="D50">
            <v>380.40699999999998</v>
          </cell>
          <cell r="E50">
            <v>379.61200000000002</v>
          </cell>
          <cell r="F50">
            <v>377.14400000000001</v>
          </cell>
          <cell r="G50">
            <v>377.42899999999997</v>
          </cell>
          <cell r="H50">
            <v>376.81299999999999</v>
          </cell>
          <cell r="I50">
            <v>376.38499999999999</v>
          </cell>
          <cell r="J50">
            <v>377.09399999999999</v>
          </cell>
          <cell r="K50">
            <v>377.95600000000002</v>
          </cell>
          <cell r="L50">
            <v>379.49099999999999</v>
          </cell>
          <cell r="M50">
            <v>379.94299999999998</v>
          </cell>
          <cell r="N50">
            <v>378.28433333333334</v>
          </cell>
        </row>
        <row r="51">
          <cell r="A51">
            <v>2009</v>
          </cell>
          <cell r="B51">
            <v>383.28</v>
          </cell>
          <cell r="C51">
            <v>386.45600000000002</v>
          </cell>
          <cell r="D51">
            <v>386.85899999999998</v>
          </cell>
          <cell r="E51">
            <v>388.71100000000001</v>
          </cell>
          <cell r="F51">
            <v>390.221</v>
          </cell>
          <cell r="G51">
            <v>390.55799999999999</v>
          </cell>
          <cell r="H51">
            <v>390.56299999999999</v>
          </cell>
          <cell r="I51">
            <v>392.79899999999998</v>
          </cell>
          <cell r="J51">
            <v>394.70699999999999</v>
          </cell>
          <cell r="K51">
            <v>395.75900000000001</v>
          </cell>
          <cell r="L51">
            <v>396.21600000000001</v>
          </cell>
          <cell r="M51">
            <v>396.52600000000001</v>
          </cell>
          <cell r="N51">
            <v>391.05458333333331</v>
          </cell>
        </row>
        <row r="52">
          <cell r="A52">
            <v>2010</v>
          </cell>
          <cell r="B52">
            <v>400.49799999999999</v>
          </cell>
          <cell r="C52">
            <v>404.09</v>
          </cell>
          <cell r="D52">
            <v>405.76299999999998</v>
          </cell>
          <cell r="E52">
            <v>406.61799999999999</v>
          </cell>
          <cell r="F52">
            <v>407.11</v>
          </cell>
          <cell r="G52">
            <v>407.56200000000001</v>
          </cell>
          <cell r="H52">
            <v>407.05799999999999</v>
          </cell>
          <cell r="I52">
            <v>409.1</v>
          </cell>
          <cell r="J52">
            <v>410.28899999999999</v>
          </cell>
          <cell r="K52">
            <v>410.94400000000002</v>
          </cell>
          <cell r="L52">
            <v>412.06900000000002</v>
          </cell>
          <cell r="M52">
            <v>412.786</v>
          </cell>
          <cell r="N52">
            <v>407.82391666666666</v>
          </cell>
        </row>
        <row r="53">
          <cell r="A53">
            <v>2011</v>
          </cell>
          <cell r="B53">
            <v>416.26600000000002</v>
          </cell>
          <cell r="C53">
            <v>420.32900000000001</v>
          </cell>
          <cell r="D53">
            <v>422.16800000000001</v>
          </cell>
          <cell r="E53">
            <v>424.26400000000001</v>
          </cell>
          <cell r="F53">
            <v>425.18900000000002</v>
          </cell>
          <cell r="G53">
            <v>424.76100000000002</v>
          </cell>
          <cell r="H53">
            <v>425.60399999999998</v>
          </cell>
          <cell r="I53">
            <v>426.77499999999998</v>
          </cell>
          <cell r="J53">
            <v>427.58499999999998</v>
          </cell>
          <cell r="K53">
            <v>428.29399999999998</v>
          </cell>
          <cell r="L53">
            <v>428.71800000000002</v>
          </cell>
          <cell r="M53">
            <v>429.81700000000001</v>
          </cell>
          <cell r="N53">
            <v>424.98083333333329</v>
          </cell>
        </row>
        <row r="54">
          <cell r="A54">
            <v>2012</v>
          </cell>
          <cell r="B54">
            <v>433.577</v>
          </cell>
          <cell r="C54">
            <v>438.45299999999997</v>
          </cell>
          <cell r="D54">
            <v>439.76100000000002</v>
          </cell>
          <cell r="E54">
            <v>439.78399999999999</v>
          </cell>
          <cell r="F54">
            <v>439.14</v>
          </cell>
          <cell r="G54">
            <v>439.459</v>
          </cell>
          <cell r="H54">
            <v>442.11500000000001</v>
          </cell>
          <cell r="I54">
            <v>443.86900000000003</v>
          </cell>
          <cell r="J54">
            <v>443.52800000000002</v>
          </cell>
          <cell r="K54">
            <v>443.60599999999999</v>
          </cell>
          <cell r="L54">
            <v>440.59100000000001</v>
          </cell>
          <cell r="M54">
            <v>437.90499999999997</v>
          </cell>
          <cell r="N54">
            <v>440.14899999999994</v>
          </cell>
        </row>
        <row r="55">
          <cell r="A55">
            <v>2013</v>
          </cell>
          <cell r="B55">
            <v>440.57900000000001</v>
          </cell>
          <cell r="C55">
            <v>441.77600000000001</v>
          </cell>
          <cell r="D55">
            <v>442.91199999999998</v>
          </cell>
          <cell r="E55">
            <v>442.31</v>
          </cell>
          <cell r="F55">
            <v>438.721</v>
          </cell>
          <cell r="G55">
            <v>439.72300000000001</v>
          </cell>
          <cell r="H55">
            <v>441.48899999999998</v>
          </cell>
          <cell r="I55">
            <v>444.625</v>
          </cell>
          <cell r="J55">
            <v>445.15600000000001</v>
          </cell>
          <cell r="K55">
            <v>446.04300000000001</v>
          </cell>
          <cell r="L55">
            <v>446.03199999999998</v>
          </cell>
          <cell r="M55">
            <v>441.589</v>
          </cell>
          <cell r="N55">
            <v>442.57958333333335</v>
          </cell>
        </row>
        <row r="56">
          <cell r="A56">
            <v>2014</v>
          </cell>
          <cell r="B56">
            <v>446.76600000000002</v>
          </cell>
          <cell r="C56">
            <v>453.12099999999998</v>
          </cell>
          <cell r="D56">
            <v>452.12</v>
          </cell>
          <cell r="E56">
            <v>453.012</v>
          </cell>
          <cell r="F56">
            <v>454.35899999999998</v>
          </cell>
          <cell r="G56">
            <v>457.60899999999998</v>
          </cell>
          <cell r="H56">
            <v>459.83199999999999</v>
          </cell>
          <cell r="I56">
            <v>460.83699999999999</v>
          </cell>
          <cell r="J56">
            <v>461.87</v>
          </cell>
          <cell r="K56">
            <v>464.36799999999999</v>
          </cell>
          <cell r="L56">
            <v>466.447</v>
          </cell>
          <cell r="M56">
            <v>469.77800000000002</v>
          </cell>
          <cell r="N56">
            <v>458.34325000000007</v>
          </cell>
        </row>
        <row r="57">
          <cell r="A57">
            <v>2015</v>
          </cell>
          <cell r="B57">
            <v>471.75400000000002</v>
          </cell>
          <cell r="C57">
            <v>476.63799999999998</v>
          </cell>
          <cell r="D57">
            <v>478.07600000000002</v>
          </cell>
          <cell r="E57">
            <v>478.20600000000002</v>
          </cell>
          <cell r="F57">
            <v>478.56599999999997</v>
          </cell>
          <cell r="G57">
            <v>479.642</v>
          </cell>
          <cell r="H57">
            <v>480.21</v>
          </cell>
          <cell r="I57">
            <v>482.392</v>
          </cell>
          <cell r="J57">
            <v>481.26</v>
          </cell>
          <cell r="K57">
            <v>481.42599999999999</v>
          </cell>
          <cell r="L57">
            <v>482.47800000000001</v>
          </cell>
          <cell r="M57">
            <v>484.286</v>
          </cell>
          <cell r="N57">
            <v>479.57783333333333</v>
          </cell>
        </row>
        <row r="58">
          <cell r="A58">
            <v>2016</v>
          </cell>
          <cell r="B58">
            <v>486.084</v>
          </cell>
          <cell r="C58">
            <v>489.733</v>
          </cell>
          <cell r="D58">
            <v>492.20499999999998</v>
          </cell>
          <cell r="E58">
            <v>496.30700000000002</v>
          </cell>
          <cell r="F58">
            <v>494.10599999999999</v>
          </cell>
          <cell r="G58">
            <v>498.81400000000002</v>
          </cell>
          <cell r="H58">
            <v>503.3</v>
          </cell>
          <cell r="I58">
            <v>511.19200000000001</v>
          </cell>
          <cell r="J58">
            <v>514.98</v>
          </cell>
          <cell r="K58">
            <v>515.87300000000005</v>
          </cell>
          <cell r="L58">
            <v>513.327</v>
          </cell>
          <cell r="M58">
            <v>514.54399999999998</v>
          </cell>
          <cell r="N58">
            <v>502.53874999999994</v>
          </cell>
        </row>
        <row r="59">
          <cell r="A59">
            <v>2017</v>
          </cell>
          <cell r="B59">
            <v>515.67899999999997</v>
          </cell>
          <cell r="C59">
            <v>515.08399999999995</v>
          </cell>
          <cell r="D59">
            <v>515.21299999999997</v>
          </cell>
          <cell r="E59">
            <v>511.755</v>
          </cell>
          <cell r="F59">
            <v>513.54499999999996</v>
          </cell>
          <cell r="G59">
            <v>518.01099999999997</v>
          </cell>
          <cell r="H59">
            <v>524.60400000000004</v>
          </cell>
          <cell r="I59">
            <v>525.14499999999998</v>
          </cell>
          <cell r="J59">
            <v>522.10799999999995</v>
          </cell>
          <cell r="K59">
            <v>521.07500000000005</v>
          </cell>
          <cell r="L59">
            <v>524.60799999999995</v>
          </cell>
          <cell r="M59">
            <v>528.78099999999995</v>
          </cell>
          <cell r="N59">
            <v>519.63400000000001</v>
          </cell>
        </row>
        <row r="60">
          <cell r="A60">
            <v>2018</v>
          </cell>
          <cell r="B60">
            <v>527.98400000000004</v>
          </cell>
          <cell r="C60">
            <v>525.673</v>
          </cell>
          <cell r="D60">
            <v>524.85</v>
          </cell>
          <cell r="E60">
            <v>525.33600000000001</v>
          </cell>
          <cell r="F60">
            <v>532.69299999999998</v>
          </cell>
          <cell r="G60"/>
          <cell r="H60"/>
          <cell r="I60"/>
          <cell r="J60"/>
          <cell r="K60"/>
          <cell r="L60"/>
          <cell r="M60"/>
          <cell r="N60">
            <v>527.30719999999997</v>
          </cell>
        </row>
      </sheetData>
      <sheetData sheetId="4" refreshError="1">
        <row r="2">
          <cell r="A2">
            <v>1997</v>
          </cell>
          <cell r="B2">
            <v>100.3</v>
          </cell>
          <cell r="C2">
            <v>100.3</v>
          </cell>
          <cell r="D2">
            <v>100.6</v>
          </cell>
          <cell r="E2">
            <v>101</v>
          </cell>
          <cell r="F2">
            <v>101.2</v>
          </cell>
          <cell r="G2">
            <v>101.3</v>
          </cell>
          <cell r="H2">
            <v>101.4</v>
          </cell>
          <cell r="I2">
            <v>101.4</v>
          </cell>
          <cell r="J2">
            <v>101.7</v>
          </cell>
          <cell r="K2">
            <v>101.9</v>
          </cell>
          <cell r="L2">
            <v>102.3</v>
          </cell>
          <cell r="M2">
            <v>102.7</v>
          </cell>
          <cell r="N2">
            <v>101.34166666666665</v>
          </cell>
        </row>
        <row r="3">
          <cell r="A3">
            <v>1998</v>
          </cell>
          <cell r="B3">
            <v>102.5</v>
          </cell>
          <cell r="C3">
            <v>102.8</v>
          </cell>
          <cell r="D3">
            <v>102.9</v>
          </cell>
          <cell r="E3">
            <v>103.2</v>
          </cell>
          <cell r="F3">
            <v>103.4</v>
          </cell>
          <cell r="G3">
            <v>103.7</v>
          </cell>
          <cell r="H3">
            <v>104.3</v>
          </cell>
          <cell r="I3">
            <v>104.5</v>
          </cell>
          <cell r="J3">
            <v>104.6</v>
          </cell>
          <cell r="K3">
            <v>104.9</v>
          </cell>
          <cell r="L3">
            <v>105.2</v>
          </cell>
          <cell r="M3">
            <v>105.6</v>
          </cell>
          <cell r="N3">
            <v>103.96666666666668</v>
          </cell>
        </row>
        <row r="4">
          <cell r="A4">
            <v>1999</v>
          </cell>
          <cell r="B4">
            <v>106.1</v>
          </cell>
          <cell r="C4">
            <v>106.4</v>
          </cell>
          <cell r="D4">
            <v>106.6</v>
          </cell>
          <cell r="E4">
            <v>106.7</v>
          </cell>
          <cell r="F4">
            <v>107.2</v>
          </cell>
          <cell r="G4">
            <v>107.5</v>
          </cell>
          <cell r="H4">
            <v>107.9</v>
          </cell>
          <cell r="I4">
            <v>108.3</v>
          </cell>
          <cell r="J4">
            <v>108.8</v>
          </cell>
          <cell r="K4">
            <v>109.1</v>
          </cell>
          <cell r="L4">
            <v>109.4</v>
          </cell>
          <cell r="M4">
            <v>110.3</v>
          </cell>
          <cell r="N4">
            <v>107.85833333333333</v>
          </cell>
        </row>
        <row r="5">
          <cell r="A5">
            <v>2000</v>
          </cell>
          <cell r="B5">
            <v>110.5</v>
          </cell>
          <cell r="C5">
            <v>111</v>
          </cell>
          <cell r="D5">
            <v>111.7</v>
          </cell>
          <cell r="E5">
            <v>112.3</v>
          </cell>
          <cell r="F5">
            <v>112.7</v>
          </cell>
          <cell r="G5">
            <v>113.4</v>
          </cell>
          <cell r="H5">
            <v>114.1</v>
          </cell>
          <cell r="I5">
            <v>114.9</v>
          </cell>
          <cell r="J5">
            <v>115.7</v>
          </cell>
          <cell r="K5">
            <v>116</v>
          </cell>
          <cell r="L5">
            <v>116.2</v>
          </cell>
          <cell r="M5">
            <v>116.6</v>
          </cell>
          <cell r="N5">
            <v>113.75833333333334</v>
          </cell>
        </row>
        <row r="6">
          <cell r="A6">
            <v>2001</v>
          </cell>
          <cell r="B6">
            <v>117.3</v>
          </cell>
          <cell r="C6">
            <v>117.9</v>
          </cell>
          <cell r="D6">
            <v>118.7</v>
          </cell>
          <cell r="E6">
            <v>119.2</v>
          </cell>
          <cell r="F6">
            <v>120.1</v>
          </cell>
          <cell r="G6">
            <v>120.9</v>
          </cell>
          <cell r="H6">
            <v>121.1</v>
          </cell>
          <cell r="I6">
            <v>121.7</v>
          </cell>
          <cell r="J6">
            <v>122.4</v>
          </cell>
          <cell r="K6">
            <v>123.6</v>
          </cell>
          <cell r="L6">
            <v>124.2</v>
          </cell>
          <cell r="M6">
            <v>124.7</v>
          </cell>
          <cell r="N6">
            <v>120.98333333333333</v>
          </cell>
        </row>
        <row r="7">
          <cell r="A7">
            <v>2002</v>
          </cell>
          <cell r="B7">
            <v>126.1</v>
          </cell>
          <cell r="C7">
            <v>126.8</v>
          </cell>
          <cell r="D7">
            <v>128</v>
          </cell>
          <cell r="E7">
            <v>129.30000000000001</v>
          </cell>
          <cell r="F7">
            <v>130</v>
          </cell>
          <cell r="G7">
            <v>130.6</v>
          </cell>
          <cell r="H7">
            <v>131.4</v>
          </cell>
          <cell r="I7">
            <v>132.4</v>
          </cell>
          <cell r="J7">
            <v>133.4</v>
          </cell>
          <cell r="K7">
            <v>134.5</v>
          </cell>
          <cell r="L7">
            <v>135.5</v>
          </cell>
          <cell r="M7">
            <v>136.6</v>
          </cell>
          <cell r="N7">
            <v>131.21666666666667</v>
          </cell>
        </row>
        <row r="8">
          <cell r="A8">
            <v>2003</v>
          </cell>
          <cell r="B8">
            <v>136.6</v>
          </cell>
          <cell r="C8">
            <v>137.30000000000001</v>
          </cell>
          <cell r="D8">
            <v>137.19999999999999</v>
          </cell>
          <cell r="E8">
            <v>137.80000000000001</v>
          </cell>
          <cell r="F8">
            <v>138.30000000000001</v>
          </cell>
          <cell r="G8">
            <v>139.4</v>
          </cell>
          <cell r="H8">
            <v>140.30000000000001</v>
          </cell>
          <cell r="I8">
            <v>141.5</v>
          </cell>
          <cell r="J8">
            <v>142.30000000000001</v>
          </cell>
          <cell r="K8">
            <v>142.6</v>
          </cell>
          <cell r="L8">
            <v>143.5</v>
          </cell>
          <cell r="M8">
            <v>144.30000000000001</v>
          </cell>
          <cell r="N8">
            <v>140.09166666666667</v>
          </cell>
        </row>
        <row r="9">
          <cell r="A9">
            <v>2004</v>
          </cell>
          <cell r="B9">
            <v>144.69999999999999</v>
          </cell>
          <cell r="C9">
            <v>145.19999999999999</v>
          </cell>
          <cell r="D9">
            <v>145.80000000000001</v>
          </cell>
          <cell r="E9">
            <v>146.19999999999999</v>
          </cell>
          <cell r="F9">
            <v>147</v>
          </cell>
          <cell r="G9">
            <v>147.80000000000001</v>
          </cell>
          <cell r="H9">
            <v>148.69999999999999</v>
          </cell>
          <cell r="I9">
            <v>149.1</v>
          </cell>
          <cell r="J9">
            <v>149.69999999999999</v>
          </cell>
          <cell r="K9">
            <v>150.4</v>
          </cell>
          <cell r="L9">
            <v>150.6</v>
          </cell>
          <cell r="M9">
            <v>152.5</v>
          </cell>
          <cell r="N9">
            <v>148.14166666666668</v>
          </cell>
        </row>
        <row r="10">
          <cell r="A10">
            <v>2005</v>
          </cell>
          <cell r="B10">
            <v>153.1</v>
          </cell>
          <cell r="C10">
            <v>153.80000000000001</v>
          </cell>
          <cell r="D10">
            <v>154.9</v>
          </cell>
          <cell r="E10">
            <v>155.19999999999999</v>
          </cell>
          <cell r="F10">
            <v>155.80000000000001</v>
          </cell>
          <cell r="G10">
            <v>156.30000000000001</v>
          </cell>
          <cell r="H10">
            <v>157.19999999999999</v>
          </cell>
          <cell r="I10">
            <v>157.1</v>
          </cell>
          <cell r="J10">
            <v>157.5</v>
          </cell>
          <cell r="K10">
            <v>158.6</v>
          </cell>
          <cell r="L10">
            <v>159.69999999999999</v>
          </cell>
          <cell r="M10">
            <v>160.6</v>
          </cell>
          <cell r="N10">
            <v>156.64999999999998</v>
          </cell>
        </row>
        <row r="11">
          <cell r="A11">
            <v>2006</v>
          </cell>
          <cell r="B11">
            <v>161.4</v>
          </cell>
          <cell r="C11">
            <v>162.69999999999999</v>
          </cell>
          <cell r="D11">
            <v>165</v>
          </cell>
          <cell r="E11">
            <v>165.7</v>
          </cell>
          <cell r="F11">
            <v>167</v>
          </cell>
          <cell r="G11">
            <v>167.6</v>
          </cell>
          <cell r="H11">
            <v>168.1</v>
          </cell>
          <cell r="I11">
            <v>169</v>
          </cell>
          <cell r="J11">
            <v>169.7</v>
          </cell>
          <cell r="K11">
            <v>170.5</v>
          </cell>
          <cell r="L11">
            <v>171.2</v>
          </cell>
          <cell r="M11">
            <v>171.8</v>
          </cell>
          <cell r="N11">
            <v>167.47499999999999</v>
          </cell>
        </row>
        <row r="12">
          <cell r="A12">
            <v>2007</v>
          </cell>
          <cell r="B12">
            <v>172.511</v>
          </cell>
          <cell r="C12">
            <v>173.25299999999999</v>
          </cell>
          <cell r="D12">
            <v>173.339</v>
          </cell>
          <cell r="E12">
            <v>174.411</v>
          </cell>
          <cell r="F12">
            <v>175.83500000000001</v>
          </cell>
          <cell r="G12">
            <v>176.85900000000001</v>
          </cell>
          <cell r="H12">
            <v>178.58</v>
          </cell>
          <cell r="I12">
            <v>179.71899999999999</v>
          </cell>
          <cell r="J12">
            <v>180.96600000000001</v>
          </cell>
          <cell r="K12">
            <v>182.62200000000001</v>
          </cell>
          <cell r="L12">
            <v>183.84299999999999</v>
          </cell>
          <cell r="M12">
            <v>184.94499999999999</v>
          </cell>
          <cell r="N12">
            <v>178.07358333333335</v>
          </cell>
        </row>
        <row r="13">
          <cell r="A13">
            <v>2008</v>
          </cell>
          <cell r="B13">
            <v>186.52099999999999</v>
          </cell>
          <cell r="C13">
            <v>187.14400000000001</v>
          </cell>
          <cell r="D13">
            <v>187.59</v>
          </cell>
          <cell r="E13">
            <v>188.33</v>
          </cell>
          <cell r="F13">
            <v>189.101</v>
          </cell>
          <cell r="G13">
            <v>190.40299999999999</v>
          </cell>
          <cell r="H13">
            <v>191.16499999999999</v>
          </cell>
          <cell r="I13">
            <v>192.03800000000001</v>
          </cell>
          <cell r="J13">
            <v>193.25299999999999</v>
          </cell>
          <cell r="K13">
            <v>194.09899999999999</v>
          </cell>
          <cell r="L13">
            <v>194.393</v>
          </cell>
          <cell r="M13">
            <v>195.50800000000001</v>
          </cell>
          <cell r="N13">
            <v>190.79541666666663</v>
          </cell>
        </row>
        <row r="14">
          <cell r="A14">
            <v>2009</v>
          </cell>
          <cell r="B14">
            <v>196.44300000000001</v>
          </cell>
          <cell r="C14">
            <v>197.9</v>
          </cell>
          <cell r="D14">
            <v>199.17400000000001</v>
          </cell>
          <cell r="E14">
            <v>200.708</v>
          </cell>
          <cell r="F14">
            <v>201.499</v>
          </cell>
          <cell r="G14">
            <v>202.88399999999999</v>
          </cell>
          <cell r="H14">
            <v>204.41900000000001</v>
          </cell>
          <cell r="I14">
            <v>205.86799999999999</v>
          </cell>
          <cell r="J14">
            <v>206.93100000000001</v>
          </cell>
          <cell r="K14">
            <v>207.27099999999999</v>
          </cell>
          <cell r="L14">
            <v>209.22300000000001</v>
          </cell>
          <cell r="M14">
            <v>210.559</v>
          </cell>
          <cell r="N14">
            <v>203.57325000000003</v>
          </cell>
        </row>
        <row r="15">
          <cell r="A15">
            <v>2010</v>
          </cell>
          <cell r="B15">
            <v>212.476</v>
          </cell>
          <cell r="C15">
            <v>214.779</v>
          </cell>
          <cell r="D15">
            <v>218.03</v>
          </cell>
          <cell r="E15">
            <v>218.749</v>
          </cell>
          <cell r="F15">
            <v>219.68100000000001</v>
          </cell>
          <cell r="G15">
            <v>221.352</v>
          </cell>
          <cell r="H15">
            <v>220.51300000000001</v>
          </cell>
          <cell r="I15">
            <v>221.875</v>
          </cell>
          <cell r="J15">
            <v>226.23599999999999</v>
          </cell>
          <cell r="K15">
            <v>227.55799999999999</v>
          </cell>
          <cell r="L15">
            <v>227.411</v>
          </cell>
          <cell r="M15">
            <v>229.74799999999999</v>
          </cell>
          <cell r="N15">
            <v>221.53399999999999</v>
          </cell>
        </row>
        <row r="16">
          <cell r="A16">
            <v>2011</v>
          </cell>
          <cell r="B16">
            <v>230.4</v>
          </cell>
          <cell r="C16">
            <v>230.92</v>
          </cell>
          <cell r="D16">
            <v>231.572</v>
          </cell>
          <cell r="E16">
            <v>232.804</v>
          </cell>
          <cell r="F16">
            <v>234.786</v>
          </cell>
          <cell r="G16">
            <v>236.08600000000001</v>
          </cell>
          <cell r="H16">
            <v>237.25800000000001</v>
          </cell>
          <cell r="I16">
            <v>238.465</v>
          </cell>
          <cell r="J16">
            <v>239.072</v>
          </cell>
          <cell r="K16">
            <v>240.84200000000001</v>
          </cell>
          <cell r="L16">
            <v>242.834</v>
          </cell>
          <cell r="M16">
            <v>243.86799999999999</v>
          </cell>
          <cell r="N16">
            <v>236.5755833333333</v>
          </cell>
        </row>
        <row r="17">
          <cell r="A17">
            <v>2012</v>
          </cell>
          <cell r="B17">
            <v>244.411</v>
          </cell>
          <cell r="C17">
            <v>245.721</v>
          </cell>
          <cell r="D17">
            <v>245.73599999999999</v>
          </cell>
          <cell r="E17">
            <v>247.14</v>
          </cell>
          <cell r="F17">
            <v>247.64599999999999</v>
          </cell>
          <cell r="G17">
            <v>250.62700000000001</v>
          </cell>
          <cell r="H17">
            <v>251.04</v>
          </cell>
          <cell r="I17">
            <v>248.85599999999999</v>
          </cell>
          <cell r="J17">
            <v>249.85599999999999</v>
          </cell>
          <cell r="K17">
            <v>250.11600000000001</v>
          </cell>
          <cell r="L17">
            <v>251.86099999999999</v>
          </cell>
          <cell r="M17">
            <v>252.51</v>
          </cell>
          <cell r="N17">
            <v>248.79333333333329</v>
          </cell>
        </row>
        <row r="18">
          <cell r="A18">
            <v>2013</v>
          </cell>
          <cell r="B18">
            <v>254.32</v>
          </cell>
          <cell r="C18">
            <v>258.78899999999999</v>
          </cell>
          <cell r="D18">
            <v>259.08199999999999</v>
          </cell>
          <cell r="E18">
            <v>256.98200000000003</v>
          </cell>
          <cell r="F18">
            <v>256.601</v>
          </cell>
          <cell r="G18">
            <v>257.79300000000001</v>
          </cell>
          <cell r="H18">
            <v>258.10599999999999</v>
          </cell>
          <cell r="I18">
            <v>261.91500000000002</v>
          </cell>
          <cell r="J18">
            <v>263.45800000000003</v>
          </cell>
          <cell r="K18">
            <v>263.20299999999997</v>
          </cell>
          <cell r="L18">
            <v>262.85899999999998</v>
          </cell>
          <cell r="M18">
            <v>263.58100000000002</v>
          </cell>
          <cell r="N18">
            <v>259.72408333333334</v>
          </cell>
        </row>
        <row r="19">
          <cell r="A19">
            <v>2014</v>
          </cell>
          <cell r="B19">
            <v>267.91699999999997</v>
          </cell>
          <cell r="C19">
            <v>272.07100000000003</v>
          </cell>
          <cell r="D19">
            <v>273.80799999999999</v>
          </cell>
          <cell r="E19">
            <v>274.46600000000001</v>
          </cell>
          <cell r="F19">
            <v>274.82900000000001</v>
          </cell>
          <cell r="G19">
            <v>275.16199999999998</v>
          </cell>
          <cell r="H19">
            <v>275.64600000000002</v>
          </cell>
          <cell r="I19">
            <v>274.75799999999998</v>
          </cell>
          <cell r="J19">
            <v>275.43099999999998</v>
          </cell>
          <cell r="K19">
            <v>276.166</v>
          </cell>
          <cell r="L19">
            <v>276.95499999999998</v>
          </cell>
          <cell r="M19">
            <v>278.10300000000001</v>
          </cell>
          <cell r="N19">
            <v>274.60933333333338</v>
          </cell>
        </row>
        <row r="20">
          <cell r="A20">
            <v>2015</v>
          </cell>
          <cell r="B20">
            <v>279.45</v>
          </cell>
          <cell r="C20">
            <v>281.33800000000002</v>
          </cell>
          <cell r="D20">
            <v>282.18299999999999</v>
          </cell>
          <cell r="E20">
            <v>286.32799999999997</v>
          </cell>
          <cell r="F20">
            <v>286.68299999999999</v>
          </cell>
          <cell r="G20">
            <v>283.33100000000002</v>
          </cell>
          <cell r="H20">
            <v>283.49900000000002</v>
          </cell>
          <cell r="I20">
            <v>283.34399999999999</v>
          </cell>
          <cell r="J20">
            <v>284.25599999999997</v>
          </cell>
          <cell r="K20">
            <v>290.63900000000001</v>
          </cell>
          <cell r="L20">
            <v>290.05399999999997</v>
          </cell>
          <cell r="M20">
            <v>291.29500000000002</v>
          </cell>
          <cell r="N20">
            <v>285.2</v>
          </cell>
        </row>
        <row r="21">
          <cell r="A21">
            <v>2016</v>
          </cell>
          <cell r="B21">
            <v>293.024</v>
          </cell>
          <cell r="C21">
            <v>295.45699999999999</v>
          </cell>
          <cell r="D21">
            <v>295.43400000000003</v>
          </cell>
          <cell r="E21">
            <v>296.32</v>
          </cell>
          <cell r="F21">
            <v>298.06599999999997</v>
          </cell>
          <cell r="G21">
            <v>297.91000000000003</v>
          </cell>
          <cell r="H21">
            <v>299.41199999999998</v>
          </cell>
          <cell r="I21">
            <v>302.95100000000002</v>
          </cell>
          <cell r="J21">
            <v>303.06700000000001</v>
          </cell>
          <cell r="K21">
            <v>304.55799999999999</v>
          </cell>
          <cell r="L21">
            <v>304.75599999999997</v>
          </cell>
          <cell r="M21">
            <v>305.68</v>
          </cell>
          <cell r="N21">
            <v>299.71958333333333</v>
          </cell>
        </row>
        <row r="22">
          <cell r="A22">
            <v>2017</v>
          </cell>
          <cell r="B22">
            <v>306.49799999999999</v>
          </cell>
          <cell r="C22">
            <v>306.94099999999997</v>
          </cell>
          <cell r="D22">
            <v>307.65899999999999</v>
          </cell>
          <cell r="E22">
            <v>309.834</v>
          </cell>
          <cell r="F22">
            <v>309.99599999999998</v>
          </cell>
          <cell r="G22">
            <v>312.81</v>
          </cell>
          <cell r="H22">
            <v>314.13900000000001</v>
          </cell>
          <cell r="I22">
            <v>314.827</v>
          </cell>
          <cell r="J22">
            <v>314.89499999999998</v>
          </cell>
          <cell r="K22">
            <v>316.30599999999998</v>
          </cell>
          <cell r="L22">
            <v>317.55700000000002</v>
          </cell>
          <cell r="M22">
            <v>318.59199999999998</v>
          </cell>
          <cell r="N22">
            <v>312.50449999999995</v>
          </cell>
        </row>
        <row r="23">
          <cell r="A23">
            <v>2018</v>
          </cell>
          <cell r="B23">
            <v>322.392</v>
          </cell>
          <cell r="C23">
            <v>320.52100000000002</v>
          </cell>
          <cell r="D23">
            <v>321.709</v>
          </cell>
          <cell r="E23">
            <v>322.14400000000001</v>
          </cell>
          <cell r="F23">
            <v>323.33100000000002</v>
          </cell>
          <cell r="N23">
            <v>322.01940000000002</v>
          </cell>
        </row>
      </sheetData>
      <sheetData sheetId="5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1987</v>
          </cell>
          <cell r="B2">
            <v>100.4</v>
          </cell>
          <cell r="C2">
            <v>100.3</v>
          </cell>
          <cell r="D2">
            <v>101.2</v>
          </cell>
          <cell r="E2">
            <v>101.6</v>
          </cell>
          <cell r="F2">
            <v>102.3</v>
          </cell>
          <cell r="G2">
            <v>103</v>
          </cell>
          <cell r="H2">
            <v>103.4</v>
          </cell>
          <cell r="I2">
            <v>104.1</v>
          </cell>
          <cell r="J2">
            <v>105</v>
          </cell>
          <cell r="K2">
            <v>105.3</v>
          </cell>
          <cell r="L2">
            <v>106.3</v>
          </cell>
          <cell r="M2">
            <v>107.3</v>
          </cell>
          <cell r="N2">
            <v>103.34999999999998</v>
          </cell>
        </row>
        <row r="3">
          <cell r="A3">
            <v>1988</v>
          </cell>
          <cell r="B3">
            <v>108</v>
          </cell>
          <cell r="C3">
            <v>108.7</v>
          </cell>
          <cell r="D3">
            <v>109.6</v>
          </cell>
          <cell r="E3">
            <v>110.4</v>
          </cell>
          <cell r="F3">
            <v>111.6</v>
          </cell>
          <cell r="G3">
            <v>111.8</v>
          </cell>
          <cell r="H3">
            <v>112.7</v>
          </cell>
          <cell r="I3">
            <v>113.7</v>
          </cell>
          <cell r="J3">
            <v>114.5</v>
          </cell>
          <cell r="K3">
            <v>115.7</v>
          </cell>
          <cell r="L3">
            <v>116.4</v>
          </cell>
          <cell r="M3">
            <v>117.2</v>
          </cell>
          <cell r="N3">
            <v>112.52500000000002</v>
          </cell>
        </row>
        <row r="4">
          <cell r="A4">
            <v>1989</v>
          </cell>
          <cell r="B4">
            <v>118.1</v>
          </cell>
          <cell r="C4">
            <v>119.6</v>
          </cell>
          <cell r="D4">
            <v>120.2</v>
          </cell>
          <cell r="E4">
            <v>121.9</v>
          </cell>
          <cell r="F4">
            <v>123</v>
          </cell>
          <cell r="G4">
            <v>124</v>
          </cell>
          <cell r="H4">
            <v>125.6</v>
          </cell>
          <cell r="I4">
            <v>126.7</v>
          </cell>
          <cell r="J4">
            <v>128.19999999999999</v>
          </cell>
          <cell r="K4">
            <v>128.80000000000001</v>
          </cell>
          <cell r="L4">
            <v>129.9</v>
          </cell>
          <cell r="M4">
            <v>131</v>
          </cell>
          <cell r="N4">
            <v>124.75</v>
          </cell>
        </row>
        <row r="5">
          <cell r="A5">
            <v>1990</v>
          </cell>
          <cell r="B5">
            <v>132.1</v>
          </cell>
          <cell r="C5">
            <v>133.30000000000001</v>
          </cell>
          <cell r="D5">
            <v>134.69999999999999</v>
          </cell>
          <cell r="E5">
            <v>135.5</v>
          </cell>
          <cell r="F5">
            <v>136.69999999999999</v>
          </cell>
          <cell r="G5">
            <v>138</v>
          </cell>
          <cell r="H5">
            <v>139.1</v>
          </cell>
          <cell r="I5">
            <v>140.30000000000001</v>
          </cell>
          <cell r="J5">
            <v>141.5</v>
          </cell>
          <cell r="K5">
            <v>143</v>
          </cell>
          <cell r="L5">
            <v>144.6</v>
          </cell>
          <cell r="M5">
            <v>145.69999999999999</v>
          </cell>
          <cell r="N5">
            <v>138.70833333333334</v>
          </cell>
        </row>
        <row r="6">
          <cell r="A6">
            <v>1991</v>
          </cell>
          <cell r="B6">
            <v>147.1</v>
          </cell>
          <cell r="C6">
            <v>148.19999999999999</v>
          </cell>
          <cell r="D6">
            <v>149.4</v>
          </cell>
          <cell r="E6">
            <v>150.4</v>
          </cell>
          <cell r="F6">
            <v>151.4</v>
          </cell>
          <cell r="G6">
            <v>152.69999999999999</v>
          </cell>
          <cell r="H6">
            <v>154.19999999999999</v>
          </cell>
          <cell r="I6">
            <v>155.4</v>
          </cell>
          <cell r="J6">
            <v>156.30000000000001</v>
          </cell>
          <cell r="K6">
            <v>156.9</v>
          </cell>
          <cell r="L6">
            <v>158.5</v>
          </cell>
          <cell r="M6">
            <v>160</v>
          </cell>
          <cell r="N6">
            <v>153.375</v>
          </cell>
        </row>
        <row r="7">
          <cell r="A7">
            <v>1992</v>
          </cell>
          <cell r="B7">
            <v>161.5</v>
          </cell>
          <cell r="C7">
            <v>162.80000000000001</v>
          </cell>
          <cell r="D7">
            <v>164.1</v>
          </cell>
          <cell r="E7">
            <v>165.3</v>
          </cell>
          <cell r="F7">
            <v>167.1</v>
          </cell>
          <cell r="G7">
            <v>168.1</v>
          </cell>
          <cell r="H7">
            <v>169.1</v>
          </cell>
          <cell r="I7">
            <v>170</v>
          </cell>
          <cell r="J7">
            <v>172</v>
          </cell>
          <cell r="K7">
            <v>173.5</v>
          </cell>
          <cell r="L7">
            <v>174.8</v>
          </cell>
          <cell r="M7">
            <v>175.6</v>
          </cell>
          <cell r="N7">
            <v>168.65833333333333</v>
          </cell>
        </row>
        <row r="8">
          <cell r="A8">
            <v>1993</v>
          </cell>
          <cell r="B8">
            <v>177.6</v>
          </cell>
          <cell r="C8">
            <v>179.4</v>
          </cell>
          <cell r="D8">
            <v>180.7</v>
          </cell>
          <cell r="E8">
            <v>182.3</v>
          </cell>
          <cell r="F8">
            <v>183.5</v>
          </cell>
          <cell r="G8">
            <v>184.6</v>
          </cell>
          <cell r="H8">
            <v>185.4</v>
          </cell>
          <cell r="I8">
            <v>185.8</v>
          </cell>
          <cell r="J8">
            <v>186.6</v>
          </cell>
          <cell r="K8">
            <v>187.7</v>
          </cell>
          <cell r="L8">
            <v>188.7</v>
          </cell>
          <cell r="M8">
            <v>189.5</v>
          </cell>
          <cell r="N8">
            <v>184.31666666666669</v>
          </cell>
        </row>
        <row r="9">
          <cell r="A9">
            <v>1994</v>
          </cell>
          <cell r="B9">
            <v>189.9</v>
          </cell>
          <cell r="C9">
            <v>190.8</v>
          </cell>
          <cell r="D9">
            <v>191.9</v>
          </cell>
          <cell r="E9">
            <v>192.5</v>
          </cell>
          <cell r="F9">
            <v>193.2</v>
          </cell>
          <cell r="G9">
            <v>194.3</v>
          </cell>
          <cell r="H9">
            <v>195.2</v>
          </cell>
          <cell r="I9">
            <v>196.6</v>
          </cell>
          <cell r="J9">
            <v>197.7</v>
          </cell>
          <cell r="K9">
            <v>198.7</v>
          </cell>
          <cell r="L9">
            <v>199.3</v>
          </cell>
          <cell r="M9">
            <v>199.9</v>
          </cell>
          <cell r="N9">
            <v>195</v>
          </cell>
        </row>
        <row r="10">
          <cell r="A10">
            <v>1995</v>
          </cell>
          <cell r="B10">
            <v>200.5</v>
          </cell>
          <cell r="C10">
            <v>201</v>
          </cell>
          <cell r="D10">
            <v>201.4</v>
          </cell>
          <cell r="E10">
            <v>202.2</v>
          </cell>
          <cell r="F10">
            <v>202.9</v>
          </cell>
          <cell r="G10">
            <v>203.1</v>
          </cell>
          <cell r="H10">
            <v>204.4</v>
          </cell>
          <cell r="I10">
            <v>205.9</v>
          </cell>
          <cell r="J10">
            <v>206.9</v>
          </cell>
          <cell r="K10">
            <v>207.9</v>
          </cell>
          <cell r="L10">
            <v>209.3</v>
          </cell>
          <cell r="M10">
            <v>209.5</v>
          </cell>
          <cell r="N10">
            <v>204.58333333333337</v>
          </cell>
        </row>
        <row r="11">
          <cell r="A11">
            <v>1996</v>
          </cell>
          <cell r="B11">
            <v>210.5</v>
          </cell>
          <cell r="C11">
            <v>210.8</v>
          </cell>
          <cell r="D11">
            <v>212.1</v>
          </cell>
          <cell r="E11">
            <v>213.1</v>
          </cell>
          <cell r="F11">
            <v>214.2</v>
          </cell>
          <cell r="G11">
            <v>215.8</v>
          </cell>
          <cell r="H11">
            <v>216.6</v>
          </cell>
          <cell r="I11">
            <v>216.4</v>
          </cell>
          <cell r="J11">
            <v>216.9</v>
          </cell>
          <cell r="K11">
            <v>217</v>
          </cell>
          <cell r="L11">
            <v>218</v>
          </cell>
          <cell r="M11">
            <v>219.5</v>
          </cell>
          <cell r="N11">
            <v>215.07500000000002</v>
          </cell>
        </row>
        <row r="12">
          <cell r="A12">
            <v>1997</v>
          </cell>
          <cell r="B12">
            <v>220.8</v>
          </cell>
          <cell r="C12">
            <v>222.3</v>
          </cell>
          <cell r="D12">
            <v>222.8</v>
          </cell>
          <cell r="E12">
            <v>223.4</v>
          </cell>
          <cell r="F12">
            <v>224.1</v>
          </cell>
          <cell r="G12">
            <v>224.8</v>
          </cell>
          <cell r="H12">
            <v>224.8</v>
          </cell>
          <cell r="I12">
            <v>225.3</v>
          </cell>
          <cell r="J12">
            <v>226.4</v>
          </cell>
          <cell r="K12">
            <v>227.2</v>
          </cell>
          <cell r="L12">
            <v>227.9</v>
          </cell>
          <cell r="M12">
            <v>228.6</v>
          </cell>
          <cell r="N12">
            <v>224.86666666666667</v>
          </cell>
        </row>
        <row r="13">
          <cell r="A13">
            <v>1998</v>
          </cell>
          <cell r="B13">
            <v>227.9</v>
          </cell>
          <cell r="C13">
            <v>229.4</v>
          </cell>
          <cell r="D13">
            <v>230.5</v>
          </cell>
          <cell r="E13">
            <v>231.5</v>
          </cell>
          <cell r="F13">
            <v>232.1</v>
          </cell>
          <cell r="G13">
            <v>232.4</v>
          </cell>
          <cell r="H13">
            <v>233.8</v>
          </cell>
          <cell r="I13">
            <v>234.5</v>
          </cell>
          <cell r="J13">
            <v>234.9</v>
          </cell>
          <cell r="K13">
            <v>236</v>
          </cell>
          <cell r="L13">
            <v>236.9</v>
          </cell>
          <cell r="M13">
            <v>237.7</v>
          </cell>
          <cell r="N13">
            <v>233.13333333333333</v>
          </cell>
        </row>
        <row r="14">
          <cell r="A14">
            <v>1999</v>
          </cell>
          <cell r="B14">
            <v>238.9</v>
          </cell>
          <cell r="C14">
            <v>240.3</v>
          </cell>
          <cell r="D14">
            <v>241.8</v>
          </cell>
          <cell r="E14">
            <v>241.7</v>
          </cell>
          <cell r="F14">
            <v>244.1</v>
          </cell>
          <cell r="G14">
            <v>245.3</v>
          </cell>
          <cell r="H14">
            <v>246.3</v>
          </cell>
          <cell r="I14">
            <v>248.1</v>
          </cell>
          <cell r="J14">
            <v>249.6</v>
          </cell>
          <cell r="K14">
            <v>250.5</v>
          </cell>
          <cell r="L14">
            <v>251.6</v>
          </cell>
          <cell r="M14">
            <v>253.6</v>
          </cell>
          <cell r="N14">
            <v>245.98333333333332</v>
          </cell>
        </row>
        <row r="15">
          <cell r="A15">
            <v>2000</v>
          </cell>
          <cell r="B15">
            <v>255.2</v>
          </cell>
          <cell r="C15">
            <v>256.7</v>
          </cell>
          <cell r="D15">
            <v>257.5</v>
          </cell>
          <cell r="E15">
            <v>259.39999999999998</v>
          </cell>
          <cell r="F15">
            <v>260.8</v>
          </cell>
          <cell r="G15">
            <v>263.10000000000002</v>
          </cell>
          <cell r="H15">
            <v>265.2</v>
          </cell>
          <cell r="I15">
            <v>266.3</v>
          </cell>
          <cell r="J15">
            <v>268.39999999999998</v>
          </cell>
          <cell r="K15">
            <v>269.8</v>
          </cell>
          <cell r="L15">
            <v>271.2</v>
          </cell>
          <cell r="M15">
            <v>271.8</v>
          </cell>
          <cell r="N15">
            <v>263.78333333333336</v>
          </cell>
        </row>
        <row r="16">
          <cell r="A16">
            <v>2001</v>
          </cell>
          <cell r="B16">
            <v>274.39999999999998</v>
          </cell>
          <cell r="C16">
            <v>274.5</v>
          </cell>
          <cell r="D16">
            <v>275.89999999999998</v>
          </cell>
          <cell r="E16">
            <v>276.7</v>
          </cell>
          <cell r="F16">
            <v>277.7</v>
          </cell>
          <cell r="G16">
            <v>278.10000000000002</v>
          </cell>
          <cell r="H16">
            <v>280.5</v>
          </cell>
          <cell r="I16">
            <v>284.39999999999998</v>
          </cell>
          <cell r="J16">
            <v>285.89999999999998</v>
          </cell>
          <cell r="K16">
            <v>287.10000000000002</v>
          </cell>
          <cell r="L16">
            <v>288.3</v>
          </cell>
          <cell r="M16">
            <v>290.2</v>
          </cell>
          <cell r="N16">
            <v>281.14166666666671</v>
          </cell>
        </row>
        <row r="17">
          <cell r="A17">
            <v>2002</v>
          </cell>
          <cell r="B17">
            <v>293.7</v>
          </cell>
          <cell r="C17">
            <v>296.39999999999998</v>
          </cell>
          <cell r="D17">
            <v>297.8</v>
          </cell>
          <cell r="E17">
            <v>302</v>
          </cell>
          <cell r="F17">
            <v>306.7</v>
          </cell>
          <cell r="G17">
            <v>307.7</v>
          </cell>
          <cell r="H17">
            <v>309.8</v>
          </cell>
          <cell r="I17">
            <v>314.3</v>
          </cell>
          <cell r="J17">
            <v>315.2</v>
          </cell>
          <cell r="K17">
            <v>321.10000000000002</v>
          </cell>
          <cell r="L17">
            <v>325.60000000000002</v>
          </cell>
          <cell r="M17">
            <v>327</v>
          </cell>
          <cell r="N17">
            <v>309.77499999999998</v>
          </cell>
        </row>
        <row r="18">
          <cell r="A18">
            <v>2003</v>
          </cell>
          <cell r="B18">
            <v>330.3</v>
          </cell>
          <cell r="C18">
            <v>332.2</v>
          </cell>
          <cell r="D18">
            <v>333.2</v>
          </cell>
          <cell r="E18">
            <v>332</v>
          </cell>
          <cell r="F18">
            <v>332</v>
          </cell>
          <cell r="G18">
            <v>335.3</v>
          </cell>
          <cell r="H18">
            <v>338.5</v>
          </cell>
          <cell r="I18">
            <v>341.2</v>
          </cell>
          <cell r="J18">
            <v>342.1</v>
          </cell>
          <cell r="K18">
            <v>342.8</v>
          </cell>
          <cell r="L18">
            <v>347.1</v>
          </cell>
          <cell r="M18">
            <v>348.5</v>
          </cell>
          <cell r="N18">
            <v>337.93333333333334</v>
          </cell>
        </row>
        <row r="19">
          <cell r="A19">
            <v>2004</v>
          </cell>
          <cell r="B19">
            <v>348.8</v>
          </cell>
          <cell r="C19">
            <v>350.7</v>
          </cell>
          <cell r="D19">
            <v>351.9</v>
          </cell>
          <cell r="E19">
            <v>353</v>
          </cell>
          <cell r="F19">
            <v>354.8</v>
          </cell>
          <cell r="G19">
            <v>357.8</v>
          </cell>
          <cell r="H19">
            <v>358.3</v>
          </cell>
          <cell r="I19">
            <v>356</v>
          </cell>
          <cell r="J19">
            <v>358.6</v>
          </cell>
          <cell r="K19">
            <v>360.8</v>
          </cell>
          <cell r="L19">
            <v>361</v>
          </cell>
          <cell r="M19">
            <v>364.1</v>
          </cell>
          <cell r="N19">
            <v>356.31666666666666</v>
          </cell>
        </row>
        <row r="20">
          <cell r="A20">
            <v>2005</v>
          </cell>
          <cell r="B20">
            <v>364.8</v>
          </cell>
          <cell r="C20">
            <v>365.8</v>
          </cell>
          <cell r="D20">
            <v>368</v>
          </cell>
          <cell r="E20">
            <v>369.3</v>
          </cell>
          <cell r="F20">
            <v>370.9</v>
          </cell>
          <cell r="G20">
            <v>371.9</v>
          </cell>
          <cell r="H20">
            <v>374.1</v>
          </cell>
          <cell r="I20">
            <v>373.9</v>
          </cell>
          <cell r="J20">
            <v>375</v>
          </cell>
          <cell r="K20">
            <v>378</v>
          </cell>
          <cell r="L20">
            <v>382</v>
          </cell>
          <cell r="M20">
            <v>382.9</v>
          </cell>
          <cell r="N20">
            <v>373.04999999999995</v>
          </cell>
        </row>
        <row r="21">
          <cell r="A21">
            <v>2006</v>
          </cell>
          <cell r="B21">
            <v>384.2</v>
          </cell>
          <cell r="C21">
            <v>389</v>
          </cell>
          <cell r="D21">
            <v>388.2</v>
          </cell>
          <cell r="E21">
            <v>391.3</v>
          </cell>
          <cell r="F21">
            <v>392.1</v>
          </cell>
          <cell r="G21">
            <v>394.4</v>
          </cell>
          <cell r="H21">
            <v>395.5</v>
          </cell>
          <cell r="I21">
            <v>399.3</v>
          </cell>
          <cell r="J21">
            <v>400.4</v>
          </cell>
          <cell r="K21">
            <v>400.6</v>
          </cell>
          <cell r="L21">
            <v>402.4</v>
          </cell>
          <cell r="M21">
            <v>403.4</v>
          </cell>
          <cell r="N21">
            <v>395.06666666666666</v>
          </cell>
        </row>
        <row r="22">
          <cell r="A22">
            <v>2007</v>
          </cell>
          <cell r="B22">
            <v>405.22500000000002</v>
          </cell>
          <cell r="C22">
            <v>408.04399999999998</v>
          </cell>
          <cell r="D22">
            <v>413.41</v>
          </cell>
          <cell r="E22">
            <v>416.428</v>
          </cell>
          <cell r="F22">
            <v>419.19600000000003</v>
          </cell>
          <cell r="G22">
            <v>421.67</v>
          </cell>
          <cell r="H22">
            <v>424.86099999999999</v>
          </cell>
          <cell r="I22">
            <v>427.55599999999998</v>
          </cell>
          <cell r="J22">
            <v>432.33600000000001</v>
          </cell>
          <cell r="K22">
            <v>437.62599999999998</v>
          </cell>
          <cell r="L22">
            <v>441.43400000000003</v>
          </cell>
          <cell r="M22">
            <v>443.61700000000002</v>
          </cell>
          <cell r="N22">
            <v>424.28358333333335</v>
          </cell>
        </row>
        <row r="23">
          <cell r="A23">
            <v>2008</v>
          </cell>
          <cell r="B23">
            <v>447.44499999999999</v>
          </cell>
          <cell r="C23">
            <v>447.81900000000002</v>
          </cell>
          <cell r="D23">
            <v>448.64699999999999</v>
          </cell>
          <cell r="E23">
            <v>450.00599999999997</v>
          </cell>
          <cell r="F23">
            <v>453.67200000000003</v>
          </cell>
          <cell r="G23">
            <v>455.26100000000002</v>
          </cell>
          <cell r="H23">
            <v>457.161</v>
          </cell>
          <cell r="I23">
            <v>461.036</v>
          </cell>
          <cell r="J23">
            <v>462.66699999999997</v>
          </cell>
          <cell r="K23">
            <v>464.81599999999997</v>
          </cell>
          <cell r="L23">
            <v>465.62599999999998</v>
          </cell>
          <cell r="M23">
            <v>468.52100000000002</v>
          </cell>
          <cell r="N23">
            <v>456.88974999999999</v>
          </cell>
        </row>
        <row r="24">
          <cell r="A24">
            <v>2009</v>
          </cell>
          <cell r="B24">
            <v>476.83499999999998</v>
          </cell>
          <cell r="C24">
            <v>477.06900000000002</v>
          </cell>
          <cell r="D24">
            <v>479.745</v>
          </cell>
          <cell r="E24">
            <v>485.28500000000003</v>
          </cell>
          <cell r="F24">
            <v>485.35199999999998</v>
          </cell>
          <cell r="G24">
            <v>487.94499999999999</v>
          </cell>
          <cell r="H24">
            <v>492.726</v>
          </cell>
          <cell r="I24">
            <v>494.779</v>
          </cell>
          <cell r="J24">
            <v>497.59699999999998</v>
          </cell>
          <cell r="K24">
            <v>499.66500000000002</v>
          </cell>
          <cell r="L24">
            <v>504.14499999999998</v>
          </cell>
          <cell r="M24">
            <v>506.822</v>
          </cell>
          <cell r="N24">
            <v>490.66374999999999</v>
          </cell>
        </row>
        <row r="25">
          <cell r="A25">
            <v>2010</v>
          </cell>
          <cell r="B25">
            <v>506.90100000000001</v>
          </cell>
          <cell r="C25">
            <v>512.11300000000006</v>
          </cell>
          <cell r="D25">
            <v>515.03099999999995</v>
          </cell>
          <cell r="E25">
            <v>516.30799999999999</v>
          </cell>
          <cell r="F25">
            <v>517.91600000000005</v>
          </cell>
          <cell r="G25">
            <v>520.54100000000005</v>
          </cell>
          <cell r="H25">
            <v>518.05499999999995</v>
          </cell>
          <cell r="I25">
            <v>519.69000000000005</v>
          </cell>
          <cell r="J25">
            <v>527.08900000000006</v>
          </cell>
          <cell r="K25">
            <v>530.74</v>
          </cell>
          <cell r="L25">
            <v>529.78499999999997</v>
          </cell>
          <cell r="M25">
            <v>532.68399999999997</v>
          </cell>
          <cell r="N25">
            <v>520.57108333333338</v>
          </cell>
        </row>
        <row r="26">
          <cell r="A26">
            <v>2011</v>
          </cell>
          <cell r="B26">
            <v>533.49199999999996</v>
          </cell>
          <cell r="C26">
            <v>536.24900000000002</v>
          </cell>
          <cell r="D26">
            <v>537.63800000000003</v>
          </cell>
          <cell r="E26">
            <v>541.02200000000005</v>
          </cell>
          <cell r="F26">
            <v>544.26300000000003</v>
          </cell>
          <cell r="G26">
            <v>546.63599999999997</v>
          </cell>
          <cell r="H26">
            <v>548.86500000000001</v>
          </cell>
          <cell r="I26">
            <v>551.49300000000005</v>
          </cell>
          <cell r="J26">
            <v>552.33600000000001</v>
          </cell>
          <cell r="K26">
            <v>554.86599999999999</v>
          </cell>
          <cell r="L26">
            <v>556.74400000000003</v>
          </cell>
          <cell r="M26">
            <v>559.01800000000003</v>
          </cell>
          <cell r="N26">
            <v>546.88516666666669</v>
          </cell>
        </row>
        <row r="27">
          <cell r="A27">
            <v>2012</v>
          </cell>
          <cell r="B27">
            <v>561.73500000000001</v>
          </cell>
          <cell r="C27">
            <v>567.50599999999997</v>
          </cell>
          <cell r="D27">
            <v>567.83600000000001</v>
          </cell>
          <cell r="E27">
            <v>569.80399999999997</v>
          </cell>
          <cell r="F27">
            <v>571.173</v>
          </cell>
          <cell r="G27">
            <v>573.78899999999999</v>
          </cell>
          <cell r="H27">
            <v>575.79600000000005</v>
          </cell>
          <cell r="I27">
            <v>572.30700000000002</v>
          </cell>
          <cell r="J27">
            <v>576.50400000000002</v>
          </cell>
          <cell r="K27">
            <v>578.72699999999998</v>
          </cell>
          <cell r="L27">
            <v>585.41200000000003</v>
          </cell>
          <cell r="M27">
            <v>587.68799999999999</v>
          </cell>
          <cell r="N27">
            <v>574.02308333333337</v>
          </cell>
        </row>
        <row r="28">
          <cell r="A28">
            <v>2013</v>
          </cell>
          <cell r="B28">
            <v>590.14599999999996</v>
          </cell>
          <cell r="C28">
            <v>598.04899999999998</v>
          </cell>
          <cell r="D28">
            <v>599.64099999999996</v>
          </cell>
          <cell r="E28">
            <v>595.678</v>
          </cell>
          <cell r="F28">
            <v>594.09100000000001</v>
          </cell>
          <cell r="G28">
            <v>596.28700000000003</v>
          </cell>
          <cell r="H28">
            <v>597.32600000000002</v>
          </cell>
          <cell r="I28">
            <v>606.36199999999997</v>
          </cell>
          <cell r="J28">
            <v>611.43200000000002</v>
          </cell>
          <cell r="K28">
            <v>610.65200000000004</v>
          </cell>
          <cell r="L28">
            <v>610.30899999999997</v>
          </cell>
          <cell r="M28">
            <v>610.06500000000005</v>
          </cell>
          <cell r="N28">
            <v>601.66983333333337</v>
          </cell>
        </row>
        <row r="29">
          <cell r="A29">
            <v>2014</v>
          </cell>
          <cell r="B29">
            <v>615.04</v>
          </cell>
          <cell r="C29">
            <v>624.15599999999995</v>
          </cell>
          <cell r="D29">
            <v>626.51499999999999</v>
          </cell>
          <cell r="E29">
            <v>627.44100000000003</v>
          </cell>
          <cell r="F29">
            <v>626.64800000000002</v>
          </cell>
          <cell r="G29">
            <v>627.98800000000006</v>
          </cell>
          <cell r="H29">
            <v>630.79899999999998</v>
          </cell>
          <cell r="I29">
            <v>628.71600000000001</v>
          </cell>
          <cell r="J29">
            <v>631.88800000000003</v>
          </cell>
          <cell r="K29">
            <v>634.18299999999999</v>
          </cell>
          <cell r="L29">
            <v>635.82899999999995</v>
          </cell>
          <cell r="M29">
            <v>637.75</v>
          </cell>
          <cell r="N29">
            <v>628.91275000000007</v>
          </cell>
        </row>
        <row r="30">
          <cell r="A30">
            <v>2015</v>
          </cell>
          <cell r="B30">
            <v>642.399</v>
          </cell>
          <cell r="C30">
            <v>645.92499999999995</v>
          </cell>
          <cell r="D30">
            <v>648.61400000000003</v>
          </cell>
          <cell r="E30">
            <v>658.82899999999995</v>
          </cell>
          <cell r="F30">
            <v>659.99300000000005</v>
          </cell>
          <cell r="G30">
            <v>652.18100000000004</v>
          </cell>
          <cell r="H30">
            <v>650.70399999999995</v>
          </cell>
          <cell r="I30">
            <v>647.88</v>
          </cell>
          <cell r="J30">
            <v>650.27700000000004</v>
          </cell>
          <cell r="K30">
            <v>661.81100000000004</v>
          </cell>
          <cell r="L30">
            <v>660.32399999999996</v>
          </cell>
          <cell r="M30">
            <v>659.35299999999995</v>
          </cell>
          <cell r="N30">
            <v>653.19083333333322</v>
          </cell>
        </row>
        <row r="31">
          <cell r="A31">
            <v>2016</v>
          </cell>
          <cell r="B31">
            <v>663.98800000000006</v>
          </cell>
          <cell r="C31">
            <v>666.59199999999998</v>
          </cell>
          <cell r="D31">
            <v>665.15300000000002</v>
          </cell>
          <cell r="E31">
            <v>665.60199999999998</v>
          </cell>
          <cell r="F31">
            <v>667.45299999999997</v>
          </cell>
          <cell r="G31">
            <v>667.072</v>
          </cell>
          <cell r="H31">
            <v>669.37</v>
          </cell>
          <cell r="I31">
            <v>678.5</v>
          </cell>
          <cell r="J31">
            <v>680.48299999999995</v>
          </cell>
          <cell r="K31">
            <v>681.71600000000001</v>
          </cell>
          <cell r="L31">
            <v>681.3</v>
          </cell>
          <cell r="M31">
            <v>681.25300000000004</v>
          </cell>
          <cell r="N31">
            <v>672.37350000000004</v>
          </cell>
        </row>
        <row r="32">
          <cell r="A32">
            <v>2017</v>
          </cell>
          <cell r="B32">
            <v>686.33100000000002</v>
          </cell>
          <cell r="C32">
            <v>695.41099999999994</v>
          </cell>
          <cell r="D32">
            <v>696.85</v>
          </cell>
          <cell r="E32">
            <v>705.346</v>
          </cell>
          <cell r="F32">
            <v>704.56600000000003</v>
          </cell>
          <cell r="G32">
            <v>707.89499999999998</v>
          </cell>
          <cell r="H32">
            <v>710.21600000000001</v>
          </cell>
          <cell r="I32">
            <v>709.36800000000005</v>
          </cell>
          <cell r="J32">
            <v>711.43100000000004</v>
          </cell>
          <cell r="K32">
            <v>714.56100000000004</v>
          </cell>
          <cell r="L32">
            <v>713.54300000000001</v>
          </cell>
          <cell r="M32">
            <v>714.21100000000001</v>
          </cell>
          <cell r="N32">
            <v>705.81074999999998</v>
          </cell>
        </row>
        <row r="33">
          <cell r="A33">
            <v>2018</v>
          </cell>
          <cell r="B33">
            <v>727.70799999999997</v>
          </cell>
          <cell r="C33">
            <v>729.28</v>
          </cell>
          <cell r="D33">
            <v>732.61800000000005</v>
          </cell>
          <cell r="E33">
            <v>733.79100000000005</v>
          </cell>
          <cell r="F33">
            <v>734.53200000000004</v>
          </cell>
          <cell r="N33">
            <v>731.58580000000006</v>
          </cell>
        </row>
      </sheetData>
      <sheetData sheetId="6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1997</v>
          </cell>
          <cell r="B2">
            <v>100.6</v>
          </cell>
          <cell r="C2">
            <v>100.8</v>
          </cell>
          <cell r="D2">
            <v>101.2</v>
          </cell>
          <cell r="E2">
            <v>101.5</v>
          </cell>
          <cell r="F2">
            <v>101.7</v>
          </cell>
          <cell r="G2">
            <v>102.1</v>
          </cell>
          <cell r="H2">
            <v>102.8</v>
          </cell>
          <cell r="I2">
            <v>102.7</v>
          </cell>
          <cell r="J2">
            <v>103</v>
          </cell>
          <cell r="K2">
            <v>103.4</v>
          </cell>
          <cell r="L2">
            <v>103.6</v>
          </cell>
          <cell r="M2">
            <v>104.4</v>
          </cell>
          <cell r="N2">
            <v>102.31666666666666</v>
          </cell>
        </row>
        <row r="3">
          <cell r="A3">
            <v>1998</v>
          </cell>
          <cell r="B3">
            <v>104.8</v>
          </cell>
          <cell r="C3">
            <v>105.4</v>
          </cell>
          <cell r="D3">
            <v>105.8</v>
          </cell>
          <cell r="E3">
            <v>106.5</v>
          </cell>
          <cell r="F3">
            <v>106.7</v>
          </cell>
          <cell r="G3">
            <v>106.8</v>
          </cell>
          <cell r="H3">
            <v>107.3</v>
          </cell>
          <cell r="I3">
            <v>107.8</v>
          </cell>
          <cell r="J3">
            <v>108.1</v>
          </cell>
          <cell r="K3">
            <v>108.1</v>
          </cell>
          <cell r="L3">
            <v>108.5</v>
          </cell>
          <cell r="M3">
            <v>108.8</v>
          </cell>
          <cell r="N3">
            <v>107.05</v>
          </cell>
        </row>
        <row r="4">
          <cell r="A4">
            <v>1999</v>
          </cell>
          <cell r="B4">
            <v>109.5</v>
          </cell>
          <cell r="C4">
            <v>109.9</v>
          </cell>
          <cell r="D4">
            <v>110.3</v>
          </cell>
          <cell r="E4">
            <v>110.6</v>
          </cell>
          <cell r="F4">
            <v>110.9</v>
          </cell>
          <cell r="G4">
            <v>111.3</v>
          </cell>
          <cell r="H4">
            <v>111.6</v>
          </cell>
          <cell r="I4">
            <v>111.9</v>
          </cell>
          <cell r="J4">
            <v>112.4</v>
          </cell>
          <cell r="K4">
            <v>112.9</v>
          </cell>
          <cell r="L4">
            <v>113.4</v>
          </cell>
          <cell r="M4">
            <v>113.9</v>
          </cell>
          <cell r="N4">
            <v>111.55000000000001</v>
          </cell>
        </row>
        <row r="5">
          <cell r="A5">
            <v>2000</v>
          </cell>
          <cell r="B5">
            <v>114.1</v>
          </cell>
          <cell r="C5">
            <v>114.6</v>
          </cell>
          <cell r="D5">
            <v>115</v>
          </cell>
          <cell r="E5">
            <v>115.7</v>
          </cell>
          <cell r="F5">
            <v>115.9</v>
          </cell>
          <cell r="G5">
            <v>117</v>
          </cell>
          <cell r="H5">
            <v>117.6</v>
          </cell>
          <cell r="I5">
            <v>118</v>
          </cell>
          <cell r="J5">
            <v>118.4</v>
          </cell>
          <cell r="K5">
            <v>118.9</v>
          </cell>
          <cell r="L5">
            <v>119.3</v>
          </cell>
          <cell r="M5">
            <v>119.5</v>
          </cell>
          <cell r="N5">
            <v>117</v>
          </cell>
        </row>
        <row r="6">
          <cell r="A6">
            <v>2001</v>
          </cell>
          <cell r="B6">
            <v>120.1</v>
          </cell>
          <cell r="C6">
            <v>119.4</v>
          </cell>
          <cell r="D6">
            <v>119.9</v>
          </cell>
          <cell r="E6">
            <v>120.4</v>
          </cell>
          <cell r="F6">
            <v>120.9</v>
          </cell>
          <cell r="G6">
            <v>121</v>
          </cell>
          <cell r="H6">
            <v>121.6</v>
          </cell>
          <cell r="I6">
            <v>122.4</v>
          </cell>
          <cell r="J6">
            <v>123.1</v>
          </cell>
          <cell r="K6">
            <v>123.7</v>
          </cell>
          <cell r="L6">
            <v>124.3</v>
          </cell>
          <cell r="M6">
            <v>124.8</v>
          </cell>
          <cell r="N6">
            <v>121.8</v>
          </cell>
        </row>
        <row r="7">
          <cell r="A7">
            <v>2002</v>
          </cell>
          <cell r="B7">
            <v>125.1</v>
          </cell>
          <cell r="C7">
            <v>125.6</v>
          </cell>
          <cell r="D7">
            <v>126.6</v>
          </cell>
          <cell r="E7">
            <v>126.9</v>
          </cell>
          <cell r="F7">
            <v>127.2</v>
          </cell>
          <cell r="G7">
            <v>127.9</v>
          </cell>
          <cell r="H7">
            <v>128.4</v>
          </cell>
          <cell r="I7">
            <v>128.6</v>
          </cell>
          <cell r="J7">
            <v>129.19999999999999</v>
          </cell>
          <cell r="K7">
            <v>129.6</v>
          </cell>
          <cell r="L7">
            <v>130</v>
          </cell>
          <cell r="M7">
            <v>130.19999999999999</v>
          </cell>
          <cell r="N7">
            <v>127.94166666666666</v>
          </cell>
        </row>
        <row r="8">
          <cell r="A8">
            <v>2003</v>
          </cell>
          <cell r="B8">
            <v>131.80000000000001</v>
          </cell>
          <cell r="C8">
            <v>132.69999999999999</v>
          </cell>
          <cell r="D8">
            <v>133.4</v>
          </cell>
          <cell r="E8">
            <v>134</v>
          </cell>
          <cell r="F8">
            <v>135</v>
          </cell>
          <cell r="G8">
            <v>135.19999999999999</v>
          </cell>
          <cell r="H8">
            <v>135.6</v>
          </cell>
          <cell r="I8">
            <v>136.1</v>
          </cell>
          <cell r="J8">
            <v>136.5</v>
          </cell>
          <cell r="K8">
            <v>136.9</v>
          </cell>
          <cell r="L8">
            <v>137.4</v>
          </cell>
          <cell r="M8">
            <v>137.80000000000001</v>
          </cell>
          <cell r="N8">
            <v>135.20000000000002</v>
          </cell>
        </row>
        <row r="9">
          <cell r="A9">
            <v>2004</v>
          </cell>
          <cell r="B9">
            <v>138.1</v>
          </cell>
          <cell r="C9">
            <v>138.6</v>
          </cell>
          <cell r="D9">
            <v>139.19999999999999</v>
          </cell>
          <cell r="E9">
            <v>139</v>
          </cell>
          <cell r="F9">
            <v>139.19999999999999</v>
          </cell>
          <cell r="G9">
            <v>140.5</v>
          </cell>
          <cell r="H9">
            <v>141</v>
          </cell>
          <cell r="I9">
            <v>141.30000000000001</v>
          </cell>
          <cell r="J9">
            <v>141.5</v>
          </cell>
          <cell r="K9">
            <v>141.9</v>
          </cell>
          <cell r="L9">
            <v>142.30000000000001</v>
          </cell>
          <cell r="M9">
            <v>142.6</v>
          </cell>
          <cell r="N9">
            <v>140.43333333333331</v>
          </cell>
        </row>
        <row r="10">
          <cell r="A10">
            <v>2005</v>
          </cell>
          <cell r="B10">
            <v>142.9</v>
          </cell>
          <cell r="C10">
            <v>143.30000000000001</v>
          </cell>
          <cell r="D10">
            <v>143.5</v>
          </cell>
          <cell r="E10">
            <v>143.80000000000001</v>
          </cell>
          <cell r="F10">
            <v>144</v>
          </cell>
          <cell r="G10">
            <v>144.4</v>
          </cell>
          <cell r="H10">
            <v>144.9</v>
          </cell>
          <cell r="I10">
            <v>145.69999999999999</v>
          </cell>
          <cell r="J10">
            <v>146.1</v>
          </cell>
          <cell r="K10">
            <v>146.5</v>
          </cell>
          <cell r="L10">
            <v>147.19999999999999</v>
          </cell>
          <cell r="M10">
            <v>147.6</v>
          </cell>
          <cell r="N10">
            <v>144.99166666666665</v>
          </cell>
        </row>
        <row r="11">
          <cell r="A11">
            <v>2006</v>
          </cell>
          <cell r="B11">
            <v>148</v>
          </cell>
          <cell r="C11">
            <v>148.1</v>
          </cell>
          <cell r="D11">
            <v>148.80000000000001</v>
          </cell>
          <cell r="E11">
            <v>149.4</v>
          </cell>
          <cell r="F11">
            <v>150</v>
          </cell>
          <cell r="G11">
            <v>150.5</v>
          </cell>
          <cell r="H11">
            <v>150.80000000000001</v>
          </cell>
          <cell r="I11">
            <v>151.4</v>
          </cell>
          <cell r="J11">
            <v>152.4</v>
          </cell>
          <cell r="K11">
            <v>153.6</v>
          </cell>
          <cell r="L11">
            <v>154.30000000000001</v>
          </cell>
          <cell r="M11">
            <v>155.1</v>
          </cell>
          <cell r="N11">
            <v>151.03333333333333</v>
          </cell>
        </row>
        <row r="12">
          <cell r="A12">
            <v>2007</v>
          </cell>
          <cell r="B12">
            <v>155.959</v>
          </cell>
          <cell r="C12">
            <v>156.42400000000001</v>
          </cell>
          <cell r="D12">
            <v>157.108</v>
          </cell>
          <cell r="E12">
            <v>158.11000000000001</v>
          </cell>
          <cell r="F12">
            <v>158.94200000000001</v>
          </cell>
          <cell r="G12">
            <v>159.19399999999999</v>
          </cell>
          <cell r="H12">
            <v>160.39099999999999</v>
          </cell>
          <cell r="I12">
            <v>160.80500000000001</v>
          </cell>
          <cell r="J12">
            <v>161.453</v>
          </cell>
          <cell r="K12">
            <v>161.93700000000001</v>
          </cell>
          <cell r="L12">
            <v>162.28</v>
          </cell>
          <cell r="M12">
            <v>162.65600000000001</v>
          </cell>
          <cell r="N12">
            <v>159.6049166666667</v>
          </cell>
        </row>
        <row r="13">
          <cell r="A13">
            <v>2008</v>
          </cell>
          <cell r="B13">
            <v>162.95400000000001</v>
          </cell>
          <cell r="C13">
            <v>163.73500000000001</v>
          </cell>
          <cell r="D13">
            <v>164.422</v>
          </cell>
          <cell r="E13">
            <v>164.501</v>
          </cell>
          <cell r="F13">
            <v>164.59299999999999</v>
          </cell>
          <cell r="G13">
            <v>165.13900000000001</v>
          </cell>
          <cell r="H13">
            <v>165.48599999999999</v>
          </cell>
          <cell r="I13">
            <v>165.73699999999999</v>
          </cell>
          <cell r="J13">
            <v>166.23599999999999</v>
          </cell>
          <cell r="K13">
            <v>166.44300000000001</v>
          </cell>
          <cell r="L13">
            <v>167.12799999999999</v>
          </cell>
          <cell r="M13">
            <v>167.85599999999999</v>
          </cell>
          <cell r="N13">
            <v>165.35249999999999</v>
          </cell>
        </row>
        <row r="14">
          <cell r="A14">
            <v>2009</v>
          </cell>
          <cell r="B14">
            <v>169.00800000000001</v>
          </cell>
          <cell r="C14">
            <v>169.583</v>
          </cell>
          <cell r="D14">
            <v>170.215</v>
          </cell>
          <cell r="E14">
            <v>171.18299999999999</v>
          </cell>
          <cell r="F14">
            <v>171.14699999999999</v>
          </cell>
          <cell r="G14">
            <v>171.25200000000001</v>
          </cell>
          <cell r="H14">
            <v>171.57400000000001</v>
          </cell>
          <cell r="I14">
            <v>172.2</v>
          </cell>
          <cell r="J14">
            <v>172.44900000000001</v>
          </cell>
          <cell r="K14">
            <v>173.09200000000001</v>
          </cell>
          <cell r="L14">
            <v>174.02500000000001</v>
          </cell>
          <cell r="M14">
            <v>173.93700000000001</v>
          </cell>
          <cell r="N14">
            <v>171.63875000000004</v>
          </cell>
        </row>
        <row r="15">
          <cell r="A15">
            <v>2010</v>
          </cell>
          <cell r="B15">
            <v>173.94800000000001</v>
          </cell>
          <cell r="C15">
            <v>174.31100000000001</v>
          </cell>
          <cell r="D15">
            <v>174.86</v>
          </cell>
          <cell r="E15">
            <v>175.31399999999999</v>
          </cell>
          <cell r="F15">
            <v>176.637</v>
          </cell>
          <cell r="G15">
            <v>177.4</v>
          </cell>
          <cell r="H15">
            <v>177.71299999999999</v>
          </cell>
          <cell r="I15">
            <v>178.13499999999999</v>
          </cell>
          <cell r="J15">
            <v>178.458</v>
          </cell>
          <cell r="K15">
            <v>178.86600000000001</v>
          </cell>
          <cell r="L15">
            <v>179.018</v>
          </cell>
          <cell r="M15">
            <v>179.41300000000001</v>
          </cell>
          <cell r="N15">
            <v>177.00608333333335</v>
          </cell>
        </row>
        <row r="16">
          <cell r="A16">
            <v>2011</v>
          </cell>
          <cell r="B16">
            <v>179.90799999999999</v>
          </cell>
          <cell r="C16">
            <v>180.60499999999999</v>
          </cell>
          <cell r="D16">
            <v>181.363</v>
          </cell>
          <cell r="E16">
            <v>181.19200000000001</v>
          </cell>
          <cell r="F16">
            <v>181.36</v>
          </cell>
          <cell r="G16">
            <v>181.61799999999999</v>
          </cell>
          <cell r="H16">
            <v>182.13300000000001</v>
          </cell>
          <cell r="I16">
            <v>182.56100000000001</v>
          </cell>
          <cell r="J16">
            <v>183.24</v>
          </cell>
          <cell r="K16">
            <v>183.56200000000001</v>
          </cell>
          <cell r="L16">
            <v>184.05099999999999</v>
          </cell>
          <cell r="M16">
            <v>184.69800000000001</v>
          </cell>
          <cell r="N16">
            <v>182.19091666666665</v>
          </cell>
        </row>
        <row r="17">
          <cell r="A17">
            <v>2012</v>
          </cell>
          <cell r="B17">
            <v>185.82</v>
          </cell>
          <cell r="C17">
            <v>187.345</v>
          </cell>
          <cell r="D17">
            <v>187.61199999999999</v>
          </cell>
          <cell r="E17">
            <v>187.93199999999999</v>
          </cell>
          <cell r="F17">
            <v>188.65299999999999</v>
          </cell>
          <cell r="G17">
            <v>188.87200000000001</v>
          </cell>
          <cell r="H17">
            <v>189.404</v>
          </cell>
          <cell r="I17">
            <v>189.64699999999999</v>
          </cell>
          <cell r="J17">
            <v>189.80600000000001</v>
          </cell>
          <cell r="K17">
            <v>190.04599999999999</v>
          </cell>
          <cell r="L17">
            <v>190.12</v>
          </cell>
          <cell r="M17">
            <v>190.39699999999999</v>
          </cell>
          <cell r="N17">
            <v>188.80449999999999</v>
          </cell>
        </row>
        <row r="18">
          <cell r="A18">
            <v>2013</v>
          </cell>
          <cell r="B18">
            <v>192.11500000000001</v>
          </cell>
          <cell r="C18">
            <v>192.88</v>
          </cell>
          <cell r="D18">
            <v>193.79300000000001</v>
          </cell>
          <cell r="E18">
            <v>193.73</v>
          </cell>
          <cell r="F18">
            <v>194.52699999999999</v>
          </cell>
          <cell r="G18">
            <v>194.459</v>
          </cell>
          <cell r="H18">
            <v>194.96799999999999</v>
          </cell>
          <cell r="I18">
            <v>195.20699999999999</v>
          </cell>
          <cell r="J18">
            <v>194.85499999999999</v>
          </cell>
          <cell r="K18">
            <v>194.999</v>
          </cell>
          <cell r="L18">
            <v>195.989</v>
          </cell>
          <cell r="M18">
            <v>196.142</v>
          </cell>
          <cell r="N18">
            <v>194.47199999999998</v>
          </cell>
        </row>
        <row r="19">
          <cell r="A19">
            <v>2014</v>
          </cell>
          <cell r="B19">
            <v>197.13900000000001</v>
          </cell>
          <cell r="C19">
            <v>198.75800000000001</v>
          </cell>
          <cell r="D19">
            <v>199.31899999999999</v>
          </cell>
          <cell r="E19">
            <v>199.465</v>
          </cell>
          <cell r="F19">
            <v>199.69</v>
          </cell>
          <cell r="G19">
            <v>199.65600000000001</v>
          </cell>
          <cell r="H19">
            <v>199.91900000000001</v>
          </cell>
          <cell r="I19">
            <v>200.821</v>
          </cell>
          <cell r="J19">
            <v>201.23500000000001</v>
          </cell>
          <cell r="K19">
            <v>201.286</v>
          </cell>
          <cell r="L19">
            <v>201.79599999999999</v>
          </cell>
          <cell r="M19">
            <v>201.87200000000001</v>
          </cell>
          <cell r="N19">
            <v>200.07966666666664</v>
          </cell>
        </row>
        <row r="20">
          <cell r="A20">
            <v>2015</v>
          </cell>
          <cell r="B20">
            <v>203.869</v>
          </cell>
          <cell r="C20">
            <v>204.77600000000001</v>
          </cell>
          <cell r="D20">
            <v>205.04900000000001</v>
          </cell>
          <cell r="E20">
            <v>205.286</v>
          </cell>
          <cell r="F20">
            <v>206.05799999999999</v>
          </cell>
          <cell r="G20">
            <v>206.36500000000001</v>
          </cell>
          <cell r="H20">
            <v>206.55600000000001</v>
          </cell>
          <cell r="I20">
            <v>207.298</v>
          </cell>
          <cell r="J20">
            <v>207.52799999999999</v>
          </cell>
          <cell r="K20">
            <v>207.56100000000001</v>
          </cell>
          <cell r="L20">
            <v>208.108</v>
          </cell>
          <cell r="M20">
            <v>208.422</v>
          </cell>
          <cell r="N20">
            <v>206.40633333333335</v>
          </cell>
        </row>
        <row r="21">
          <cell r="A21">
            <v>2016</v>
          </cell>
          <cell r="B21">
            <v>210.06399999999999</v>
          </cell>
          <cell r="C21">
            <v>211.32599999999999</v>
          </cell>
          <cell r="D21">
            <v>212.136</v>
          </cell>
          <cell r="E21">
            <v>212.92699999999999</v>
          </cell>
          <cell r="F21">
            <v>213.601</v>
          </cell>
          <cell r="G21">
            <v>213.67699999999999</v>
          </cell>
          <cell r="H21">
            <v>213.922</v>
          </cell>
          <cell r="I21">
            <v>215.00700000000001</v>
          </cell>
          <cell r="J21">
            <v>215.161</v>
          </cell>
          <cell r="K21">
            <v>215.15299999999999</v>
          </cell>
          <cell r="L21">
            <v>215.529</v>
          </cell>
          <cell r="M21">
            <v>215.607</v>
          </cell>
          <cell r="N21">
            <v>213.67583333333334</v>
          </cell>
        </row>
        <row r="22">
          <cell r="A22">
            <v>2017</v>
          </cell>
          <cell r="B22">
            <v>217.21</v>
          </cell>
          <cell r="C22">
            <v>218.28700000000001</v>
          </cell>
          <cell r="D22">
            <v>218.958</v>
          </cell>
          <cell r="E22">
            <v>219.119</v>
          </cell>
          <cell r="F22">
            <v>219.17699999999999</v>
          </cell>
          <cell r="G22">
            <v>221.04499999999999</v>
          </cell>
          <cell r="H22">
            <v>221.22200000000001</v>
          </cell>
          <cell r="I22">
            <v>220.83199999999999</v>
          </cell>
          <cell r="J22">
            <v>221.04400000000001</v>
          </cell>
          <cell r="K22">
            <v>221.98699999999999</v>
          </cell>
          <cell r="L22">
            <v>222.05600000000001</v>
          </cell>
          <cell r="M22">
            <v>222.107</v>
          </cell>
          <cell r="N22">
            <v>220.25366666666665</v>
          </cell>
        </row>
        <row r="23">
          <cell r="A23">
            <v>2018</v>
          </cell>
          <cell r="B23">
            <v>224.07499999999999</v>
          </cell>
          <cell r="C23">
            <v>225.69800000000001</v>
          </cell>
          <cell r="D23">
            <v>226.01900000000001</v>
          </cell>
          <cell r="E23">
            <v>226.18</v>
          </cell>
          <cell r="F23">
            <v>227.291</v>
          </cell>
          <cell r="N23">
            <v>225.8526</v>
          </cell>
        </row>
      </sheetData>
      <sheetData sheetId="7" refreshError="1"/>
      <sheetData sheetId="8" refreshError="1">
        <row r="2">
          <cell r="B2" t="str">
            <v>Year</v>
          </cell>
          <cell r="C2" t="str">
            <v>Jan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May</v>
          </cell>
          <cell r="H2" t="str">
            <v>Jun</v>
          </cell>
          <cell r="I2" t="str">
            <v>Jul</v>
          </cell>
          <cell r="J2" t="str">
            <v>Aug</v>
          </cell>
          <cell r="K2" t="str">
            <v>Sep</v>
          </cell>
          <cell r="L2" t="str">
            <v>Oct</v>
          </cell>
          <cell r="M2" t="str">
            <v>Nov</v>
          </cell>
          <cell r="N2" t="str">
            <v>Dec</v>
          </cell>
          <cell r="O2" t="str">
            <v>Annual</v>
          </cell>
        </row>
        <row r="3">
          <cell r="B3">
            <v>1960</v>
          </cell>
          <cell r="C3">
            <v>21.9</v>
          </cell>
          <cell r="D3">
            <v>22</v>
          </cell>
          <cell r="E3">
            <v>22.1</v>
          </cell>
          <cell r="F3">
            <v>22.2</v>
          </cell>
          <cell r="G3">
            <v>22.2</v>
          </cell>
          <cell r="H3">
            <v>22.2</v>
          </cell>
          <cell r="I3">
            <v>22.3</v>
          </cell>
          <cell r="J3">
            <v>22.3</v>
          </cell>
          <cell r="K3">
            <v>22.4</v>
          </cell>
          <cell r="L3">
            <v>22.4</v>
          </cell>
          <cell r="M3">
            <v>22.5</v>
          </cell>
          <cell r="N3">
            <v>22.6</v>
          </cell>
          <cell r="O3">
            <v>22.258333333333336</v>
          </cell>
        </row>
        <row r="4">
          <cell r="B4">
            <v>1961</v>
          </cell>
          <cell r="C4">
            <v>22.6</v>
          </cell>
          <cell r="D4">
            <v>22.7</v>
          </cell>
          <cell r="E4">
            <v>22.7</v>
          </cell>
          <cell r="F4">
            <v>22.8</v>
          </cell>
          <cell r="G4">
            <v>22.8</v>
          </cell>
          <cell r="H4">
            <v>22.9</v>
          </cell>
          <cell r="I4">
            <v>22.9</v>
          </cell>
          <cell r="J4">
            <v>23</v>
          </cell>
          <cell r="K4">
            <v>23.1</v>
          </cell>
          <cell r="L4">
            <v>23.1</v>
          </cell>
          <cell r="M4">
            <v>23.1</v>
          </cell>
          <cell r="N4">
            <v>23.2</v>
          </cell>
          <cell r="O4">
            <v>22.908333333333331</v>
          </cell>
        </row>
        <row r="5">
          <cell r="B5">
            <v>1962</v>
          </cell>
          <cell r="C5">
            <v>23.2</v>
          </cell>
          <cell r="D5">
            <v>23.3</v>
          </cell>
          <cell r="E5">
            <v>23.4</v>
          </cell>
          <cell r="F5">
            <v>23.4</v>
          </cell>
          <cell r="G5">
            <v>23.5</v>
          </cell>
          <cell r="H5">
            <v>23.5</v>
          </cell>
          <cell r="I5">
            <v>23.6</v>
          </cell>
          <cell r="J5">
            <v>23.6</v>
          </cell>
          <cell r="K5">
            <v>23.6</v>
          </cell>
          <cell r="L5">
            <v>23.7</v>
          </cell>
          <cell r="M5">
            <v>23.7</v>
          </cell>
          <cell r="N5">
            <v>23.8</v>
          </cell>
          <cell r="O5">
            <v>23.525000000000002</v>
          </cell>
        </row>
        <row r="6">
          <cell r="B6">
            <v>1963</v>
          </cell>
          <cell r="C6">
            <v>23.9</v>
          </cell>
          <cell r="D6">
            <v>23.9</v>
          </cell>
          <cell r="E6">
            <v>23.9</v>
          </cell>
          <cell r="F6">
            <v>23.9</v>
          </cell>
          <cell r="G6">
            <v>24</v>
          </cell>
          <cell r="H6">
            <v>24.1</v>
          </cell>
          <cell r="I6">
            <v>24.1</v>
          </cell>
          <cell r="J6">
            <v>24.2</v>
          </cell>
          <cell r="K6">
            <v>24.2</v>
          </cell>
          <cell r="L6">
            <v>24.2</v>
          </cell>
          <cell r="M6">
            <v>24.3</v>
          </cell>
          <cell r="N6">
            <v>24.3</v>
          </cell>
          <cell r="O6">
            <v>24.083333333333329</v>
          </cell>
        </row>
        <row r="7">
          <cell r="B7">
            <v>1964</v>
          </cell>
          <cell r="C7">
            <v>24.4</v>
          </cell>
          <cell r="D7">
            <v>24.4</v>
          </cell>
          <cell r="E7">
            <v>24.4</v>
          </cell>
          <cell r="F7">
            <v>24.5</v>
          </cell>
          <cell r="G7">
            <v>24.5</v>
          </cell>
          <cell r="H7">
            <v>24.6</v>
          </cell>
          <cell r="I7">
            <v>24.6</v>
          </cell>
          <cell r="J7">
            <v>24.7</v>
          </cell>
          <cell r="K7">
            <v>24.7</v>
          </cell>
          <cell r="L7">
            <v>24.7</v>
          </cell>
          <cell r="M7">
            <v>24.8</v>
          </cell>
          <cell r="N7">
            <v>24.8</v>
          </cell>
          <cell r="O7">
            <v>24.591666666666665</v>
          </cell>
        </row>
        <row r="8">
          <cell r="B8">
            <v>1965</v>
          </cell>
          <cell r="C8">
            <v>24.8</v>
          </cell>
          <cell r="D8">
            <v>24.9</v>
          </cell>
          <cell r="E8">
            <v>25</v>
          </cell>
          <cell r="F8">
            <v>25</v>
          </cell>
          <cell r="G8">
            <v>25.1</v>
          </cell>
          <cell r="H8">
            <v>25.1</v>
          </cell>
          <cell r="I8">
            <v>25.3</v>
          </cell>
          <cell r="J8">
            <v>25.3</v>
          </cell>
          <cell r="K8">
            <v>25.3</v>
          </cell>
          <cell r="L8">
            <v>25.4</v>
          </cell>
          <cell r="M8">
            <v>25.5</v>
          </cell>
          <cell r="N8">
            <v>25.5</v>
          </cell>
          <cell r="O8">
            <v>25.183333333333337</v>
          </cell>
        </row>
        <row r="9">
          <cell r="B9">
            <v>1966</v>
          </cell>
          <cell r="C9">
            <v>25.6</v>
          </cell>
          <cell r="D9">
            <v>25.6</v>
          </cell>
          <cell r="E9">
            <v>25.8</v>
          </cell>
          <cell r="F9">
            <v>25.9</v>
          </cell>
          <cell r="G9">
            <v>26</v>
          </cell>
          <cell r="H9">
            <v>26.1</v>
          </cell>
          <cell r="I9">
            <v>26.3</v>
          </cell>
          <cell r="J9">
            <v>26.4</v>
          </cell>
          <cell r="K9">
            <v>26.7</v>
          </cell>
          <cell r="L9">
            <v>26.9</v>
          </cell>
          <cell r="M9">
            <v>27.1</v>
          </cell>
          <cell r="N9">
            <v>27.2</v>
          </cell>
          <cell r="O9">
            <v>26.3</v>
          </cell>
        </row>
        <row r="10">
          <cell r="B10">
            <v>1967</v>
          </cell>
          <cell r="C10">
            <v>27.4</v>
          </cell>
          <cell r="D10">
            <v>27.5</v>
          </cell>
          <cell r="E10">
            <v>27.6</v>
          </cell>
          <cell r="F10">
            <v>27.8</v>
          </cell>
          <cell r="G10">
            <v>27.9</v>
          </cell>
          <cell r="H10">
            <v>28.1</v>
          </cell>
          <cell r="I10">
            <v>28.2</v>
          </cell>
          <cell r="J10">
            <v>28.3</v>
          </cell>
          <cell r="K10">
            <v>28.5</v>
          </cell>
          <cell r="L10">
            <v>28.7</v>
          </cell>
          <cell r="M10">
            <v>28.8</v>
          </cell>
          <cell r="N10">
            <v>29</v>
          </cell>
          <cell r="O10">
            <v>28.150000000000002</v>
          </cell>
        </row>
        <row r="11">
          <cell r="B11">
            <v>1968</v>
          </cell>
          <cell r="C11">
            <v>29.1</v>
          </cell>
          <cell r="D11">
            <v>29.2</v>
          </cell>
          <cell r="E11">
            <v>29.4</v>
          </cell>
          <cell r="F11">
            <v>29.5</v>
          </cell>
          <cell r="G11">
            <v>29.6</v>
          </cell>
          <cell r="H11">
            <v>29.7</v>
          </cell>
          <cell r="I11">
            <v>29.9</v>
          </cell>
          <cell r="J11">
            <v>30</v>
          </cell>
          <cell r="K11">
            <v>30.2</v>
          </cell>
          <cell r="L11">
            <v>30.4</v>
          </cell>
          <cell r="M11">
            <v>30.6</v>
          </cell>
          <cell r="N11">
            <v>30.8</v>
          </cell>
          <cell r="O11">
            <v>29.866666666666664</v>
          </cell>
        </row>
        <row r="12">
          <cell r="B12">
            <v>1969</v>
          </cell>
          <cell r="C12">
            <v>30.9</v>
          </cell>
          <cell r="D12">
            <v>31.2</v>
          </cell>
          <cell r="E12">
            <v>31.4</v>
          </cell>
          <cell r="F12">
            <v>31.6</v>
          </cell>
          <cell r="G12">
            <v>31.8</v>
          </cell>
          <cell r="H12">
            <v>31.9</v>
          </cell>
          <cell r="I12">
            <v>32.1</v>
          </cell>
          <cell r="J12">
            <v>32.200000000000003</v>
          </cell>
          <cell r="K12">
            <v>32.5</v>
          </cell>
          <cell r="L12">
            <v>32.299999999999997</v>
          </cell>
          <cell r="M12">
            <v>32.5</v>
          </cell>
          <cell r="N12">
            <v>32.6</v>
          </cell>
          <cell r="O12">
            <v>31.916666666666671</v>
          </cell>
        </row>
        <row r="13">
          <cell r="B13">
            <v>1970</v>
          </cell>
          <cell r="C13">
            <v>32.799999999999997</v>
          </cell>
          <cell r="D13">
            <v>33</v>
          </cell>
          <cell r="E13">
            <v>33.200000000000003</v>
          </cell>
          <cell r="F13">
            <v>33.5</v>
          </cell>
          <cell r="G13">
            <v>33.700000000000003</v>
          </cell>
          <cell r="H13">
            <v>33.9</v>
          </cell>
          <cell r="I13">
            <v>34.1</v>
          </cell>
          <cell r="J13">
            <v>34.299999999999997</v>
          </cell>
          <cell r="K13">
            <v>34.5</v>
          </cell>
          <cell r="L13">
            <v>34.6</v>
          </cell>
          <cell r="M13">
            <v>34.799999999999997</v>
          </cell>
          <cell r="N13">
            <v>35.1</v>
          </cell>
          <cell r="O13">
            <v>33.958333333333336</v>
          </cell>
        </row>
        <row r="14">
          <cell r="B14">
            <v>1971</v>
          </cell>
          <cell r="C14">
            <v>35.200000000000003</v>
          </cell>
          <cell r="D14">
            <v>35.4</v>
          </cell>
          <cell r="E14">
            <v>35.6</v>
          </cell>
          <cell r="F14">
            <v>35.799999999999997</v>
          </cell>
          <cell r="G14">
            <v>36</v>
          </cell>
          <cell r="H14">
            <v>36.200000000000003</v>
          </cell>
          <cell r="I14">
            <v>36.4</v>
          </cell>
          <cell r="J14">
            <v>36.5</v>
          </cell>
          <cell r="K14">
            <v>36.700000000000003</v>
          </cell>
          <cell r="L14">
            <v>36.5</v>
          </cell>
          <cell r="M14">
            <v>36.6</v>
          </cell>
          <cell r="N14">
            <v>36.700000000000003</v>
          </cell>
          <cell r="O14">
            <v>36.133333333333333</v>
          </cell>
        </row>
        <row r="15">
          <cell r="B15">
            <v>1972</v>
          </cell>
          <cell r="C15">
            <v>36.799999999999997</v>
          </cell>
          <cell r="D15">
            <v>36.9</v>
          </cell>
          <cell r="E15">
            <v>37</v>
          </cell>
          <cell r="F15">
            <v>37.1</v>
          </cell>
          <cell r="G15">
            <v>37.200000000000003</v>
          </cell>
          <cell r="H15">
            <v>37.299999999999997</v>
          </cell>
          <cell r="I15">
            <v>37.299999999999997</v>
          </cell>
          <cell r="J15">
            <v>37.4</v>
          </cell>
          <cell r="K15">
            <v>37.4</v>
          </cell>
          <cell r="L15">
            <v>37.799999999999997</v>
          </cell>
          <cell r="M15">
            <v>37.799999999999997</v>
          </cell>
          <cell r="N15">
            <v>37.9</v>
          </cell>
          <cell r="O15">
            <v>37.324999999999996</v>
          </cell>
        </row>
        <row r="16">
          <cell r="B16">
            <v>1973</v>
          </cell>
          <cell r="C16">
            <v>38</v>
          </cell>
          <cell r="D16">
            <v>38.1</v>
          </cell>
          <cell r="E16">
            <v>38.200000000000003</v>
          </cell>
          <cell r="F16">
            <v>38.299999999999997</v>
          </cell>
          <cell r="G16">
            <v>38.5</v>
          </cell>
          <cell r="H16">
            <v>38.6</v>
          </cell>
          <cell r="I16">
            <v>38.6</v>
          </cell>
          <cell r="J16">
            <v>38.700000000000003</v>
          </cell>
          <cell r="K16">
            <v>38.9</v>
          </cell>
          <cell r="L16">
            <v>39.6</v>
          </cell>
          <cell r="M16">
            <v>39.700000000000003</v>
          </cell>
          <cell r="N16">
            <v>39.9</v>
          </cell>
          <cell r="O16">
            <v>38.758333333333333</v>
          </cell>
        </row>
        <row r="17">
          <cell r="B17">
            <v>1974</v>
          </cell>
          <cell r="C17">
            <v>40.1</v>
          </cell>
          <cell r="D17">
            <v>40.299999999999997</v>
          </cell>
          <cell r="E17">
            <v>40.700000000000003</v>
          </cell>
          <cell r="F17">
            <v>41</v>
          </cell>
          <cell r="G17">
            <v>41.4</v>
          </cell>
          <cell r="H17">
            <v>42.1</v>
          </cell>
          <cell r="I17">
            <v>42.6</v>
          </cell>
          <cell r="J17">
            <v>43.2</v>
          </cell>
          <cell r="K17">
            <v>43.7</v>
          </cell>
          <cell r="L17">
            <v>44.1</v>
          </cell>
          <cell r="M17">
            <v>44.4</v>
          </cell>
          <cell r="N17">
            <v>44.8</v>
          </cell>
          <cell r="O17">
            <v>42.366666666666667</v>
          </cell>
        </row>
        <row r="18">
          <cell r="B18">
            <v>1975</v>
          </cell>
          <cell r="C18">
            <v>45.3</v>
          </cell>
          <cell r="D18">
            <v>45.8</v>
          </cell>
          <cell r="E18">
            <v>46.3</v>
          </cell>
          <cell r="F18">
            <v>46.7</v>
          </cell>
          <cell r="G18">
            <v>47</v>
          </cell>
          <cell r="H18">
            <v>47.4</v>
          </cell>
          <cell r="I18">
            <v>47.8</v>
          </cell>
          <cell r="J18">
            <v>48.1</v>
          </cell>
          <cell r="K18">
            <v>48.5</v>
          </cell>
          <cell r="L18">
            <v>48.9</v>
          </cell>
          <cell r="M18">
            <v>48.8</v>
          </cell>
          <cell r="N18">
            <v>49.3</v>
          </cell>
          <cell r="O18">
            <v>47.491666666666653</v>
          </cell>
        </row>
        <row r="19">
          <cell r="B19">
            <v>1976</v>
          </cell>
          <cell r="C19">
            <v>49.7</v>
          </cell>
          <cell r="D19">
            <v>50.2</v>
          </cell>
          <cell r="E19">
            <v>50.7</v>
          </cell>
          <cell r="F19">
            <v>51</v>
          </cell>
          <cell r="G19">
            <v>51.4</v>
          </cell>
          <cell r="H19">
            <v>51.8</v>
          </cell>
          <cell r="I19">
            <v>52.3</v>
          </cell>
          <cell r="J19">
            <v>52.6</v>
          </cell>
          <cell r="K19">
            <v>53</v>
          </cell>
          <cell r="L19">
            <v>53.2</v>
          </cell>
          <cell r="M19">
            <v>53.9</v>
          </cell>
          <cell r="N19">
            <v>54.2</v>
          </cell>
          <cell r="O19">
            <v>52.000000000000007</v>
          </cell>
        </row>
        <row r="20">
          <cell r="B20">
            <v>1977</v>
          </cell>
          <cell r="C20">
            <v>54.6</v>
          </cell>
          <cell r="D20">
            <v>54.9</v>
          </cell>
          <cell r="E20">
            <v>55.5</v>
          </cell>
          <cell r="F20">
            <v>56</v>
          </cell>
          <cell r="G20">
            <v>56.5</v>
          </cell>
          <cell r="H20">
            <v>57</v>
          </cell>
          <cell r="I20">
            <v>57.3</v>
          </cell>
          <cell r="J20">
            <v>57.7</v>
          </cell>
          <cell r="K20">
            <v>58.2</v>
          </cell>
          <cell r="L20">
            <v>58.4</v>
          </cell>
          <cell r="M20">
            <v>58.6</v>
          </cell>
          <cell r="N20">
            <v>59</v>
          </cell>
          <cell r="O20">
            <v>56.975000000000001</v>
          </cell>
        </row>
        <row r="21">
          <cell r="B21">
            <v>1978</v>
          </cell>
          <cell r="C21">
            <v>59.3</v>
          </cell>
          <cell r="D21">
            <v>59.9</v>
          </cell>
          <cell r="E21">
            <v>60.2</v>
          </cell>
          <cell r="F21">
            <v>60.7</v>
          </cell>
          <cell r="G21">
            <v>61.1</v>
          </cell>
          <cell r="H21">
            <v>61.5</v>
          </cell>
          <cell r="I21">
            <v>61.9</v>
          </cell>
          <cell r="J21">
            <v>62.4</v>
          </cell>
          <cell r="K21">
            <v>62.8</v>
          </cell>
          <cell r="L21">
            <v>63.3</v>
          </cell>
          <cell r="M21">
            <v>63.8</v>
          </cell>
          <cell r="N21">
            <v>64.099999999999994</v>
          </cell>
          <cell r="O21">
            <v>61.749999999999993</v>
          </cell>
        </row>
        <row r="22">
          <cell r="B22">
            <v>1979</v>
          </cell>
          <cell r="C22">
            <v>64.8</v>
          </cell>
          <cell r="D22">
            <v>65.2</v>
          </cell>
          <cell r="E22">
            <v>65.7</v>
          </cell>
          <cell r="F22">
            <v>66.099999999999994</v>
          </cell>
          <cell r="G22">
            <v>66.599999999999994</v>
          </cell>
          <cell r="H22">
            <v>67.099999999999994</v>
          </cell>
          <cell r="I22">
            <v>67.7</v>
          </cell>
          <cell r="J22">
            <v>68.2</v>
          </cell>
          <cell r="K22">
            <v>68.7</v>
          </cell>
          <cell r="L22">
            <v>69.2</v>
          </cell>
          <cell r="M22">
            <v>69.8</v>
          </cell>
          <cell r="N22">
            <v>70.599999999999994</v>
          </cell>
          <cell r="O22">
            <v>67.475000000000009</v>
          </cell>
        </row>
        <row r="23">
          <cell r="B23">
            <v>1980</v>
          </cell>
          <cell r="C23">
            <v>71.400000000000006</v>
          </cell>
          <cell r="D23">
            <v>72.3</v>
          </cell>
          <cell r="E23">
            <v>73</v>
          </cell>
          <cell r="F23">
            <v>73.599999999999994</v>
          </cell>
          <cell r="G23">
            <v>74.2</v>
          </cell>
          <cell r="H23">
            <v>74.7</v>
          </cell>
          <cell r="I23">
            <v>75.2</v>
          </cell>
          <cell r="J23">
            <v>75.599999999999994</v>
          </cell>
          <cell r="K23">
            <v>76.3</v>
          </cell>
          <cell r="L23">
            <v>76.900000000000006</v>
          </cell>
          <cell r="M23">
            <v>77.3</v>
          </cell>
          <cell r="N23">
            <v>77.8</v>
          </cell>
          <cell r="O23">
            <v>74.85833333333332</v>
          </cell>
        </row>
        <row r="24">
          <cell r="B24">
            <v>1981</v>
          </cell>
          <cell r="C24">
            <v>78.599999999999994</v>
          </cell>
          <cell r="D24">
            <v>79.2</v>
          </cell>
          <cell r="E24">
            <v>79.900000000000006</v>
          </cell>
          <cell r="F24">
            <v>80.7</v>
          </cell>
          <cell r="G24">
            <v>81.400000000000006</v>
          </cell>
          <cell r="H24">
            <v>82.3</v>
          </cell>
          <cell r="I24">
            <v>83.4</v>
          </cell>
          <cell r="J24">
            <v>84.3</v>
          </cell>
          <cell r="K24">
            <v>85.1</v>
          </cell>
          <cell r="L24">
            <v>85.9</v>
          </cell>
          <cell r="M24">
            <v>86.8</v>
          </cell>
          <cell r="N24">
            <v>87.5</v>
          </cell>
          <cell r="O24">
            <v>82.924999999999997</v>
          </cell>
        </row>
        <row r="25">
          <cell r="B25">
            <v>1982</v>
          </cell>
          <cell r="C25">
            <v>88.2</v>
          </cell>
          <cell r="D25">
            <v>88.8</v>
          </cell>
          <cell r="E25">
            <v>89.6</v>
          </cell>
          <cell r="F25">
            <v>90.5</v>
          </cell>
          <cell r="G25">
            <v>91.3</v>
          </cell>
          <cell r="H25">
            <v>92.2</v>
          </cell>
          <cell r="I25">
            <v>93</v>
          </cell>
          <cell r="J25">
            <v>93.9</v>
          </cell>
          <cell r="K25">
            <v>94.7</v>
          </cell>
          <cell r="L25">
            <v>95.5</v>
          </cell>
          <cell r="M25">
            <v>96.5</v>
          </cell>
          <cell r="N25">
            <v>97.2</v>
          </cell>
          <cell r="O25">
            <v>92.616666666666674</v>
          </cell>
        </row>
        <row r="26">
          <cell r="B26">
            <v>1983</v>
          </cell>
          <cell r="C26">
            <v>97.9</v>
          </cell>
          <cell r="D26">
            <v>98.8</v>
          </cell>
          <cell r="E26">
            <v>99</v>
          </cell>
          <cell r="F26">
            <v>99.4</v>
          </cell>
          <cell r="G26">
            <v>99.9</v>
          </cell>
          <cell r="H26">
            <v>100.4</v>
          </cell>
          <cell r="I26">
            <v>100.8</v>
          </cell>
          <cell r="J26">
            <v>101.4</v>
          </cell>
          <cell r="K26">
            <v>101.8</v>
          </cell>
          <cell r="L26">
            <v>102.3</v>
          </cell>
          <cell r="M26">
            <v>102.8</v>
          </cell>
          <cell r="N26">
            <v>103.4</v>
          </cell>
          <cell r="O26">
            <v>100.65833333333332</v>
          </cell>
        </row>
        <row r="27">
          <cell r="B27">
            <v>1984</v>
          </cell>
          <cell r="C27">
            <v>104</v>
          </cell>
          <cell r="D27">
            <v>105</v>
          </cell>
          <cell r="E27">
            <v>105.2</v>
          </cell>
          <cell r="F27">
            <v>105.8</v>
          </cell>
          <cell r="G27">
            <v>106.2</v>
          </cell>
          <cell r="H27">
            <v>106.7</v>
          </cell>
          <cell r="I27">
            <v>107.2</v>
          </cell>
          <cell r="J27">
            <v>107.7</v>
          </cell>
          <cell r="K27">
            <v>108.1</v>
          </cell>
          <cell r="L27">
            <v>108.7</v>
          </cell>
          <cell r="M27">
            <v>109.3</v>
          </cell>
          <cell r="N27">
            <v>109.8</v>
          </cell>
          <cell r="O27">
            <v>106.97500000000001</v>
          </cell>
        </row>
        <row r="28">
          <cell r="B28">
            <v>1985</v>
          </cell>
          <cell r="C28">
            <v>110.2</v>
          </cell>
          <cell r="D28">
            <v>110.8</v>
          </cell>
          <cell r="E28">
            <v>111.4</v>
          </cell>
          <cell r="F28">
            <v>112</v>
          </cell>
          <cell r="G28">
            <v>112.6</v>
          </cell>
          <cell r="H28">
            <v>113.3</v>
          </cell>
          <cell r="I28">
            <v>113.9</v>
          </cell>
          <cell r="J28">
            <v>114.6</v>
          </cell>
          <cell r="K28">
            <v>115.2</v>
          </cell>
          <cell r="L28">
            <v>115.8</v>
          </cell>
          <cell r="M28">
            <v>116.5</v>
          </cell>
          <cell r="N28">
            <v>117.1</v>
          </cell>
          <cell r="O28">
            <v>113.61666666666666</v>
          </cell>
        </row>
        <row r="29">
          <cell r="B29">
            <v>1986</v>
          </cell>
          <cell r="C29">
            <v>118</v>
          </cell>
          <cell r="D29">
            <v>118.8</v>
          </cell>
          <cell r="E29">
            <v>119.7</v>
          </cell>
          <cell r="F29">
            <v>120.4</v>
          </cell>
          <cell r="G29">
            <v>121.2</v>
          </cell>
          <cell r="H29">
            <v>121.8</v>
          </cell>
          <cell r="I29">
            <v>122.5</v>
          </cell>
          <cell r="J29">
            <v>123.2</v>
          </cell>
          <cell r="K29">
            <v>124</v>
          </cell>
          <cell r="L29">
            <v>124.7</v>
          </cell>
          <cell r="M29">
            <v>125.5</v>
          </cell>
          <cell r="N29">
            <v>126.2</v>
          </cell>
          <cell r="O29">
            <v>122.16666666666667</v>
          </cell>
        </row>
        <row r="30">
          <cell r="B30">
            <v>1987</v>
          </cell>
          <cell r="C30">
            <v>126.7</v>
          </cell>
          <cell r="D30">
            <v>127.2</v>
          </cell>
          <cell r="E30">
            <v>127.8</v>
          </cell>
          <cell r="F30">
            <v>128.6</v>
          </cell>
          <cell r="G30">
            <v>129.19999999999999</v>
          </cell>
          <cell r="H30">
            <v>130</v>
          </cell>
          <cell r="I30">
            <v>130.6</v>
          </cell>
          <cell r="J30">
            <v>131.19999999999999</v>
          </cell>
          <cell r="K30">
            <v>131.9</v>
          </cell>
          <cell r="L30">
            <v>132.4</v>
          </cell>
          <cell r="M30">
            <v>133</v>
          </cell>
          <cell r="N30">
            <v>133.5</v>
          </cell>
          <cell r="O30">
            <v>130.17500000000001</v>
          </cell>
        </row>
        <row r="31">
          <cell r="B31">
            <v>1988</v>
          </cell>
          <cell r="C31">
            <v>134.4</v>
          </cell>
          <cell r="D31">
            <v>135.19999999999999</v>
          </cell>
          <cell r="E31">
            <v>135.80000000000001</v>
          </cell>
          <cell r="F31">
            <v>136.69999999999999</v>
          </cell>
          <cell r="G31">
            <v>137.6</v>
          </cell>
          <cell r="H31">
            <v>138.30000000000001</v>
          </cell>
          <cell r="I31">
            <v>139.1</v>
          </cell>
          <cell r="J31">
            <v>139.80000000000001</v>
          </cell>
          <cell r="K31">
            <v>140.5</v>
          </cell>
          <cell r="L31">
            <v>141.4</v>
          </cell>
          <cell r="M31">
            <v>142</v>
          </cell>
          <cell r="N31">
            <v>142.69999999999999</v>
          </cell>
          <cell r="O31">
            <v>138.62500000000003</v>
          </cell>
        </row>
        <row r="32">
          <cell r="B32">
            <v>1989</v>
          </cell>
          <cell r="C32">
            <v>143.80000000000001</v>
          </cell>
          <cell r="D32">
            <v>144.9</v>
          </cell>
          <cell r="E32">
            <v>145.80000000000001</v>
          </cell>
          <cell r="F32">
            <v>146.6</v>
          </cell>
          <cell r="G32">
            <v>147.5</v>
          </cell>
          <cell r="H32">
            <v>148.6</v>
          </cell>
          <cell r="I32">
            <v>149.6</v>
          </cell>
          <cell r="J32">
            <v>150.6</v>
          </cell>
          <cell r="K32">
            <v>151.80000000000001</v>
          </cell>
          <cell r="L32">
            <v>152.80000000000001</v>
          </cell>
          <cell r="M32">
            <v>154.1</v>
          </cell>
          <cell r="N32">
            <v>154.9</v>
          </cell>
          <cell r="O32">
            <v>149.24999999999997</v>
          </cell>
        </row>
        <row r="33">
          <cell r="B33">
            <v>1990</v>
          </cell>
          <cell r="C33">
            <v>156</v>
          </cell>
          <cell r="D33">
            <v>157.1</v>
          </cell>
          <cell r="E33">
            <v>158.30000000000001</v>
          </cell>
          <cell r="F33">
            <v>159.6</v>
          </cell>
          <cell r="G33">
            <v>160.80000000000001</v>
          </cell>
          <cell r="H33">
            <v>162</v>
          </cell>
          <cell r="I33">
            <v>163.4</v>
          </cell>
          <cell r="J33">
            <v>164.8</v>
          </cell>
          <cell r="K33">
            <v>165.9</v>
          </cell>
          <cell r="L33">
            <v>167.3</v>
          </cell>
          <cell r="M33">
            <v>168.7</v>
          </cell>
          <cell r="N33">
            <v>169.8</v>
          </cell>
          <cell r="O33">
            <v>162.80833333333334</v>
          </cell>
        </row>
        <row r="34">
          <cell r="B34">
            <v>1991</v>
          </cell>
          <cell r="C34">
            <v>171</v>
          </cell>
          <cell r="D34">
            <v>172.1</v>
          </cell>
          <cell r="E34">
            <v>173.2</v>
          </cell>
          <cell r="F34">
            <v>174.3</v>
          </cell>
          <cell r="G34">
            <v>175.2</v>
          </cell>
          <cell r="H34">
            <v>176.4</v>
          </cell>
          <cell r="I34">
            <v>177.4</v>
          </cell>
          <cell r="J34">
            <v>178.8</v>
          </cell>
          <cell r="K34">
            <v>179.9</v>
          </cell>
          <cell r="L34">
            <v>180.9</v>
          </cell>
          <cell r="M34">
            <v>181.9</v>
          </cell>
          <cell r="N34">
            <v>183.1</v>
          </cell>
          <cell r="O34">
            <v>177.01666666666668</v>
          </cell>
        </row>
        <row r="35">
          <cell r="B35">
            <v>1992</v>
          </cell>
          <cell r="C35">
            <v>184.3</v>
          </cell>
          <cell r="D35">
            <v>185.6</v>
          </cell>
          <cell r="E35">
            <v>186.8</v>
          </cell>
          <cell r="F35">
            <v>187.9</v>
          </cell>
          <cell r="G35">
            <v>188.7</v>
          </cell>
          <cell r="H35">
            <v>189.6</v>
          </cell>
          <cell r="I35">
            <v>190.6</v>
          </cell>
          <cell r="J35">
            <v>191.5</v>
          </cell>
          <cell r="K35">
            <v>192.4</v>
          </cell>
          <cell r="L35">
            <v>193.5</v>
          </cell>
          <cell r="M35">
            <v>194.5</v>
          </cell>
          <cell r="N35">
            <v>195.3</v>
          </cell>
          <cell r="O35">
            <v>190.05833333333331</v>
          </cell>
        </row>
        <row r="36">
          <cell r="B36">
            <v>1993</v>
          </cell>
          <cell r="C36">
            <v>196.4</v>
          </cell>
          <cell r="D36">
            <v>197.4</v>
          </cell>
          <cell r="E36">
            <v>198.1</v>
          </cell>
          <cell r="F36">
            <v>199.1</v>
          </cell>
          <cell r="G36">
            <v>200.5</v>
          </cell>
          <cell r="H36">
            <v>201.3</v>
          </cell>
          <cell r="I36">
            <v>202.2</v>
          </cell>
          <cell r="J36">
            <v>202.8</v>
          </cell>
          <cell r="K36">
            <v>203.6</v>
          </cell>
          <cell r="L36">
            <v>204.5</v>
          </cell>
          <cell r="M36">
            <v>205.1</v>
          </cell>
          <cell r="N36">
            <v>205.8</v>
          </cell>
          <cell r="O36">
            <v>201.4</v>
          </cell>
        </row>
        <row r="37">
          <cell r="B37">
            <v>1994</v>
          </cell>
          <cell r="C37">
            <v>206.4</v>
          </cell>
          <cell r="D37">
            <v>207.2</v>
          </cell>
          <cell r="E37">
            <v>207.9</v>
          </cell>
          <cell r="F37">
            <v>209</v>
          </cell>
          <cell r="G37">
            <v>209.7</v>
          </cell>
          <cell r="H37">
            <v>210.5</v>
          </cell>
          <cell r="I37">
            <v>211.3</v>
          </cell>
          <cell r="J37">
            <v>212.2</v>
          </cell>
          <cell r="K37">
            <v>213.1</v>
          </cell>
          <cell r="L37">
            <v>214.1</v>
          </cell>
          <cell r="M37">
            <v>215</v>
          </cell>
          <cell r="N37">
            <v>215.9</v>
          </cell>
          <cell r="O37">
            <v>211.02500000000001</v>
          </cell>
        </row>
        <row r="38">
          <cell r="B38">
            <v>1995</v>
          </cell>
          <cell r="C38">
            <v>216.6</v>
          </cell>
          <cell r="D38">
            <v>217.4</v>
          </cell>
          <cell r="E38">
            <v>218.1</v>
          </cell>
          <cell r="F38">
            <v>218.6</v>
          </cell>
          <cell r="G38">
            <v>219.2</v>
          </cell>
          <cell r="H38">
            <v>219.9</v>
          </cell>
          <cell r="I38">
            <v>220.6</v>
          </cell>
          <cell r="J38">
            <v>221.6</v>
          </cell>
          <cell r="K38">
            <v>222.4</v>
          </cell>
          <cell r="L38">
            <v>223</v>
          </cell>
          <cell r="M38">
            <v>223.7</v>
          </cell>
          <cell r="N38">
            <v>224.3</v>
          </cell>
          <cell r="O38">
            <v>220.45000000000002</v>
          </cell>
        </row>
        <row r="39">
          <cell r="B39">
            <v>1996</v>
          </cell>
          <cell r="C39">
            <v>225.2</v>
          </cell>
          <cell r="D39">
            <v>225.7</v>
          </cell>
          <cell r="E39">
            <v>226.2</v>
          </cell>
          <cell r="F39">
            <v>226.8</v>
          </cell>
          <cell r="G39">
            <v>227.4</v>
          </cell>
          <cell r="H39">
            <v>228</v>
          </cell>
          <cell r="I39">
            <v>228.6</v>
          </cell>
          <cell r="J39">
            <v>229.1</v>
          </cell>
          <cell r="K39">
            <v>229.7</v>
          </cell>
          <cell r="L39">
            <v>230.3</v>
          </cell>
          <cell r="M39">
            <v>231</v>
          </cell>
          <cell r="N39">
            <v>231.2</v>
          </cell>
          <cell r="O39">
            <v>228.26666666666665</v>
          </cell>
        </row>
        <row r="40">
          <cell r="B40">
            <v>1997</v>
          </cell>
          <cell r="C40">
            <v>231.8</v>
          </cell>
          <cell r="D40">
            <v>232.2</v>
          </cell>
          <cell r="E40">
            <v>233</v>
          </cell>
          <cell r="F40">
            <v>233.5</v>
          </cell>
          <cell r="G40">
            <v>234.1</v>
          </cell>
          <cell r="H40">
            <v>234.4</v>
          </cell>
          <cell r="I40">
            <v>234.7</v>
          </cell>
          <cell r="J40">
            <v>235.1</v>
          </cell>
          <cell r="K40">
            <v>235.5</v>
          </cell>
          <cell r="L40">
            <v>236.1</v>
          </cell>
          <cell r="M40">
            <v>236.9</v>
          </cell>
          <cell r="N40">
            <v>237.8</v>
          </cell>
          <cell r="O40">
            <v>234.5916666666667</v>
          </cell>
        </row>
        <row r="41">
          <cell r="B41">
            <v>1998</v>
          </cell>
          <cell r="C41">
            <v>238.1</v>
          </cell>
          <cell r="D41">
            <v>238.8</v>
          </cell>
          <cell r="E41">
            <v>239.4</v>
          </cell>
          <cell r="F41">
            <v>240.3</v>
          </cell>
          <cell r="G41">
            <v>241.2</v>
          </cell>
          <cell r="H41">
            <v>241.8</v>
          </cell>
          <cell r="I41">
            <v>242.5</v>
          </cell>
          <cell r="J41">
            <v>243.3</v>
          </cell>
          <cell r="K41">
            <v>244.1</v>
          </cell>
          <cell r="L41">
            <v>244.8</v>
          </cell>
          <cell r="M41">
            <v>245.3</v>
          </cell>
          <cell r="N41">
            <v>245.9</v>
          </cell>
          <cell r="O41">
            <v>242.12500000000003</v>
          </cell>
        </row>
        <row r="42">
          <cell r="B42">
            <v>1999</v>
          </cell>
          <cell r="C42">
            <v>246.5</v>
          </cell>
          <cell r="D42">
            <v>247.3</v>
          </cell>
          <cell r="E42">
            <v>247.9</v>
          </cell>
          <cell r="F42">
            <v>248.7</v>
          </cell>
          <cell r="G42">
            <v>249.3</v>
          </cell>
          <cell r="H42">
            <v>250</v>
          </cell>
          <cell r="I42">
            <v>250.9</v>
          </cell>
          <cell r="J42">
            <v>251.7</v>
          </cell>
          <cell r="K42">
            <v>252.5</v>
          </cell>
          <cell r="L42">
            <v>253.1</v>
          </cell>
          <cell r="M42">
            <v>253.9</v>
          </cell>
          <cell r="N42">
            <v>254.9</v>
          </cell>
          <cell r="O42">
            <v>250.55833333333337</v>
          </cell>
        </row>
        <row r="43">
          <cell r="B43">
            <v>2000</v>
          </cell>
          <cell r="C43">
            <v>255.6</v>
          </cell>
          <cell r="D43">
            <v>256.5</v>
          </cell>
          <cell r="E43">
            <v>257.7</v>
          </cell>
          <cell r="F43">
            <v>258.39999999999998</v>
          </cell>
          <cell r="G43">
            <v>259.2</v>
          </cell>
          <cell r="H43">
            <v>260.3</v>
          </cell>
          <cell r="I43">
            <v>261.2</v>
          </cell>
          <cell r="J43">
            <v>262.39999999999998</v>
          </cell>
          <cell r="K43">
            <v>263.3</v>
          </cell>
          <cell r="L43">
            <v>264.10000000000002</v>
          </cell>
          <cell r="M43">
            <v>264.7</v>
          </cell>
          <cell r="N43">
            <v>265.60000000000002</v>
          </cell>
          <cell r="O43">
            <v>260.74999999999994</v>
          </cell>
        </row>
        <row r="44">
          <cell r="B44">
            <v>2001</v>
          </cell>
          <cell r="C44">
            <v>267.2</v>
          </cell>
          <cell r="D44">
            <v>268.3</v>
          </cell>
          <cell r="E44">
            <v>269.39999999999998</v>
          </cell>
          <cell r="F44">
            <v>270.39999999999998</v>
          </cell>
          <cell r="G44">
            <v>271.3</v>
          </cell>
          <cell r="H44">
            <v>272.39999999999998</v>
          </cell>
          <cell r="I44">
            <v>272.8</v>
          </cell>
          <cell r="J44">
            <v>274.3</v>
          </cell>
          <cell r="K44">
            <v>275.2</v>
          </cell>
          <cell r="L44">
            <v>276.3</v>
          </cell>
          <cell r="M44">
            <v>277.39999999999998</v>
          </cell>
          <cell r="N44">
            <v>278.2</v>
          </cell>
          <cell r="O44">
            <v>272.76666666666665</v>
          </cell>
        </row>
        <row r="45">
          <cell r="B45">
            <v>2002</v>
          </cell>
          <cell r="C45">
            <v>279.8</v>
          </cell>
          <cell r="D45">
            <v>280.39999999999998</v>
          </cell>
          <cell r="E45">
            <v>281.39999999999998</v>
          </cell>
          <cell r="F45">
            <v>282.7</v>
          </cell>
          <cell r="G45">
            <v>283.89999999999998</v>
          </cell>
          <cell r="H45">
            <v>284.60000000000002</v>
          </cell>
          <cell r="I45">
            <v>286.39999999999998</v>
          </cell>
          <cell r="J45">
            <v>287.2</v>
          </cell>
          <cell r="K45">
            <v>288.10000000000002</v>
          </cell>
          <cell r="L45">
            <v>289.8</v>
          </cell>
          <cell r="M45">
            <v>291.2</v>
          </cell>
          <cell r="N45">
            <v>292.10000000000002</v>
          </cell>
          <cell r="O45">
            <v>285.63333333333327</v>
          </cell>
        </row>
        <row r="46">
          <cell r="B46">
            <v>2003</v>
          </cell>
          <cell r="C46">
            <v>292.7</v>
          </cell>
          <cell r="D46">
            <v>293</v>
          </cell>
          <cell r="E46">
            <v>293.39999999999998</v>
          </cell>
          <cell r="F46">
            <v>294</v>
          </cell>
          <cell r="G46">
            <v>295.2</v>
          </cell>
          <cell r="H46">
            <v>296.10000000000002</v>
          </cell>
          <cell r="I46">
            <v>297.39999999999998</v>
          </cell>
          <cell r="J46">
            <v>298.3</v>
          </cell>
          <cell r="K46">
            <v>299.8</v>
          </cell>
          <cell r="L46">
            <v>300.39999999999998</v>
          </cell>
          <cell r="M46">
            <v>301.39999999999998</v>
          </cell>
          <cell r="N46">
            <v>303</v>
          </cell>
          <cell r="O46">
            <v>297.05833333333339</v>
          </cell>
        </row>
        <row r="47">
          <cell r="B47">
            <v>2004</v>
          </cell>
          <cell r="C47">
            <v>303.8</v>
          </cell>
          <cell r="D47">
            <v>305.2</v>
          </cell>
          <cell r="E47">
            <v>306.5</v>
          </cell>
          <cell r="F47">
            <v>307.8</v>
          </cell>
          <cell r="G47">
            <v>308.60000000000002</v>
          </cell>
          <cell r="H47">
            <v>309.8</v>
          </cell>
          <cell r="I47">
            <v>310.8</v>
          </cell>
          <cell r="J47">
            <v>311.8</v>
          </cell>
          <cell r="K47">
            <v>312.89999999999998</v>
          </cell>
          <cell r="L47">
            <v>314</v>
          </cell>
          <cell r="M47">
            <v>314.7</v>
          </cell>
          <cell r="N47">
            <v>315.8</v>
          </cell>
          <cell r="O47">
            <v>310.14166666666671</v>
          </cell>
        </row>
        <row r="48">
          <cell r="B48">
            <v>2005</v>
          </cell>
          <cell r="C48">
            <v>316.89999999999998</v>
          </cell>
          <cell r="D48">
            <v>318.39999999999998</v>
          </cell>
          <cell r="E48">
            <v>319.7</v>
          </cell>
          <cell r="F48">
            <v>320.7</v>
          </cell>
          <cell r="G48">
            <v>321.8</v>
          </cell>
          <cell r="H48">
            <v>322.8</v>
          </cell>
          <cell r="I48">
            <v>324.10000000000002</v>
          </cell>
          <cell r="J48">
            <v>324.2</v>
          </cell>
          <cell r="K48">
            <v>325.3</v>
          </cell>
          <cell r="L48">
            <v>326.89999999999998</v>
          </cell>
          <cell r="M48">
            <v>328.7</v>
          </cell>
          <cell r="N48">
            <v>329.2</v>
          </cell>
          <cell r="O48">
            <v>323.22499999999997</v>
          </cell>
        </row>
        <row r="49">
          <cell r="B49">
            <v>2006</v>
          </cell>
          <cell r="C49">
            <v>329.6</v>
          </cell>
          <cell r="D49">
            <v>331.2</v>
          </cell>
          <cell r="E49">
            <v>332.6</v>
          </cell>
          <cell r="F49">
            <v>333.8</v>
          </cell>
          <cell r="G49">
            <v>335</v>
          </cell>
          <cell r="H49">
            <v>336</v>
          </cell>
          <cell r="I49">
            <v>336.9</v>
          </cell>
          <cell r="J49">
            <v>338.1</v>
          </cell>
          <cell r="K49">
            <v>339.1</v>
          </cell>
          <cell r="L49">
            <v>340</v>
          </cell>
          <cell r="M49">
            <v>340.8</v>
          </cell>
          <cell r="N49">
            <v>341.2</v>
          </cell>
          <cell r="O49">
            <v>336.19166666666666</v>
          </cell>
        </row>
        <row r="50">
          <cell r="B50">
            <v>2007</v>
          </cell>
          <cell r="C50">
            <v>343.57900000000001</v>
          </cell>
          <cell r="D50">
            <v>345.35</v>
          </cell>
          <cell r="E50">
            <v>345.899</v>
          </cell>
          <cell r="F50">
            <v>347.32</v>
          </cell>
          <cell r="G50">
            <v>348.49099999999999</v>
          </cell>
          <cell r="H50">
            <v>349.51299999999998</v>
          </cell>
          <cell r="I50">
            <v>351.71899999999999</v>
          </cell>
          <cell r="J50">
            <v>353.37599999999998</v>
          </cell>
          <cell r="K50">
            <v>354.53100000000001</v>
          </cell>
          <cell r="L50">
            <v>356.34300000000002</v>
          </cell>
          <cell r="M50">
            <v>357.75</v>
          </cell>
          <cell r="N50">
            <v>358.90800000000002</v>
          </cell>
          <cell r="O50">
            <v>351.0649166666667</v>
          </cell>
        </row>
        <row r="51">
          <cell r="B51">
            <v>2008</v>
          </cell>
          <cell r="C51">
            <v>360.476</v>
          </cell>
          <cell r="D51">
            <v>360.96</v>
          </cell>
          <cell r="E51">
            <v>361.77800000000002</v>
          </cell>
          <cell r="F51">
            <v>362.30599999999998</v>
          </cell>
          <cell r="G51">
            <v>362.81900000000002</v>
          </cell>
          <cell r="H51">
            <v>363.67500000000001</v>
          </cell>
          <cell r="I51">
            <v>364.07799999999997</v>
          </cell>
          <cell r="J51">
            <v>364.91699999999997</v>
          </cell>
          <cell r="K51">
            <v>365.80200000000002</v>
          </cell>
          <cell r="L51">
            <v>366.37</v>
          </cell>
          <cell r="M51">
            <v>367.28100000000001</v>
          </cell>
          <cell r="N51">
            <v>368.37</v>
          </cell>
          <cell r="O51">
            <v>364.06933333333336</v>
          </cell>
        </row>
        <row r="52">
          <cell r="B52">
            <v>2009</v>
          </cell>
          <cell r="C52">
            <v>369.834</v>
          </cell>
          <cell r="D52">
            <v>371.10199999999998</v>
          </cell>
          <cell r="E52">
            <v>371.971</v>
          </cell>
          <cell r="F52">
            <v>373.28399999999999</v>
          </cell>
          <cell r="G52">
            <v>374.46800000000002</v>
          </cell>
          <cell r="H52">
            <v>375.17200000000003</v>
          </cell>
          <cell r="I52">
            <v>375.90100000000001</v>
          </cell>
          <cell r="J52">
            <v>377.02800000000002</v>
          </cell>
          <cell r="K52">
            <v>378.483</v>
          </cell>
          <cell r="L52">
            <v>379.149</v>
          </cell>
          <cell r="M52">
            <v>380.25599999999997</v>
          </cell>
          <cell r="N52">
            <v>380.76299999999998</v>
          </cell>
          <cell r="O52">
            <v>375.61758333333336</v>
          </cell>
        </row>
        <row r="53">
          <cell r="B53">
            <v>2010</v>
          </cell>
          <cell r="C53">
            <v>382.70400000000001</v>
          </cell>
          <cell r="D53">
            <v>384.48700000000002</v>
          </cell>
          <cell r="E53">
            <v>385.89800000000002</v>
          </cell>
          <cell r="F53">
            <v>386.774</v>
          </cell>
          <cell r="G53">
            <v>387.209</v>
          </cell>
          <cell r="H53">
            <v>388.29500000000002</v>
          </cell>
          <cell r="I53">
            <v>388.09199999999998</v>
          </cell>
          <cell r="J53">
            <v>389.02800000000002</v>
          </cell>
          <cell r="K53">
            <v>391.4</v>
          </cell>
          <cell r="L53">
            <v>391.84699999999998</v>
          </cell>
          <cell r="M53">
            <v>392.33600000000001</v>
          </cell>
          <cell r="N53">
            <v>393.19600000000003</v>
          </cell>
          <cell r="O53">
            <v>388.43883333333338</v>
          </cell>
        </row>
        <row r="54">
          <cell r="B54">
            <v>2011</v>
          </cell>
          <cell r="C54">
            <v>393.89600000000002</v>
          </cell>
          <cell r="D54">
            <v>395.58600000000001</v>
          </cell>
          <cell r="E54">
            <v>396.44600000000003</v>
          </cell>
          <cell r="F54">
            <v>397.846</v>
          </cell>
          <cell r="G54">
            <v>398.83600000000001</v>
          </cell>
          <cell r="H54">
            <v>399.64800000000002</v>
          </cell>
          <cell r="I54">
            <v>400.53199999999998</v>
          </cell>
          <cell r="J54">
            <v>401.49400000000003</v>
          </cell>
          <cell r="K54">
            <v>402.41300000000001</v>
          </cell>
          <cell r="L54">
            <v>404.04300000000001</v>
          </cell>
          <cell r="M54">
            <v>405.53300000000002</v>
          </cell>
          <cell r="N54">
            <v>406.87900000000002</v>
          </cell>
          <cell r="O54">
            <v>400.26266666666669</v>
          </cell>
        </row>
        <row r="55">
          <cell r="B55">
            <v>2012</v>
          </cell>
          <cell r="C55">
            <v>408.05599999999998</v>
          </cell>
          <cell r="D55">
            <v>410.46600000000001</v>
          </cell>
          <cell r="E55">
            <v>411.49799999999999</v>
          </cell>
          <cell r="F55">
            <v>412.48</v>
          </cell>
          <cell r="G55">
            <v>413.65499999999997</v>
          </cell>
          <cell r="H55">
            <v>415.34500000000003</v>
          </cell>
          <cell r="I55">
            <v>416.75900000000001</v>
          </cell>
          <cell r="J55">
            <v>417.12299999999999</v>
          </cell>
          <cell r="K55">
            <v>418.03899999999999</v>
          </cell>
          <cell r="L55">
            <v>418.35899999999998</v>
          </cell>
          <cell r="M55">
            <v>418.65300000000002</v>
          </cell>
          <cell r="N55">
            <v>418.654</v>
          </cell>
          <cell r="O55">
            <v>414.9239166666668</v>
          </cell>
        </row>
        <row r="56">
          <cell r="B56">
            <v>2013</v>
          </cell>
          <cell r="C56">
            <v>420.68700000000001</v>
          </cell>
          <cell r="D56">
            <v>423.221</v>
          </cell>
          <cell r="E56">
            <v>424.154</v>
          </cell>
          <cell r="F56">
            <v>423.815</v>
          </cell>
          <cell r="G56">
            <v>422.834</v>
          </cell>
          <cell r="H56">
            <v>424.26400000000001</v>
          </cell>
          <cell r="I56">
            <v>424.83600000000001</v>
          </cell>
          <cell r="J56">
            <v>426.86599999999999</v>
          </cell>
          <cell r="K56">
            <v>428.02600000000001</v>
          </cell>
          <cell r="L56">
            <v>428.08199999999999</v>
          </cell>
          <cell r="M56">
            <v>427.74</v>
          </cell>
          <cell r="N56">
            <v>427.089</v>
          </cell>
          <cell r="O56">
            <v>425.13449999999995</v>
          </cell>
        </row>
        <row r="57">
          <cell r="B57">
            <v>2014</v>
          </cell>
          <cell r="C57">
            <v>429.62099999999998</v>
          </cell>
          <cell r="D57">
            <v>432.76900000000001</v>
          </cell>
          <cell r="E57">
            <v>433.36900000000003</v>
          </cell>
          <cell r="F57">
            <v>434.05399999999997</v>
          </cell>
          <cell r="G57">
            <v>434.87400000000002</v>
          </cell>
          <cell r="H57">
            <v>435.35199999999998</v>
          </cell>
          <cell r="I57">
            <v>435.92399999999998</v>
          </cell>
          <cell r="J57">
            <v>435.77699999999999</v>
          </cell>
          <cell r="K57">
            <v>436.57499999999999</v>
          </cell>
          <cell r="L57">
            <v>437.02699999999999</v>
          </cell>
          <cell r="M57">
            <v>438.44499999999999</v>
          </cell>
          <cell r="N57">
            <v>439.72</v>
          </cell>
          <cell r="O57">
            <v>435.29224999999997</v>
          </cell>
        </row>
        <row r="58">
          <cell r="B58">
            <v>2015</v>
          </cell>
          <cell r="C58">
            <v>440.96899999999999</v>
          </cell>
          <cell r="D58">
            <v>442.78300000000002</v>
          </cell>
          <cell r="E58">
            <v>444.02</v>
          </cell>
          <cell r="F58">
            <v>446.66300000000001</v>
          </cell>
          <cell r="G58">
            <v>447.21300000000002</v>
          </cell>
          <cell r="H58">
            <v>446.27100000000002</v>
          </cell>
          <cell r="I58">
            <v>446.77300000000002</v>
          </cell>
          <cell r="J58">
            <v>446.536</v>
          </cell>
          <cell r="K58">
            <v>447.28899999999999</v>
          </cell>
          <cell r="L58">
            <v>450.065</v>
          </cell>
          <cell r="M58">
            <v>451.37099999999998</v>
          </cell>
          <cell r="N58">
            <v>451.072</v>
          </cell>
          <cell r="O58">
            <v>446.75208333333336</v>
          </cell>
        </row>
        <row r="59">
          <cell r="B59">
            <v>2016</v>
          </cell>
          <cell r="C59">
            <v>454.17500000000001</v>
          </cell>
          <cell r="D59">
            <v>458.29500000000002</v>
          </cell>
          <cell r="E59">
            <v>458.62</v>
          </cell>
          <cell r="F59">
            <v>459.99400000000003</v>
          </cell>
          <cell r="G59">
            <v>461.23</v>
          </cell>
          <cell r="H59">
            <v>462.07499999999999</v>
          </cell>
          <cell r="I59">
            <v>464.16399999999999</v>
          </cell>
          <cell r="J59">
            <v>468.37900000000002</v>
          </cell>
          <cell r="K59">
            <v>469.154</v>
          </cell>
          <cell r="L59">
            <v>469.23</v>
          </cell>
          <cell r="M59">
            <v>469.33300000000003</v>
          </cell>
          <cell r="N59">
            <v>469.447</v>
          </cell>
          <cell r="O59">
            <v>463.67466666666655</v>
          </cell>
        </row>
        <row r="60">
          <cell r="B60">
            <v>2017</v>
          </cell>
          <cell r="C60">
            <v>471.7</v>
          </cell>
          <cell r="D60">
            <v>474.54599999999999</v>
          </cell>
          <cell r="E60">
            <v>474.56099999999998</v>
          </cell>
          <cell r="F60">
            <v>473.58199999999999</v>
          </cell>
          <cell r="G60">
            <v>473.512</v>
          </cell>
          <cell r="H60">
            <v>474.36</v>
          </cell>
          <cell r="I60">
            <v>476.12599999999998</v>
          </cell>
          <cell r="J60">
            <v>476.86900000000003</v>
          </cell>
          <cell r="K60">
            <v>476.48500000000001</v>
          </cell>
          <cell r="L60">
            <v>477.12099999999998</v>
          </cell>
          <cell r="M60">
            <v>477.19799999999998</v>
          </cell>
          <cell r="N60">
            <v>477.80200000000002</v>
          </cell>
          <cell r="O60">
            <v>475.32183333333342</v>
          </cell>
        </row>
        <row r="61">
          <cell r="B61">
            <v>2018</v>
          </cell>
          <cell r="C61">
            <v>481.06</v>
          </cell>
          <cell r="D61">
            <v>482.89699999999999</v>
          </cell>
          <cell r="E61">
            <v>483.98399999999998</v>
          </cell>
          <cell r="F61">
            <v>484.03399999999999</v>
          </cell>
          <cell r="G61">
            <v>484.85300000000001</v>
          </cell>
          <cell r="O61">
            <v>483.36559999999997</v>
          </cell>
        </row>
      </sheetData>
      <sheetData sheetId="9" refreshError="1">
        <row r="1">
          <cell r="A1" t="str">
            <v>Year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Annual</v>
          </cell>
        </row>
        <row r="2">
          <cell r="A2">
            <v>1960</v>
          </cell>
          <cell r="B2">
            <v>29.37</v>
          </cell>
          <cell r="C2">
            <v>29.41</v>
          </cell>
          <cell r="D2">
            <v>29.41</v>
          </cell>
          <cell r="E2">
            <v>29.54</v>
          </cell>
          <cell r="F2">
            <v>29.57</v>
          </cell>
          <cell r="G2">
            <v>29.61</v>
          </cell>
          <cell r="H2">
            <v>29.55</v>
          </cell>
          <cell r="I2">
            <v>29.61</v>
          </cell>
          <cell r="J2">
            <v>29.61</v>
          </cell>
          <cell r="K2">
            <v>29.75</v>
          </cell>
          <cell r="L2">
            <v>29.78</v>
          </cell>
          <cell r="M2">
            <v>29.81</v>
          </cell>
          <cell r="N2">
            <v>29.585000000000004</v>
          </cell>
        </row>
        <row r="3">
          <cell r="A3">
            <v>1961</v>
          </cell>
          <cell r="B3">
            <v>29.84</v>
          </cell>
          <cell r="C3">
            <v>29.84</v>
          </cell>
          <cell r="D3">
            <v>29.84</v>
          </cell>
          <cell r="E3">
            <v>29.81</v>
          </cell>
          <cell r="F3">
            <v>29.84</v>
          </cell>
          <cell r="G3">
            <v>29.84</v>
          </cell>
          <cell r="H3">
            <v>29.92</v>
          </cell>
          <cell r="I3">
            <v>29.94</v>
          </cell>
          <cell r="J3">
            <v>29.98</v>
          </cell>
          <cell r="K3">
            <v>29.98</v>
          </cell>
          <cell r="L3">
            <v>29.98</v>
          </cell>
          <cell r="M3">
            <v>30.01</v>
          </cell>
          <cell r="N3">
            <v>29.901666666666671</v>
          </cell>
        </row>
        <row r="4">
          <cell r="A4">
            <v>1962</v>
          </cell>
          <cell r="B4">
            <v>30.04</v>
          </cell>
          <cell r="C4">
            <v>30.11</v>
          </cell>
          <cell r="D4">
            <v>30.17</v>
          </cell>
          <cell r="E4">
            <v>30.21</v>
          </cell>
          <cell r="F4">
            <v>30.24</v>
          </cell>
          <cell r="G4">
            <v>30.21</v>
          </cell>
          <cell r="H4">
            <v>30.22</v>
          </cell>
          <cell r="I4">
            <v>30.28</v>
          </cell>
          <cell r="J4">
            <v>30.42</v>
          </cell>
          <cell r="K4">
            <v>30.38</v>
          </cell>
          <cell r="L4">
            <v>30.38</v>
          </cell>
          <cell r="M4">
            <v>30.38</v>
          </cell>
          <cell r="N4">
            <v>30.253333333333334</v>
          </cell>
        </row>
        <row r="5">
          <cell r="A5">
            <v>1963</v>
          </cell>
          <cell r="B5">
            <v>30.44</v>
          </cell>
          <cell r="C5">
            <v>30.48</v>
          </cell>
          <cell r="D5">
            <v>30.51</v>
          </cell>
          <cell r="E5">
            <v>30.48</v>
          </cell>
          <cell r="F5">
            <v>30.51</v>
          </cell>
          <cell r="G5">
            <v>30.61</v>
          </cell>
          <cell r="H5">
            <v>30.69</v>
          </cell>
          <cell r="I5">
            <v>30.75</v>
          </cell>
          <cell r="J5">
            <v>30.72</v>
          </cell>
          <cell r="K5">
            <v>30.75</v>
          </cell>
          <cell r="L5">
            <v>30.78</v>
          </cell>
          <cell r="M5">
            <v>30.88</v>
          </cell>
          <cell r="N5">
            <v>30.633333333333336</v>
          </cell>
        </row>
        <row r="6">
          <cell r="A6">
            <v>1964</v>
          </cell>
          <cell r="B6">
            <v>30.94</v>
          </cell>
          <cell r="C6">
            <v>30.91</v>
          </cell>
          <cell r="D6">
            <v>30.94</v>
          </cell>
          <cell r="E6">
            <v>30.95</v>
          </cell>
          <cell r="F6">
            <v>30.98</v>
          </cell>
          <cell r="G6">
            <v>31.01</v>
          </cell>
          <cell r="H6">
            <v>31.02</v>
          </cell>
          <cell r="I6">
            <v>31.05</v>
          </cell>
          <cell r="J6">
            <v>31.08</v>
          </cell>
          <cell r="K6">
            <v>31.12</v>
          </cell>
          <cell r="L6">
            <v>31.21</v>
          </cell>
          <cell r="M6">
            <v>31.25</v>
          </cell>
          <cell r="N6">
            <v>31.03833333333333</v>
          </cell>
        </row>
        <row r="7">
          <cell r="A7">
            <v>1965</v>
          </cell>
          <cell r="B7">
            <v>31.28</v>
          </cell>
          <cell r="C7">
            <v>31.28</v>
          </cell>
          <cell r="D7">
            <v>31.31</v>
          </cell>
          <cell r="E7">
            <v>31.38</v>
          </cell>
          <cell r="F7">
            <v>31.48</v>
          </cell>
          <cell r="G7">
            <v>31.61</v>
          </cell>
          <cell r="H7">
            <v>31.58</v>
          </cell>
          <cell r="I7">
            <v>31.55</v>
          </cell>
          <cell r="J7">
            <v>31.62</v>
          </cell>
          <cell r="K7">
            <v>31.65</v>
          </cell>
          <cell r="L7">
            <v>31.75</v>
          </cell>
          <cell r="M7">
            <v>31.85</v>
          </cell>
          <cell r="N7">
            <v>31.528333333333332</v>
          </cell>
        </row>
        <row r="8">
          <cell r="A8">
            <v>1966</v>
          </cell>
          <cell r="B8">
            <v>31.88</v>
          </cell>
          <cell r="C8">
            <v>32.08</v>
          </cell>
          <cell r="D8">
            <v>32.18</v>
          </cell>
          <cell r="E8">
            <v>32.28</v>
          </cell>
          <cell r="F8">
            <v>32.35</v>
          </cell>
          <cell r="G8">
            <v>32.380000000000003</v>
          </cell>
          <cell r="H8">
            <v>32.450000000000003</v>
          </cell>
          <cell r="I8">
            <v>32.65</v>
          </cell>
          <cell r="J8">
            <v>32.75</v>
          </cell>
          <cell r="K8">
            <v>32.85</v>
          </cell>
          <cell r="L8">
            <v>32.880000000000003</v>
          </cell>
          <cell r="M8">
            <v>32.92</v>
          </cell>
          <cell r="N8">
            <v>32.470833333333331</v>
          </cell>
        </row>
        <row r="9">
          <cell r="A9">
            <v>1967</v>
          </cell>
          <cell r="B9">
            <v>32.9</v>
          </cell>
          <cell r="C9">
            <v>33</v>
          </cell>
          <cell r="D9">
            <v>33</v>
          </cell>
          <cell r="E9">
            <v>33.1</v>
          </cell>
          <cell r="F9">
            <v>33.1</v>
          </cell>
          <cell r="G9">
            <v>33.299999999999997</v>
          </cell>
          <cell r="H9">
            <v>33.4</v>
          </cell>
          <cell r="I9">
            <v>33.5</v>
          </cell>
          <cell r="J9">
            <v>33.6</v>
          </cell>
          <cell r="K9">
            <v>33.700000000000003</v>
          </cell>
          <cell r="L9">
            <v>33.9</v>
          </cell>
          <cell r="M9">
            <v>34</v>
          </cell>
          <cell r="N9">
            <v>33.374999999999993</v>
          </cell>
        </row>
        <row r="10">
          <cell r="A10">
            <v>1968</v>
          </cell>
          <cell r="B10">
            <v>34.1</v>
          </cell>
          <cell r="C10">
            <v>34.200000000000003</v>
          </cell>
          <cell r="D10">
            <v>34.299999999999997</v>
          </cell>
          <cell r="E10">
            <v>34.4</v>
          </cell>
          <cell r="F10">
            <v>34.5</v>
          </cell>
          <cell r="G10">
            <v>34.700000000000003</v>
          </cell>
          <cell r="H10">
            <v>34.9</v>
          </cell>
          <cell r="I10">
            <v>35</v>
          </cell>
          <cell r="J10">
            <v>35.1</v>
          </cell>
          <cell r="K10">
            <v>35.299999999999997</v>
          </cell>
          <cell r="L10">
            <v>35.4</v>
          </cell>
          <cell r="M10">
            <v>35.6</v>
          </cell>
          <cell r="N10">
            <v>34.791666666666671</v>
          </cell>
        </row>
        <row r="11">
          <cell r="A11">
            <v>1969</v>
          </cell>
          <cell r="B11">
            <v>35.700000000000003</v>
          </cell>
          <cell r="C11">
            <v>35.799999999999997</v>
          </cell>
          <cell r="D11">
            <v>36.1</v>
          </cell>
          <cell r="E11">
            <v>36.299999999999997</v>
          </cell>
          <cell r="F11">
            <v>36.4</v>
          </cell>
          <cell r="G11">
            <v>36.6</v>
          </cell>
          <cell r="H11">
            <v>36.799999999999997</v>
          </cell>
          <cell r="I11">
            <v>36.9</v>
          </cell>
          <cell r="J11">
            <v>37.1</v>
          </cell>
          <cell r="K11">
            <v>37.299999999999997</v>
          </cell>
          <cell r="L11">
            <v>37.5</v>
          </cell>
          <cell r="M11">
            <v>37.700000000000003</v>
          </cell>
          <cell r="N11">
            <v>36.68333333333333</v>
          </cell>
        </row>
        <row r="12">
          <cell r="A12">
            <v>1970</v>
          </cell>
          <cell r="B12">
            <v>37.9</v>
          </cell>
          <cell r="C12">
            <v>38.1</v>
          </cell>
          <cell r="D12">
            <v>38.299999999999997</v>
          </cell>
          <cell r="E12">
            <v>38.5</v>
          </cell>
          <cell r="F12">
            <v>38.6</v>
          </cell>
          <cell r="G12">
            <v>38.799999999999997</v>
          </cell>
          <cell r="H12">
            <v>38.9</v>
          </cell>
          <cell r="I12">
            <v>39</v>
          </cell>
          <cell r="J12">
            <v>39.200000000000003</v>
          </cell>
          <cell r="K12">
            <v>39.4</v>
          </cell>
          <cell r="L12">
            <v>39.6</v>
          </cell>
          <cell r="M12">
            <v>39.799999999999997</v>
          </cell>
          <cell r="N12">
            <v>38.841666666666661</v>
          </cell>
        </row>
        <row r="13">
          <cell r="A13">
            <v>1971</v>
          </cell>
          <cell r="B13">
            <v>39.9</v>
          </cell>
          <cell r="C13">
            <v>39.9</v>
          </cell>
          <cell r="D13">
            <v>40</v>
          </cell>
          <cell r="E13">
            <v>40.1</v>
          </cell>
          <cell r="F13">
            <v>40.299999999999997</v>
          </cell>
          <cell r="G13">
            <v>40.5</v>
          </cell>
          <cell r="H13">
            <v>40.6</v>
          </cell>
          <cell r="I13">
            <v>40.700000000000003</v>
          </cell>
          <cell r="J13">
            <v>40.799999999999997</v>
          </cell>
          <cell r="K13">
            <v>40.9</v>
          </cell>
          <cell r="L13">
            <v>41</v>
          </cell>
          <cell r="M13">
            <v>41.1</v>
          </cell>
          <cell r="N13">
            <v>40.483333333333334</v>
          </cell>
        </row>
        <row r="14">
          <cell r="A14">
            <v>1972</v>
          </cell>
          <cell r="B14">
            <v>41.2</v>
          </cell>
          <cell r="C14">
            <v>41.4</v>
          </cell>
          <cell r="D14">
            <v>41.4</v>
          </cell>
          <cell r="E14">
            <v>41.5</v>
          </cell>
          <cell r="F14">
            <v>41.6</v>
          </cell>
          <cell r="G14">
            <v>41.7</v>
          </cell>
          <cell r="H14">
            <v>41.8</v>
          </cell>
          <cell r="I14">
            <v>41.9</v>
          </cell>
          <cell r="J14">
            <v>42.1</v>
          </cell>
          <cell r="K14">
            <v>42.2</v>
          </cell>
          <cell r="L14">
            <v>42.4</v>
          </cell>
          <cell r="M14">
            <v>42.5</v>
          </cell>
          <cell r="N14">
            <v>41.80833333333333</v>
          </cell>
        </row>
        <row r="15">
          <cell r="A15">
            <v>1973</v>
          </cell>
          <cell r="B15">
            <v>42.7</v>
          </cell>
          <cell r="C15">
            <v>43</v>
          </cell>
          <cell r="D15">
            <v>43.4</v>
          </cell>
          <cell r="E15">
            <v>43.7</v>
          </cell>
          <cell r="F15">
            <v>43.9</v>
          </cell>
          <cell r="G15">
            <v>44.2</v>
          </cell>
          <cell r="H15">
            <v>44.2</v>
          </cell>
          <cell r="I15">
            <v>45</v>
          </cell>
          <cell r="J15">
            <v>45.2</v>
          </cell>
          <cell r="K15">
            <v>45.6</v>
          </cell>
          <cell r="L15">
            <v>45.9</v>
          </cell>
          <cell r="M15">
            <v>46.3</v>
          </cell>
          <cell r="N15">
            <v>44.425000000000004</v>
          </cell>
        </row>
        <row r="16">
          <cell r="A16">
            <v>1974</v>
          </cell>
          <cell r="B16">
            <v>46.8</v>
          </cell>
          <cell r="C16">
            <v>47.3</v>
          </cell>
          <cell r="D16">
            <v>47.8</v>
          </cell>
          <cell r="E16">
            <v>48.1</v>
          </cell>
          <cell r="F16">
            <v>48.6</v>
          </cell>
          <cell r="G16">
            <v>49</v>
          </cell>
          <cell r="H16">
            <v>49.3</v>
          </cell>
          <cell r="I16">
            <v>49.9</v>
          </cell>
          <cell r="J16">
            <v>50.6</v>
          </cell>
          <cell r="K16">
            <v>51</v>
          </cell>
          <cell r="L16">
            <v>51.5</v>
          </cell>
          <cell r="M16">
            <v>51.9</v>
          </cell>
          <cell r="N16">
            <v>49.316666666666663</v>
          </cell>
        </row>
        <row r="17">
          <cell r="A17">
            <v>1975</v>
          </cell>
          <cell r="B17">
            <v>52.3</v>
          </cell>
          <cell r="C17">
            <v>52.6</v>
          </cell>
          <cell r="D17">
            <v>52.8</v>
          </cell>
          <cell r="E17">
            <v>53</v>
          </cell>
          <cell r="F17">
            <v>53.1</v>
          </cell>
          <cell r="G17">
            <v>53.5</v>
          </cell>
          <cell r="H17">
            <v>54</v>
          </cell>
          <cell r="I17">
            <v>54.2</v>
          </cell>
          <cell r="J17">
            <v>54.6</v>
          </cell>
          <cell r="K17">
            <v>54.9</v>
          </cell>
          <cell r="L17">
            <v>55.3</v>
          </cell>
          <cell r="M17">
            <v>55.6</v>
          </cell>
          <cell r="N17">
            <v>53.824999999999996</v>
          </cell>
        </row>
        <row r="18">
          <cell r="A18">
            <v>1976</v>
          </cell>
          <cell r="B18">
            <v>55.8</v>
          </cell>
          <cell r="C18">
            <v>55.9</v>
          </cell>
          <cell r="D18">
            <v>56</v>
          </cell>
          <cell r="E18">
            <v>56.1</v>
          </cell>
          <cell r="F18">
            <v>56.4</v>
          </cell>
          <cell r="G18">
            <v>56.7</v>
          </cell>
          <cell r="H18">
            <v>57</v>
          </cell>
          <cell r="I18">
            <v>57.3</v>
          </cell>
          <cell r="J18">
            <v>57.6</v>
          </cell>
          <cell r="K18">
            <v>57.9</v>
          </cell>
          <cell r="L18">
            <v>58.1</v>
          </cell>
          <cell r="M18">
            <v>58.4</v>
          </cell>
          <cell r="N18">
            <v>56.933333333333337</v>
          </cell>
        </row>
        <row r="19">
          <cell r="A19">
            <v>1977</v>
          </cell>
          <cell r="B19">
            <v>58.7</v>
          </cell>
          <cell r="C19">
            <v>59.3</v>
          </cell>
          <cell r="D19">
            <v>59.6</v>
          </cell>
          <cell r="E19">
            <v>60</v>
          </cell>
          <cell r="F19">
            <v>60.2</v>
          </cell>
          <cell r="G19">
            <v>60.5</v>
          </cell>
          <cell r="H19">
            <v>60.8</v>
          </cell>
          <cell r="I19">
            <v>61.1</v>
          </cell>
          <cell r="J19">
            <v>61.3</v>
          </cell>
          <cell r="K19">
            <v>61.6</v>
          </cell>
          <cell r="L19">
            <v>62</v>
          </cell>
          <cell r="M19">
            <v>62.3</v>
          </cell>
          <cell r="N19">
            <v>60.616666666666667</v>
          </cell>
        </row>
        <row r="20">
          <cell r="A20">
            <v>1978</v>
          </cell>
          <cell r="B20">
            <v>62.7</v>
          </cell>
          <cell r="C20">
            <v>63</v>
          </cell>
          <cell r="D20">
            <v>63.4</v>
          </cell>
          <cell r="E20">
            <v>63.9</v>
          </cell>
          <cell r="F20">
            <v>64.5</v>
          </cell>
          <cell r="G20">
            <v>65</v>
          </cell>
          <cell r="H20">
            <v>65.5</v>
          </cell>
          <cell r="I20">
            <v>65.900000000000006</v>
          </cell>
          <cell r="J20">
            <v>66.5</v>
          </cell>
          <cell r="K20">
            <v>67.099999999999994</v>
          </cell>
          <cell r="L20">
            <v>67.5</v>
          </cell>
          <cell r="M20">
            <v>67.900000000000006</v>
          </cell>
          <cell r="N20">
            <v>65.24166666666666</v>
          </cell>
        </row>
        <row r="21">
          <cell r="A21">
            <v>1979</v>
          </cell>
          <cell r="B21">
            <v>68.5</v>
          </cell>
          <cell r="C21">
            <v>69.2</v>
          </cell>
          <cell r="D21">
            <v>69.900000000000006</v>
          </cell>
          <cell r="E21">
            <v>70.599999999999994</v>
          </cell>
          <cell r="F21">
            <v>71.400000000000006</v>
          </cell>
          <cell r="G21">
            <v>72.2</v>
          </cell>
          <cell r="H21">
            <v>73</v>
          </cell>
          <cell r="I21">
            <v>73.7</v>
          </cell>
          <cell r="J21">
            <v>74.400000000000006</v>
          </cell>
          <cell r="K21">
            <v>75.2</v>
          </cell>
          <cell r="L21">
            <v>76</v>
          </cell>
          <cell r="M21">
            <v>76.900000000000006</v>
          </cell>
          <cell r="N21">
            <v>72.583333333333329</v>
          </cell>
        </row>
        <row r="22">
          <cell r="A22">
            <v>1980</v>
          </cell>
          <cell r="B22">
            <v>78</v>
          </cell>
          <cell r="C22">
            <v>79</v>
          </cell>
          <cell r="D22">
            <v>80.099999999999994</v>
          </cell>
          <cell r="E22">
            <v>80.900000000000006</v>
          </cell>
          <cell r="F22">
            <v>81.7</v>
          </cell>
          <cell r="G22">
            <v>82.5</v>
          </cell>
          <cell r="H22">
            <v>82.6</v>
          </cell>
          <cell r="I22">
            <v>83.2</v>
          </cell>
          <cell r="J22">
            <v>83.9</v>
          </cell>
          <cell r="K22">
            <v>84.7</v>
          </cell>
          <cell r="L22">
            <v>85.6</v>
          </cell>
          <cell r="M22">
            <v>86.4</v>
          </cell>
          <cell r="N22">
            <v>82.38333333333334</v>
          </cell>
        </row>
        <row r="23">
          <cell r="A23">
            <v>1981</v>
          </cell>
          <cell r="B23">
            <v>87.2</v>
          </cell>
          <cell r="C23">
            <v>88</v>
          </cell>
          <cell r="D23">
            <v>88.6</v>
          </cell>
          <cell r="E23">
            <v>89.1</v>
          </cell>
          <cell r="F23">
            <v>89.7</v>
          </cell>
          <cell r="G23">
            <v>90.5</v>
          </cell>
          <cell r="H23">
            <v>91.5</v>
          </cell>
          <cell r="I23">
            <v>92.2</v>
          </cell>
          <cell r="J23">
            <v>93.1</v>
          </cell>
          <cell r="K23">
            <v>93.4</v>
          </cell>
          <cell r="L23">
            <v>93.8</v>
          </cell>
          <cell r="M23">
            <v>94.1</v>
          </cell>
          <cell r="N23">
            <v>90.933333333333323</v>
          </cell>
        </row>
        <row r="24">
          <cell r="A24">
            <v>1982</v>
          </cell>
          <cell r="B24">
            <v>94.4</v>
          </cell>
          <cell r="C24">
            <v>94.7</v>
          </cell>
          <cell r="D24">
            <v>94.7</v>
          </cell>
          <cell r="E24">
            <v>95</v>
          </cell>
          <cell r="F24">
            <v>95.9</v>
          </cell>
          <cell r="G24">
            <v>97</v>
          </cell>
          <cell r="H24">
            <v>97.5</v>
          </cell>
          <cell r="I24">
            <v>97.7</v>
          </cell>
          <cell r="J24">
            <v>97.7</v>
          </cell>
          <cell r="K24">
            <v>98.1</v>
          </cell>
          <cell r="L24">
            <v>98</v>
          </cell>
          <cell r="M24">
            <v>97.7</v>
          </cell>
          <cell r="N24">
            <v>96.53333333333336</v>
          </cell>
        </row>
        <row r="25">
          <cell r="A25">
            <v>1983</v>
          </cell>
          <cell r="B25">
            <v>97.9</v>
          </cell>
          <cell r="C25">
            <v>98</v>
          </cell>
          <cell r="D25">
            <v>98.1</v>
          </cell>
          <cell r="E25">
            <v>98.8</v>
          </cell>
          <cell r="F25">
            <v>99.2</v>
          </cell>
          <cell r="G25">
            <v>99.4</v>
          </cell>
          <cell r="H25">
            <v>99.8</v>
          </cell>
          <cell r="I25">
            <v>100.1</v>
          </cell>
          <cell r="J25">
            <v>100.4</v>
          </cell>
          <cell r="K25">
            <v>100.8</v>
          </cell>
          <cell r="L25">
            <v>101.1</v>
          </cell>
          <cell r="M25">
            <v>101.4</v>
          </cell>
          <cell r="N25">
            <v>99.583333333333329</v>
          </cell>
        </row>
        <row r="26">
          <cell r="A26">
            <v>1984</v>
          </cell>
          <cell r="B26">
            <v>102.1</v>
          </cell>
          <cell r="C26">
            <v>102.6</v>
          </cell>
          <cell r="D26">
            <v>102.9</v>
          </cell>
          <cell r="E26">
            <v>103.3</v>
          </cell>
          <cell r="F26">
            <v>103.5</v>
          </cell>
          <cell r="G26">
            <v>103.7</v>
          </cell>
          <cell r="H26">
            <v>104.1</v>
          </cell>
          <cell r="I26">
            <v>104.4</v>
          </cell>
          <cell r="J26">
            <v>104.7</v>
          </cell>
          <cell r="K26">
            <v>105.1</v>
          </cell>
          <cell r="L26">
            <v>105.3</v>
          </cell>
          <cell r="M26">
            <v>105.5</v>
          </cell>
          <cell r="N26">
            <v>103.93333333333334</v>
          </cell>
        </row>
        <row r="27">
          <cell r="A27">
            <v>1985</v>
          </cell>
          <cell r="B27">
            <v>105.7</v>
          </cell>
          <cell r="C27">
            <v>106.3</v>
          </cell>
          <cell r="D27">
            <v>106.8</v>
          </cell>
          <cell r="E27">
            <v>107</v>
          </cell>
          <cell r="F27">
            <v>107.2</v>
          </cell>
          <cell r="G27">
            <v>107.5</v>
          </cell>
          <cell r="H27">
            <v>107.7</v>
          </cell>
          <cell r="I27">
            <v>107.9</v>
          </cell>
          <cell r="J27">
            <v>108.1</v>
          </cell>
          <cell r="K27">
            <v>108.5</v>
          </cell>
          <cell r="L27">
            <v>109</v>
          </cell>
          <cell r="M27">
            <v>109.5</v>
          </cell>
          <cell r="N27">
            <v>107.60000000000001</v>
          </cell>
        </row>
        <row r="28">
          <cell r="A28">
            <v>1986</v>
          </cell>
          <cell r="B28">
            <v>109.9</v>
          </cell>
          <cell r="C28">
            <v>109.7</v>
          </cell>
          <cell r="D28">
            <v>109.1</v>
          </cell>
          <cell r="E28">
            <v>108.7</v>
          </cell>
          <cell r="F28">
            <v>109</v>
          </cell>
          <cell r="G28">
            <v>109.4</v>
          </cell>
          <cell r="H28">
            <v>109.5</v>
          </cell>
          <cell r="I28">
            <v>109.6</v>
          </cell>
          <cell r="J28">
            <v>110</v>
          </cell>
          <cell r="K28">
            <v>110.2</v>
          </cell>
          <cell r="L28">
            <v>110.4</v>
          </cell>
          <cell r="M28">
            <v>110.8</v>
          </cell>
          <cell r="N28">
            <v>109.69166666666668</v>
          </cell>
        </row>
        <row r="29">
          <cell r="A29">
            <v>1987</v>
          </cell>
          <cell r="B29">
            <v>111.4</v>
          </cell>
          <cell r="C29">
            <v>111.8</v>
          </cell>
          <cell r="D29">
            <v>112.2</v>
          </cell>
          <cell r="E29">
            <v>112.7</v>
          </cell>
          <cell r="F29">
            <v>113</v>
          </cell>
          <cell r="G29">
            <v>113.5</v>
          </cell>
          <cell r="H29">
            <v>113.8</v>
          </cell>
          <cell r="I29">
            <v>114.3</v>
          </cell>
          <cell r="J29">
            <v>114.7</v>
          </cell>
          <cell r="K29">
            <v>115</v>
          </cell>
          <cell r="L29">
            <v>115.4</v>
          </cell>
          <cell r="M29">
            <v>115.6</v>
          </cell>
          <cell r="N29">
            <v>113.61666666666666</v>
          </cell>
        </row>
        <row r="30">
          <cell r="A30">
            <v>1988</v>
          </cell>
          <cell r="B30">
            <v>116</v>
          </cell>
          <cell r="C30">
            <v>116.2</v>
          </cell>
          <cell r="D30">
            <v>116.5</v>
          </cell>
          <cell r="E30">
            <v>117.2</v>
          </cell>
          <cell r="F30">
            <v>117.5</v>
          </cell>
          <cell r="G30">
            <v>118</v>
          </cell>
          <cell r="H30">
            <v>118.5</v>
          </cell>
          <cell r="I30">
            <v>119</v>
          </cell>
          <cell r="J30">
            <v>119.5</v>
          </cell>
          <cell r="K30">
            <v>119.9</v>
          </cell>
          <cell r="L30">
            <v>120.3</v>
          </cell>
          <cell r="M30">
            <v>120.7</v>
          </cell>
          <cell r="N30">
            <v>118.27500000000002</v>
          </cell>
        </row>
        <row r="31">
          <cell r="A31">
            <v>1989</v>
          </cell>
          <cell r="B31">
            <v>121.2</v>
          </cell>
          <cell r="C31">
            <v>121.6</v>
          </cell>
          <cell r="D31">
            <v>122.2</v>
          </cell>
          <cell r="E31">
            <v>123.1</v>
          </cell>
          <cell r="F31">
            <v>123.7</v>
          </cell>
          <cell r="G31">
            <v>124.1</v>
          </cell>
          <cell r="H31">
            <v>124.5</v>
          </cell>
          <cell r="I31">
            <v>124.5</v>
          </cell>
          <cell r="J31">
            <v>124.8</v>
          </cell>
          <cell r="K31">
            <v>125.4</v>
          </cell>
          <cell r="L31">
            <v>125.9</v>
          </cell>
          <cell r="M31">
            <v>126.3</v>
          </cell>
          <cell r="N31">
            <v>123.94166666666668</v>
          </cell>
        </row>
        <row r="32">
          <cell r="A32">
            <v>1990</v>
          </cell>
          <cell r="B32">
            <v>127.5</v>
          </cell>
          <cell r="C32">
            <v>128</v>
          </cell>
          <cell r="D32">
            <v>128.6</v>
          </cell>
          <cell r="E32">
            <v>128.9</v>
          </cell>
          <cell r="F32">
            <v>129.1</v>
          </cell>
          <cell r="G32">
            <v>129.9</v>
          </cell>
          <cell r="H32">
            <v>130.5</v>
          </cell>
          <cell r="I32">
            <v>131.6</v>
          </cell>
          <cell r="J32">
            <v>132.5</v>
          </cell>
          <cell r="K32">
            <v>133.4</v>
          </cell>
          <cell r="L32">
            <v>133.69999999999999</v>
          </cell>
          <cell r="M32">
            <v>134.19999999999999</v>
          </cell>
          <cell r="N32">
            <v>130.65833333333333</v>
          </cell>
        </row>
        <row r="33">
          <cell r="A33">
            <v>1991</v>
          </cell>
          <cell r="B33">
            <v>134.69999999999999</v>
          </cell>
          <cell r="C33">
            <v>134.80000000000001</v>
          </cell>
          <cell r="D33">
            <v>134.80000000000001</v>
          </cell>
          <cell r="E33">
            <v>135.1</v>
          </cell>
          <cell r="F33">
            <v>135.6</v>
          </cell>
          <cell r="G33">
            <v>136</v>
          </cell>
          <cell r="H33">
            <v>136.19999999999999</v>
          </cell>
          <cell r="I33">
            <v>136.6</v>
          </cell>
          <cell r="J33">
            <v>137</v>
          </cell>
          <cell r="K33">
            <v>137.19999999999999</v>
          </cell>
          <cell r="L33">
            <v>137.80000000000001</v>
          </cell>
          <cell r="M33">
            <v>138.19999999999999</v>
          </cell>
          <cell r="N33">
            <v>136.16666666666666</v>
          </cell>
        </row>
        <row r="34">
          <cell r="A34">
            <v>1992</v>
          </cell>
          <cell r="B34">
            <v>138.30000000000001</v>
          </cell>
          <cell r="C34">
            <v>138.6</v>
          </cell>
          <cell r="D34">
            <v>139.1</v>
          </cell>
          <cell r="E34">
            <v>139.4</v>
          </cell>
          <cell r="F34">
            <v>139.69999999999999</v>
          </cell>
          <cell r="G34">
            <v>140.1</v>
          </cell>
          <cell r="H34">
            <v>140.5</v>
          </cell>
          <cell r="I34">
            <v>140.80000000000001</v>
          </cell>
          <cell r="J34">
            <v>141.1</v>
          </cell>
          <cell r="K34">
            <v>141.69999999999999</v>
          </cell>
          <cell r="L34">
            <v>142.1</v>
          </cell>
          <cell r="M34">
            <v>142.30000000000001</v>
          </cell>
          <cell r="N34">
            <v>140.30833333333331</v>
          </cell>
        </row>
        <row r="35">
          <cell r="A35">
            <v>1993</v>
          </cell>
          <cell r="B35">
            <v>142.80000000000001</v>
          </cell>
          <cell r="C35">
            <v>143.1</v>
          </cell>
          <cell r="D35">
            <v>143.30000000000001</v>
          </cell>
          <cell r="E35">
            <v>143.80000000000001</v>
          </cell>
          <cell r="F35">
            <v>144.19999999999999</v>
          </cell>
          <cell r="G35">
            <v>144.30000000000001</v>
          </cell>
          <cell r="H35">
            <v>144.5</v>
          </cell>
          <cell r="I35">
            <v>144.80000000000001</v>
          </cell>
          <cell r="J35">
            <v>145</v>
          </cell>
          <cell r="K35">
            <v>145.6</v>
          </cell>
          <cell r="L35">
            <v>146</v>
          </cell>
          <cell r="M35">
            <v>146.30000000000001</v>
          </cell>
          <cell r="N35">
            <v>144.47499999999999</v>
          </cell>
        </row>
        <row r="36">
          <cell r="A36">
            <v>1994</v>
          </cell>
          <cell r="B36">
            <v>146.30000000000001</v>
          </cell>
          <cell r="C36">
            <v>146.69999999999999</v>
          </cell>
          <cell r="D36">
            <v>147.1</v>
          </cell>
          <cell r="E36">
            <v>147.19999999999999</v>
          </cell>
          <cell r="F36">
            <v>147.5</v>
          </cell>
          <cell r="G36">
            <v>147.9</v>
          </cell>
          <cell r="H36">
            <v>148.4</v>
          </cell>
          <cell r="I36">
            <v>149</v>
          </cell>
          <cell r="J36">
            <v>149.30000000000001</v>
          </cell>
          <cell r="K36">
            <v>149.4</v>
          </cell>
          <cell r="L36">
            <v>149.80000000000001</v>
          </cell>
          <cell r="M36">
            <v>150.1</v>
          </cell>
          <cell r="N36">
            <v>148.22499999999999</v>
          </cell>
        </row>
        <row r="37">
          <cell r="A37">
            <v>1995</v>
          </cell>
          <cell r="B37">
            <v>150.5</v>
          </cell>
          <cell r="C37">
            <v>150.9</v>
          </cell>
          <cell r="D37">
            <v>151.19999999999999</v>
          </cell>
          <cell r="E37">
            <v>151.80000000000001</v>
          </cell>
          <cell r="F37">
            <v>152.1</v>
          </cell>
          <cell r="G37">
            <v>152.4</v>
          </cell>
          <cell r="H37">
            <v>152.6</v>
          </cell>
          <cell r="I37">
            <v>152.9</v>
          </cell>
          <cell r="J37">
            <v>153.1</v>
          </cell>
          <cell r="K37">
            <v>153.5</v>
          </cell>
          <cell r="L37">
            <v>153.69999999999999</v>
          </cell>
          <cell r="M37">
            <v>153.9</v>
          </cell>
          <cell r="N37">
            <v>152.38333333333335</v>
          </cell>
        </row>
        <row r="38">
          <cell r="A38">
            <v>1996</v>
          </cell>
          <cell r="B38">
            <v>154.69999999999999</v>
          </cell>
          <cell r="C38">
            <v>155</v>
          </cell>
          <cell r="D38">
            <v>155.5</v>
          </cell>
          <cell r="E38">
            <v>156.1</v>
          </cell>
          <cell r="F38">
            <v>156.4</v>
          </cell>
          <cell r="G38">
            <v>156.69999999999999</v>
          </cell>
          <cell r="H38">
            <v>157</v>
          </cell>
          <cell r="I38">
            <v>157.19999999999999</v>
          </cell>
          <cell r="J38">
            <v>157.69999999999999</v>
          </cell>
          <cell r="K38">
            <v>158.19999999999999</v>
          </cell>
          <cell r="L38">
            <v>158.69999999999999</v>
          </cell>
          <cell r="M38">
            <v>159.1</v>
          </cell>
          <cell r="N38">
            <v>156.85833333333332</v>
          </cell>
        </row>
        <row r="39">
          <cell r="A39">
            <v>1997</v>
          </cell>
          <cell r="B39">
            <v>159.4</v>
          </cell>
          <cell r="C39">
            <v>159.69999999999999</v>
          </cell>
          <cell r="D39">
            <v>159.80000000000001</v>
          </cell>
          <cell r="E39">
            <v>159.9</v>
          </cell>
          <cell r="F39">
            <v>159.9</v>
          </cell>
          <cell r="G39">
            <v>160.19999999999999</v>
          </cell>
          <cell r="H39">
            <v>160.4</v>
          </cell>
          <cell r="I39">
            <v>160.80000000000001</v>
          </cell>
          <cell r="J39">
            <v>161.19999999999999</v>
          </cell>
          <cell r="K39">
            <v>161.5</v>
          </cell>
          <cell r="L39">
            <v>161.69999999999999</v>
          </cell>
          <cell r="M39">
            <v>161.80000000000001</v>
          </cell>
          <cell r="N39">
            <v>160.52500000000001</v>
          </cell>
        </row>
        <row r="40">
          <cell r="A40">
            <v>1998</v>
          </cell>
          <cell r="B40">
            <v>162</v>
          </cell>
          <cell r="C40">
            <v>162</v>
          </cell>
          <cell r="D40">
            <v>162</v>
          </cell>
          <cell r="E40">
            <v>162.19999999999999</v>
          </cell>
          <cell r="F40">
            <v>162.6</v>
          </cell>
          <cell r="G40">
            <v>162.80000000000001</v>
          </cell>
          <cell r="H40">
            <v>163.19999999999999</v>
          </cell>
          <cell r="I40">
            <v>163.4</v>
          </cell>
          <cell r="J40">
            <v>163.5</v>
          </cell>
          <cell r="K40">
            <v>163.9</v>
          </cell>
          <cell r="L40">
            <v>164.1</v>
          </cell>
          <cell r="M40">
            <v>164.4</v>
          </cell>
          <cell r="N40">
            <v>163.00833333333335</v>
          </cell>
        </row>
        <row r="41">
          <cell r="A41">
            <v>1999</v>
          </cell>
          <cell r="B41">
            <v>164.7</v>
          </cell>
          <cell r="C41">
            <v>164.7</v>
          </cell>
          <cell r="D41">
            <v>164.8</v>
          </cell>
          <cell r="E41">
            <v>165.9</v>
          </cell>
          <cell r="F41">
            <v>166</v>
          </cell>
          <cell r="G41">
            <v>166</v>
          </cell>
          <cell r="H41">
            <v>166.7</v>
          </cell>
          <cell r="I41">
            <v>167.1</v>
          </cell>
          <cell r="J41">
            <v>167.8</v>
          </cell>
          <cell r="K41">
            <v>168.1</v>
          </cell>
          <cell r="L41">
            <v>168.4</v>
          </cell>
          <cell r="M41">
            <v>168.8</v>
          </cell>
          <cell r="N41">
            <v>166.58333333333331</v>
          </cell>
        </row>
        <row r="42">
          <cell r="A42">
            <v>2000</v>
          </cell>
          <cell r="B42">
            <v>169.3</v>
          </cell>
          <cell r="C42">
            <v>170</v>
          </cell>
          <cell r="D42">
            <v>171</v>
          </cell>
          <cell r="E42">
            <v>170.9</v>
          </cell>
          <cell r="F42">
            <v>171.2</v>
          </cell>
          <cell r="G42">
            <v>172.2</v>
          </cell>
          <cell r="H42">
            <v>172.7</v>
          </cell>
          <cell r="I42">
            <v>172.7</v>
          </cell>
          <cell r="J42">
            <v>173.6</v>
          </cell>
          <cell r="K42">
            <v>173.9</v>
          </cell>
          <cell r="L42">
            <v>174.2</v>
          </cell>
          <cell r="M42">
            <v>174.6</v>
          </cell>
          <cell r="N42">
            <v>172.19166666666669</v>
          </cell>
        </row>
        <row r="43">
          <cell r="A43">
            <v>2001</v>
          </cell>
          <cell r="B43">
            <v>175.6</v>
          </cell>
          <cell r="C43">
            <v>176</v>
          </cell>
          <cell r="D43">
            <v>176.1</v>
          </cell>
          <cell r="E43">
            <v>176.4</v>
          </cell>
          <cell r="F43">
            <v>177.3</v>
          </cell>
          <cell r="G43">
            <v>177.7</v>
          </cell>
          <cell r="H43">
            <v>177.4</v>
          </cell>
          <cell r="I43">
            <v>177.4</v>
          </cell>
          <cell r="J43">
            <v>178.1</v>
          </cell>
          <cell r="K43">
            <v>177.6</v>
          </cell>
          <cell r="L43">
            <v>177.5</v>
          </cell>
          <cell r="M43">
            <v>177.4</v>
          </cell>
          <cell r="N43">
            <v>177.04166666666666</v>
          </cell>
        </row>
        <row r="44">
          <cell r="A44">
            <v>2002</v>
          </cell>
          <cell r="B44">
            <v>177.7</v>
          </cell>
          <cell r="C44">
            <v>178</v>
          </cell>
          <cell r="D44">
            <v>178.5</v>
          </cell>
          <cell r="E44">
            <v>179.3</v>
          </cell>
          <cell r="F44">
            <v>179.5</v>
          </cell>
          <cell r="G44">
            <v>179.6</v>
          </cell>
          <cell r="H44">
            <v>180</v>
          </cell>
          <cell r="I44">
            <v>180.5</v>
          </cell>
          <cell r="J44">
            <v>180.8</v>
          </cell>
          <cell r="K44">
            <v>181.2</v>
          </cell>
          <cell r="L44">
            <v>181.5</v>
          </cell>
          <cell r="M44">
            <v>181.8</v>
          </cell>
          <cell r="N44">
            <v>179.86666666666667</v>
          </cell>
        </row>
        <row r="45">
          <cell r="A45">
            <v>2003</v>
          </cell>
          <cell r="B45">
            <v>182.6</v>
          </cell>
          <cell r="C45">
            <v>183.6</v>
          </cell>
          <cell r="D45">
            <v>183.9</v>
          </cell>
          <cell r="E45">
            <v>183.2</v>
          </cell>
          <cell r="F45">
            <v>182.9</v>
          </cell>
          <cell r="G45">
            <v>183.1</v>
          </cell>
          <cell r="H45">
            <v>183.7</v>
          </cell>
          <cell r="I45">
            <v>184.5</v>
          </cell>
          <cell r="J45">
            <v>185.1</v>
          </cell>
          <cell r="K45">
            <v>184.9</v>
          </cell>
          <cell r="L45">
            <v>185</v>
          </cell>
          <cell r="M45">
            <v>185.5</v>
          </cell>
          <cell r="N45">
            <v>184</v>
          </cell>
        </row>
        <row r="46">
          <cell r="A46">
            <v>2004</v>
          </cell>
          <cell r="B46">
            <v>186.3</v>
          </cell>
          <cell r="C46">
            <v>186.7</v>
          </cell>
          <cell r="D46">
            <v>187.1</v>
          </cell>
          <cell r="E46">
            <v>187.4</v>
          </cell>
          <cell r="F46">
            <v>188.2</v>
          </cell>
          <cell r="G46">
            <v>188.9</v>
          </cell>
          <cell r="H46">
            <v>189.1</v>
          </cell>
          <cell r="I46">
            <v>189.2</v>
          </cell>
          <cell r="J46">
            <v>189.8</v>
          </cell>
          <cell r="K46">
            <v>190.8</v>
          </cell>
          <cell r="L46">
            <v>191.7</v>
          </cell>
          <cell r="M46">
            <v>191.7</v>
          </cell>
          <cell r="N46">
            <v>188.9083333333333</v>
          </cell>
        </row>
        <row r="47">
          <cell r="A47">
            <v>2005</v>
          </cell>
          <cell r="B47">
            <v>191.6</v>
          </cell>
          <cell r="C47">
            <v>192.4</v>
          </cell>
          <cell r="D47">
            <v>193.1</v>
          </cell>
          <cell r="E47">
            <v>193.7</v>
          </cell>
          <cell r="F47">
            <v>193.6</v>
          </cell>
          <cell r="G47">
            <v>193.7</v>
          </cell>
          <cell r="H47">
            <v>194.9</v>
          </cell>
          <cell r="I47">
            <v>196.1</v>
          </cell>
          <cell r="J47">
            <v>198.8</v>
          </cell>
          <cell r="K47">
            <v>199.1</v>
          </cell>
          <cell r="L47">
            <v>198.1</v>
          </cell>
          <cell r="M47">
            <v>198.1</v>
          </cell>
          <cell r="N47">
            <v>195.26666666666665</v>
          </cell>
        </row>
        <row r="48">
          <cell r="A48">
            <v>2006</v>
          </cell>
          <cell r="B48">
            <v>199.3</v>
          </cell>
          <cell r="C48">
            <v>199.4</v>
          </cell>
          <cell r="D48">
            <v>199.7</v>
          </cell>
          <cell r="E48">
            <v>200.7</v>
          </cell>
          <cell r="F48">
            <v>201.3</v>
          </cell>
          <cell r="G48">
            <v>201.8</v>
          </cell>
          <cell r="H48">
            <v>202.9</v>
          </cell>
          <cell r="I48">
            <v>203.8</v>
          </cell>
          <cell r="J48">
            <v>202.8</v>
          </cell>
          <cell r="K48">
            <v>201.9</v>
          </cell>
          <cell r="L48">
            <v>202</v>
          </cell>
          <cell r="M48">
            <v>203.1</v>
          </cell>
          <cell r="N48">
            <v>201.55833333333337</v>
          </cell>
        </row>
        <row r="49">
          <cell r="A49">
            <v>2007</v>
          </cell>
          <cell r="B49">
            <v>203.43700000000001</v>
          </cell>
          <cell r="C49">
            <v>204.226</v>
          </cell>
          <cell r="D49">
            <v>205.28800000000001</v>
          </cell>
          <cell r="E49">
            <v>205.904</v>
          </cell>
          <cell r="F49">
            <v>206.755</v>
          </cell>
          <cell r="G49">
            <v>207.23400000000001</v>
          </cell>
          <cell r="H49">
            <v>207.60300000000001</v>
          </cell>
          <cell r="I49">
            <v>207.667</v>
          </cell>
          <cell r="J49">
            <v>208.547</v>
          </cell>
          <cell r="K49">
            <v>209.19</v>
          </cell>
          <cell r="L49">
            <v>210.834</v>
          </cell>
          <cell r="M49">
            <v>211.44499999999999</v>
          </cell>
          <cell r="N49">
            <v>207.34416666666667</v>
          </cell>
        </row>
        <row r="50">
          <cell r="A50">
            <v>2008</v>
          </cell>
          <cell r="B50">
            <v>212.19900000000001</v>
          </cell>
          <cell r="C50">
            <v>212.62299999999999</v>
          </cell>
          <cell r="D50">
            <v>213.441</v>
          </cell>
          <cell r="E50">
            <v>213.971</v>
          </cell>
          <cell r="F50">
            <v>215.20599999999999</v>
          </cell>
          <cell r="G50">
            <v>217.47</v>
          </cell>
          <cell r="H50">
            <v>219.09</v>
          </cell>
          <cell r="I50">
            <v>218.749</v>
          </cell>
          <cell r="J50">
            <v>218.87200000000001</v>
          </cell>
          <cell r="K50">
            <v>216.96600000000001</v>
          </cell>
          <cell r="L50">
            <v>213.07400000000001</v>
          </cell>
          <cell r="M50">
            <v>211.40100000000001</v>
          </cell>
          <cell r="N50">
            <v>215.25516666666667</v>
          </cell>
        </row>
        <row r="51">
          <cell r="A51">
            <v>2009</v>
          </cell>
          <cell r="B51">
            <v>211.96199999999999</v>
          </cell>
          <cell r="C51">
            <v>212.82300000000001</v>
          </cell>
          <cell r="D51">
            <v>212.56100000000001</v>
          </cell>
          <cell r="E51">
            <v>212.70500000000001</v>
          </cell>
          <cell r="F51">
            <v>212.977</v>
          </cell>
          <cell r="G51">
            <v>214.744</v>
          </cell>
          <cell r="H51">
            <v>214.726</v>
          </cell>
          <cell r="I51">
            <v>215.47900000000001</v>
          </cell>
          <cell r="J51">
            <v>215.88300000000001</v>
          </cell>
          <cell r="K51">
            <v>216.476</v>
          </cell>
          <cell r="L51">
            <v>217.113</v>
          </cell>
          <cell r="M51">
            <v>217.33</v>
          </cell>
          <cell r="N51">
            <v>214.56491666666668</v>
          </cell>
        </row>
        <row r="52">
          <cell r="A52">
            <v>2010</v>
          </cell>
          <cell r="B52">
            <v>217.46899999999999</v>
          </cell>
          <cell r="C52">
            <v>217.39699999999999</v>
          </cell>
          <cell r="D52">
            <v>217.44</v>
          </cell>
          <cell r="E52">
            <v>217.37299999999999</v>
          </cell>
          <cell r="F52">
            <v>217.18199999999999</v>
          </cell>
          <cell r="G52">
            <v>217.20599999999999</v>
          </cell>
          <cell r="H52">
            <v>217.649</v>
          </cell>
          <cell r="I52">
            <v>218.06200000000001</v>
          </cell>
          <cell r="J52">
            <v>218.364</v>
          </cell>
          <cell r="K52">
            <v>219.02</v>
          </cell>
          <cell r="L52">
            <v>219.441</v>
          </cell>
          <cell r="M52">
            <v>220.41399999999999</v>
          </cell>
          <cell r="N52">
            <v>218.08474999999999</v>
          </cell>
        </row>
        <row r="53">
          <cell r="A53">
            <v>2011</v>
          </cell>
          <cell r="B53">
            <v>221.036</v>
          </cell>
          <cell r="C53">
            <v>222.00800000000001</v>
          </cell>
          <cell r="D53">
            <v>223.19300000000001</v>
          </cell>
          <cell r="E53">
            <v>224.03</v>
          </cell>
          <cell r="F53">
            <v>224.63399999999999</v>
          </cell>
          <cell r="G53">
            <v>224.83699999999999</v>
          </cell>
          <cell r="H53">
            <v>225.51499999999999</v>
          </cell>
          <cell r="I53">
            <v>226.26599999999999</v>
          </cell>
          <cell r="J53">
            <v>226.87</v>
          </cell>
          <cell r="K53">
            <v>226.804</v>
          </cell>
          <cell r="L53">
            <v>227.01400000000001</v>
          </cell>
          <cell r="M53">
            <v>227.03299999999999</v>
          </cell>
          <cell r="N53">
            <v>224.93666666666664</v>
          </cell>
        </row>
        <row r="54">
          <cell r="A54">
            <v>2012</v>
          </cell>
          <cell r="B54">
            <v>226.66499999999999</v>
          </cell>
          <cell r="C54">
            <v>227.66300000000001</v>
          </cell>
          <cell r="D54">
            <v>229.392</v>
          </cell>
          <cell r="E54">
            <v>230.08500000000001</v>
          </cell>
          <cell r="F54">
            <v>229.815</v>
          </cell>
          <cell r="G54">
            <v>229.47800000000001</v>
          </cell>
          <cell r="H54">
            <v>229.10400000000001</v>
          </cell>
          <cell r="I54">
            <v>230.37899999999999</v>
          </cell>
          <cell r="J54">
            <v>231.40700000000001</v>
          </cell>
          <cell r="K54">
            <v>231.31700000000001</v>
          </cell>
          <cell r="L54">
            <v>230.221</v>
          </cell>
          <cell r="M54">
            <v>229.601</v>
          </cell>
          <cell r="N54">
            <v>229.5939166666667</v>
          </cell>
        </row>
        <row r="55">
          <cell r="A55">
            <v>2013</v>
          </cell>
          <cell r="B55">
            <v>230.28</v>
          </cell>
          <cell r="C55">
            <v>232.166</v>
          </cell>
          <cell r="D55">
            <v>232.773</v>
          </cell>
          <cell r="E55">
            <v>232.53100000000001</v>
          </cell>
          <cell r="F55">
            <v>232.94499999999999</v>
          </cell>
          <cell r="G55">
            <v>233.50399999999999</v>
          </cell>
          <cell r="H55">
            <v>233.596</v>
          </cell>
          <cell r="I55">
            <v>233.87700000000001</v>
          </cell>
          <cell r="J55">
            <v>234.149</v>
          </cell>
          <cell r="K55">
            <v>233.54599999999999</v>
          </cell>
          <cell r="L55">
            <v>233.06899999999999</v>
          </cell>
          <cell r="M55">
            <v>233.04900000000001</v>
          </cell>
          <cell r="N55">
            <v>232.95708333333332</v>
          </cell>
        </row>
        <row r="56">
          <cell r="A56">
            <v>2014</v>
          </cell>
          <cell r="B56">
            <v>233.916</v>
          </cell>
          <cell r="C56">
            <v>234.78100000000001</v>
          </cell>
          <cell r="D56">
            <v>236.29300000000001</v>
          </cell>
          <cell r="E56">
            <v>237.072</v>
          </cell>
          <cell r="F56">
            <v>237.9</v>
          </cell>
          <cell r="G56">
            <v>238.34299999999999</v>
          </cell>
          <cell r="H56">
            <v>238.25</v>
          </cell>
          <cell r="I56">
            <v>237.852</v>
          </cell>
          <cell r="J56">
            <v>238.03100000000001</v>
          </cell>
          <cell r="K56">
            <v>237.43299999999999</v>
          </cell>
          <cell r="L56">
            <v>236.15100000000001</v>
          </cell>
          <cell r="M56">
            <v>234.81200000000001</v>
          </cell>
          <cell r="N56">
            <v>236.73616666666666</v>
          </cell>
        </row>
        <row r="57">
          <cell r="A57">
            <v>2015</v>
          </cell>
          <cell r="B57">
            <v>233.70699999999999</v>
          </cell>
          <cell r="C57">
            <v>234.72200000000001</v>
          </cell>
          <cell r="D57">
            <v>236.119</v>
          </cell>
          <cell r="E57">
            <v>236.59899999999999</v>
          </cell>
          <cell r="F57">
            <v>237.80500000000001</v>
          </cell>
          <cell r="G57">
            <v>238.63800000000001</v>
          </cell>
          <cell r="H57">
            <v>238.654</v>
          </cell>
          <cell r="I57">
            <v>238.316</v>
          </cell>
          <cell r="J57">
            <v>237.94499999999999</v>
          </cell>
          <cell r="K57">
            <v>237.83799999999999</v>
          </cell>
          <cell r="L57">
            <v>237.33600000000001</v>
          </cell>
          <cell r="N57">
            <v>237.06172727272727</v>
          </cell>
        </row>
        <row r="58">
          <cell r="A58">
            <v>2016</v>
          </cell>
          <cell r="B58">
            <v>236.916</v>
          </cell>
          <cell r="C58">
            <v>237.11099999999999</v>
          </cell>
          <cell r="D58">
            <v>238.13200000000001</v>
          </cell>
          <cell r="E58">
            <v>239.261</v>
          </cell>
          <cell r="F58">
            <v>240.22900000000001</v>
          </cell>
          <cell r="G58">
            <v>241.018</v>
          </cell>
          <cell r="H58">
            <v>240.62799999999999</v>
          </cell>
          <cell r="I58">
            <v>240.84899999999999</v>
          </cell>
          <cell r="J58">
            <v>241.428</v>
          </cell>
          <cell r="K58">
            <v>241.72900000000001</v>
          </cell>
          <cell r="L58">
            <v>241.35300000000001</v>
          </cell>
          <cell r="M58">
            <v>241.43199999999999</v>
          </cell>
          <cell r="N58">
            <v>239.87763636363633</v>
          </cell>
        </row>
        <row r="59">
          <cell r="A59">
            <v>2017</v>
          </cell>
          <cell r="B59">
            <v>242.839</v>
          </cell>
          <cell r="C59">
            <v>243.60300000000001</v>
          </cell>
          <cell r="D59">
            <v>243.80099999999999</v>
          </cell>
          <cell r="E59">
            <v>244.524</v>
          </cell>
          <cell r="F59">
            <v>244.733</v>
          </cell>
          <cell r="G59">
            <v>244.95500000000001</v>
          </cell>
          <cell r="H59">
            <v>244.786</v>
          </cell>
          <cell r="I59">
            <v>245.51900000000001</v>
          </cell>
          <cell r="J59">
            <v>246.81899999999999</v>
          </cell>
          <cell r="K59">
            <v>246.66300000000001</v>
          </cell>
          <cell r="L59">
            <v>246.66900000000001</v>
          </cell>
          <cell r="M59">
            <v>246.524</v>
          </cell>
          <cell r="N59">
            <v>245.11958333333334</v>
          </cell>
        </row>
        <row r="60">
          <cell r="A60">
            <v>2018</v>
          </cell>
          <cell r="B60">
            <v>247.86699999999999</v>
          </cell>
          <cell r="C60">
            <v>248.99100000000001</v>
          </cell>
          <cell r="D60">
            <v>249.554</v>
          </cell>
          <cell r="E60">
            <v>250.54599999999999</v>
          </cell>
          <cell r="F60">
            <v>251.58799999999999</v>
          </cell>
          <cell r="G60">
            <v>251.989</v>
          </cell>
          <cell r="H60">
            <v>252.006</v>
          </cell>
          <cell r="N60">
            <v>250.36300000000003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 loss"/>
      <sheetName val="worksheet"/>
    </sheetNames>
    <sheetDataSet>
      <sheetData sheetId="0"/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BDDD5C-EEDB-4400-8D3F-C01B93957C99}" autoFormatId="16" applyNumberFormats="0" applyBorderFormats="0" applyFontFormats="0" applyPatternFormats="0" applyAlignmentFormats="0" applyWidthHeightFormats="0">
  <queryTableRefresh nextId="18">
    <queryTableFields count="15">
      <queryTableField id="1" name="YearList" tableColumnId="1"/>
      <queryTableField id="2" name="TotalCostLow" tableColumnId="2"/>
      <queryTableField id="3" name="TotalCostMid" tableColumnId="3"/>
      <queryTableField id="4" name="TotalCostHigh" tableColumnId="4"/>
      <queryTableField id="16" name="AdjustedRate" tableColumnId="5"/>
      <queryTableField id="6" name="AdjRate" tableColumnId="6"/>
      <queryTableField id="7" name="PV_Low" tableColumnId="7"/>
      <queryTableField id="8" name="PV_Mid" tableColumnId="8"/>
      <queryTableField id="9" name="PV_High" tableColumnId="9"/>
      <queryTableField id="10" name="FundBefore_Low" tableColumnId="10"/>
      <queryTableField id="11" name="FundAfter_Low" tableColumnId="11"/>
      <queryTableField id="12" name="FundBefore_Mid" tableColumnId="12"/>
      <queryTableField id="13" name="FundAfter_Mid" tableColumnId="13"/>
      <queryTableField id="14" name="FundBefore_High" tableColumnId="14"/>
      <queryTableField id="15" name="FundAfter_High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971AB2-3B18-46C3-9CE8-10DACF23915E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Balance Low" tableColumnId="2"/>
      <queryTableField id="3" name="Balance Mid" tableColumnId="3"/>
      <queryTableField id="4" name="Balance High" tableColumnId="4"/>
      <queryTableField id="5" name="Discount R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26E884B-52AD-48E3-8869-B6EAA260FC41}" autoFormatId="16" applyNumberFormats="0" applyBorderFormats="0" applyFontFormats="0" applyPatternFormats="0" applyAlignmentFormats="0" applyWidthHeightFormats="0">
  <queryTableRefresh nextId="45">
    <queryTableFields count="10">
      <queryTableField id="1" name="Item Name" tableColumnId="1"/>
      <queryTableField id="28" name="Age" tableColumnId="8"/>
      <queryTableField id="2" name="YearList" tableColumnId="2"/>
      <queryTableField id="22" name="Annual Cost Low" tableColumnId="3"/>
      <queryTableField id="23" name="Annual Cost High" tableColumnId="5"/>
      <queryTableField id="4" name="Discount Rate (Nominal)" tableColumnId="4"/>
      <queryTableField id="30" name="Adjusted Rate" tableColumnId="9"/>
      <queryTableField id="24" name="Present Value Low" tableColumnId="6"/>
      <queryTableField id="43" name="Present Value Mid" tableColumnId="10"/>
      <queryTableField id="25" name="Present Value High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B7AB8A6-1C0F-42AA-8CB2-71A1012CE886}" autoFormatId="16" applyNumberFormats="0" applyBorderFormats="0" applyFontFormats="0" applyPatternFormats="0" applyAlignmentFormats="0" applyWidthHeightFormats="0">
  <queryTableRefresh nextId="23" unboundColumnsRight="1">
    <queryTableFields count="5">
      <queryTableField id="1" name="YearList" tableColumnId="1"/>
      <queryTableField id="20" name="Total Nominal Annual Cost" tableColumnId="11"/>
      <queryTableField id="21" name="Beginning Fund Balance" tableColumnId="12"/>
      <queryTableField id="22" name="Ending Fund Balance" tableColumnId="13"/>
      <queryTableField id="9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7286C2FA-9E3B-4D1D-BCEC-3CFAEAE3ADD0}" autoFormatId="16" applyNumberFormats="0" applyBorderFormats="0" applyFontFormats="0" applyPatternFormats="0" applyAlignmentFormats="0" applyWidthHeightFormats="0">
  <queryTableRefresh nextId="14">
    <queryTableFields count="4">
      <queryTableField id="1" name="Item Name" tableColumnId="1"/>
      <queryTableField id="10" name="Total Present Value (Low)" tableColumnId="2"/>
      <queryTableField id="11" name="Total Present Value (Mid)" tableColumnId="3"/>
      <queryTableField id="12" name="Total Present Value (High)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2DD6BFB-34FD-42C1-BBFD-18A3B3B808A4}" autoFormatId="16" applyNumberFormats="0" applyBorderFormats="0" applyFontFormats="0" applyPatternFormats="0" applyAlignmentFormats="0" applyWidthHeightFormats="0">
  <queryTableRefresh nextId="278" unboundColumnsRight="1">
    <queryTableFields count="8">
      <queryTableField id="1" name="YearList" tableColumnId="1"/>
      <queryTableField id="272" name="Item 1 (Low)" tableColumnId="3"/>
      <queryTableField id="39" name="Year Total (Low)" tableColumnId="32"/>
      <queryTableField id="273" name="Item 1 (Mid)" tableColumnId="4"/>
      <queryTableField id="42" name="Year Total (Mid)" tableColumnId="35"/>
      <queryTableField id="274" name="Item 1 (High)" tableColumnId="5"/>
      <queryTableField id="45" name="Year Total (High)" tableColumnId="38"/>
      <queryTableField id="157" dataBound="0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L2">
  <autoFilter ref="A1:L2" xr:uid="{00000000-0009-0000-0100-000001000000}"/>
  <tableColumns count="12">
    <tableColumn id="1" xr3:uid="{00000000-0010-0000-0000-000001000000}" name="Item Name"/>
    <tableColumn id="2" xr3:uid="{00000000-0010-0000-0000-000002000000}" name="Start Year"/>
    <tableColumn id="3" xr3:uid="{00000000-0010-0000-0000-000003000000}" name="Duration"/>
    <tableColumn id="12" xr3:uid="{11331C1E-E934-4A8E-9BD9-32983E09B998}" name="InitialCostLow"/>
    <tableColumn id="9" xr3:uid="{4312D196-F952-45D8-8741-437FA528B4CA}" name="InitialCostHigh"/>
    <tableColumn id="4" xr3:uid="{00000000-0010-0000-0000-000004000000}" name="Low Cost per Use"/>
    <tableColumn id="11" xr3:uid="{DD77257E-FAE9-4D41-827D-7595596F9F01}" name="High Cost per Use"/>
    <tableColumn id="5" xr3:uid="{00000000-0010-0000-0000-000005000000}" name="Frequency"/>
    <tableColumn id="7" xr3:uid="{0CBD786F-1716-4E4E-861E-B4051F17796E}" name="Interval (Years)"/>
    <tableColumn id="10" xr3:uid="{25282397-8296-490A-B301-5F98E9B69B45}" name="Sort Order"/>
    <tableColumn id="6" xr3:uid="{00000000-0010-0000-0000-000006000000}" name="Growth"/>
    <tableColumn id="8" xr3:uid="{DEF69107-78BD-43AA-948E-950FA8C9B6D6}" name="Cost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Q1:R6" totalsRowShown="0" dataDxfId="23">
  <autoFilter ref="Q1:R6" xr:uid="{A50B493A-AB6F-4FE2-A4D8-4ED87E71424C}"/>
  <tableColumns count="2">
    <tableColumn id="1" xr3:uid="{454320BB-D2B2-4D0A-B712-14824B86607B}" name="Option Name" dataDxfId="22"/>
    <tableColumn id="2" xr3:uid="{E25BE358-872F-4B95-8C86-8802A909B822}" name="Value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2A4B59-23C7-4654-8089-9CBBEC25BC8F}" name="NSA_SA_Comparison" displayName="NSA_SA_Comparison" ref="A3:H8">
  <autoFilter ref="A3:H8" xr:uid="{00000000-0009-0000-0100-000001000000}"/>
  <tableColumns count="8">
    <tableColumn id="1" xr3:uid="{7D09A4F8-A98C-4166-BFC6-01DA4068A016}" name="Component"/>
    <tableColumn id="2" xr3:uid="{668A717F-0D77-451C-9242-15C9A3ED55F9}" name="NSA Series ID"/>
    <tableColumn id="3" xr3:uid="{2CC1549C-EDE2-44F4-AD80-CFE29CCD1F09}" name="NSA Avg CAGR (%)"/>
    <tableColumn id="4" xr3:uid="{8266F341-4FA3-4062-830E-C721AF2950C9}" name="SA Series ID"/>
    <tableColumn id="5" xr3:uid="{5D46BF9F-132F-4E75-8DC5-682C9286D723}" name="SA Avg CAGR (%)"/>
    <tableColumn id="6" xr3:uid="{982584A4-9B92-40D4-997B-0CE007B4082F}" name="Difference (SA - NSA)"/>
    <tableColumn id="7" xr3:uid="{8AB2FBE8-485F-468C-80B2-BFAF5842213E}" name="NSA Calculations"/>
    <tableColumn id="8" xr3:uid="{00D9F983-71C8-47EA-B70E-02F67DE5EB6B}" name="SA Calcul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C7B8E6-AC30-4484-B12B-61B8A5F033BE}" name="Complete_CAGR_Results" displayName="Complete_CAGR_Results" ref="A1:K604">
  <autoFilter ref="A1:K604" xr:uid="{00000000-0009-0000-0100-000002000000}"/>
  <tableColumns count="11">
    <tableColumn id="1" xr3:uid="{8FE6D107-3FA2-4779-954C-57837E332D30}" name="Series ID"/>
    <tableColumn id="2" xr3:uid="{85E9E3BF-90F8-4CC5-BCB5-26FBF29FB0EE}" name="Series Name"/>
    <tableColumn id="3" xr3:uid="{09BCDBF4-1C9A-4059-BCFD-4C7DF384B92C}" name="Adjustment Type"/>
    <tableColumn id="4" xr3:uid="{E1600692-8851-4E7C-80CA-307435B57A41}" name="Beginning Year"/>
    <tableColumn id="5" xr3:uid="{6773A9EB-C386-4133-96D0-27D322FED513}" name="Beginning Month"/>
    <tableColumn id="6" xr3:uid="{2CFF4BC3-049A-4D9A-AED9-002989D78380}" name="Beginning Index Value"/>
    <tableColumn id="7" xr3:uid="{AF473201-5B43-4438-8C32-CBF6FE84D27D}" name="Ending Year"/>
    <tableColumn id="8" xr3:uid="{437073FC-3866-42C6-8782-D19A62B547C3}" name="Ending Month"/>
    <tableColumn id="9" xr3:uid="{CF50C3E0-C2D7-40AD-9AD5-2340E5AF954A}" name="Ending Index Value"/>
    <tableColumn id="10" xr3:uid="{7BCCF61B-0D75-4EE5-A2C6-22625FDCA330}" name="CAGR (%)"/>
    <tableColumn id="11" xr3:uid="{9219F4AD-CE23-4EEE-81B7-FEC7BDC8F556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5913E8-473B-4A4A-90F6-3B57AFADEF0A}" name="Series_Summary" displayName="Series_Summary" ref="A1:K12">
  <autoFilter ref="A1:K12" xr:uid="{00000000-0009-0000-0100-000003000000}"/>
  <tableColumns count="11">
    <tableColumn id="1" xr3:uid="{CE7854F7-8800-4325-ACDB-6D46D4CD4D60}" name="Series ID"/>
    <tableColumn id="2" xr3:uid="{11BD64F6-02C5-4188-8EF8-40EFE5AA6BFA}" name="Series Name"/>
    <tableColumn id="3" xr3:uid="{D472609F-24A7-422C-AAB3-B0A62FCD28A1}" name="Adjustment Type"/>
    <tableColumn id="4" xr3:uid="{7838EED7-8831-4345-8137-AD616BFE6AD6}" name="Total Calculations"/>
    <tableColumn id="5" xr3:uid="{2BFDCCA3-FFC8-45C5-BEE8-99BFBAADE177}" name="Date Range"/>
    <tableColumn id="6" xr3:uid="{B5377D41-7F24-4962-B119-6DF10CCF6BF4}" name="Ending Value"/>
    <tableColumn id="7" xr3:uid="{7D5A5DC8-B512-461F-997F-61051FFF0BEB}" name="Min CAGR (%)"/>
    <tableColumn id="8" xr3:uid="{55188986-ABCF-4F75-B932-E5BC4C07B773}" name="Max CAGR (%)"/>
    <tableColumn id="9" xr3:uid="{2A72D3F1-6C2D-457C-A582-8B469695947C}" name="Avg CAGR (%)"/>
    <tableColumn id="10" xr3:uid="{A2CE682A-9C5F-412C-A435-87D2F0D7897B}" name="Std Dev (%)"/>
    <tableColumn id="11" xr3:uid="{035951C9-36BF-4E78-927C-BAF585356BCD}" name="Verification Rate (%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EB1D96D-46F2-4B1E-BF5F-4BA84C2AB0DE}" name="NSA_Results" displayName="NSA_Results" ref="A1:K349">
  <autoFilter ref="A1:K349" xr:uid="{00000000-0009-0000-0100-000004000000}"/>
  <tableColumns count="11">
    <tableColumn id="1" xr3:uid="{377C236A-5D72-4E66-9E4A-B622738B9A67}" name="Series ID"/>
    <tableColumn id="2" xr3:uid="{ED579F2D-36DA-4CDF-82D6-DD183195FEE6}" name="Series Name"/>
    <tableColumn id="3" xr3:uid="{AB2E421D-08C6-4D16-AB6D-B6D5316A939D}" name="Beginning Year"/>
    <tableColumn id="4" xr3:uid="{875A63DB-9FF2-4C06-AFF4-994C658A71CB}" name="Beginning Month"/>
    <tableColumn id="5" xr3:uid="{25B2AF89-DCF0-4D5D-AF60-AC6F4DB837C8}" name="Beginning Index Value"/>
    <tableColumn id="6" xr3:uid="{E2BF097E-ECDF-4C55-98DE-898F6AB14A8A}" name="Ending Year"/>
    <tableColumn id="7" xr3:uid="{27AEDCCD-225E-471F-B7ED-D4E1AA131F4D}" name="Ending Month"/>
    <tableColumn id="8" xr3:uid="{7BAD8EE4-9A1A-4FD2-916D-E026CF3C07DA}" name="Ending Index Value"/>
    <tableColumn id="9" xr3:uid="{1DD1A596-10EA-411C-876D-BF4C00E3632D}" name="CAGR (%)"/>
    <tableColumn id="10" xr3:uid="{B93BD526-B9D6-4360-9B87-D4B0A332073C}" name="Column1"/>
    <tableColumn id="11" xr3:uid="{8A7AB434-B2ED-4695-8154-93CA699A3781}" name="Column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50EAD8-3854-4304-8F29-576D61A4D897}" name="SA_Results" displayName="SA_Results" ref="A1:I256">
  <autoFilter ref="A1:I256" xr:uid="{00000000-0009-0000-0100-000005000000}"/>
  <tableColumns count="9">
    <tableColumn id="1" xr3:uid="{68FDF5DA-BC56-4699-8A7C-132FAAB709F8}" name="Series ID"/>
    <tableColumn id="2" xr3:uid="{AB9A094E-E746-444A-84C2-41AF004427EF}" name="Series Name"/>
    <tableColumn id="3" xr3:uid="{BA11DB11-1E9A-44E5-81A7-F210F244F633}" name="Beginning Year"/>
    <tableColumn id="4" xr3:uid="{638B3AA0-FF11-4668-8DF3-31232AE3A4AB}" name="Beginning Month"/>
    <tableColumn id="5" xr3:uid="{89EF7DA3-CA7B-496D-BA70-14E94CEC1475}" name="Beginning Index Value"/>
    <tableColumn id="6" xr3:uid="{C0A08595-6E28-4483-929B-6C590E7B445D}" name="Ending Year"/>
    <tableColumn id="7" xr3:uid="{980AAD06-ECD8-44A0-B9EF-AA9EBF5EE44B}" name="Ending Month"/>
    <tableColumn id="8" xr3:uid="{AD35C9A5-5B69-49F4-9750-1970851091D3}" name="Ending Index Value"/>
    <tableColumn id="9" xr3:uid="{08D31409-1FFF-46D0-BCC7-4C4305C0DF77}" name="CAGR (%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39" tableType="queryTable" totalsRowShown="0">
  <autoFilter ref="A1:O39" xr:uid="{D9756F7E-4136-42C2-969A-EFE5ACC68CEB}"/>
  <tableColumns count="15">
    <tableColumn id="1" xr3:uid="{53EE76AD-A0DA-482F-9B3E-B5C94A79DE1C}" uniqueName="1" name="YearList" queryTableFieldId="1" dataDxfId="20"/>
    <tableColumn id="2" xr3:uid="{BEE39F59-A19A-4844-AB3B-F69CCBBE3CB8}" uniqueName="2" name="TotalCostLow" queryTableFieldId="2" dataDxfId="19"/>
    <tableColumn id="3" xr3:uid="{D3EAF15D-8A8A-454E-98CD-7D8BB727F07A}" uniqueName="3" name="TotalCostMid" queryTableFieldId="3" dataDxfId="18"/>
    <tableColumn id="4" xr3:uid="{68B5591D-987C-42D5-AEBB-07D0120DED7D}" uniqueName="4" name="TotalCostHigh" queryTableFieldId="4" dataDxfId="17"/>
    <tableColumn id="5" xr3:uid="{56DC093C-17AE-4859-BF59-5E7B3DE611DC}" uniqueName="5" name="AdjustedRate" queryTableFieldId="16"/>
    <tableColumn id="6" xr3:uid="{A00483D8-9CC1-4FB1-ADEF-E9FB090DEB45}" uniqueName="6" name="AdjRate" queryTableFieldId="6" dataDxfId="16"/>
    <tableColumn id="7" xr3:uid="{2CEB2B29-6B74-4E8E-B933-B2F833E5C50E}" uniqueName="7" name="PV_Low" queryTableFieldId="7" dataDxfId="15"/>
    <tableColumn id="8" xr3:uid="{90A022E3-0BF8-4BEC-A762-CEC2DD854641}" uniqueName="8" name="PV_Mid" queryTableFieldId="8" dataDxfId="14"/>
    <tableColumn id="9" xr3:uid="{9B568AFC-0A6F-4559-9198-C71A6C0BCEBC}" uniqueName="9" name="PV_High" queryTableFieldId="9" dataDxfId="13"/>
    <tableColumn id="10" xr3:uid="{2A9D90BA-9C43-4197-A627-89E8EDA7D352}" uniqueName="10" name="FundBefore_Low" queryTableFieldId="10"/>
    <tableColumn id="11" xr3:uid="{110136F3-0482-45A7-8DC8-8B9F1BEE33B3}" uniqueName="11" name="FundAfter_Low" queryTableFieldId="11"/>
    <tableColumn id="12" xr3:uid="{D215DC6C-4431-43E0-BE87-B061A096B0CA}" uniqueName="12" name="FundBefore_Mid" queryTableFieldId="12"/>
    <tableColumn id="13" xr3:uid="{36778450-4C59-4C11-8B80-9CDA172C95CD}" uniqueName="13" name="FundAfter_Mid" queryTableFieldId="13"/>
    <tableColumn id="14" xr3:uid="{60D47400-66B9-4838-9D88-8235B25AAA83}" uniqueName="14" name="FundBefore_High" queryTableFieldId="14"/>
    <tableColumn id="15" xr3:uid="{505BC8C6-812F-410F-A7E1-E394EE105BE5}" uniqueName="15" name="FundAfter_High" queryTableFieldId="1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273A02-C3B5-4DA2-80C2-AC057F4986B8}" name="ExhaustionChartData" displayName="ExhaustionChartData" ref="A1:E39" tableType="queryTable" totalsRowShown="0">
  <autoFilter ref="A1:E39" xr:uid="{9B273A02-C3B5-4DA2-80C2-AC057F4986B8}"/>
  <tableColumns count="5">
    <tableColumn id="1" xr3:uid="{809B943E-5FCF-483B-BAE7-4D5A7DC9987C}" uniqueName="1" name="Year" queryTableFieldId="1"/>
    <tableColumn id="2" xr3:uid="{FBE4472D-7DB4-41D4-B84C-A6BECABB7699}" uniqueName="2" name="Balance Low" queryTableFieldId="2"/>
    <tableColumn id="3" xr3:uid="{D0FB5202-1761-4819-88B7-72D79D3EC139}" uniqueName="3" name="Balance Mid" queryTableFieldId="3"/>
    <tableColumn id="4" xr3:uid="{CD0A5427-234D-4C4B-A642-689D4A01D8BB}" uniqueName="4" name="Balance High" queryTableFieldId="4"/>
    <tableColumn id="5" xr3:uid="{BEA37375-B62B-4A1E-82AF-B65B5A183AEB}" uniqueName="5" name="Discount Rate" queryTableFieldId="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J3" tableType="queryTable" insertRow="1" totalsRowCount="1">
  <autoFilter ref="A1:J2" xr:uid="{4C59D7E5-C245-4608-916A-17EBAC8BEE23}"/>
  <tableColumns count="10">
    <tableColumn id="1" xr3:uid="{AAB09929-C780-4F1D-876A-8A11DA2B3F1E}" uniqueName="1" name="Item Name" queryTableFieldId="1"/>
    <tableColumn id="8" xr3:uid="{43F9AE4F-8A3B-4445-A8EC-11B9AAB50179}" uniqueName="8" name="Age" queryTableFieldId="28"/>
    <tableColumn id="2" xr3:uid="{7066CD8B-6EB1-4ADA-8B18-CD5B769504BF}" uniqueName="2" name="YearList" queryTableFieldId="2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4" xr3:uid="{10DD4CEB-C14C-42AE-AB19-45BAB6501AEB}" uniqueName="4" name="Discount Rate (Nominal)" queryTableFieldId="4"/>
    <tableColumn id="9" xr3:uid="{41EB1891-AD72-434B-B12E-66605D7C3456}" uniqueName="9" name="Adjusted Rate" queryTableFieldId="30"/>
    <tableColumn id="6" xr3:uid="{2E73F9AF-57E3-477E-90A6-92D85444F4CC}" uniqueName="6" name="Present Value Low" queryTableFieldId="24"/>
    <tableColumn id="10" xr3:uid="{307E85A6-8AB3-4D31-AD59-DA6725C88DCC}" uniqueName="10" name="Present Value Mid" queryTableFieldId="43"/>
    <tableColumn id="7" xr3:uid="{D88ACE48-53CB-47AB-A40A-EEAF45E76735}" uniqueName="7" name="Present Value High" queryTableFieldId="2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0AB36-DBDF-43E2-876A-31E11B839A17}" name="ExhaustionQuery" displayName="ExhaustionQuery" ref="A1:E2" tableType="queryTable" totalsRowShown="0">
  <autoFilter ref="A1:E2" xr:uid="{C680AB36-DBDF-43E2-876A-31E11B839A17}"/>
  <tableColumns count="5">
    <tableColumn id="1" xr3:uid="{5E9B9C63-63FE-4B83-BD8E-F4DC958B5276}" uniqueName="1" name="YearList" queryTableFieldId="1"/>
    <tableColumn id="11" xr3:uid="{FCD87D15-CE87-4A0B-935B-DE8C0213F45D}" uniqueName="11" name="Total Nominal Annual Cost" queryTableFieldId="20"/>
    <tableColumn id="12" xr3:uid="{5F6957F2-639C-43D4-B91A-31DC1F788B5F}" uniqueName="12" name="Beginning Fund Balance" queryTableFieldId="21"/>
    <tableColumn id="13" xr3:uid="{ED322F41-D98E-46EF-BBBE-F072E7B5E6E3}" uniqueName="13" name="Ending Fund Balance" queryTableFieldId="22"/>
    <tableColumn id="7" xr3:uid="{6051FD9F-6F4D-45F4-9CF6-73580EB89E83}" uniqueName="7" name="Column1" queryTableFieldId="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2" tableType="queryTable" insertRow="1" totalsRowShown="0" headerRowDxfId="12">
  <autoFilter ref="A1:D2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2" totalsRowShown="0">
  <autoFilter ref="A1:C32" xr:uid="{4E875877-9580-437F-888D-2345B7BB85DD}"/>
  <tableColumns count="3">
    <tableColumn id="1" xr3:uid="{DB055912-AF2D-4BCD-AEE5-BE6F46DA8D7C}" name="Year" dataDxfId="11"/>
    <tableColumn id="2" xr3:uid="{E592388B-A21E-4BE9-ACC6-A7E7F25B1CEE}" name="Discount Rate (Nominal)" dataDxfId="10"/>
    <tableColumn id="3" xr3:uid="{01343765-9C51-433B-8C62-967D1D5154EB}" name="2.62%" dataDxfId="9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D3" tableType="queryTable" totalsRowCount="1" headerRowDxfId="8" dataDxfId="7">
  <autoFilter ref="A1:D2" xr:uid="{6E7C1877-99EE-49EC-9E2B-5081AD3741C3}"/>
  <tableColumns count="4">
    <tableColumn id="1" xr3:uid="{9A71BD2C-E5EB-48A8-AC36-EBB7CB7BB5D5}" uniqueName="1" name="Item Name" queryTableFieldId="1" dataDxfId="6" totalsRowDxfId="5"/>
    <tableColumn id="2" xr3:uid="{7104419E-77C0-4382-A38E-ED07E42E2D1D}" uniqueName="2" name="Total Present Value (Low)" queryTableFieldId="10" totalsRowDxfId="4"/>
    <tableColumn id="3" xr3:uid="{A537DB51-BA30-4A1F-AAE2-41E4A4BB1AAE}" uniqueName="3" name="Total Present Value (Mid)" queryTableFieldId="11" totalsRowDxfId="3"/>
    <tableColumn id="4" xr3:uid="{EE7C80F1-FDA1-4FE7-A64C-99FC57C2A8F0}" uniqueName="4" name="Total Present Value (High)" queryTableFieldId="12" totalsRowDxf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H2" tableType="queryTable" totalsRowShown="0">
  <autoFilter ref="A1:H2" xr:uid="{0A0A7437-1EEB-4F0D-8AAA-C79C2C3D1F79}"/>
  <tableColumns count="8">
    <tableColumn id="1" xr3:uid="{0A77EAB7-D5C8-4327-A7AC-B3B7DD2E5766}" uniqueName="1" name="YearList" queryTableFieldId="1" dataDxfId="1"/>
    <tableColumn id="3" xr3:uid="{7F8A397F-0CBD-4245-B36B-3A274BF09999}" uniqueName="3" name="Item 1 (Low)" queryTableFieldId="272"/>
    <tableColumn id="32" xr3:uid="{E11564CB-6398-4C55-B95C-37B9E3FC8B22}" uniqueName="32" name="Year Total (Low)" queryTableFieldId="39"/>
    <tableColumn id="4" xr3:uid="{F301E0BD-87E2-45E4-B6DD-03777AB40C90}" uniqueName="4" name="Item 1 (Mid)" queryTableFieldId="273"/>
    <tableColumn id="35" xr3:uid="{71CB6ADE-A970-474C-88C4-0F798F08C88D}" uniqueName="35" name="Year Total (Mid)" queryTableFieldId="42"/>
    <tableColumn id="5" xr3:uid="{8148DDBC-4AFE-48D3-BEA4-4EAD2958DA1A}" uniqueName="5" name="Item 1 (High)" queryTableFieldId="274"/>
    <tableColumn id="38" xr3:uid="{4CBF2134-17CC-4E3C-BE2E-4DB0900ECCC7}" uniqueName="38" name="Year Total (High)" queryTableFieldId="45"/>
    <tableColumn id="2" xr3:uid="{DEC9B595-88D2-4018-8922-FD92A9226EBE}" uniqueName="2" name="Column1" queryTableFieldId="157" dataDxfId="0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>
  <autoFilter ref="A1:B3" xr:uid="{7914EDB0-A692-4509-9B14-CBA25587C27C}"/>
  <tableColumns count="2">
    <tableColumn id="1" xr3:uid="{7B5CB263-8595-47BB-9B83-A136D870840A}" name="Setting"/>
    <tableColumn id="2" xr3:uid="{252EFA06-D044-48FF-AD5F-AD7217789FA2}" name="Valu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6" tableType="queryTable" totalsRowShown="0">
  <autoFilter ref="A1:B6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>
  <autoFilter ref="A1:C31" xr:uid="{A3AB1506-1C62-4D21-9E0F-ABFD20A6F8C6}"/>
  <tableColumns count="3">
    <tableColumn id="1" xr3:uid="{017DBA49-A675-4A2C-9D3A-5D218FE48C0E}" uniqueName="1" name="Year" queryTableFieldId="1"/>
    <tableColumn id="2" xr3:uid="{476B3F8B-5148-484F-94EA-C17412D817D4}" uniqueName="2" name="Time To Marity" queryTableFieldId="2"/>
    <tableColumn id="4" xr3:uid="{2E9DC6B9-284C-4F1D-89BF-F5F446B57AC0}" uniqueName="4" name="Discount Rate (Nominal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tch.miers@witheritelaw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7F15-99C5-4171-9EEA-F5430005B721}">
  <dimension ref="A1:I100"/>
  <sheetViews>
    <sheetView topLeftCell="A18" zoomScaleNormal="100" workbookViewId="0">
      <selection activeCell="H49" sqref="H49"/>
    </sheetView>
  </sheetViews>
  <sheetFormatPr baseColWidth="10" defaultColWidth="8.83203125" defaultRowHeight="15"/>
  <cols>
    <col min="1" max="1" width="34.5" bestFit="1" customWidth="1"/>
    <col min="2" max="2" width="20" customWidth="1"/>
    <col min="3" max="3" width="33.1640625" bestFit="1" customWidth="1"/>
    <col min="4" max="4" width="30" bestFit="1" customWidth="1"/>
  </cols>
  <sheetData>
    <row r="1" spans="1:8" ht="20">
      <c r="A1" s="142" t="s">
        <v>602</v>
      </c>
      <c r="B1" s="143"/>
      <c r="C1" s="143"/>
      <c r="D1" s="144"/>
      <c r="E1" s="122"/>
      <c r="F1" s="122"/>
      <c r="G1" s="122"/>
      <c r="H1" s="122"/>
    </row>
    <row r="2" spans="1:8" ht="21" customHeight="1">
      <c r="A2" s="130" t="s">
        <v>603</v>
      </c>
      <c r="B2" s="129" t="s">
        <v>604</v>
      </c>
      <c r="C2" s="129" t="s">
        <v>605</v>
      </c>
      <c r="D2" s="131" t="s">
        <v>711</v>
      </c>
    </row>
    <row r="3" spans="1:8">
      <c r="A3" s="132" t="s">
        <v>606</v>
      </c>
      <c r="B3" s="128" t="s">
        <v>168</v>
      </c>
      <c r="C3" s="128" t="s">
        <v>607</v>
      </c>
      <c r="D3" s="133" t="str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>[[claimant_salutation]]</v>
      </c>
    </row>
    <row r="4" spans="1:8">
      <c r="A4" s="134" t="s">
        <v>608</v>
      </c>
      <c r="B4" s="126" t="s">
        <v>168</v>
      </c>
      <c r="C4" s="126" t="s">
        <v>609</v>
      </c>
      <c r="D4" s="140" t="str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>[[claimant_name_first]]</v>
      </c>
    </row>
    <row r="5" spans="1:8">
      <c r="A5" s="135" t="s">
        <v>610</v>
      </c>
      <c r="B5" s="124" t="s">
        <v>168</v>
      </c>
      <c r="C5" s="124" t="s">
        <v>611</v>
      </c>
      <c r="D5" s="133" t="str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>[[claimant_name_last]</v>
      </c>
    </row>
    <row r="6" spans="1:8">
      <c r="A6" s="134" t="s">
        <v>612</v>
      </c>
      <c r="B6" s="126" t="s">
        <v>168</v>
      </c>
      <c r="C6" s="126" t="s">
        <v>613</v>
      </c>
      <c r="D6" s="140" t="str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>[[claimant_gender_possessive]]</v>
      </c>
    </row>
    <row r="7" spans="1:8">
      <c r="A7" s="135" t="s">
        <v>614</v>
      </c>
      <c r="B7" s="124" t="s">
        <v>168</v>
      </c>
      <c r="C7" s="124" t="s">
        <v>615</v>
      </c>
      <c r="D7" s="133" t="str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>[[claimant_sex]]</v>
      </c>
    </row>
    <row r="8" spans="1:8">
      <c r="A8" s="134" t="s">
        <v>616</v>
      </c>
      <c r="B8" s="126" t="s">
        <v>168</v>
      </c>
      <c r="C8" s="126" t="s">
        <v>617</v>
      </c>
      <c r="D8" s="140" t="str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/>
      </c>
    </row>
    <row r="9" spans="1:8">
      <c r="A9" s="135" t="s">
        <v>618</v>
      </c>
      <c r="B9" s="124" t="s">
        <v>168</v>
      </c>
      <c r="C9" s="124" t="s">
        <v>619</v>
      </c>
      <c r="D9" s="133" t="str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>[[claimant_DOB_long]]</v>
      </c>
    </row>
    <row r="10" spans="1:8">
      <c r="A10" s="134" t="s">
        <v>620</v>
      </c>
      <c r="B10" s="126" t="s">
        <v>168</v>
      </c>
      <c r="C10" s="126" t="s">
        <v>621</v>
      </c>
      <c r="D10" s="140" t="str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>[[claimant_DOB_long]]</v>
      </c>
    </row>
    <row r="11" spans="1:8">
      <c r="A11" s="135" t="s">
        <v>622</v>
      </c>
      <c r="B11" s="124" t="s">
        <v>168</v>
      </c>
      <c r="C11" s="124" t="s">
        <v>623</v>
      </c>
      <c r="D11" s="133" cm="1">
        <f t="array" aca="1" ref="D11" ca="1">IF(OR(IF(OR(A11="", B11="", C11=""), "", INDIRECT("'" &amp; B11 &amp; "'!" &amp; C11))=0, IF(OR(A11="", B11="", C11=""), "", INDIRECT("'" &amp; B11 &amp; "'!" &amp; C11))=""),"",INDIRECT("'" &amp; B11 &amp; "'!" &amp; C11))</f>
        <v>46138</v>
      </c>
    </row>
    <row r="12" spans="1:8">
      <c r="A12" s="134" t="s">
        <v>624</v>
      </c>
      <c r="B12" s="126" t="s">
        <v>168</v>
      </c>
      <c r="C12" s="126" t="s">
        <v>625</v>
      </c>
      <c r="D12" s="140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>46229</v>
      </c>
    </row>
    <row r="13" spans="1:8">
      <c r="A13" s="135" t="s">
        <v>626</v>
      </c>
      <c r="B13" s="124" t="s">
        <v>168</v>
      </c>
      <c r="C13" s="124" t="s">
        <v>627</v>
      </c>
      <c r="D13" s="133" t="str" cm="1">
        <f t="array" aca="1" ref="D13" ca="1">IF(OR(IF(OR(A13="", B13="", C13=""), "", INDIRECT("'" &amp; B13 &amp; "'!" &amp; C13))=0, IF(OR(A13="", B13="", C13=""), "", INDIRECT("'" &amp; B13 &amp; "'!" &amp; C13))=""),"",INDIRECT("'" &amp; B13 &amp; "'!" &amp; C13))</f>
        <v>[[claimant_DOI_short]]</v>
      </c>
    </row>
    <row r="14" spans="1:8">
      <c r="A14" s="134" t="s">
        <v>628</v>
      </c>
      <c r="B14" s="126" t="s">
        <v>168</v>
      </c>
      <c r="C14" s="126" t="s">
        <v>629</v>
      </c>
      <c r="D14" s="140" t="str" cm="1">
        <f t="array" aca="1" ref="D14" ca="1">IF(OR(IF(OR(A14="", B14="", C14=""), "", INDIRECT("'" &amp; B14 &amp; "'!" &amp; C14))=0, IF(OR(A14="", B14="", C14=""), "", INDIRECT("'" &amp; B14 &amp; "'!" &amp; C14))=""),"",INDIRECT("'" &amp; B14 &amp; "'!" &amp; C14))</f>
        <v>[[trial_date_short]]</v>
      </c>
    </row>
    <row r="15" spans="1:8">
      <c r="A15" s="135" t="s">
        <v>630</v>
      </c>
      <c r="B15" s="124" t="s">
        <v>168</v>
      </c>
      <c r="C15" s="124" t="s">
        <v>629</v>
      </c>
      <c r="D15" s="133" t="str" cm="1">
        <f t="array" aca="1" ref="D15" ca="1">IF(OR(IF(OR(A15="", B15="", C15=""), "", INDIRECT("'" &amp; B15 &amp; "'!" &amp; C15))=0, IF(OR(A15="", B15="", C15=""), "", INDIRECT("'" &amp; B15 &amp; "'!" &amp; C15))=""),"",INDIRECT("'" &amp; B15 &amp; "'!" &amp; C15))</f>
        <v>[[trial_date_short]]</v>
      </c>
    </row>
    <row r="16" spans="1:8">
      <c r="A16" s="134" t="s">
        <v>631</v>
      </c>
      <c r="B16" s="126" t="s">
        <v>168</v>
      </c>
      <c r="C16" s="126" t="s">
        <v>632</v>
      </c>
      <c r="D16" s="140" cm="1">
        <f t="array" aca="1" ref="D16" ca="1">IF(OR(IF(OR(A16="", B16="", C16=""), "", INDIRECT("'" &amp; B16 &amp; "'!" &amp; C16))=0, IF(OR(A16="", B16="", C16=""), "", INDIRECT("'" &amp; B16 &amp; "'!" &amp; C16))=""),"",INDIRECT("'" &amp; B16 &amp; "'!" &amp; C16))</f>
        <v>57992</v>
      </c>
    </row>
    <row r="17" spans="1:9">
      <c r="A17" s="135" t="s">
        <v>633</v>
      </c>
      <c r="B17" s="124" t="s">
        <v>168</v>
      </c>
      <c r="C17" s="124" t="s">
        <v>634</v>
      </c>
      <c r="D17" s="133" t="str" cm="1">
        <f t="array" aca="1" ref="D17" ca="1">IF(OR(IF(OR(A17="", B17="", C17=""), "", INDIRECT("'" &amp; B17 &amp; "'!" &amp; C17))=0, IF(OR(A17="", B17="", C17=""), "", INDIRECT("'" &amp; B17 &amp; "'!" &amp; C17))=""),"",INDIRECT("'" &amp; B17 &amp; "'!" &amp; C17))</f>
        <v/>
      </c>
    </row>
    <row r="18" spans="1:9">
      <c r="A18" s="134" t="s">
        <v>635</v>
      </c>
      <c r="B18" s="126" t="s">
        <v>168</v>
      </c>
      <c r="C18" s="126" t="s">
        <v>636</v>
      </c>
      <c r="D18" s="140" t="str" cm="1">
        <f t="array" aca="1" ref="D18" ca="1">IF(OR(IF(OR(A18="", B18="", C18=""), "", INDIRECT("'" &amp; B18 &amp; "'!" &amp; C18))=0, IF(OR(A18="", B18="", C18=""), "", INDIRECT("'" &amp; B18 &amp; "'!" &amp; C18))=""),"",INDIRECT("'" &amp; B18 &amp; "'!" &amp; C18))</f>
        <v>[[court_jurisdiction]]</v>
      </c>
    </row>
    <row r="19" spans="1:9">
      <c r="A19" s="135" t="s">
        <v>637</v>
      </c>
      <c r="B19" s="124" t="s">
        <v>168</v>
      </c>
      <c r="C19" s="124" t="s">
        <v>638</v>
      </c>
      <c r="D19" s="133" t="str" cm="1">
        <f t="array" aca="1" ref="D19" ca="1">IF(OR(IF(OR(A19="", B19="", C19=""), "", INDIRECT("'" &amp; B19 &amp; "'!" &amp; C19))=0, IF(OR(A19="", B19="", C19=""), "", INDIRECT("'" &amp; B19 &amp; "'!" &amp; C19))=""),"",INDIRECT("'" &amp; B19 &amp; "'!" &amp; C19))</f>
        <v/>
      </c>
    </row>
    <row r="20" spans="1:9">
      <c r="A20" s="134" t="s">
        <v>639</v>
      </c>
      <c r="B20" s="126" t="s">
        <v>168</v>
      </c>
      <c r="C20" s="126" t="s">
        <v>640</v>
      </c>
      <c r="D20" s="140" t="str" cm="1">
        <f t="array" aca="1" ref="D20" ca="1">IF(OR(IF(OR(A20="", B20="", C20=""), "", INDIRECT("'" &amp; B20 &amp; "'!" &amp; C20))=0, IF(OR(A20="", B20="", C20=""), "", INDIRECT("'" &amp; B20 &amp; "'!" &amp; C20))=""),"",INDIRECT("'" &amp; B20 &amp; "'!" &amp; C20))</f>
        <v>courier (delivery driver)</v>
      </c>
      <c r="I20" s="123"/>
    </row>
    <row r="21" spans="1:9">
      <c r="A21" s="135" t="s">
        <v>641</v>
      </c>
      <c r="B21" s="124" t="s">
        <v>168</v>
      </c>
      <c r="C21" s="124" t="s">
        <v>642</v>
      </c>
      <c r="D21" s="133" t="str" cm="1">
        <f t="array" aca="1" ref="D21" ca="1">IF(OR(IF(OR(A21="", B21="", C21=""), "", INDIRECT("'" &amp; B21 &amp; "'!" &amp; C21))=0, IF(OR(A21="", B21="", C21=""), "", INDIRECT("'" &amp; B21 &amp; "'!" &amp; C21))=""),"",INDIRECT("'" &amp; B21 &amp; "'!" &amp; C21))</f>
        <v>food server</v>
      </c>
    </row>
    <row r="22" spans="1:9">
      <c r="A22" s="134" t="s">
        <v>643</v>
      </c>
      <c r="B22" s="126" t="s">
        <v>168</v>
      </c>
      <c r="C22" s="126" t="s">
        <v>644</v>
      </c>
      <c r="D22" s="140" t="e" cm="1">
        <f t="array" aca="1" ref="D22" ca="1">IF(OR(IF(OR(A22="", B22="", C22=""), "", INDIRECT("'" &amp; B22 &amp; "'!" &amp; C22))=0, IF(OR(A22="", B22="", C22=""), "", INDIRECT("'" &amp; B22 &amp; "'!" &amp; C22))=""),"",INDIRECT("'" &amp; B22 &amp; "'!" &amp; C22))</f>
        <v>#VALUE!</v>
      </c>
    </row>
    <row r="23" spans="1:9">
      <c r="A23" s="135" t="s">
        <v>645</v>
      </c>
      <c r="B23" s="124" t="s">
        <v>168</v>
      </c>
      <c r="C23" s="124" t="s">
        <v>646</v>
      </c>
      <c r="D23" s="133" cm="1">
        <f t="array" aca="1" ref="D23" ca="1">IF(OR(IF(OR(A23="", B23="", C23=""), "", INDIRECT("'" &amp; B23 &amp; "'!" &amp; C23))=0, IF(OR(A23="", B23="", C23=""), "", INDIRECT("'" &amp; B23 &amp; "'!" &amp; C23))=""),"",INDIRECT("'" &amp; B23 &amp; "'!" &amp; C23))</f>
        <v>32.700000000000003</v>
      </c>
    </row>
    <row r="24" spans="1:9">
      <c r="A24" s="134" t="s">
        <v>647</v>
      </c>
      <c r="B24" s="126" t="s">
        <v>168</v>
      </c>
      <c r="C24" s="126" t="s">
        <v>648</v>
      </c>
      <c r="D24" s="140" cm="1">
        <f t="array" aca="1" ref="D24" ca="1">IF(OR(IF(OR(A24="", B24="", C24=""), "", INDIRECT("'" &amp; B24 &amp; "'!" &amp; C24))=0, IF(OR(A24="", B24="", C24=""), "", INDIRECT("'" &amp; B24 &amp; "'!" &amp; C24))=""),"",INDIRECT("'" &amp; B24 &amp; "'!" &amp; C24))</f>
        <v>33800</v>
      </c>
    </row>
    <row r="25" spans="1:9">
      <c r="A25" s="135" t="s">
        <v>649</v>
      </c>
      <c r="B25" s="124" t="s">
        <v>168</v>
      </c>
      <c r="C25" s="124" t="s">
        <v>650</v>
      </c>
      <c r="D25" s="133" t="str" cm="1">
        <f t="array" aca="1" ref="D25" ca="1">IF(OR(IF(OR(A25="", B25="", C25=""), "", INDIRECT("'" &amp; B25 &amp; "'!" &amp; C25))=0, IF(OR(A25="", B25="", C25=""), "", INDIRECT("'" &amp; B25 &amp; "'!" &amp; C25))=""),"",INDIRECT("'" &amp; B25 &amp; "'!" &amp; C25))</f>
        <v/>
      </c>
    </row>
    <row r="26" spans="1:9">
      <c r="A26" s="134" t="s">
        <v>651</v>
      </c>
      <c r="B26" s="126" t="s">
        <v>168</v>
      </c>
      <c r="C26" s="126" t="s">
        <v>652</v>
      </c>
      <c r="D26" s="140" cm="1">
        <f t="array" aca="1" ref="D26" ca="1">IF(OR(IF(OR(A26="", B26="", C26=""), "", INDIRECT("'" &amp; B26 &amp; "'!" &amp; C26))=0, IF(OR(A26="", B26="", C26=""), "", INDIRECT("'" &amp; B26 &amp; "'!" &amp; C26))=""),"",INDIRECT("'" &amp; B26 &amp; "'!" &amp; C26))</f>
        <v>25070</v>
      </c>
    </row>
    <row r="27" spans="1:9">
      <c r="A27" s="135" t="s">
        <v>653</v>
      </c>
      <c r="B27" s="124" t="s">
        <v>168</v>
      </c>
      <c r="C27" s="124" t="s">
        <v>654</v>
      </c>
      <c r="D27" s="133" cm="1">
        <f t="array" aca="1" ref="D27" ca="1">IF(OR(IF(OR(A27="", B27="", C27=""), "", INDIRECT("'" &amp; B27 &amp; "'!" &amp; C27))=0, IF(OR(A27="", B27="", C27=""), "", INDIRECT("'" &amp; B27 &amp; "'!" &amp; C27))=""),"",INDIRECT("'" &amp; B27 &amp; "'!" &amp; C27))</f>
        <v>27</v>
      </c>
    </row>
    <row r="28" spans="1:9">
      <c r="A28" s="134" t="s">
        <v>655</v>
      </c>
      <c r="B28" s="126" t="s">
        <v>168</v>
      </c>
      <c r="C28" s="126" t="s">
        <v>656</v>
      </c>
      <c r="D28" s="140" cm="1">
        <f t="array" aca="1" ref="D28" ca="1">IF(OR(IF(OR(A28="", B28="", C28=""), "", INDIRECT("'" &amp; B28 &amp; "'!" &amp; C28))=0, IF(OR(A28="", B28="", C28=""), "", INDIRECT("'" &amp; B28 &amp; "'!" &amp; C28))=""),"",INDIRECT("'" &amp; B28 &amp; "'!" &amp; C28))</f>
        <v>1080</v>
      </c>
    </row>
    <row r="29" spans="1:9">
      <c r="A29" s="135" t="s">
        <v>657</v>
      </c>
      <c r="B29" s="124" t="s">
        <v>168</v>
      </c>
      <c r="C29" s="124" t="s">
        <v>658</v>
      </c>
      <c r="D29" s="133" cm="1">
        <f t="array" aca="1" ref="D29" ca="1">IF(OR(IF(OR(A29="", B29="", C29=""), "", INDIRECT("'" &amp; B29 &amp; "'!" &amp; C29))=0, IF(OR(A29="", B29="", C29=""), "", INDIRECT("'" &amp; B29 &amp; "'!" &amp; C29))=""),"",INDIRECT("'" &amp; B29 &amp; "'!" &amp; C29))</f>
        <v>92569</v>
      </c>
    </row>
    <row r="30" spans="1:9">
      <c r="A30" s="134" t="s">
        <v>659</v>
      </c>
      <c r="B30" s="126" t="s">
        <v>168</v>
      </c>
      <c r="C30" s="126" t="s">
        <v>660</v>
      </c>
      <c r="D30" s="140" cm="1">
        <f t="array" aca="1" ref="D30" ca="1">IF(OR(IF(OR(A30="", B30="", C30=""), "", INDIRECT("'" &amp; B30 &amp; "'!" &amp; C30))=0, IF(OR(A30="", B30="", C30=""), "", INDIRECT("'" &amp; B30 &amp; "'!" &amp; C30))=""),"",INDIRECT("'" &amp; B30 &amp; "'!" &amp; C30))</f>
        <v>157073</v>
      </c>
    </row>
    <row r="31" spans="1:9">
      <c r="A31" s="135" t="s">
        <v>661</v>
      </c>
      <c r="B31" s="124" t="s">
        <v>168</v>
      </c>
      <c r="C31" s="124" t="s">
        <v>662</v>
      </c>
      <c r="D31" s="133" cm="1">
        <f t="array" aca="1" ref="D31" ca="1">IF(OR(IF(OR(A31="", B31="", C31=""), "", INDIRECT("'" &amp; B31 &amp; "'!" &amp; C31))=0, IF(OR(A31="", B31="", C31=""), "", INDIRECT("'" &amp; B31 &amp; "'!" &amp; C31))=""),"",INDIRECT("'" &amp; B31 &amp; "'!" &amp; C31))</f>
        <v>40569</v>
      </c>
    </row>
    <row r="32" spans="1:9">
      <c r="A32" s="134" t="s">
        <v>663</v>
      </c>
      <c r="B32" s="126" t="s">
        <v>168</v>
      </c>
      <c r="C32" s="126" t="s">
        <v>664</v>
      </c>
      <c r="D32" s="140" cm="1">
        <f t="array" aca="1" ref="D32" ca="1">IF(OR(IF(OR(A32="", B32="", C32=""), "", INDIRECT("'" &amp; B32 &amp; "'!" &amp; C32))=0, IF(OR(A32="", B32="", C32=""), "", INDIRECT("'" &amp; B32 &amp; "'!" &amp; C32))=""),"",INDIRECT("'" &amp; B32 &amp; "'!" &amp; C32))</f>
        <v>306507</v>
      </c>
    </row>
    <row r="33" spans="1:4">
      <c r="A33" s="135" t="s">
        <v>665</v>
      </c>
      <c r="B33" s="124" t="s">
        <v>168</v>
      </c>
      <c r="C33" s="124" t="s">
        <v>666</v>
      </c>
      <c r="D33" s="133" cm="1">
        <f t="array" aca="1" ref="D33" ca="1">IF(OR(IF(OR(A33="", B33="", C33=""), "", INDIRECT("'" &amp; B33 &amp; "'!" &amp; C33))=0, IF(OR(A33="", B33="", C33=""), "", INDIRECT("'" &amp; B33 &amp; "'!" &amp; C33))=""),"",INDIRECT("'" &amp; B33 &amp; "'!" &amp; C33))</f>
        <v>632122</v>
      </c>
    </row>
    <row r="34" spans="1:4">
      <c r="A34" s="134" t="s">
        <v>667</v>
      </c>
      <c r="B34" s="126" t="s">
        <v>168</v>
      </c>
      <c r="C34" s="126" t="s">
        <v>668</v>
      </c>
      <c r="D34" s="140" cm="1">
        <f t="array" aca="1" ref="D34" ca="1">IF(OR(IF(OR(A34="", B34="", C34=""), "", INDIRECT("'" &amp; B34 &amp; "'!" &amp; C34))=0, IF(OR(A34="", B34="", C34=""), "", INDIRECT("'" &amp; B34 &amp; "'!" &amp; C34))=""),"",INDIRECT("'" &amp; B34 &amp; "'!" &amp; C34))</f>
        <v>957737</v>
      </c>
    </row>
    <row r="35" spans="1:4">
      <c r="A35" s="135" t="s">
        <v>669</v>
      </c>
      <c r="B35" s="124" t="s">
        <v>168</v>
      </c>
      <c r="C35" s="124" t="s">
        <v>670</v>
      </c>
      <c r="D35" s="133" t="str" cm="1">
        <f t="array" aca="1" ref="D35" ca="1">IF(OR(IF(OR(A35="", B35="", C35=""), "", INDIRECT("'" &amp; B35 &amp; "'!" &amp; C35))=0, IF(OR(A35="", B35="", C35=""), "", INDIRECT("'" &amp; B35 &amp; "'!" &amp; C35))=""),"",INDIRECT("'" &amp; B35 &amp; "'!" &amp; C35))</f>
        <v>[[attorney_salutation]]</v>
      </c>
    </row>
    <row r="36" spans="1:4">
      <c r="A36" s="134" t="s">
        <v>671</v>
      </c>
      <c r="B36" s="126" t="s">
        <v>168</v>
      </c>
      <c r="C36" s="126" t="s">
        <v>672</v>
      </c>
      <c r="D36" s="140" t="str" cm="1">
        <f t="array" aca="1" ref="D36" ca="1">IF(OR(IF(OR(A36="", B36="", C36=""), "", INDIRECT("'" &amp; B36 &amp; "'!" &amp; C36))=0, IF(OR(A36="", B36="", C36=""), "", INDIRECT("'" &amp; B36 &amp; "'!" &amp; C36))=""),"",INDIRECT("'" &amp; B36 &amp; "'!" &amp; C36))</f>
        <v>[[attorney_name_first]]</v>
      </c>
    </row>
    <row r="37" spans="1:4">
      <c r="A37" s="135" t="s">
        <v>673</v>
      </c>
      <c r="B37" s="124" t="s">
        <v>168</v>
      </c>
      <c r="C37" s="124" t="s">
        <v>674</v>
      </c>
      <c r="D37" s="133" t="str" cm="1">
        <f t="array" aca="1" ref="D37" ca="1">IF(OR(IF(OR(A37="", B37="", C37=""), "", INDIRECT("'" &amp; B37 &amp; "'!" &amp; C37))=0, IF(OR(A37="", B37="", C37=""), "", INDIRECT("'" &amp; B37 &amp; "'!" &amp; C37))=""),"",INDIRECT("'" &amp; B37 &amp; "'!" &amp; C37))</f>
        <v>[[attorney_name_last]]</v>
      </c>
    </row>
    <row r="38" spans="1:4">
      <c r="A38" s="134" t="s">
        <v>675</v>
      </c>
      <c r="B38" s="126" t="s">
        <v>168</v>
      </c>
      <c r="C38" s="126" t="s">
        <v>676</v>
      </c>
      <c r="D38" s="140" t="str" cm="1">
        <f t="array" aca="1" ref="D38" ca="1">IF(OR(IF(OR(A38="", B38="", C38=""), "", INDIRECT("'" &amp; B38 &amp; "'!" &amp; C38))=0, IF(OR(A38="", B38="", C38=""), "", INDIRECT("'" &amp; B38 &amp; "'!" &amp; C38))=""),"",INDIRECT("'" &amp; B38 &amp; "'!" &amp; C38))</f>
        <v>[[firm_name]]</v>
      </c>
    </row>
    <row r="39" spans="1:4">
      <c r="A39" s="135" t="s">
        <v>677</v>
      </c>
      <c r="B39" s="124" t="s">
        <v>168</v>
      </c>
      <c r="C39" s="124" t="s">
        <v>678</v>
      </c>
      <c r="D39" s="133" t="str" cm="1">
        <f t="array" aca="1" ref="D39" ca="1">IF(OR(IF(OR(A39="", B39="", C39=""), "", INDIRECT("'" &amp; B39 &amp; "'!" &amp; C39))=0, IF(OR(A39="", B39="", C39=""), "", INDIRECT("'" &amp; B39 &amp; "'!" &amp; C39))=""),"",INDIRECT("'" &amp; B39 &amp; "'!" &amp; C39))</f>
        <v>[[firm_address_1]]</v>
      </c>
    </row>
    <row r="40" spans="1:4">
      <c r="A40" s="134" t="s">
        <v>679</v>
      </c>
      <c r="B40" s="126" t="s">
        <v>168</v>
      </c>
      <c r="C40" s="126" t="s">
        <v>680</v>
      </c>
      <c r="D40" s="140" t="str" cm="1">
        <f t="array" aca="1" ref="D40" ca="1">IF(OR(IF(OR(A40="", B40="", C40=""), "", INDIRECT("'" &amp; B40 &amp; "'!" &amp; C40))=0, IF(OR(A40="", B40="", C40=""), "", INDIRECT("'" &amp; B40 &amp; "'!" &amp; C40))=""),"",INDIRECT("'" &amp; B40 &amp; "'!" &amp; C40))</f>
        <v>[[firm_address_2]]</v>
      </c>
    </row>
    <row r="41" spans="1:4">
      <c r="A41" s="135" t="s">
        <v>681</v>
      </c>
      <c r="B41" s="124" t="s">
        <v>168</v>
      </c>
      <c r="C41" s="124" t="s">
        <v>682</v>
      </c>
      <c r="D41" s="133" t="str" cm="1">
        <f t="array" aca="1" ref="D41" ca="1">IF(OR(IF(OR(A41="", B41="", C41=""), "", INDIRECT("'" &amp; B41 &amp; "'!" &amp; C41))=0, IF(OR(A41="", B41="", C41=""), "", INDIRECT("'" &amp; B41 &amp; "'!" &amp; C41))=""),"",INDIRECT("'" &amp; B41 &amp; "'!" &amp; C41))</f>
        <v/>
      </c>
    </row>
    <row r="42" spans="1:4">
      <c r="A42" s="134" t="s">
        <v>683</v>
      </c>
      <c r="B42" s="126" t="s">
        <v>168</v>
      </c>
      <c r="C42" s="126" t="s">
        <v>684</v>
      </c>
      <c r="D42" s="140" t="str" cm="1">
        <f t="array" aca="1" ref="D42" ca="1">IF(OR(IF(OR(A42="", B42="", C42=""), "", INDIRECT("'" &amp; B42 &amp; "'!" &amp; C42))=0, IF(OR(A42="", B42="", C42=""), "", INDIRECT("'" &amp; B42 &amp; "'!" &amp; C42))=""),"",INDIRECT("'" &amp; B42 &amp; "'!" &amp; C42))</f>
        <v/>
      </c>
    </row>
    <row r="43" spans="1:4">
      <c r="A43" s="135" t="s">
        <v>685</v>
      </c>
      <c r="B43" s="124" t="s">
        <v>168</v>
      </c>
      <c r="C43" s="124" t="s">
        <v>686</v>
      </c>
      <c r="D43" s="133" t="str" cm="1">
        <f t="array" aca="1" ref="D43" ca="1">IF(OR(IF(OR(A43="", B43="", C43=""), "", INDIRECT("'" &amp; B43 &amp; "'!" &amp; C43))=0, IF(OR(A43="", B43="", C43=""), "", INDIRECT("'" &amp; B43 &amp; "'!" &amp; C43))=""),"",INDIRECT("'" &amp; B43 &amp; "'!" &amp; C43))</f>
        <v>[[attorney_phone_#]]</v>
      </c>
    </row>
    <row r="44" spans="1:4">
      <c r="A44" s="134" t="s">
        <v>687</v>
      </c>
      <c r="B44" s="126" t="s">
        <v>168</v>
      </c>
      <c r="C44" s="126" t="s">
        <v>688</v>
      </c>
      <c r="D44" s="140" t="str" cm="1">
        <f t="array" aca="1" ref="D44" ca="1">IF(OR(IF(OR(A44="", B44="", C44=""), "", INDIRECT("'" &amp; B44 &amp; "'!" &amp; C44))=0, IF(OR(A44="", B44="", C44=""), "", INDIRECT("'" &amp; B44 &amp; "'!" &amp; C44))=""),"",INDIRECT("'" &amp; B44 &amp; "'!" &amp; C44))</f>
        <v>[[attorney_email]]</v>
      </c>
    </row>
    <row r="45" spans="1:4">
      <c r="A45" s="135" t="s">
        <v>689</v>
      </c>
      <c r="B45" s="124" t="s">
        <v>168</v>
      </c>
      <c r="C45" s="124" t="s">
        <v>690</v>
      </c>
      <c r="D45" s="133" t="str" cm="1">
        <f t="array" aca="1" ref="D45" ca="1">IF(OR(IF(OR(A45="", B45="", C45=""), "", INDIRECT("'" &amp; B45 &amp; "'!" &amp; C45))=0, IF(OR(A45="", B45="", C45=""), "", INDIRECT("'" &amp; B45 &amp; "'!" &amp; C45))=""),"",INDIRECT("'" &amp; B45 &amp; "'!" &amp; C45))</f>
        <v/>
      </c>
    </row>
    <row r="46" spans="1:4">
      <c r="A46" s="134" t="s">
        <v>691</v>
      </c>
      <c r="B46" s="126" t="s">
        <v>168</v>
      </c>
      <c r="C46" s="126" t="s">
        <v>692</v>
      </c>
      <c r="D46" s="140" t="str" cm="1">
        <f t="array" aca="1" ref="D46" ca="1">IF(OR(IF(OR(A46="", B46="", C46=""), "", INDIRECT("'" &amp; B46 &amp; "'!" &amp; C46))=0, IF(OR(A46="", B46="", C46=""), "", INDIRECT("'" &amp; B46 &amp; "'!" &amp; C46))=""),"",INDIRECT("'" &amp; B46 &amp; "'!" &amp; C46))</f>
        <v>Aaron M. Wolfson, PhD, CLCP</v>
      </c>
    </row>
    <row r="47" spans="1:4">
      <c r="A47" s="135" t="s">
        <v>693</v>
      </c>
      <c r="B47" s="124" t="s">
        <v>168</v>
      </c>
      <c r="C47" s="124" t="s">
        <v>694</v>
      </c>
      <c r="D47" s="162" cm="1">
        <f t="array" aca="1" ref="D47" ca="1">IF(OR(IF(OR(A47="", B47="", C47=""), "", INDIRECT("'" &amp; B47 &amp; "'!" &amp; C47))=0, IF(OR(A47="", B47="", C47=""), "", INDIRECT("'" &amp; B47 &amp; "'!" &amp; C47))=""),"",INDIRECT("'" &amp; B47 &amp; "'!" &amp; C47))</f>
        <v>45854</v>
      </c>
    </row>
    <row r="48" spans="1:4">
      <c r="A48" s="134" t="s">
        <v>695</v>
      </c>
      <c r="B48" s="126" t="s">
        <v>168</v>
      </c>
      <c r="C48" s="126" t="s">
        <v>696</v>
      </c>
      <c r="D48" s="140" cm="1">
        <f t="array" aca="1" ref="D48" ca="1">IF(OR(IF(OR(A48="", B48="", C48=""), "", INDIRECT("'" &amp; B48 &amp; "'!" &amp; C48))=0, IF(OR(A48="", B48="", C48=""), "", INDIRECT("'" &amp; B48 &amp; "'!" &amp; C48))=""),"",INDIRECT("'" &amp; B48 &amp; "'!" &amp; C48))</f>
        <v>10</v>
      </c>
    </row>
    <row r="49" spans="1:4">
      <c r="A49" s="135" t="s">
        <v>697</v>
      </c>
      <c r="B49" s="124" t="s">
        <v>168</v>
      </c>
      <c r="C49" s="124" t="s">
        <v>698</v>
      </c>
      <c r="D49" s="133" cm="1">
        <f t="array" aca="1" ref="D49" ca="1">IF(OR(IF(OR(A49="", B49="", C49=""), "", INDIRECT("'" &amp; B49 &amp; "'!" &amp; C49))=0, IF(OR(A49="", B49="", C49=""), "", INDIRECT("'" &amp; B49 &amp; "'!" &amp; C49))=""),"",INDIRECT("'" &amp; B49 &amp; "'!" &amp; C49))</f>
        <v>20</v>
      </c>
    </row>
    <row r="50" spans="1:4">
      <c r="A50" s="134" t="s">
        <v>699</v>
      </c>
      <c r="B50" s="126" t="s">
        <v>168</v>
      </c>
      <c r="C50" s="126" t="s">
        <v>700</v>
      </c>
      <c r="D50" s="140" cm="1">
        <f t="array" aca="1" ref="D50" ca="1">IF(OR(IF(OR(A50="", B50="", C50=""), "", INDIRECT("'" &amp; B50 &amp; "'!" &amp; C50))=0, IF(OR(A50="", B50="", C50=""), "", INDIRECT("'" &amp; B50 &amp; "'!" &amp; C50))=""),"",INDIRECT("'" &amp; B50 &amp; "'!" &amp; C50))</f>
        <v>15</v>
      </c>
    </row>
    <row r="51" spans="1:4">
      <c r="A51" s="135" t="s">
        <v>701</v>
      </c>
      <c r="B51" s="124" t="s">
        <v>168</v>
      </c>
      <c r="C51" s="124" t="s">
        <v>702</v>
      </c>
      <c r="D51" s="133" cm="1">
        <f t="array" aca="1" ref="D51" ca="1">IF(OR(IF(OR(A51="", B51="", C51=""), "", INDIRECT("'" &amp; B51 &amp; "'!" &amp; C51))=0, IF(OR(A51="", B51="", C51=""), "", INDIRECT("'" &amp; B51 &amp; "'!" &amp; C51))=""),"",INDIRECT("'" &amp; B51 &amp; "'!" &amp; C51))</f>
        <v>32.700000000000003</v>
      </c>
    </row>
    <row r="52" spans="1:4">
      <c r="A52" s="134" t="s">
        <v>703</v>
      </c>
      <c r="B52" s="126" t="s">
        <v>168</v>
      </c>
      <c r="C52" s="126" t="s">
        <v>704</v>
      </c>
      <c r="D52" s="140" cm="1">
        <f t="array" aca="1" ref="D52" ca="1">IF(OR(IF(OR(A52="", B52="", C52=""), "", INDIRECT("'" &amp; B52 &amp; "'!" &amp; C52))=0, IF(OR(A52="", B52="", C52=""), "", INDIRECT("'" &amp; B52 &amp; "'!" &amp; C52))=""),"",INDIRECT("'" &amp; B52 &amp; "'!" &amp; C52))</f>
        <v>4.4999999999999998E-2</v>
      </c>
    </row>
    <row r="53" spans="1:4">
      <c r="A53" s="135" t="s">
        <v>705</v>
      </c>
      <c r="B53" s="124" t="s">
        <v>168</v>
      </c>
      <c r="C53" s="124" t="s">
        <v>706</v>
      </c>
      <c r="D53" s="133" cm="1">
        <f t="array" aca="1" ref="D53" ca="1">IF(OR(IF(OR(A53="", B53="", C53=""), "", INDIRECT("'" &amp; B53 &amp; "'!" &amp; C53))=0, IF(OR(A53="", B53="", C53=""), "", INDIRECT("'" &amp; B53 &amp; "'!" &amp; C53))=""),"",INDIRECT("'" &amp; B53 &amp; "'!" &amp; C53))</f>
        <v>0.02</v>
      </c>
    </row>
    <row r="54" spans="1:4">
      <c r="A54" s="134" t="s">
        <v>707</v>
      </c>
      <c r="B54" s="126" t="s">
        <v>168</v>
      </c>
      <c r="C54" s="126" t="s">
        <v>708</v>
      </c>
      <c r="D54" s="140" cm="1">
        <f t="array" aca="1" ref="D54" ca="1">IF(OR(IF(OR(A54="", B54="", C54=""), "", INDIRECT("'" &amp; B54 &amp; "'!" &amp; C54))=0, IF(OR(A54="", B54="", C54=""), "", INDIRECT("'" &amp; B54 &amp; "'!" &amp; C54))=""),"",INDIRECT("'" &amp; B54 &amp; "'!" &amp; C54))</f>
        <v>2.3E-2</v>
      </c>
    </row>
    <row r="55" spans="1:4">
      <c r="A55" s="135" t="s">
        <v>709</v>
      </c>
      <c r="B55" s="124" t="s">
        <v>168</v>
      </c>
      <c r="C55" s="124" t="s">
        <v>710</v>
      </c>
      <c r="D55" s="133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/>
      </c>
    </row>
    <row r="56" spans="1:4">
      <c r="A56" s="136"/>
      <c r="B56" s="127"/>
      <c r="C56" s="127"/>
      <c r="D56" s="140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/>
      </c>
    </row>
    <row r="57" spans="1:4">
      <c r="A57" s="137"/>
      <c r="B57" s="125"/>
      <c r="C57" s="125"/>
      <c r="D57" s="133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/>
      </c>
    </row>
    <row r="58" spans="1:4">
      <c r="A58" s="136"/>
      <c r="B58" s="127"/>
      <c r="C58" s="127"/>
      <c r="D58" s="140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/>
      </c>
    </row>
    <row r="59" spans="1:4">
      <c r="A59" s="137"/>
      <c r="B59" s="125"/>
      <c r="C59" s="125"/>
      <c r="D59" s="133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/>
      </c>
    </row>
    <row r="60" spans="1:4">
      <c r="A60" s="136"/>
      <c r="B60" s="127"/>
      <c r="C60" s="127"/>
      <c r="D60" s="140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/>
      </c>
    </row>
    <row r="61" spans="1:4">
      <c r="A61" s="137"/>
      <c r="B61" s="125"/>
      <c r="C61" s="125"/>
      <c r="D61" s="133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/>
      </c>
    </row>
    <row r="62" spans="1:4">
      <c r="A62" s="136"/>
      <c r="B62" s="127"/>
      <c r="C62" s="127"/>
      <c r="D62" s="140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/>
      </c>
    </row>
    <row r="63" spans="1:4">
      <c r="A63" s="137"/>
      <c r="B63" s="125"/>
      <c r="C63" s="125"/>
      <c r="D63" s="133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/>
      </c>
    </row>
    <row r="64" spans="1:4">
      <c r="A64" s="136"/>
      <c r="B64" s="127"/>
      <c r="C64" s="127"/>
      <c r="D64" s="140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/>
      </c>
    </row>
    <row r="65" spans="1:4">
      <c r="A65" s="137"/>
      <c r="B65" s="125"/>
      <c r="C65" s="125"/>
      <c r="D65" s="133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/>
      </c>
    </row>
    <row r="66" spans="1:4">
      <c r="A66" s="136"/>
      <c r="B66" s="127"/>
      <c r="C66" s="127"/>
      <c r="D66" s="140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/>
      </c>
    </row>
    <row r="67" spans="1:4">
      <c r="A67" s="137"/>
      <c r="B67" s="125"/>
      <c r="C67" s="125"/>
      <c r="D67" s="133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/>
      </c>
    </row>
    <row r="68" spans="1:4">
      <c r="A68" s="136"/>
      <c r="B68" s="127"/>
      <c r="C68" s="127"/>
      <c r="D68" s="140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/>
      </c>
    </row>
    <row r="69" spans="1:4">
      <c r="A69" s="137"/>
      <c r="B69" s="125"/>
      <c r="C69" s="125"/>
      <c r="D69" s="133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/>
      </c>
    </row>
    <row r="70" spans="1:4">
      <c r="A70" s="136"/>
      <c r="B70" s="127"/>
      <c r="C70" s="127"/>
      <c r="D70" s="140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/>
      </c>
    </row>
    <row r="71" spans="1:4">
      <c r="A71" s="137"/>
      <c r="B71" s="125"/>
      <c r="C71" s="125"/>
      <c r="D71" s="133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/>
      </c>
    </row>
    <row r="72" spans="1:4">
      <c r="A72" s="136"/>
      <c r="B72" s="127"/>
      <c r="C72" s="127"/>
      <c r="D72" s="140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</row>
    <row r="73" spans="1:4">
      <c r="A73" s="137"/>
      <c r="B73" s="125"/>
      <c r="C73" s="125"/>
      <c r="D73" s="133" t="str" cm="1">
        <f t="array" aca="1" ref="D73" ca="1">IF(OR(IF(OR(A73="", B73="", C73=""), "", INDIRECT("'" &amp; B73 &amp; "'!" &amp; C73))=0, IF(OR(A73="", B73="", C73=""), "", INDIRECT("'" &amp; B73 &amp; "'!" &amp; C73))=""),"",INDIRECT("'" &amp; B73 &amp; "'!" &amp; C73))</f>
        <v/>
      </c>
    </row>
    <row r="74" spans="1:4">
      <c r="A74" s="136"/>
      <c r="B74" s="127"/>
      <c r="C74" s="127"/>
      <c r="D74" s="140" t="str" cm="1">
        <f t="array" aca="1" ref="D74" ca="1">IF(OR(IF(OR(A74="", B74="", C74=""), "", INDIRECT("'" &amp; B74 &amp; "'!" &amp; C74))=0, IF(OR(A74="", B74="", C74=""), "", INDIRECT("'" &amp; B74 &amp; "'!" &amp; C74))=""),"",INDIRECT("'" &amp; B74 &amp; "'!" &amp; C74))</f>
        <v/>
      </c>
    </row>
    <row r="75" spans="1:4">
      <c r="A75" s="137"/>
      <c r="B75" s="125"/>
      <c r="C75" s="125"/>
      <c r="D75" s="133" t="str" cm="1">
        <f t="array" aca="1" ref="D75" ca="1">IF(OR(IF(OR(A75="", B75="", C75=""), "", INDIRECT("'" &amp; B75 &amp; "'!" &amp; C75))=0, IF(OR(A75="", B75="", C75=""), "", INDIRECT("'" &amp; B75 &amp; "'!" &amp; C75))=""),"",INDIRECT("'" &amp; B75 &amp; "'!" &amp; C75))</f>
        <v/>
      </c>
    </row>
    <row r="76" spans="1:4">
      <c r="A76" s="136"/>
      <c r="B76" s="127"/>
      <c r="C76" s="127"/>
      <c r="D76" s="140" t="str" cm="1">
        <f t="array" aca="1" ref="D76" ca="1">IF(OR(IF(OR(A76="", B76="", C76=""), "", INDIRECT("'" &amp; B76 &amp; "'!" &amp; C76))=0, IF(OR(A76="", B76="", C76=""), "", INDIRECT("'" &amp; B76 &amp; "'!" &amp; C76))=""),"",INDIRECT("'" &amp; B76 &amp; "'!" &amp; C76))</f>
        <v/>
      </c>
    </row>
    <row r="77" spans="1:4">
      <c r="A77" s="137"/>
      <c r="B77" s="125"/>
      <c r="C77" s="125"/>
      <c r="D77" s="133" t="str" cm="1">
        <f t="array" aca="1" ref="D77" ca="1">IF(OR(IF(OR(A77="", B77="", C77=""), "", INDIRECT("'" &amp; B77 &amp; "'!" &amp; C77))=0, IF(OR(A77="", B77="", C77=""), "", INDIRECT("'" &amp; B77 &amp; "'!" &amp; C77))=""),"",INDIRECT("'" &amp; B77 &amp; "'!" &amp; C77))</f>
        <v/>
      </c>
    </row>
    <row r="78" spans="1:4">
      <c r="A78" s="136"/>
      <c r="B78" s="127"/>
      <c r="C78" s="127"/>
      <c r="D78" s="140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4">
      <c r="A79" s="137"/>
      <c r="B79" s="125"/>
      <c r="C79" s="125"/>
      <c r="D79" s="133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4">
      <c r="A80" s="136"/>
      <c r="B80" s="127"/>
      <c r="C80" s="127"/>
      <c r="D80" s="140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>
      <c r="A81" s="137"/>
      <c r="B81" s="125"/>
      <c r="C81" s="125"/>
      <c r="D81" s="133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>
      <c r="A82" s="136"/>
      <c r="B82" s="127"/>
      <c r="C82" s="127"/>
      <c r="D82" s="140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>
      <c r="A83" s="137"/>
      <c r="B83" s="125"/>
      <c r="C83" s="125"/>
      <c r="D83" s="133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>
      <c r="A84" s="136"/>
      <c r="B84" s="127"/>
      <c r="C84" s="127"/>
      <c r="D84" s="140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>
      <c r="A85" s="137"/>
      <c r="B85" s="125"/>
      <c r="C85" s="125"/>
      <c r="D85" s="133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>
      <c r="A86" s="136"/>
      <c r="B86" s="127"/>
      <c r="C86" s="127"/>
      <c r="D86" s="140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>
      <c r="A87" s="137"/>
      <c r="B87" s="125"/>
      <c r="C87" s="125"/>
      <c r="D87" s="133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>
      <c r="A88" s="136"/>
      <c r="B88" s="127"/>
      <c r="C88" s="127"/>
      <c r="D88" s="140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>
      <c r="A89" s="137"/>
      <c r="B89" s="125"/>
      <c r="C89" s="125"/>
      <c r="D89" s="133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>
      <c r="A90" s="136"/>
      <c r="B90" s="127"/>
      <c r="C90" s="127"/>
      <c r="D90" s="140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>
      <c r="A91" s="137"/>
      <c r="B91" s="125"/>
      <c r="C91" s="125"/>
      <c r="D91" s="133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>
      <c r="A92" s="136"/>
      <c r="B92" s="127"/>
      <c r="C92" s="127"/>
      <c r="D92" s="140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>
      <c r="A93" s="137"/>
      <c r="B93" s="125"/>
      <c r="C93" s="125"/>
      <c r="D93" s="133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>
      <c r="A94" s="136"/>
      <c r="B94" s="127"/>
      <c r="C94" s="127"/>
      <c r="D94" s="140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>
      <c r="A95" s="137"/>
      <c r="B95" s="125"/>
      <c r="C95" s="125"/>
      <c r="D95" s="133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>
      <c r="A96" s="136"/>
      <c r="B96" s="127"/>
      <c r="C96" s="127"/>
      <c r="D96" s="140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>
      <c r="A97" s="137"/>
      <c r="B97" s="125"/>
      <c r="C97" s="125"/>
      <c r="D97" s="133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>
      <c r="A98" s="136"/>
      <c r="B98" s="127"/>
      <c r="C98" s="127"/>
      <c r="D98" s="140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>
      <c r="A99" s="137"/>
      <c r="B99" s="125"/>
      <c r="C99" s="125"/>
      <c r="D99" s="133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ht="16" thickBot="1">
      <c r="A100" s="138"/>
      <c r="B100" s="139"/>
      <c r="C100" s="139"/>
      <c r="D100" s="141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D1B4-5756-46F3-9274-35F0922F4D19}">
  <sheetPr>
    <tabColor theme="3" tint="0.499984740745262"/>
  </sheetPr>
  <dimension ref="A1:M87"/>
  <sheetViews>
    <sheetView tabSelected="1" zoomScale="120" zoomScaleNormal="120" workbookViewId="0">
      <selection activeCell="F47" sqref="F47"/>
    </sheetView>
  </sheetViews>
  <sheetFormatPr baseColWidth="10" defaultColWidth="9" defaultRowHeight="12"/>
  <cols>
    <col min="1" max="1" width="36.5" style="20" customWidth="1"/>
    <col min="2" max="2" width="16.5" style="20" customWidth="1"/>
    <col min="3" max="3" width="18.5" style="20" customWidth="1"/>
    <col min="4" max="6" width="9" style="20"/>
    <col min="7" max="7" width="37.5" style="20" customWidth="1"/>
    <col min="8" max="8" width="15" style="20" customWidth="1"/>
    <col min="9" max="9" width="18.1640625" style="20" customWidth="1"/>
    <col min="10" max="16384" width="9" style="20"/>
  </cols>
  <sheetData>
    <row r="1" spans="1:4">
      <c r="A1" s="18" t="s">
        <v>168</v>
      </c>
      <c r="B1" s="19"/>
      <c r="C1" s="19"/>
    </row>
    <row r="2" spans="1:4">
      <c r="A2" s="21"/>
      <c r="B2" s="21"/>
      <c r="C2" s="21"/>
    </row>
    <row r="3" spans="1:4">
      <c r="A3" s="22" t="s">
        <v>169</v>
      </c>
      <c r="B3" s="23"/>
      <c r="C3" s="23"/>
    </row>
    <row r="4" spans="1:4">
      <c r="A4" s="22" t="s">
        <v>170</v>
      </c>
      <c r="B4" s="23" t="s">
        <v>719</v>
      </c>
      <c r="C4" s="23"/>
    </row>
    <row r="5" spans="1:4">
      <c r="A5" s="24" t="s">
        <v>171</v>
      </c>
      <c r="B5" s="25" t="s">
        <v>712</v>
      </c>
      <c r="C5" s="25"/>
    </row>
    <row r="6" spans="1:4">
      <c r="A6" s="24" t="s">
        <v>172</v>
      </c>
      <c r="B6" s="25" t="s">
        <v>713</v>
      </c>
      <c r="C6" s="25"/>
    </row>
    <row r="7" spans="1:4">
      <c r="A7" s="24" t="s">
        <v>600</v>
      </c>
      <c r="B7" s="40" t="s">
        <v>714</v>
      </c>
      <c r="C7" s="25"/>
    </row>
    <row r="8" spans="1:4">
      <c r="A8" s="24" t="s">
        <v>173</v>
      </c>
      <c r="B8" s="41" t="s">
        <v>715</v>
      </c>
      <c r="C8" s="26"/>
    </row>
    <row r="9" spans="1:4">
      <c r="A9" s="24" t="s">
        <v>175</v>
      </c>
      <c r="B9" s="26"/>
      <c r="C9" s="26"/>
    </row>
    <row r="10" spans="1:4">
      <c r="A10" s="24" t="s">
        <v>601</v>
      </c>
      <c r="B10" s="27" t="s">
        <v>716</v>
      </c>
      <c r="C10" s="26"/>
    </row>
    <row r="11" spans="1:4">
      <c r="A11" s="24" t="s">
        <v>176</v>
      </c>
      <c r="B11" s="45" t="str">
        <f>LongDOB</f>
        <v>[[claimant_DOB_long]]</v>
      </c>
      <c r="C11" s="27"/>
    </row>
    <row r="12" spans="1:4">
      <c r="A12" s="28" t="s">
        <v>177</v>
      </c>
      <c r="B12" s="159">
        <f ca="1">TODAY()</f>
        <v>46138</v>
      </c>
      <c r="C12" s="27"/>
      <c r="D12" s="20" t="s">
        <v>720</v>
      </c>
    </row>
    <row r="13" spans="1:4">
      <c r="A13" s="28" t="s">
        <v>178</v>
      </c>
      <c r="B13" s="27">
        <f ca="1">EDATE(B12,3)</f>
        <v>46229</v>
      </c>
      <c r="C13" s="27" t="s">
        <v>427</v>
      </c>
      <c r="D13" s="20" t="s">
        <v>720</v>
      </c>
    </row>
    <row r="14" spans="1:4">
      <c r="A14" s="28" t="s">
        <v>420</v>
      </c>
      <c r="B14" s="45" t="s">
        <v>718</v>
      </c>
      <c r="C14" s="27"/>
      <c r="D14" s="20" t="s">
        <v>720</v>
      </c>
    </row>
    <row r="15" spans="1:4">
      <c r="A15" s="28" t="s">
        <v>421</v>
      </c>
      <c r="B15" s="45" t="s">
        <v>717</v>
      </c>
      <c r="C15" s="27"/>
    </row>
    <row r="16" spans="1:4">
      <c r="A16" s="28" t="s">
        <v>422</v>
      </c>
      <c r="B16" s="152">
        <v>57992</v>
      </c>
      <c r="C16" s="27"/>
    </row>
    <row r="17" spans="1:4">
      <c r="A17" s="28" t="s">
        <v>423</v>
      </c>
      <c r="B17" s="153"/>
      <c r="C17" s="27"/>
    </row>
    <row r="18" spans="1:4">
      <c r="A18" s="28" t="s">
        <v>424</v>
      </c>
      <c r="B18" s="99" t="s">
        <v>721</v>
      </c>
      <c r="C18" s="27"/>
    </row>
    <row r="19" spans="1:4">
      <c r="A19" s="28" t="s">
        <v>425</v>
      </c>
      <c r="B19" s="99"/>
      <c r="C19" s="27"/>
    </row>
    <row r="20" spans="1:4">
      <c r="A20" s="28" t="s">
        <v>426</v>
      </c>
      <c r="B20" s="154" t="s">
        <v>597</v>
      </c>
      <c r="C20" s="27"/>
    </row>
    <row r="21" spans="1:4">
      <c r="A21" s="28" t="s">
        <v>598</v>
      </c>
      <c r="B21" s="154" t="s">
        <v>599</v>
      </c>
      <c r="C21" s="27"/>
    </row>
    <row r="22" spans="1:4">
      <c r="A22" s="24" t="s">
        <v>179</v>
      </c>
      <c r="B22" s="155" t="e">
        <f ca="1">DATEDIF(B11,B13,"d")/365</f>
        <v>#VALUE!</v>
      </c>
      <c r="C22" s="29"/>
    </row>
    <row r="23" spans="1:4">
      <c r="A23" s="24" t="s">
        <v>180</v>
      </c>
      <c r="B23" s="156">
        <v>32.700000000000003</v>
      </c>
      <c r="C23" s="29"/>
      <c r="D23" s="20" t="s">
        <v>722</v>
      </c>
    </row>
    <row r="24" spans="1:4">
      <c r="A24" s="24" t="s">
        <v>428</v>
      </c>
      <c r="B24" s="152">
        <v>33800</v>
      </c>
      <c r="C24" s="29"/>
    </row>
    <row r="25" spans="1:4">
      <c r="A25" s="24" t="s">
        <v>429</v>
      </c>
      <c r="B25" s="35"/>
      <c r="C25" s="29"/>
    </row>
    <row r="26" spans="1:4">
      <c r="A26" s="24" t="s">
        <v>430</v>
      </c>
      <c r="B26" s="157">
        <v>25070</v>
      </c>
      <c r="C26" s="29"/>
    </row>
    <row r="27" spans="1:4">
      <c r="A27" s="24" t="s">
        <v>431</v>
      </c>
      <c r="B27" s="157">
        <v>27</v>
      </c>
      <c r="C27" s="29"/>
    </row>
    <row r="28" spans="1:4">
      <c r="A28" s="24" t="s">
        <v>432</v>
      </c>
      <c r="B28" s="157">
        <f>27*40</f>
        <v>1080</v>
      </c>
      <c r="C28" s="29"/>
    </row>
    <row r="29" spans="1:4">
      <c r="A29" s="24" t="s">
        <v>433</v>
      </c>
      <c r="B29" s="152">
        <v>92569</v>
      </c>
      <c r="C29" s="29"/>
    </row>
    <row r="30" spans="1:4">
      <c r="A30" s="24" t="s">
        <v>591</v>
      </c>
      <c r="B30" s="152">
        <v>157073</v>
      </c>
      <c r="C30" s="29"/>
    </row>
    <row r="31" spans="1:4">
      <c r="A31" s="24" t="s">
        <v>592</v>
      </c>
      <c r="B31" s="152">
        <v>40569</v>
      </c>
      <c r="C31" s="29"/>
    </row>
    <row r="32" spans="1:4">
      <c r="A32" s="24" t="s">
        <v>593</v>
      </c>
      <c r="B32" s="158">
        <v>306507</v>
      </c>
      <c r="C32" s="29"/>
    </row>
    <row r="33" spans="1:13">
      <c r="A33" s="24" t="s">
        <v>594</v>
      </c>
      <c r="B33" s="158">
        <v>632122</v>
      </c>
      <c r="C33" s="29"/>
    </row>
    <row r="34" spans="1:13">
      <c r="A34" s="24" t="s">
        <v>595</v>
      </c>
      <c r="B34" s="158">
        <v>957737</v>
      </c>
      <c r="C34" s="29"/>
    </row>
    <row r="35" spans="1:13">
      <c r="A35" s="21"/>
      <c r="B35" s="21"/>
      <c r="C35" s="21"/>
    </row>
    <row r="36" spans="1:13">
      <c r="A36" s="22" t="s">
        <v>181</v>
      </c>
      <c r="B36" s="30"/>
      <c r="C36" s="30"/>
    </row>
    <row r="37" spans="1:13">
      <c r="A37" s="22"/>
      <c r="B37" s="30"/>
      <c r="C37" s="30"/>
    </row>
    <row r="38" spans="1:13">
      <c r="A38" s="22" t="s">
        <v>170</v>
      </c>
      <c r="B38" s="30" t="s">
        <v>723</v>
      </c>
      <c r="C38" s="30"/>
    </row>
    <row r="39" spans="1:13">
      <c r="A39" s="28" t="s">
        <v>182</v>
      </c>
      <c r="B39" s="26" t="s">
        <v>724</v>
      </c>
      <c r="C39" s="26"/>
    </row>
    <row r="40" spans="1:13">
      <c r="A40" s="28" t="s">
        <v>183</v>
      </c>
      <c r="B40" s="26" t="s">
        <v>726</v>
      </c>
      <c r="C40" s="26"/>
    </row>
    <row r="41" spans="1:13">
      <c r="A41" s="28" t="s">
        <v>184</v>
      </c>
      <c r="B41" s="26" t="s">
        <v>725</v>
      </c>
      <c r="C41" s="26"/>
    </row>
    <row r="42" spans="1:13">
      <c r="A42" s="28" t="s">
        <v>185</v>
      </c>
      <c r="B42" s="26" t="s">
        <v>727</v>
      </c>
      <c r="C42" s="26"/>
    </row>
    <row r="43" spans="1:13">
      <c r="A43" s="28" t="s">
        <v>728</v>
      </c>
      <c r="B43" s="26" t="s">
        <v>729</v>
      </c>
      <c r="C43" s="26"/>
    </row>
    <row r="44" spans="1:13">
      <c r="A44" s="28"/>
      <c r="B44" s="26"/>
      <c r="C44" s="26"/>
    </row>
    <row r="45" spans="1:13">
      <c r="A45" s="28"/>
      <c r="B45" s="26"/>
      <c r="C45" s="26"/>
    </row>
    <row r="46" spans="1:13">
      <c r="A46" s="28" t="s">
        <v>186</v>
      </c>
      <c r="B46" s="26" t="s">
        <v>730</v>
      </c>
      <c r="C46" s="26"/>
      <c r="L46" s="31"/>
      <c r="M46" s="32"/>
    </row>
    <row r="47" spans="1:13" ht="15">
      <c r="A47" s="28" t="s">
        <v>187</v>
      </c>
      <c r="B47" s="33" t="s">
        <v>731</v>
      </c>
      <c r="C47" s="26"/>
      <c r="L47" s="31"/>
      <c r="M47" s="32"/>
    </row>
    <row r="48" spans="1:13">
      <c r="A48" s="28" t="s">
        <v>188</v>
      </c>
      <c r="B48" s="26"/>
      <c r="C48" s="26"/>
      <c r="L48" s="31"/>
      <c r="M48" s="32"/>
    </row>
    <row r="49" spans="1:13">
      <c r="A49" s="21"/>
      <c r="B49" s="21"/>
      <c r="C49" s="21"/>
      <c r="L49" s="31"/>
      <c r="M49" s="32"/>
    </row>
    <row r="50" spans="1:13">
      <c r="A50" s="22" t="s">
        <v>189</v>
      </c>
      <c r="B50" s="30"/>
      <c r="C50" s="30"/>
      <c r="L50" s="31"/>
      <c r="M50" s="32"/>
    </row>
    <row r="51" spans="1:13">
      <c r="A51" s="28" t="s">
        <v>190</v>
      </c>
      <c r="B51" s="160" t="s">
        <v>596</v>
      </c>
      <c r="C51" s="26"/>
      <c r="L51" s="31"/>
      <c r="M51" s="32"/>
    </row>
    <row r="52" spans="1:13">
      <c r="A52" s="28" t="s">
        <v>191</v>
      </c>
      <c r="B52" s="161">
        <v>45854</v>
      </c>
      <c r="C52" s="27"/>
      <c r="M52" s="32"/>
    </row>
    <row r="53" spans="1:13">
      <c r="A53" s="24" t="s">
        <v>192</v>
      </c>
      <c r="B53" s="34">
        <v>10</v>
      </c>
      <c r="C53" s="34"/>
      <c r="M53" s="32"/>
    </row>
    <row r="54" spans="1:13">
      <c r="A54" s="24" t="s">
        <v>193</v>
      </c>
      <c r="B54" s="35">
        <v>20</v>
      </c>
      <c r="C54" s="35"/>
      <c r="M54" s="36"/>
    </row>
    <row r="55" spans="1:13">
      <c r="A55" s="28" t="s">
        <v>194</v>
      </c>
      <c r="B55" s="35">
        <v>15</v>
      </c>
      <c r="C55" s="35"/>
      <c r="M55" s="36"/>
    </row>
    <row r="56" spans="1:13">
      <c r="A56" s="37" t="s">
        <v>195</v>
      </c>
      <c r="B56" s="38"/>
      <c r="C56" s="38"/>
    </row>
    <row r="57" spans="1:13">
      <c r="A57" s="39" t="s">
        <v>196</v>
      </c>
      <c r="B57" s="121">
        <f>B23</f>
        <v>32.700000000000003</v>
      </c>
      <c r="C57" s="40" t="s">
        <v>197</v>
      </c>
      <c r="D57" s="41" t="b">
        <v>1</v>
      </c>
    </row>
    <row r="58" spans="1:13">
      <c r="A58" s="39"/>
      <c r="B58" s="41"/>
      <c r="C58" s="40" t="s">
        <v>198</v>
      </c>
      <c r="D58" s="41" t="b">
        <v>0</v>
      </c>
    </row>
    <row r="59" spans="1:13">
      <c r="A59" s="28" t="s">
        <v>199</v>
      </c>
      <c r="B59" s="42">
        <v>4.4999999999999998E-2</v>
      </c>
      <c r="C59" s="26"/>
      <c r="D59" s="41" t="b">
        <v>1</v>
      </c>
    </row>
    <row r="60" spans="1:13">
      <c r="A60" s="28" t="s">
        <v>200</v>
      </c>
      <c r="B60" s="43">
        <v>0.02</v>
      </c>
      <c r="C60" s="26"/>
      <c r="D60" s="41" t="b">
        <v>0</v>
      </c>
      <c r="H60" s="44"/>
    </row>
    <row r="61" spans="1:13" ht="16">
      <c r="A61" s="28" t="s">
        <v>201</v>
      </c>
      <c r="B61" s="42">
        <v>2.3E-2</v>
      </c>
      <c r="C61" s="45"/>
      <c r="D61" s="41" t="b">
        <v>0</v>
      </c>
      <c r="G61" s="1"/>
      <c r="H61" s="46"/>
      <c r="I61" s="1"/>
      <c r="J61" s="1"/>
    </row>
    <row r="62" spans="1:13" ht="16">
      <c r="A62" s="24" t="s">
        <v>202</v>
      </c>
      <c r="B62" s="41"/>
      <c r="C62" s="29"/>
      <c r="D62" s="41" t="b">
        <v>0</v>
      </c>
      <c r="G62" s="1"/>
      <c r="H62" s="46"/>
      <c r="I62" s="1"/>
      <c r="J62" s="1"/>
    </row>
    <row r="63" spans="1:13" ht="16">
      <c r="A63" s="47" t="s">
        <v>203</v>
      </c>
      <c r="B63" s="47" t="s">
        <v>204</v>
      </c>
      <c r="C63" s="47" t="s">
        <v>205</v>
      </c>
      <c r="D63" s="48" t="s">
        <v>102</v>
      </c>
      <c r="G63" s="49" t="s">
        <v>203</v>
      </c>
      <c r="H63" s="50" t="s">
        <v>206</v>
      </c>
      <c r="I63" s="51" t="s">
        <v>207</v>
      </c>
      <c r="J63" s="1"/>
    </row>
    <row r="64" spans="1:13" ht="16">
      <c r="A64" s="52" t="s">
        <v>208</v>
      </c>
      <c r="B64" s="53">
        <v>0.1</v>
      </c>
      <c r="C64" s="54" t="s">
        <v>209</v>
      </c>
      <c r="D64" s="41" t="b">
        <v>1</v>
      </c>
      <c r="G64" s="55" t="str" cm="1">
        <f t="array" ref="G64:J72">_xlfn._xlws.FILTER(A64:D73, D64:D73=TRUE, "No data")</f>
        <v>Hospital Services</v>
      </c>
      <c r="H64" s="56">
        <v>0.1</v>
      </c>
      <c r="I64" s="1" t="str">
        <v>CUSR0000SEMF</v>
      </c>
      <c r="J64" s="1" t="b">
        <v>1</v>
      </c>
    </row>
    <row r="65" spans="1:10" ht="16">
      <c r="A65" s="52" t="s">
        <v>210</v>
      </c>
      <c r="B65" s="53">
        <v>0.04</v>
      </c>
      <c r="C65" s="54" t="s">
        <v>211</v>
      </c>
      <c r="D65" s="41" t="b">
        <v>1</v>
      </c>
      <c r="G65" s="55" t="str">
        <v>Medical Care</v>
      </c>
      <c r="H65" s="56">
        <v>0.04</v>
      </c>
      <c r="I65" s="1" t="str">
        <v>CUSR0000SAM3</v>
      </c>
      <c r="J65" s="1" t="b">
        <v>1</v>
      </c>
    </row>
    <row r="66" spans="1:10" ht="16">
      <c r="A66" s="58" t="s">
        <v>212</v>
      </c>
      <c r="B66" s="53">
        <v>0.04</v>
      </c>
      <c r="C66" s="54" t="s">
        <v>213</v>
      </c>
      <c r="D66" s="41" t="b">
        <v>1</v>
      </c>
      <c r="G66" s="55" t="str">
        <v>Medical Care Commodities</v>
      </c>
      <c r="H66" s="56">
        <v>0.04</v>
      </c>
      <c r="I66" s="1" t="str">
        <v>CUSR0000SAM2</v>
      </c>
      <c r="J66" s="1" t="b">
        <v>1</v>
      </c>
    </row>
    <row r="67" spans="1:10" ht="16">
      <c r="A67" s="58" t="s">
        <v>214</v>
      </c>
      <c r="B67" s="53">
        <v>7.0000000000000007E-2</v>
      </c>
      <c r="C67" s="54" t="s">
        <v>215</v>
      </c>
      <c r="D67" s="41" t="b">
        <v>1</v>
      </c>
      <c r="G67" s="55" t="str">
        <v>Medical Care Services</v>
      </c>
      <c r="H67" s="56">
        <v>7.0000000000000007E-2</v>
      </c>
      <c r="I67" s="1" t="str">
        <v>CUSR0000SAM1</v>
      </c>
      <c r="J67" s="1" t="b">
        <v>1</v>
      </c>
    </row>
    <row r="68" spans="1:10" ht="16">
      <c r="A68" s="58" t="s">
        <v>216</v>
      </c>
      <c r="B68" s="53">
        <v>0.1</v>
      </c>
      <c r="C68" s="54" t="s">
        <v>217</v>
      </c>
      <c r="D68" s="41" t="b">
        <v>1</v>
      </c>
      <c r="G68" s="55" t="str">
        <v>Nonprescription Medical Equipment/ Supplies</v>
      </c>
      <c r="H68" s="56">
        <v>0.1</v>
      </c>
      <c r="I68" s="1" t="str">
        <v>CUSR0000SEMB</v>
      </c>
      <c r="J68" s="1" t="b">
        <v>1</v>
      </c>
    </row>
    <row r="69" spans="1:10" ht="16">
      <c r="A69" s="58" t="s">
        <v>218</v>
      </c>
      <c r="B69" s="53">
        <v>0.13</v>
      </c>
      <c r="C69" s="54" t="s">
        <v>219</v>
      </c>
      <c r="D69" s="41" t="b">
        <v>0</v>
      </c>
      <c r="G69" s="55" t="str">
        <v>Outpatient Hospital Service</v>
      </c>
      <c r="H69" s="56">
        <v>0.16</v>
      </c>
      <c r="I69" s="1" t="str">
        <v>CUSR0000SEMG</v>
      </c>
      <c r="J69" s="1" t="b">
        <v>1</v>
      </c>
    </row>
    <row r="70" spans="1:10" ht="16">
      <c r="A70" s="58" t="s">
        <v>220</v>
      </c>
      <c r="B70" s="53">
        <v>0.16</v>
      </c>
      <c r="C70" s="54" t="s">
        <v>221</v>
      </c>
      <c r="D70" s="41" t="b">
        <v>1</v>
      </c>
      <c r="G70" s="1" t="str">
        <v>Physician's Services</v>
      </c>
      <c r="H70" s="56">
        <v>0.19</v>
      </c>
      <c r="I70" s="1" t="str">
        <v>CUSR0000SEMC</v>
      </c>
      <c r="J70" s="1" t="b">
        <v>1</v>
      </c>
    </row>
    <row r="71" spans="1:10" ht="16">
      <c r="A71" s="58" t="s">
        <v>222</v>
      </c>
      <c r="B71" s="53">
        <v>0.19</v>
      </c>
      <c r="C71" s="54" t="s">
        <v>223</v>
      </c>
      <c r="D71" s="41" t="b">
        <v>1</v>
      </c>
      <c r="G71" s="1" t="str">
        <v>Prescription Drugs</v>
      </c>
      <c r="H71" s="56">
        <v>0.22</v>
      </c>
      <c r="I71" s="1" t="str">
        <v>CUSR0000SEMD</v>
      </c>
      <c r="J71" s="1" t="b">
        <v>1</v>
      </c>
    </row>
    <row r="72" spans="1:10" ht="16">
      <c r="A72" s="58" t="s">
        <v>224</v>
      </c>
      <c r="B72" s="53">
        <v>0.22</v>
      </c>
      <c r="C72" s="54" t="s">
        <v>225</v>
      </c>
      <c r="D72" s="41" t="b">
        <v>1</v>
      </c>
      <c r="G72" s="1" t="str">
        <v>Services By Other Medical Professionals</v>
      </c>
      <c r="H72" s="57">
        <v>0.25</v>
      </c>
      <c r="I72" s="1" t="str">
        <v>CUSR0000SEMJ</v>
      </c>
      <c r="J72" s="1" t="b">
        <v>1</v>
      </c>
    </row>
    <row r="73" spans="1:10" ht="16">
      <c r="A73" s="58" t="s">
        <v>226</v>
      </c>
      <c r="B73" s="53">
        <v>0.25</v>
      </c>
      <c r="C73" s="54" t="s">
        <v>227</v>
      </c>
      <c r="D73" s="41" t="b">
        <v>1</v>
      </c>
      <c r="G73" s="1"/>
      <c r="H73" s="57"/>
      <c r="I73" s="1"/>
      <c r="J73" s="1"/>
    </row>
    <row r="74" spans="1:10" ht="16">
      <c r="A74" s="58"/>
      <c r="B74" s="53"/>
      <c r="C74" s="54"/>
      <c r="D74" s="41"/>
      <c r="G74" s="1"/>
      <c r="H74" s="57"/>
      <c r="I74" s="1"/>
      <c r="J74" s="1"/>
    </row>
    <row r="75" spans="1:10" ht="16">
      <c r="A75" s="48" t="s">
        <v>203</v>
      </c>
      <c r="B75" s="48" t="s">
        <v>228</v>
      </c>
      <c r="C75" s="48"/>
      <c r="D75" s="48" t="s">
        <v>102</v>
      </c>
      <c r="G75" s="49" t="s">
        <v>203</v>
      </c>
      <c r="H75" s="50" t="s">
        <v>229</v>
      </c>
      <c r="I75" s="51" t="s">
        <v>207</v>
      </c>
      <c r="J75" s="1"/>
    </row>
    <row r="76" spans="1:10" ht="16">
      <c r="A76" s="21" t="s">
        <v>208</v>
      </c>
      <c r="B76" s="53">
        <f>B64-$B$61</f>
        <v>7.7000000000000013E-2</v>
      </c>
      <c r="C76" s="59" t="s">
        <v>209</v>
      </c>
      <c r="D76" s="41" t="b">
        <v>1</v>
      </c>
      <c r="G76" s="55" t="str" cm="1">
        <f t="array" ref="G76:J84">_xlfn._xlws.FILTER(A76:D85, D76:D85=TRUE, "No data")</f>
        <v>Hospital Services</v>
      </c>
      <c r="H76" s="56">
        <v>7.7000000000000013E-2</v>
      </c>
      <c r="I76" s="1" t="str">
        <v>CUSR0000SEMF</v>
      </c>
      <c r="J76" s="1" t="b">
        <v>1</v>
      </c>
    </row>
    <row r="77" spans="1:10" ht="16">
      <c r="A77" s="21" t="s">
        <v>210</v>
      </c>
      <c r="B77" s="53">
        <f t="shared" ref="B77:B85" si="0">B65-$B$61</f>
        <v>1.7000000000000001E-2</v>
      </c>
      <c r="C77" s="59" t="s">
        <v>211</v>
      </c>
      <c r="D77" s="41" t="b">
        <v>1</v>
      </c>
      <c r="G77" s="55" t="str">
        <v>Medical Care</v>
      </c>
      <c r="H77" s="56">
        <v>1.7000000000000001E-2</v>
      </c>
      <c r="I77" s="1" t="str">
        <v>CUSR0000SAM3</v>
      </c>
      <c r="J77" s="1" t="b">
        <v>1</v>
      </c>
    </row>
    <row r="78" spans="1:10" ht="16">
      <c r="A78" s="20" t="s">
        <v>212</v>
      </c>
      <c r="B78" s="53">
        <f t="shared" si="0"/>
        <v>1.7000000000000001E-2</v>
      </c>
      <c r="C78" s="59" t="s">
        <v>213</v>
      </c>
      <c r="D78" s="41" t="b">
        <v>1</v>
      </c>
      <c r="G78" s="55" t="str">
        <v>Medical Care Commodities</v>
      </c>
      <c r="H78" s="56">
        <v>1.7000000000000001E-2</v>
      </c>
      <c r="I78" s="1" t="str">
        <v>CUSR0000SAM2</v>
      </c>
      <c r="J78" s="1" t="b">
        <v>1</v>
      </c>
    </row>
    <row r="79" spans="1:10" ht="16">
      <c r="A79" s="20" t="s">
        <v>214</v>
      </c>
      <c r="B79" s="53">
        <f t="shared" si="0"/>
        <v>4.7000000000000007E-2</v>
      </c>
      <c r="C79" s="59" t="s">
        <v>215</v>
      </c>
      <c r="D79" s="41" t="b">
        <v>1</v>
      </c>
      <c r="G79" s="55" t="str">
        <v>Medical Care Services</v>
      </c>
      <c r="H79" s="56">
        <v>4.7000000000000007E-2</v>
      </c>
      <c r="I79" s="1" t="str">
        <v>CUSR0000SAM1</v>
      </c>
      <c r="J79" s="1" t="b">
        <v>1</v>
      </c>
    </row>
    <row r="80" spans="1:10" ht="16">
      <c r="A80" s="20" t="s">
        <v>216</v>
      </c>
      <c r="B80" s="53">
        <f t="shared" si="0"/>
        <v>7.7000000000000013E-2</v>
      </c>
      <c r="C80" s="59" t="s">
        <v>217</v>
      </c>
      <c r="D80" s="41" t="b">
        <v>1</v>
      </c>
      <c r="G80" s="55" t="str">
        <v>Nonprescription Medical Equipment/ Supplies</v>
      </c>
      <c r="H80" s="56">
        <v>7.7000000000000013E-2</v>
      </c>
      <c r="I80" s="1" t="str">
        <v>CUSR0000SEMB</v>
      </c>
      <c r="J80" s="1" t="b">
        <v>1</v>
      </c>
    </row>
    <row r="81" spans="1:10" ht="16">
      <c r="A81" s="20" t="s">
        <v>218</v>
      </c>
      <c r="B81" s="53">
        <f t="shared" si="0"/>
        <v>0.10700000000000001</v>
      </c>
      <c r="C81" s="59" t="s">
        <v>219</v>
      </c>
      <c r="D81" s="41" t="b">
        <v>0</v>
      </c>
      <c r="G81" s="55" t="str">
        <v>Outpatient Hospital Service</v>
      </c>
      <c r="H81" s="56">
        <v>0.13700000000000001</v>
      </c>
      <c r="I81" s="1" t="str">
        <v>CUSR0000SEMG</v>
      </c>
      <c r="J81" s="1" t="b">
        <v>1</v>
      </c>
    </row>
    <row r="82" spans="1:10" ht="16">
      <c r="A82" s="20" t="s">
        <v>220</v>
      </c>
      <c r="B82" s="53">
        <f t="shared" si="0"/>
        <v>0.13700000000000001</v>
      </c>
      <c r="C82" s="59" t="s">
        <v>221</v>
      </c>
      <c r="D82" s="41" t="b">
        <v>1</v>
      </c>
      <c r="G82" s="1" t="str">
        <v>Physician's Services</v>
      </c>
      <c r="H82" s="56">
        <v>0.16700000000000001</v>
      </c>
      <c r="I82" s="1" t="str">
        <v>CUSR0000SEMC</v>
      </c>
      <c r="J82" s="1" t="b">
        <v>1</v>
      </c>
    </row>
    <row r="83" spans="1:10" ht="16">
      <c r="A83" s="20" t="s">
        <v>222</v>
      </c>
      <c r="B83" s="53">
        <f t="shared" si="0"/>
        <v>0.16700000000000001</v>
      </c>
      <c r="C83" s="59" t="s">
        <v>223</v>
      </c>
      <c r="D83" s="41" t="b">
        <v>1</v>
      </c>
      <c r="G83" s="1" t="str">
        <v>Prescription Drugs</v>
      </c>
      <c r="H83" s="56">
        <v>0.19700000000000001</v>
      </c>
      <c r="I83" s="1" t="str">
        <v>CUSR0000SEMD</v>
      </c>
      <c r="J83" s="1" t="b">
        <v>1</v>
      </c>
    </row>
    <row r="84" spans="1:10" ht="16">
      <c r="A84" s="20" t="s">
        <v>224</v>
      </c>
      <c r="B84" s="53">
        <f t="shared" si="0"/>
        <v>0.19700000000000001</v>
      </c>
      <c r="C84" s="59" t="s">
        <v>225</v>
      </c>
      <c r="D84" s="41" t="b">
        <v>1</v>
      </c>
      <c r="G84" s="1" t="str">
        <v>Services By Other Medical Professionals</v>
      </c>
      <c r="H84" s="57">
        <v>0.22700000000000001</v>
      </c>
      <c r="I84" s="1" t="str">
        <v>CUSR0000SEMJ</v>
      </c>
      <c r="J84" s="1" t="b">
        <v>1</v>
      </c>
    </row>
    <row r="85" spans="1:10" ht="16">
      <c r="A85" s="20" t="s">
        <v>226</v>
      </c>
      <c r="B85" s="53">
        <f t="shared" si="0"/>
        <v>0.22700000000000001</v>
      </c>
      <c r="C85" s="59" t="s">
        <v>227</v>
      </c>
      <c r="D85" s="41" t="b">
        <v>1</v>
      </c>
      <c r="G85" s="1"/>
      <c r="H85" s="57"/>
      <c r="I85" s="1"/>
      <c r="J85" s="1"/>
    </row>
    <row r="86" spans="1:10">
      <c r="A86" s="60" t="s">
        <v>230</v>
      </c>
      <c r="B86" s="60"/>
      <c r="C86" s="60"/>
      <c r="D86" s="41"/>
    </row>
    <row r="87" spans="1:10">
      <c r="A87" s="20" t="s">
        <v>231</v>
      </c>
      <c r="D87" s="41" t="b">
        <v>1</v>
      </c>
    </row>
  </sheetData>
  <dataValidations count="2">
    <dataValidation type="list" allowBlank="1" showInputMessage="1" showErrorMessage="1" sqref="D57:D62 D64:D74 C55:C58 B55:B62 D76:D87" xr:uid="{A4672141-5097-4915-98B7-057BDA5C0CC9}">
      <formula1>List_TrueFalse</formula1>
    </dataValidation>
    <dataValidation type="list" allowBlank="1" showInputMessage="1" showErrorMessage="1" sqref="C59:C60" xr:uid="{91F6E525-52ED-481E-A8E0-026DC5568FE7}">
      <formula1>$N$12:$N$41</formula1>
    </dataValidation>
  </dataValidations>
  <hyperlinks>
    <hyperlink ref="B47" r:id="rId1" display="mitch.miers@witheritelaw.com" xr:uid="{52428462-54B4-428D-9AAC-E09D264AC494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D10" sqref="D10"/>
    </sheetView>
  </sheetViews>
  <sheetFormatPr baseColWidth="10" defaultColWidth="8.83203125" defaultRowHeight="15"/>
  <cols>
    <col min="1" max="1" width="49" customWidth="1"/>
    <col min="2" max="2" width="14.6640625" customWidth="1"/>
    <col min="3" max="5" width="15.33203125" customWidth="1"/>
    <col min="6" max="6" width="13.1640625" customWidth="1"/>
    <col min="7" max="7" width="16.83203125" customWidth="1"/>
    <col min="11" max="11" width="12.5" customWidth="1"/>
    <col min="12" max="12" width="10.5" customWidth="1"/>
    <col min="16" max="16" width="0.83203125" customWidth="1"/>
    <col min="17" max="17" width="16.33203125" customWidth="1"/>
    <col min="18" max="18" width="18.5" customWidth="1"/>
    <col min="19" max="19" width="13.1640625" customWidth="1"/>
  </cols>
  <sheetData>
    <row r="1" spans="1:18">
      <c r="A1" t="s">
        <v>0</v>
      </c>
      <c r="B1" t="s">
        <v>1</v>
      </c>
      <c r="C1" t="s">
        <v>65</v>
      </c>
      <c r="D1" t="s">
        <v>127</v>
      </c>
      <c r="E1" t="s">
        <v>128</v>
      </c>
      <c r="F1" t="s">
        <v>83</v>
      </c>
      <c r="G1" t="s">
        <v>84</v>
      </c>
      <c r="H1" t="s">
        <v>66</v>
      </c>
      <c r="I1" t="s">
        <v>70</v>
      </c>
      <c r="J1" t="s">
        <v>75</v>
      </c>
      <c r="K1" t="s">
        <v>67</v>
      </c>
      <c r="L1" t="s">
        <v>107</v>
      </c>
      <c r="M1" t="s">
        <v>125</v>
      </c>
      <c r="Q1" t="s">
        <v>77</v>
      </c>
      <c r="R1" t="s">
        <v>72</v>
      </c>
    </row>
    <row r="2" spans="1:18" ht="16">
      <c r="A2" s="1" t="s">
        <v>140</v>
      </c>
      <c r="B2">
        <v>2025</v>
      </c>
      <c r="C2">
        <v>1</v>
      </c>
      <c r="D2">
        <v>0</v>
      </c>
      <c r="E2">
        <v>0</v>
      </c>
      <c r="F2" s="1">
        <v>100</v>
      </c>
      <c r="G2" s="1">
        <v>200</v>
      </c>
      <c r="H2">
        <v>0</v>
      </c>
      <c r="I2">
        <v>0</v>
      </c>
      <c r="J2">
        <v>0</v>
      </c>
      <c r="K2">
        <v>0</v>
      </c>
      <c r="L2" t="s">
        <v>108</v>
      </c>
      <c r="Q2" s="16" t="s">
        <v>78</v>
      </c>
      <c r="R2" s="16" t="s">
        <v>139</v>
      </c>
    </row>
    <row r="3" spans="1:18">
      <c r="Q3" s="16" t="s">
        <v>79</v>
      </c>
      <c r="R3" s="17">
        <v>0</v>
      </c>
    </row>
    <row r="4" spans="1:18">
      <c r="Q4" s="16" t="s">
        <v>80</v>
      </c>
      <c r="R4" s="16" t="b">
        <v>1</v>
      </c>
    </row>
    <row r="5" spans="1:18">
      <c r="Q5" s="16" t="s">
        <v>100</v>
      </c>
      <c r="R5" s="16" t="s">
        <v>102</v>
      </c>
    </row>
    <row r="6" spans="1:18">
      <c r="Q6" s="16" t="s">
        <v>101</v>
      </c>
      <c r="R6" s="16">
        <v>25</v>
      </c>
    </row>
  </sheetData>
  <phoneticPr fontId="2" type="noConversion"/>
  <dataValidations count="4">
    <dataValidation type="list" allowBlank="1" showInputMessage="1" showErrorMessage="1" sqref="L2" xr:uid="{C212E248-805D-4ABE-9CD1-36FD03D56903}">
      <formula1>"Discrete, Continuous"</formula1>
    </dataValidation>
    <dataValidation type="whole" allowBlank="1" showInputMessage="1" showErrorMessage="1" sqref="R6" xr:uid="{485106C2-A2B3-4FA2-970A-24A0A962D233}">
      <formula1>1</formula1>
      <formula2>100</formula2>
    </dataValidation>
    <dataValidation type="list" allowBlank="1" showInputMessage="1" showErrorMessage="1" sqref="R5" xr:uid="{DAB7E29E-6BA6-46EB-A393-1311DF6AA344}">
      <formula1>"Include, Not Include"</formula1>
    </dataValidation>
    <dataValidation type="list" allowBlank="1" showInputMessage="1" showErrorMessage="1" sqref="R2" xr:uid="{9DB2E3AA-FD43-418C-8FD2-739468C557B3}">
      <formula1>"Static,Table,Laddered"</formula1>
    </dataValidation>
  </dataValidations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712A-B2DC-4EEA-8F88-34EBCE14321B}">
  <sheetPr transitionEvaluation="1"/>
  <dimension ref="A1:G106"/>
  <sheetViews>
    <sheetView topLeftCell="A48" zoomScaleNormal="100" workbookViewId="0">
      <selection activeCell="B113" sqref="B113"/>
    </sheetView>
  </sheetViews>
  <sheetFormatPr baseColWidth="10" defaultColWidth="9.5" defaultRowHeight="15"/>
  <cols>
    <col min="1" max="2" width="14.6640625" customWidth="1"/>
    <col min="3" max="3" width="14.5" customWidth="1"/>
    <col min="4" max="4" width="14.83203125" bestFit="1" customWidth="1"/>
    <col min="5" max="5" width="16.1640625" bestFit="1" customWidth="1"/>
    <col min="6" max="6" width="13.5" customWidth="1"/>
    <col min="7" max="7" width="14.1640625" customWidth="1"/>
  </cols>
  <sheetData>
    <row r="1" spans="1:7">
      <c r="A1" s="145" t="s">
        <v>232</v>
      </c>
      <c r="B1" s="146"/>
      <c r="C1" s="146"/>
      <c r="D1" s="146"/>
      <c r="E1" s="146"/>
      <c r="F1" s="146"/>
      <c r="G1" s="146"/>
    </row>
    <row r="2" spans="1:7" ht="67.5" customHeight="1">
      <c r="A2" s="147" t="s">
        <v>233</v>
      </c>
      <c r="B2" s="61" t="s">
        <v>234</v>
      </c>
      <c r="C2" s="62" t="s">
        <v>235</v>
      </c>
      <c r="D2" s="62" t="s">
        <v>236</v>
      </c>
      <c r="E2" s="62" t="s">
        <v>237</v>
      </c>
      <c r="F2" s="62" t="s">
        <v>238</v>
      </c>
      <c r="G2" s="63" t="s">
        <v>239</v>
      </c>
    </row>
    <row r="3" spans="1:7">
      <c r="A3" s="148"/>
      <c r="B3" s="64" t="s">
        <v>240</v>
      </c>
      <c r="C3" s="65" t="s">
        <v>241</v>
      </c>
      <c r="D3" s="65" t="s">
        <v>242</v>
      </c>
      <c r="E3" s="65" t="s">
        <v>243</v>
      </c>
      <c r="F3" s="65" t="s">
        <v>244</v>
      </c>
      <c r="G3" s="66" t="s">
        <v>245</v>
      </c>
    </row>
    <row r="4" spans="1:7">
      <c r="A4" s="67" t="s">
        <v>246</v>
      </c>
      <c r="B4" s="68">
        <v>5.6045660749077797E-3</v>
      </c>
      <c r="C4" s="69">
        <v>100000</v>
      </c>
      <c r="D4" s="69">
        <v>560.45660400390625</v>
      </c>
      <c r="E4" s="69">
        <v>99512.96875</v>
      </c>
      <c r="F4" s="69">
        <v>7745694.5</v>
      </c>
      <c r="G4" s="70">
        <v>77.456947326660156</v>
      </c>
    </row>
    <row r="5" spans="1:7">
      <c r="A5" s="71" t="s">
        <v>247</v>
      </c>
      <c r="B5" s="68">
        <v>4.4384211651049554E-4</v>
      </c>
      <c r="C5" s="72">
        <v>99439.546875</v>
      </c>
      <c r="D5" s="72">
        <v>44.135459899902344</v>
      </c>
      <c r="E5" s="72">
        <v>99417.484375</v>
      </c>
      <c r="F5" s="72">
        <v>7646181.5</v>
      </c>
      <c r="G5" s="73">
        <v>76.89276123046875</v>
      </c>
    </row>
    <row r="6" spans="1:7">
      <c r="A6" s="71" t="s">
        <v>248</v>
      </c>
      <c r="B6" s="68">
        <v>2.8387119527906179E-4</v>
      </c>
      <c r="C6" s="72">
        <v>99395.4140625</v>
      </c>
      <c r="D6" s="72">
        <v>28.215494155883789</v>
      </c>
      <c r="E6" s="72">
        <v>99381.3046875</v>
      </c>
      <c r="F6" s="72">
        <v>7546764</v>
      </c>
      <c r="G6" s="73">
        <v>75.926681518554688</v>
      </c>
    </row>
    <row r="7" spans="1:7">
      <c r="A7" s="71" t="s">
        <v>249</v>
      </c>
      <c r="B7" s="68">
        <v>2.2199927479960024E-4</v>
      </c>
      <c r="C7" s="72">
        <v>99367.1953125</v>
      </c>
      <c r="D7" s="72">
        <v>22.059444427490234</v>
      </c>
      <c r="E7" s="72">
        <v>99356.1640625</v>
      </c>
      <c r="F7" s="72">
        <v>7447382.5</v>
      </c>
      <c r="G7" s="73">
        <v>74.948097229003906</v>
      </c>
    </row>
    <row r="8" spans="1:7">
      <c r="A8" s="71" t="s">
        <v>250</v>
      </c>
      <c r="B8" s="68">
        <v>1.6768417845014483E-4</v>
      </c>
      <c r="C8" s="72">
        <v>99345.1328125</v>
      </c>
      <c r="D8" s="72">
        <v>16.658607482910156</v>
      </c>
      <c r="E8" s="72">
        <v>99336.8046875</v>
      </c>
      <c r="F8" s="72">
        <v>7348026.5</v>
      </c>
      <c r="G8" s="73">
        <v>73.964637756347656</v>
      </c>
    </row>
    <row r="9" spans="1:7">
      <c r="A9" s="71" t="s">
        <v>251</v>
      </c>
      <c r="B9" s="68">
        <v>1.5467102639377117E-4</v>
      </c>
      <c r="C9" s="72">
        <v>99328.4765625</v>
      </c>
      <c r="D9" s="72">
        <v>15.363237380981445</v>
      </c>
      <c r="E9" s="72">
        <v>99320.796875</v>
      </c>
      <c r="F9" s="72">
        <v>7248689.5</v>
      </c>
      <c r="G9" s="73">
        <v>72.976951599121094</v>
      </c>
    </row>
    <row r="10" spans="1:7">
      <c r="A10" s="71" t="s">
        <v>252</v>
      </c>
      <c r="B10" s="68">
        <v>1.3934898015577346E-4</v>
      </c>
      <c r="C10" s="72">
        <v>99313.1171875</v>
      </c>
      <c r="D10" s="72">
        <v>13.839181900024414</v>
      </c>
      <c r="E10" s="72">
        <v>99306.203125</v>
      </c>
      <c r="F10" s="72">
        <v>7149369</v>
      </c>
      <c r="G10" s="73">
        <v>71.988166809082031</v>
      </c>
    </row>
    <row r="11" spans="1:7">
      <c r="A11" s="71" t="s">
        <v>253</v>
      </c>
      <c r="B11" s="68">
        <v>1.2754186172969639E-4</v>
      </c>
      <c r="C11" s="72">
        <v>99299.28125</v>
      </c>
      <c r="D11" s="72">
        <v>12.664814949035645</v>
      </c>
      <c r="E11" s="72">
        <v>99292.953125</v>
      </c>
      <c r="F11" s="72">
        <v>7050062.5</v>
      </c>
      <c r="G11" s="73">
        <v>70.998123168945312</v>
      </c>
    </row>
    <row r="12" spans="1:7">
      <c r="A12" s="71" t="s">
        <v>254</v>
      </c>
      <c r="B12" s="68">
        <v>1.1590241047088057E-4</v>
      </c>
      <c r="C12" s="72">
        <v>99286.6171875</v>
      </c>
      <c r="D12" s="72">
        <v>11.50755786895752</v>
      </c>
      <c r="E12" s="72">
        <v>99280.859375</v>
      </c>
      <c r="F12" s="72">
        <v>6950769.5</v>
      </c>
      <c r="G12" s="73">
        <v>70.007110595703125</v>
      </c>
    </row>
    <row r="13" spans="1:7">
      <c r="A13" s="71" t="s">
        <v>255</v>
      </c>
      <c r="B13" s="68">
        <v>1.0530801228014752E-4</v>
      </c>
      <c r="C13" s="72">
        <v>99275.109375</v>
      </c>
      <c r="D13" s="72">
        <v>10.454464912414551</v>
      </c>
      <c r="E13" s="72">
        <v>99269.8828125</v>
      </c>
      <c r="F13" s="72">
        <v>6851488.5</v>
      </c>
      <c r="G13" s="73">
        <v>69.015167236328125</v>
      </c>
    </row>
    <row r="14" spans="1:7">
      <c r="A14" s="71" t="s">
        <v>256</v>
      </c>
      <c r="B14" s="68">
        <v>1.0092421143781394E-4</v>
      </c>
      <c r="C14" s="72">
        <v>99264.65625</v>
      </c>
      <c r="D14" s="72">
        <v>10.018207550048828</v>
      </c>
      <c r="E14" s="72">
        <v>99259.6484375</v>
      </c>
      <c r="F14" s="72">
        <v>6752219</v>
      </c>
      <c r="G14" s="73">
        <v>68.022384643554688</v>
      </c>
    </row>
    <row r="15" spans="1:7">
      <c r="A15" s="71" t="s">
        <v>257</v>
      </c>
      <c r="B15" s="68">
        <v>1.1151374928886071E-4</v>
      </c>
      <c r="C15" s="72">
        <v>99254.640625</v>
      </c>
      <c r="D15" s="72">
        <v>11.068257331848145</v>
      </c>
      <c r="E15" s="72">
        <v>99249.109375</v>
      </c>
      <c r="F15" s="72">
        <v>6652959</v>
      </c>
      <c r="G15" s="73">
        <v>67.029197692871094</v>
      </c>
    </row>
    <row r="16" spans="1:7">
      <c r="A16" s="71" t="s">
        <v>258</v>
      </c>
      <c r="B16" s="68">
        <v>1.4720711624249816E-4</v>
      </c>
      <c r="C16" s="72">
        <v>99243.5703125</v>
      </c>
      <c r="D16" s="72">
        <v>14.609359741210938</v>
      </c>
      <c r="E16" s="72">
        <v>99236.265625</v>
      </c>
      <c r="F16" s="72">
        <v>6553710</v>
      </c>
      <c r="G16" s="73">
        <v>66.03662109375</v>
      </c>
    </row>
    <row r="17" spans="1:7">
      <c r="A17" s="71" t="s">
        <v>259</v>
      </c>
      <c r="B17" s="68">
        <v>2.1340591774787754E-4</v>
      </c>
      <c r="C17" s="72">
        <v>99228.9609375</v>
      </c>
      <c r="D17" s="72">
        <v>21.176048278808594</v>
      </c>
      <c r="E17" s="72">
        <v>99218.375</v>
      </c>
      <c r="F17" s="72">
        <v>6454474</v>
      </c>
      <c r="G17" s="73">
        <v>65.046272277832031</v>
      </c>
    </row>
    <row r="18" spans="1:7">
      <c r="A18" s="71" t="s">
        <v>260</v>
      </c>
      <c r="B18" s="68">
        <v>3.0228320974856615E-4</v>
      </c>
      <c r="C18" s="72">
        <v>99207.78125</v>
      </c>
      <c r="D18" s="72">
        <v>29.988845825195312</v>
      </c>
      <c r="E18" s="72">
        <v>99192.78125</v>
      </c>
      <c r="F18" s="72">
        <v>6355255.5</v>
      </c>
      <c r="G18" s="73">
        <v>64.060050964355469</v>
      </c>
    </row>
    <row r="19" spans="1:7">
      <c r="A19" s="71" t="s">
        <v>261</v>
      </c>
      <c r="B19" s="68">
        <v>4.0206755511462688E-4</v>
      </c>
      <c r="C19" s="72">
        <v>99177.7890625</v>
      </c>
      <c r="D19" s="72">
        <v>39.876171112060547</v>
      </c>
      <c r="E19" s="72">
        <v>99157.8515625</v>
      </c>
      <c r="F19" s="72">
        <v>6256062.5</v>
      </c>
      <c r="G19" s="73">
        <v>63.079269409179688</v>
      </c>
    </row>
    <row r="20" spans="1:7">
      <c r="A20" s="71" t="s">
        <v>262</v>
      </c>
      <c r="B20" s="68">
        <v>5.013616755604744E-4</v>
      </c>
      <c r="C20" s="72">
        <v>99137.9140625</v>
      </c>
      <c r="D20" s="72">
        <v>49.703948974609375</v>
      </c>
      <c r="E20" s="72">
        <v>99113.0625</v>
      </c>
      <c r="F20" s="72">
        <v>6156905</v>
      </c>
      <c r="G20" s="73">
        <v>62.104442596435547</v>
      </c>
    </row>
    <row r="21" spans="1:7">
      <c r="A21" s="71" t="s">
        <v>263</v>
      </c>
      <c r="B21" s="68">
        <v>5.9624318964779377E-4</v>
      </c>
      <c r="C21" s="72">
        <v>99088.2109375</v>
      </c>
      <c r="D21" s="72">
        <v>59.080669403076172</v>
      </c>
      <c r="E21" s="72">
        <v>99058.671875</v>
      </c>
      <c r="F21" s="72">
        <v>6057792</v>
      </c>
      <c r="G21" s="73">
        <v>61.135345458984375</v>
      </c>
    </row>
    <row r="22" spans="1:7">
      <c r="A22" s="71" t="s">
        <v>264</v>
      </c>
      <c r="B22" s="68">
        <v>6.803901051171124E-4</v>
      </c>
      <c r="C22" s="72">
        <v>99029.1328125</v>
      </c>
      <c r="D22" s="72">
        <v>67.378440856933594</v>
      </c>
      <c r="E22" s="72">
        <v>98995.4453125</v>
      </c>
      <c r="F22" s="72">
        <v>5958733</v>
      </c>
      <c r="G22" s="73">
        <v>60.171516418457031</v>
      </c>
    </row>
    <row r="23" spans="1:7">
      <c r="A23" s="71" t="s">
        <v>265</v>
      </c>
      <c r="B23" s="68">
        <v>7.5602729339152575E-4</v>
      </c>
      <c r="C23" s="72">
        <v>98961.7578125</v>
      </c>
      <c r="D23" s="72">
        <v>74.817787170410156</v>
      </c>
      <c r="E23" s="72">
        <v>98924.34375</v>
      </c>
      <c r="F23" s="72">
        <v>5859737.5</v>
      </c>
      <c r="G23" s="73">
        <v>59.212139129638672</v>
      </c>
    </row>
    <row r="24" spans="1:7">
      <c r="A24" s="71" t="s">
        <v>266</v>
      </c>
      <c r="B24" s="68">
        <v>8.3210412412881851E-4</v>
      </c>
      <c r="C24" s="72">
        <v>98886.9375</v>
      </c>
      <c r="D24" s="72">
        <v>82.284225463867188</v>
      </c>
      <c r="E24" s="72">
        <v>98845.796875</v>
      </c>
      <c r="F24" s="72">
        <v>5760813.5</v>
      </c>
      <c r="G24" s="73">
        <v>58.256565093994141</v>
      </c>
    </row>
    <row r="25" spans="1:7">
      <c r="A25" s="71" t="s">
        <v>267</v>
      </c>
      <c r="B25" s="68">
        <v>9.1142207384109497E-4</v>
      </c>
      <c r="C25" s="72">
        <v>98804.65625</v>
      </c>
      <c r="D25" s="72">
        <v>90.052742004394531</v>
      </c>
      <c r="E25" s="72">
        <v>98759.625</v>
      </c>
      <c r="F25" s="72">
        <v>5661967.5</v>
      </c>
      <c r="G25" s="73">
        <v>57.304660797119141</v>
      </c>
    </row>
    <row r="26" spans="1:7">
      <c r="A26" s="71" t="s">
        <v>268</v>
      </c>
      <c r="B26" s="68">
        <v>9.8928064107894897E-4</v>
      </c>
      <c r="C26" s="72">
        <v>98714.6015625</v>
      </c>
      <c r="D26" s="72">
        <v>97.656440734863281</v>
      </c>
      <c r="E26" s="72">
        <v>98665.7734375</v>
      </c>
      <c r="F26" s="72">
        <v>5563208</v>
      </c>
      <c r="G26" s="73">
        <v>56.356487274169922</v>
      </c>
    </row>
    <row r="27" spans="1:7">
      <c r="A27" s="71" t="s">
        <v>269</v>
      </c>
      <c r="B27" s="68">
        <v>1.0674551595002413E-3</v>
      </c>
      <c r="C27" s="72">
        <v>98616.9453125</v>
      </c>
      <c r="D27" s="72">
        <v>105.2691650390625</v>
      </c>
      <c r="E27" s="72">
        <v>98564.3125</v>
      </c>
      <c r="F27" s="72">
        <v>5464542</v>
      </c>
      <c r="G27" s="73">
        <v>55.411796569824219</v>
      </c>
    </row>
    <row r="28" spans="1:7">
      <c r="A28" s="71" t="s">
        <v>270</v>
      </c>
      <c r="B28" s="68">
        <v>1.1481443652883172E-3</v>
      </c>
      <c r="C28" s="72">
        <v>98511.6796875</v>
      </c>
      <c r="D28" s="72">
        <v>113.10562896728516</v>
      </c>
      <c r="E28" s="72">
        <v>98455.125</v>
      </c>
      <c r="F28" s="72">
        <v>5365978</v>
      </c>
      <c r="G28" s="73">
        <v>54.470474243164062</v>
      </c>
    </row>
    <row r="29" spans="1:7">
      <c r="A29" s="71" t="s">
        <v>271</v>
      </c>
      <c r="B29" s="68">
        <v>1.2305363779887557E-3</v>
      </c>
      <c r="C29" s="72">
        <v>98398.5703125</v>
      </c>
      <c r="D29" s="72">
        <v>121.08302307128906</v>
      </c>
      <c r="E29" s="72">
        <v>98338.03125</v>
      </c>
      <c r="F29" s="72">
        <v>5267522.5</v>
      </c>
      <c r="G29" s="73">
        <v>53.532508850097656</v>
      </c>
    </row>
    <row r="30" spans="1:7">
      <c r="A30" s="71" t="s">
        <v>272</v>
      </c>
      <c r="B30" s="68">
        <v>1.3160092057660222E-3</v>
      </c>
      <c r="C30" s="72">
        <v>98277.484375</v>
      </c>
      <c r="D30" s="72">
        <v>129.33407592773438</v>
      </c>
      <c r="E30" s="72">
        <v>98212.8125</v>
      </c>
      <c r="F30" s="72">
        <v>5169184.5</v>
      </c>
      <c r="G30" s="73">
        <v>52.597850799560547</v>
      </c>
    </row>
    <row r="31" spans="1:7">
      <c r="A31" s="71" t="s">
        <v>273</v>
      </c>
      <c r="B31" s="68">
        <v>1.406351919285953E-3</v>
      </c>
      <c r="C31" s="72">
        <v>98148.1484375</v>
      </c>
      <c r="D31" s="72">
        <v>138.03083801269531</v>
      </c>
      <c r="E31" s="72">
        <v>98079.1328125</v>
      </c>
      <c r="F31" s="72">
        <v>5070972</v>
      </c>
      <c r="G31" s="73">
        <v>51.666507720947266</v>
      </c>
    </row>
    <row r="32" spans="1:7">
      <c r="A32" s="71" t="s">
        <v>274</v>
      </c>
      <c r="B32" s="68">
        <v>1.4992424985393882E-3</v>
      </c>
      <c r="C32" s="72">
        <v>98010.1171875</v>
      </c>
      <c r="D32" s="72">
        <v>146.94093322753906</v>
      </c>
      <c r="E32" s="72">
        <v>97936.6484375</v>
      </c>
      <c r="F32" s="72">
        <v>4972892.5</v>
      </c>
      <c r="G32" s="73">
        <v>50.738563537597656</v>
      </c>
    </row>
    <row r="33" spans="1:7">
      <c r="A33" s="71" t="s">
        <v>275</v>
      </c>
      <c r="B33" s="68">
        <v>1.5907110646367073E-3</v>
      </c>
      <c r="C33" s="72">
        <v>97863.1796875</v>
      </c>
      <c r="D33" s="72">
        <v>155.67204284667969</v>
      </c>
      <c r="E33" s="72">
        <v>97785.34375</v>
      </c>
      <c r="F33" s="72">
        <v>4874956</v>
      </c>
      <c r="G33" s="73">
        <v>49.813995361328125</v>
      </c>
    </row>
    <row r="34" spans="1:7">
      <c r="A34" s="71" t="s">
        <v>276</v>
      </c>
      <c r="B34" s="68">
        <v>1.6815533163025975E-3</v>
      </c>
      <c r="C34" s="72">
        <v>97707.5078125</v>
      </c>
      <c r="D34" s="72">
        <v>164.30038452148438</v>
      </c>
      <c r="E34" s="72">
        <v>97625.359375</v>
      </c>
      <c r="F34" s="72">
        <v>4777170.5</v>
      </c>
      <c r="G34" s="73">
        <v>48.892562866210938</v>
      </c>
    </row>
    <row r="35" spans="1:7">
      <c r="A35" s="71" t="s">
        <v>277</v>
      </c>
      <c r="B35" s="68">
        <v>1.7694801790639758E-3</v>
      </c>
      <c r="C35" s="72">
        <v>97543.2109375</v>
      </c>
      <c r="D35" s="72">
        <v>172.60078430175781</v>
      </c>
      <c r="E35" s="72">
        <v>97456.90625</v>
      </c>
      <c r="F35" s="72">
        <v>4679545.5</v>
      </c>
      <c r="G35" s="73">
        <v>47.974075317382812</v>
      </c>
    </row>
    <row r="36" spans="1:7">
      <c r="A36" s="71" t="s">
        <v>278</v>
      </c>
      <c r="B36" s="68">
        <v>1.8509230576455593E-3</v>
      </c>
      <c r="C36" s="72">
        <v>97370.609375</v>
      </c>
      <c r="D36" s="72">
        <v>180.22550964355469</v>
      </c>
      <c r="E36" s="72">
        <v>97280.5</v>
      </c>
      <c r="F36" s="72">
        <v>4582088.5</v>
      </c>
      <c r="G36" s="73">
        <v>47.058231353759766</v>
      </c>
    </row>
    <row r="37" spans="1:7">
      <c r="A37" s="71" t="s">
        <v>279</v>
      </c>
      <c r="B37" s="68">
        <v>1.9268181640654802E-3</v>
      </c>
      <c r="C37" s="72">
        <v>97190.3828125</v>
      </c>
      <c r="D37" s="72">
        <v>187.2681884765625</v>
      </c>
      <c r="E37" s="72">
        <v>97096.75</v>
      </c>
      <c r="F37" s="72">
        <v>4484808</v>
      </c>
      <c r="G37" s="73">
        <v>46.144565582275391</v>
      </c>
    </row>
    <row r="38" spans="1:7">
      <c r="A38" s="71" t="s">
        <v>280</v>
      </c>
      <c r="B38" s="68">
        <v>2.0017654169350863E-3</v>
      </c>
      <c r="C38" s="72">
        <v>97003.1171875</v>
      </c>
      <c r="D38" s="72">
        <v>194.177490234375</v>
      </c>
      <c r="E38" s="72">
        <v>96906.03125</v>
      </c>
      <c r="F38" s="72">
        <v>4387711</v>
      </c>
      <c r="G38" s="73">
        <v>45.232681274414062</v>
      </c>
    </row>
    <row r="39" spans="1:7">
      <c r="A39" s="71" t="s">
        <v>281</v>
      </c>
      <c r="B39" s="68">
        <v>2.0797373726963997E-3</v>
      </c>
      <c r="C39" s="72">
        <v>96808.9375</v>
      </c>
      <c r="D39" s="72">
        <v>201.337158203125</v>
      </c>
      <c r="E39" s="72">
        <v>96708.265625</v>
      </c>
      <c r="F39" s="72">
        <v>4290805</v>
      </c>
      <c r="G39" s="73">
        <v>44.322406768798828</v>
      </c>
    </row>
    <row r="40" spans="1:7">
      <c r="A40" s="71" t="s">
        <v>282</v>
      </c>
      <c r="B40" s="68">
        <v>2.1643158979713917E-3</v>
      </c>
      <c r="C40" s="72">
        <v>96607.6015625</v>
      </c>
      <c r="D40" s="72">
        <v>209.08937072753906</v>
      </c>
      <c r="E40" s="72">
        <v>96503.0625</v>
      </c>
      <c r="F40" s="72">
        <v>4194097</v>
      </c>
      <c r="G40" s="73">
        <v>43.413738250732422</v>
      </c>
    </row>
    <row r="41" spans="1:7">
      <c r="A41" s="71" t="s">
        <v>283</v>
      </c>
      <c r="B41" s="68">
        <v>2.2572379093617201E-3</v>
      </c>
      <c r="C41" s="72">
        <v>96398.515625</v>
      </c>
      <c r="D41" s="72">
        <v>217.59439086914062</v>
      </c>
      <c r="E41" s="72">
        <v>96289.71875</v>
      </c>
      <c r="F41" s="72">
        <v>4097593.75</v>
      </c>
      <c r="G41" s="73">
        <v>42.506813049316406</v>
      </c>
    </row>
    <row r="42" spans="1:7">
      <c r="A42" s="71" t="s">
        <v>284</v>
      </c>
      <c r="B42" s="68">
        <v>2.3592254146933556E-3</v>
      </c>
      <c r="C42" s="72">
        <v>96180.921875</v>
      </c>
      <c r="D42" s="72">
        <v>226.9124755859375</v>
      </c>
      <c r="E42" s="72">
        <v>96067.46875</v>
      </c>
      <c r="F42" s="72">
        <v>4001304</v>
      </c>
      <c r="G42" s="73">
        <v>41.601848602294922</v>
      </c>
    </row>
    <row r="43" spans="1:7">
      <c r="A43" s="71" t="s">
        <v>285</v>
      </c>
      <c r="B43" s="68">
        <v>2.4689026176929474E-3</v>
      </c>
      <c r="C43" s="72">
        <v>95954.0078125</v>
      </c>
      <c r="D43" s="72">
        <v>236.90110778808594</v>
      </c>
      <c r="E43" s="72">
        <v>95835.5625</v>
      </c>
      <c r="F43" s="72">
        <v>3905236.75</v>
      </c>
      <c r="G43" s="73">
        <v>40.699047088623047</v>
      </c>
    </row>
    <row r="44" spans="1:7">
      <c r="A44" s="71" t="s">
        <v>286</v>
      </c>
      <c r="B44" s="68">
        <v>2.5927049573510885E-3</v>
      </c>
      <c r="C44" s="72">
        <v>95717.109375</v>
      </c>
      <c r="D44" s="72">
        <v>248.16622924804688</v>
      </c>
      <c r="E44" s="72">
        <v>95593.03125</v>
      </c>
      <c r="F44" s="72">
        <v>3809401</v>
      </c>
      <c r="G44" s="73">
        <v>39.798538208007812</v>
      </c>
    </row>
    <row r="45" spans="1:7">
      <c r="A45" s="71" t="s">
        <v>287</v>
      </c>
      <c r="B45" s="68">
        <v>2.7248109690845013E-3</v>
      </c>
      <c r="C45" s="72">
        <v>95468.9453125</v>
      </c>
      <c r="D45" s="72">
        <v>260.13482666015625</v>
      </c>
      <c r="E45" s="72">
        <v>95338.875</v>
      </c>
      <c r="F45" s="72">
        <v>3713808</v>
      </c>
      <c r="G45" s="73">
        <v>38.900691986083984</v>
      </c>
    </row>
    <row r="46" spans="1:7">
      <c r="A46" s="71" t="s">
        <v>288</v>
      </c>
      <c r="B46" s="68">
        <v>2.8541490901261568E-3</v>
      </c>
      <c r="C46" s="72">
        <v>95208.8125</v>
      </c>
      <c r="D46" s="72">
        <v>271.74014282226562</v>
      </c>
      <c r="E46" s="72">
        <v>95072.9375</v>
      </c>
      <c r="F46" s="72">
        <v>3618469.25</v>
      </c>
      <c r="G46" s="73">
        <v>38.005611419677734</v>
      </c>
    </row>
    <row r="47" spans="1:7">
      <c r="A47" s="71" t="s">
        <v>289</v>
      </c>
      <c r="B47" s="68">
        <v>2.97964783385396E-3</v>
      </c>
      <c r="C47" s="72">
        <v>94937.0703125</v>
      </c>
      <c r="D47" s="72">
        <v>282.8790283203125</v>
      </c>
      <c r="E47" s="72">
        <v>94795.625</v>
      </c>
      <c r="F47" s="72">
        <v>3523396.25</v>
      </c>
      <c r="G47" s="73">
        <v>37.112964630126953</v>
      </c>
    </row>
    <row r="48" spans="1:7">
      <c r="A48" s="71" t="s">
        <v>290</v>
      </c>
      <c r="B48" s="68">
        <v>3.1129398848861456E-3</v>
      </c>
      <c r="C48" s="72">
        <v>94654.1875</v>
      </c>
      <c r="D48" s="72">
        <v>294.65280151367188</v>
      </c>
      <c r="E48" s="72">
        <v>94506.859375</v>
      </c>
      <c r="F48" s="72">
        <v>3428600.5</v>
      </c>
      <c r="G48" s="73">
        <v>36.222385406494141</v>
      </c>
    </row>
    <row r="49" spans="1:7">
      <c r="A49" s="71" t="s">
        <v>291</v>
      </c>
      <c r="B49" s="68">
        <v>3.2710854429751635E-3</v>
      </c>
      <c r="C49" s="72">
        <v>94359.53125</v>
      </c>
      <c r="D49" s="72">
        <v>308.6580810546875</v>
      </c>
      <c r="E49" s="72">
        <v>94205.203125</v>
      </c>
      <c r="F49" s="72">
        <v>3334093.75</v>
      </c>
      <c r="G49" s="73">
        <v>35.333938598632812</v>
      </c>
    </row>
    <row r="50" spans="1:7">
      <c r="A50" s="71" t="s">
        <v>292</v>
      </c>
      <c r="B50" s="68">
        <v>3.4662270918488503E-3</v>
      </c>
      <c r="C50" s="72">
        <v>94050.875</v>
      </c>
      <c r="D50" s="72">
        <v>326.00167846679688</v>
      </c>
      <c r="E50" s="72">
        <v>93887.875</v>
      </c>
      <c r="F50" s="72">
        <v>3239888.5</v>
      </c>
      <c r="G50" s="73">
        <v>34.448253631591797</v>
      </c>
    </row>
    <row r="51" spans="1:7">
      <c r="A51" s="71" t="s">
        <v>293</v>
      </c>
      <c r="B51" s="68">
        <v>3.6946567706763744E-3</v>
      </c>
      <c r="C51" s="72">
        <v>93724.875</v>
      </c>
      <c r="D51" s="72">
        <v>346.28125</v>
      </c>
      <c r="E51" s="72">
        <v>93551.734375</v>
      </c>
      <c r="F51" s="72">
        <v>3146000.75</v>
      </c>
      <c r="G51" s="73">
        <v>33.566337585449219</v>
      </c>
    </row>
    <row r="52" spans="1:7">
      <c r="A52" s="71" t="s">
        <v>294</v>
      </c>
      <c r="B52" s="68">
        <v>3.949933685362339E-3</v>
      </c>
      <c r="C52" s="72">
        <v>93378.59375</v>
      </c>
      <c r="D52" s="72">
        <v>368.83926391601562</v>
      </c>
      <c r="E52" s="72">
        <v>93194.171875</v>
      </c>
      <c r="F52" s="72">
        <v>3052449</v>
      </c>
      <c r="G52" s="73">
        <v>32.688957214355469</v>
      </c>
    </row>
    <row r="53" spans="1:7">
      <c r="A53" s="71" t="s">
        <v>295</v>
      </c>
      <c r="B53" s="68">
        <v>4.2257155291736126E-3</v>
      </c>
      <c r="C53" s="72">
        <v>93009.7578125</v>
      </c>
      <c r="D53" s="72">
        <v>393.03277587890625</v>
      </c>
      <c r="E53" s="72">
        <v>92813.2421875</v>
      </c>
      <c r="F53" s="72">
        <v>2959254.75</v>
      </c>
      <c r="G53" s="73">
        <v>31.816604614257812</v>
      </c>
    </row>
    <row r="54" spans="1:7">
      <c r="A54" s="71" t="s">
        <v>296</v>
      </c>
      <c r="B54" s="68">
        <v>4.5147612690925598E-3</v>
      </c>
      <c r="C54" s="72">
        <v>92616.7265625</v>
      </c>
      <c r="D54" s="72">
        <v>418.14239501953125</v>
      </c>
      <c r="E54" s="72">
        <v>92407.65625</v>
      </c>
      <c r="F54" s="72">
        <v>2866441.5</v>
      </c>
      <c r="G54" s="73">
        <v>30.949501037597656</v>
      </c>
    </row>
    <row r="55" spans="1:7">
      <c r="A55" s="71" t="s">
        <v>297</v>
      </c>
      <c r="B55" s="68">
        <v>4.8330896534025669E-3</v>
      </c>
      <c r="C55" s="72">
        <v>92198.5859375</v>
      </c>
      <c r="D55" s="72">
        <v>445.60403442382812</v>
      </c>
      <c r="E55" s="72">
        <v>91975.78125</v>
      </c>
      <c r="F55" s="72">
        <v>2774033.75</v>
      </c>
      <c r="G55" s="73">
        <v>30.087594985961914</v>
      </c>
    </row>
    <row r="56" spans="1:7">
      <c r="A56" s="71" t="s">
        <v>298</v>
      </c>
      <c r="B56" s="68">
        <v>5.2038128487765789E-3</v>
      </c>
      <c r="C56" s="72">
        <v>91752.984375</v>
      </c>
      <c r="D56" s="72">
        <v>477.46536254882812</v>
      </c>
      <c r="E56" s="72">
        <v>91514.25</v>
      </c>
      <c r="F56" s="72">
        <v>2682058</v>
      </c>
      <c r="G56" s="73">
        <v>29.231288909912109</v>
      </c>
    </row>
    <row r="57" spans="1:7">
      <c r="A57" s="71" t="s">
        <v>299</v>
      </c>
      <c r="B57" s="68">
        <v>5.6472192518413067E-3</v>
      </c>
      <c r="C57" s="72">
        <v>91275.515625</v>
      </c>
      <c r="D57" s="72">
        <v>515.45281982421875</v>
      </c>
      <c r="E57" s="72">
        <v>91017.7890625</v>
      </c>
      <c r="F57" s="72">
        <v>2590543.75</v>
      </c>
      <c r="G57" s="73">
        <v>28.381584167480469</v>
      </c>
    </row>
    <row r="58" spans="1:7">
      <c r="A58" s="71" t="s">
        <v>300</v>
      </c>
      <c r="B58" s="68">
        <v>6.1621745117008686E-3</v>
      </c>
      <c r="C58" s="72">
        <v>90760.0625</v>
      </c>
      <c r="D58" s="72">
        <v>559.27935791015625</v>
      </c>
      <c r="E58" s="72">
        <v>90480.421875</v>
      </c>
      <c r="F58" s="72">
        <v>2499526</v>
      </c>
      <c r="G58" s="73">
        <v>27.539932250976562</v>
      </c>
    </row>
    <row r="59" spans="1:7">
      <c r="A59" s="71" t="s">
        <v>301</v>
      </c>
      <c r="B59" s="68">
        <v>6.7089321091771126E-3</v>
      </c>
      <c r="C59" s="72">
        <v>90200.78125</v>
      </c>
      <c r="D59" s="72">
        <v>605.15093994140625</v>
      </c>
      <c r="E59" s="72">
        <v>89898.203125</v>
      </c>
      <c r="F59" s="72">
        <v>2409045.75</v>
      </c>
      <c r="G59" s="73">
        <v>26.707592010498047</v>
      </c>
    </row>
    <row r="60" spans="1:7">
      <c r="A60" s="71" t="s">
        <v>302</v>
      </c>
      <c r="B60" s="68">
        <v>7.2853327728807926E-3</v>
      </c>
      <c r="C60" s="72">
        <v>89595.6328125</v>
      </c>
      <c r="D60" s="72">
        <v>652.7340087890625</v>
      </c>
      <c r="E60" s="72">
        <v>89269.265625</v>
      </c>
      <c r="F60" s="72">
        <v>2319147.5</v>
      </c>
      <c r="G60" s="73">
        <v>25.884603500366211</v>
      </c>
    </row>
    <row r="61" spans="1:7">
      <c r="A61" s="71" t="s">
        <v>303</v>
      </c>
      <c r="B61" s="68">
        <v>7.9303709790110588E-3</v>
      </c>
      <c r="C61" s="72">
        <v>88942.8984375</v>
      </c>
      <c r="D61" s="72">
        <v>705.35015869140625</v>
      </c>
      <c r="E61" s="72">
        <v>88590.21875</v>
      </c>
      <c r="F61" s="72">
        <v>2229878.25</v>
      </c>
      <c r="G61" s="73">
        <v>25.070896148681641</v>
      </c>
    </row>
    <row r="62" spans="1:7">
      <c r="A62" s="71" t="s">
        <v>304</v>
      </c>
      <c r="B62" s="68">
        <v>8.6412737146019936E-3</v>
      </c>
      <c r="C62" s="72">
        <v>88237.546875</v>
      </c>
      <c r="D62" s="72">
        <v>762.48480224609375</v>
      </c>
      <c r="E62" s="72">
        <v>87856.3046875</v>
      </c>
      <c r="F62" s="72">
        <v>2141288</v>
      </c>
      <c r="G62" s="73">
        <v>24.267311096191406</v>
      </c>
    </row>
    <row r="63" spans="1:7">
      <c r="A63" s="71" t="s">
        <v>305</v>
      </c>
      <c r="B63" s="68">
        <v>9.3922168016433716E-3</v>
      </c>
      <c r="C63" s="72">
        <v>87475.0625</v>
      </c>
      <c r="D63" s="72">
        <v>821.58477783203125</v>
      </c>
      <c r="E63" s="72">
        <v>87064.265625</v>
      </c>
      <c r="F63" s="72">
        <v>2053431.625</v>
      </c>
      <c r="G63" s="73">
        <v>23.474479675292969</v>
      </c>
    </row>
    <row r="64" spans="1:7">
      <c r="A64" s="71" t="s">
        <v>306</v>
      </c>
      <c r="B64" s="68">
        <v>1.017276756465435E-2</v>
      </c>
      <c r="C64" s="72">
        <v>86653.4765625</v>
      </c>
      <c r="D64" s="72">
        <v>881.50567626953125</v>
      </c>
      <c r="E64" s="72">
        <v>86212.71875</v>
      </c>
      <c r="F64" s="72">
        <v>1966367.375</v>
      </c>
      <c r="G64" s="73">
        <v>22.69230842590332</v>
      </c>
    </row>
    <row r="65" spans="1:7">
      <c r="A65" s="71" t="s">
        <v>307</v>
      </c>
      <c r="B65" s="68">
        <v>1.0960295796394348E-2</v>
      </c>
      <c r="C65" s="72">
        <v>85771.96875</v>
      </c>
      <c r="D65" s="72">
        <v>940.08612060546875</v>
      </c>
      <c r="E65" s="72">
        <v>85301.921875</v>
      </c>
      <c r="F65" s="72">
        <v>1880154.625</v>
      </c>
      <c r="G65" s="73">
        <v>21.920385360717773</v>
      </c>
    </row>
    <row r="66" spans="1:7">
      <c r="A66" s="71" t="s">
        <v>308</v>
      </c>
      <c r="B66" s="68">
        <v>1.1741255410015583E-2</v>
      </c>
      <c r="C66" s="72">
        <v>84831.8828125</v>
      </c>
      <c r="D66" s="72">
        <v>996.03277587890625</v>
      </c>
      <c r="E66" s="72">
        <v>84333.8671875</v>
      </c>
      <c r="F66" s="72">
        <v>1794852.75</v>
      </c>
      <c r="G66" s="73">
        <v>21.157760620117188</v>
      </c>
    </row>
    <row r="67" spans="1:7">
      <c r="A67" s="71" t="s">
        <v>309</v>
      </c>
      <c r="B67" s="68">
        <v>1.2523766607046127E-2</v>
      </c>
      <c r="C67" s="72">
        <v>83835.8515625</v>
      </c>
      <c r="D67" s="72">
        <v>1049.940673828125</v>
      </c>
      <c r="E67" s="72">
        <v>83310.8828125</v>
      </c>
      <c r="F67" s="72">
        <v>1710518.875</v>
      </c>
      <c r="G67" s="73">
        <v>20.403190612792969</v>
      </c>
    </row>
    <row r="68" spans="1:7">
      <c r="A68" s="71" t="s">
        <v>310</v>
      </c>
      <c r="B68" s="68">
        <v>1.3340290635824203E-2</v>
      </c>
      <c r="C68" s="72">
        <v>82785.9140625</v>
      </c>
      <c r="D68" s="72">
        <v>1104.38818359375</v>
      </c>
      <c r="E68" s="72">
        <v>82233.71875</v>
      </c>
      <c r="F68" s="72">
        <v>1627208</v>
      </c>
      <c r="G68" s="73">
        <v>19.655614852905273</v>
      </c>
    </row>
    <row r="69" spans="1:7">
      <c r="A69" s="71" t="s">
        <v>311</v>
      </c>
      <c r="B69" s="68">
        <v>1.4218278229236603E-2</v>
      </c>
      <c r="C69" s="72">
        <v>81681.5234375</v>
      </c>
      <c r="D69" s="72">
        <v>1161.37060546875</v>
      </c>
      <c r="E69" s="72">
        <v>81100.84375</v>
      </c>
      <c r="F69" s="72">
        <v>1544974.25</v>
      </c>
      <c r="G69" s="73">
        <v>18.91461181640625</v>
      </c>
    </row>
    <row r="70" spans="1:7">
      <c r="A70" s="71" t="s">
        <v>312</v>
      </c>
      <c r="B70" s="68">
        <v>1.5279612503945827E-2</v>
      </c>
      <c r="C70" s="72">
        <v>80520.15625</v>
      </c>
      <c r="D70" s="72">
        <v>1230.3167724609375</v>
      </c>
      <c r="E70" s="72">
        <v>79905</v>
      </c>
      <c r="F70" s="72">
        <v>1463873.375</v>
      </c>
      <c r="G70" s="73">
        <v>18.180210113525391</v>
      </c>
    </row>
    <row r="71" spans="1:7">
      <c r="A71" s="71" t="s">
        <v>313</v>
      </c>
      <c r="B71" s="68">
        <v>1.6329443082213402E-2</v>
      </c>
      <c r="C71" s="72">
        <v>79289.8359375</v>
      </c>
      <c r="D71" s="72">
        <v>1294.7589111328125</v>
      </c>
      <c r="E71" s="72">
        <v>78642.453125</v>
      </c>
      <c r="F71" s="72">
        <v>1383968.375</v>
      </c>
      <c r="G71" s="73">
        <v>17.454549789428711</v>
      </c>
    </row>
    <row r="72" spans="1:7">
      <c r="A72" s="71" t="s">
        <v>314</v>
      </c>
      <c r="B72" s="68">
        <v>1.7523877322673798E-2</v>
      </c>
      <c r="C72" s="72">
        <v>77995.078125</v>
      </c>
      <c r="D72" s="72">
        <v>1366.776123046875</v>
      </c>
      <c r="E72" s="72">
        <v>77311.6875</v>
      </c>
      <c r="F72" s="72">
        <v>1305326</v>
      </c>
      <c r="G72" s="73">
        <v>16.736003875732422</v>
      </c>
    </row>
    <row r="73" spans="1:7">
      <c r="A73" s="71" t="s">
        <v>315</v>
      </c>
      <c r="B73" s="68">
        <v>1.8824143335223198E-2</v>
      </c>
      <c r="C73" s="72">
        <v>76628.3046875</v>
      </c>
      <c r="D73" s="72">
        <v>1442.462158203125</v>
      </c>
      <c r="E73" s="72">
        <v>75907.078125</v>
      </c>
      <c r="F73" s="72">
        <v>1228014.25</v>
      </c>
      <c r="G73" s="73">
        <v>16.025596618652344</v>
      </c>
    </row>
    <row r="74" spans="1:7">
      <c r="A74" s="71" t="s">
        <v>316</v>
      </c>
      <c r="B74" s="68">
        <v>2.0178917795419693E-2</v>
      </c>
      <c r="C74" s="72">
        <v>75185.84375</v>
      </c>
      <c r="D74" s="72">
        <v>1517.1689453125</v>
      </c>
      <c r="E74" s="72">
        <v>74427.2578125</v>
      </c>
      <c r="F74" s="72">
        <v>1152107.25</v>
      </c>
      <c r="G74" s="73">
        <v>15.323459625244141</v>
      </c>
    </row>
    <row r="75" spans="1:7">
      <c r="A75" s="71" t="s">
        <v>317</v>
      </c>
      <c r="B75" s="68">
        <v>2.1711178123950958E-2</v>
      </c>
      <c r="C75" s="72">
        <v>73668.671875</v>
      </c>
      <c r="D75" s="72">
        <v>1599.4337158203125</v>
      </c>
      <c r="E75" s="72">
        <v>72868.953125</v>
      </c>
      <c r="F75" s="72">
        <v>1077680</v>
      </c>
      <c r="G75" s="73">
        <v>14.628742218017578</v>
      </c>
    </row>
    <row r="76" spans="1:7">
      <c r="A76" s="71" t="s">
        <v>318</v>
      </c>
      <c r="B76" s="68">
        <v>2.3520652204751968E-2</v>
      </c>
      <c r="C76" s="72">
        <v>72069.234375</v>
      </c>
      <c r="D76" s="72">
        <v>1695.1153564453125</v>
      </c>
      <c r="E76" s="72">
        <v>71221.671875</v>
      </c>
      <c r="F76" s="72">
        <v>1004811</v>
      </c>
      <c r="G76" s="73">
        <v>13.942301750183105</v>
      </c>
    </row>
    <row r="77" spans="1:7">
      <c r="A77" s="71" t="s">
        <v>319</v>
      </c>
      <c r="B77" s="68">
        <v>2.5617793202400208E-2</v>
      </c>
      <c r="C77" s="72">
        <v>70374.1171875</v>
      </c>
      <c r="D77" s="72">
        <v>1802.82958984375</v>
      </c>
      <c r="E77" s="72">
        <v>69472.703125</v>
      </c>
      <c r="F77" s="72">
        <v>933589.3125</v>
      </c>
      <c r="G77" s="73">
        <v>13.26608943939209</v>
      </c>
    </row>
    <row r="78" spans="1:7">
      <c r="A78" s="71" t="s">
        <v>320</v>
      </c>
      <c r="B78" s="68">
        <v>2.8122082352638245E-2</v>
      </c>
      <c r="C78" s="72">
        <v>68571.2890625</v>
      </c>
      <c r="D78" s="72">
        <v>1928.367431640625</v>
      </c>
      <c r="E78" s="72">
        <v>67607.109375</v>
      </c>
      <c r="F78" s="72">
        <v>864116.625</v>
      </c>
      <c r="G78" s="73">
        <v>12.601726531982422</v>
      </c>
    </row>
    <row r="79" spans="1:7">
      <c r="A79" s="71" t="s">
        <v>321</v>
      </c>
      <c r="B79" s="68">
        <v>3.0466774478554726E-2</v>
      </c>
      <c r="C79" s="72">
        <v>66642.921875</v>
      </c>
      <c r="D79" s="72">
        <v>2030.3948974609375</v>
      </c>
      <c r="E79" s="72">
        <v>65627.7265625</v>
      </c>
      <c r="F79" s="72">
        <v>796509.5</v>
      </c>
      <c r="G79" s="73">
        <v>11.951899528503418</v>
      </c>
    </row>
    <row r="80" spans="1:7">
      <c r="A80" s="71" t="s">
        <v>322</v>
      </c>
      <c r="B80" s="68">
        <v>3.4339193254709244E-2</v>
      </c>
      <c r="C80" s="72">
        <v>64612.52734375</v>
      </c>
      <c r="D80" s="72">
        <v>2218.741943359375</v>
      </c>
      <c r="E80" s="72">
        <v>63503.15625</v>
      </c>
      <c r="F80" s="72">
        <v>730881.75</v>
      </c>
      <c r="G80" s="73">
        <v>11.311765670776367</v>
      </c>
    </row>
    <row r="81" spans="1:7">
      <c r="A81" s="71" t="s">
        <v>323</v>
      </c>
      <c r="B81" s="68">
        <v>3.7380039691925049E-2</v>
      </c>
      <c r="C81" s="72">
        <v>62393.78515625</v>
      </c>
      <c r="D81" s="72">
        <v>2332.2822265625</v>
      </c>
      <c r="E81" s="72">
        <v>61227.64453125</v>
      </c>
      <c r="F81" s="72">
        <v>667378.625</v>
      </c>
      <c r="G81" s="73">
        <v>10.696235656738281</v>
      </c>
    </row>
    <row r="82" spans="1:7">
      <c r="A82" s="71" t="s">
        <v>324</v>
      </c>
      <c r="B82" s="68">
        <v>4.1499711573123932E-2</v>
      </c>
      <c r="C82" s="72">
        <v>60061.50390625</v>
      </c>
      <c r="D82" s="72">
        <v>2492.53515625</v>
      </c>
      <c r="E82" s="72">
        <v>58815.234375</v>
      </c>
      <c r="F82" s="72">
        <v>606151</v>
      </c>
      <c r="G82" s="73">
        <v>10.092171669006348</v>
      </c>
    </row>
    <row r="83" spans="1:7">
      <c r="A83" s="71" t="s">
        <v>325</v>
      </c>
      <c r="B83" s="68">
        <v>4.5247048139572144E-2</v>
      </c>
      <c r="C83" s="72">
        <v>57568.96875</v>
      </c>
      <c r="D83" s="72">
        <v>2604.825927734375</v>
      </c>
      <c r="E83" s="72">
        <v>56266.5546875</v>
      </c>
      <c r="F83" s="72">
        <v>547335.75</v>
      </c>
      <c r="G83" s="73">
        <v>9.5074787139892578</v>
      </c>
    </row>
    <row r="84" spans="1:7">
      <c r="A84" s="71" t="s">
        <v>326</v>
      </c>
      <c r="B84" s="68">
        <v>5.0833046436309814E-2</v>
      </c>
      <c r="C84" s="72">
        <v>54964.14453125</v>
      </c>
      <c r="D84" s="72">
        <v>2793.994873046875</v>
      </c>
      <c r="E84" s="72">
        <v>53567.1484375</v>
      </c>
      <c r="F84" s="72">
        <v>491069.1875</v>
      </c>
      <c r="G84" s="73">
        <v>8.9343547821044922</v>
      </c>
    </row>
    <row r="85" spans="1:7">
      <c r="A85" s="71" t="s">
        <v>327</v>
      </c>
      <c r="B85" s="68">
        <v>5.6254032999277115E-2</v>
      </c>
      <c r="C85" s="72">
        <v>52170.1484375</v>
      </c>
      <c r="D85" s="72">
        <v>2934.78125</v>
      </c>
      <c r="E85" s="72">
        <v>50702.7578125</v>
      </c>
      <c r="F85" s="72">
        <v>437502.03125</v>
      </c>
      <c r="G85" s="73">
        <v>8.3860607147216797</v>
      </c>
    </row>
    <row r="86" spans="1:7">
      <c r="A86" s="71" t="s">
        <v>328</v>
      </c>
      <c r="B86" s="68">
        <v>6.2470700591802597E-2</v>
      </c>
      <c r="C86" s="72">
        <v>49235.3671875</v>
      </c>
      <c r="D86" s="72">
        <v>3075.767822265625</v>
      </c>
      <c r="E86" s="72">
        <v>47697.484375</v>
      </c>
      <c r="F86" s="72">
        <v>386799.28125</v>
      </c>
      <c r="G86" s="73">
        <v>7.8561267852783203</v>
      </c>
    </row>
    <row r="87" spans="1:7">
      <c r="A87" s="71" t="s">
        <v>329</v>
      </c>
      <c r="B87" s="68">
        <v>6.9525532424449921E-2</v>
      </c>
      <c r="C87" s="72">
        <v>46159.59765625</v>
      </c>
      <c r="D87" s="72">
        <v>3209.2705078125</v>
      </c>
      <c r="E87" s="72">
        <v>44554.9609375</v>
      </c>
      <c r="F87" s="72">
        <v>339101.78125</v>
      </c>
      <c r="G87" s="73">
        <v>7.3462896347045898</v>
      </c>
    </row>
    <row r="88" spans="1:7">
      <c r="A88" s="71" t="s">
        <v>330</v>
      </c>
      <c r="B88" s="68">
        <v>7.6868720352649689E-2</v>
      </c>
      <c r="C88" s="72">
        <v>42950.328125</v>
      </c>
      <c r="D88" s="72">
        <v>3301.536865234375</v>
      </c>
      <c r="E88" s="72">
        <v>41299.5625</v>
      </c>
      <c r="F88" s="72">
        <v>294546.84375</v>
      </c>
      <c r="G88" s="73">
        <v>6.8578486442565918</v>
      </c>
    </row>
    <row r="89" spans="1:7">
      <c r="A89" s="71" t="s">
        <v>331</v>
      </c>
      <c r="B89" s="68">
        <v>8.6053855717182159E-2</v>
      </c>
      <c r="C89" s="72">
        <v>39648.79296875</v>
      </c>
      <c r="D89" s="72">
        <v>3411.931396484375</v>
      </c>
      <c r="E89" s="72">
        <v>37942.828125</v>
      </c>
      <c r="F89" s="72">
        <v>253247.265625</v>
      </c>
      <c r="G89" s="73">
        <v>6.3872628211975098</v>
      </c>
    </row>
    <row r="90" spans="1:7">
      <c r="A90" s="71" t="s">
        <v>332</v>
      </c>
      <c r="B90" s="68">
        <v>9.4544515013694763E-2</v>
      </c>
      <c r="C90" s="72">
        <v>36236.86328125</v>
      </c>
      <c r="D90" s="72">
        <v>3425.99658203125</v>
      </c>
      <c r="E90" s="72">
        <v>34523.8671875</v>
      </c>
      <c r="F90" s="72">
        <v>215304.4375</v>
      </c>
      <c r="G90" s="73">
        <v>5.9415860176086426</v>
      </c>
    </row>
    <row r="91" spans="1:7">
      <c r="A91" s="71" t="s">
        <v>333</v>
      </c>
      <c r="B91" s="68">
        <v>0.10619527846574783</v>
      </c>
      <c r="C91" s="72">
        <v>32810.8671875</v>
      </c>
      <c r="D91" s="72">
        <v>3484.359130859375</v>
      </c>
      <c r="E91" s="72">
        <v>31068.6875</v>
      </c>
      <c r="F91" s="72">
        <v>180780.578125</v>
      </c>
      <c r="G91" s="73">
        <v>5.5097775459289551</v>
      </c>
    </row>
    <row r="92" spans="1:7">
      <c r="A92" s="71" t="s">
        <v>334</v>
      </c>
      <c r="B92" s="68">
        <v>0.11898317933082581</v>
      </c>
      <c r="C92" s="72">
        <v>29326.5078125</v>
      </c>
      <c r="D92" s="72">
        <v>3489.361083984375</v>
      </c>
      <c r="E92" s="72">
        <v>27581.828125</v>
      </c>
      <c r="F92" s="72">
        <v>149711.890625</v>
      </c>
      <c r="G92" s="73">
        <v>5.1050024032592773</v>
      </c>
    </row>
    <row r="93" spans="1:7">
      <c r="A93" s="71" t="s">
        <v>335</v>
      </c>
      <c r="B93" s="68">
        <v>0.132945716381073</v>
      </c>
      <c r="C93" s="72">
        <v>25837.146484375</v>
      </c>
      <c r="D93" s="72">
        <v>3434.93798828125</v>
      </c>
      <c r="E93" s="72">
        <v>24119.677734375</v>
      </c>
      <c r="F93" s="72">
        <v>122130.0625</v>
      </c>
      <c r="G93" s="73">
        <v>4.7269177436828613</v>
      </c>
    </row>
    <row r="94" spans="1:7">
      <c r="A94" s="71" t="s">
        <v>336</v>
      </c>
      <c r="B94" s="68">
        <v>0.14810365438461304</v>
      </c>
      <c r="C94" s="72">
        <v>22402.208984375</v>
      </c>
      <c r="D94" s="72">
        <v>3317.84912109375</v>
      </c>
      <c r="E94" s="72">
        <v>20743.28515625</v>
      </c>
      <c r="F94" s="72">
        <v>98010.3828125</v>
      </c>
      <c r="G94" s="73">
        <v>4.3750319480895996</v>
      </c>
    </row>
    <row r="95" spans="1:7">
      <c r="A95" s="71" t="s">
        <v>337</v>
      </c>
      <c r="B95" s="68">
        <v>0.16445732116699219</v>
      </c>
      <c r="C95" s="72">
        <v>19084.359375</v>
      </c>
      <c r="D95" s="72">
        <v>3138.5625</v>
      </c>
      <c r="E95" s="72">
        <v>17515.078125</v>
      </c>
      <c r="F95" s="72">
        <v>77267.09375</v>
      </c>
      <c r="G95" s="73">
        <v>4.048713207244873</v>
      </c>
    </row>
    <row r="96" spans="1:7">
      <c r="A96" s="71" t="s">
        <v>338</v>
      </c>
      <c r="B96" s="68">
        <v>0.18198303878307343</v>
      </c>
      <c r="C96" s="72">
        <v>15945.796875</v>
      </c>
      <c r="D96" s="72">
        <v>2901.864501953125</v>
      </c>
      <c r="E96" s="72">
        <v>14494.865234375</v>
      </c>
      <c r="F96" s="72">
        <v>59752.01953125</v>
      </c>
      <c r="G96" s="73">
        <v>3.7471954822540283</v>
      </c>
    </row>
    <row r="97" spans="1:7">
      <c r="A97" s="71" t="s">
        <v>339</v>
      </c>
      <c r="B97" s="68">
        <v>0.2006303071975708</v>
      </c>
      <c r="C97" s="72">
        <v>13043.9326171875</v>
      </c>
      <c r="D97" s="72">
        <v>2617.00830078125</v>
      </c>
      <c r="E97" s="72">
        <v>11735.427734375</v>
      </c>
      <c r="F97" s="72">
        <v>45257.15234375</v>
      </c>
      <c r="G97" s="73">
        <v>3.4695942401885986</v>
      </c>
    </row>
    <row r="98" spans="1:7">
      <c r="A98" s="71" t="s">
        <v>340</v>
      </c>
      <c r="B98" s="68">
        <v>0.22031974792480469</v>
      </c>
      <c r="C98" s="72">
        <v>10426.923828125</v>
      </c>
      <c r="D98" s="72">
        <v>2297.25732421875</v>
      </c>
      <c r="E98" s="72">
        <v>9278.294921875</v>
      </c>
      <c r="F98" s="72">
        <v>33521.7265625</v>
      </c>
      <c r="G98" s="73">
        <v>3.2149200439453125</v>
      </c>
    </row>
    <row r="99" spans="1:7">
      <c r="A99" s="71" t="s">
        <v>341</v>
      </c>
      <c r="B99" s="68">
        <v>0.24094247817993164</v>
      </c>
      <c r="C99" s="72">
        <v>8129.66650390625</v>
      </c>
      <c r="D99" s="72">
        <v>1958.781982421875</v>
      </c>
      <c r="E99" s="72">
        <v>7150.275390625</v>
      </c>
      <c r="F99" s="72">
        <v>24243.431640625</v>
      </c>
      <c r="G99" s="73">
        <v>2.9820942878723145</v>
      </c>
    </row>
    <row r="100" spans="1:7">
      <c r="A100" s="71" t="s">
        <v>342</v>
      </c>
      <c r="B100" s="68">
        <v>0.26236090064048767</v>
      </c>
      <c r="C100" s="72">
        <v>6170.884765625</v>
      </c>
      <c r="D100" s="72">
        <v>1618.9989013671875</v>
      </c>
      <c r="E100" s="72">
        <v>5361.38525390625</v>
      </c>
      <c r="F100" s="72">
        <v>17093.15625</v>
      </c>
      <c r="G100" s="73">
        <v>2.7699685096740723</v>
      </c>
    </row>
    <row r="101" spans="1:7">
      <c r="A101" s="71" t="s">
        <v>343</v>
      </c>
      <c r="B101" s="68">
        <v>0.28441134095191956</v>
      </c>
      <c r="C101" s="72">
        <v>4551.8857421875</v>
      </c>
      <c r="D101" s="72">
        <v>1294.60791015625</v>
      </c>
      <c r="E101" s="72">
        <v>3904.581787109375</v>
      </c>
      <c r="F101" s="72">
        <v>11731.7705078125</v>
      </c>
      <c r="G101" s="73">
        <v>2.5773429870605469</v>
      </c>
    </row>
    <row r="102" spans="1:7">
      <c r="A102" s="71" t="s">
        <v>344</v>
      </c>
      <c r="B102" s="68">
        <v>0.3069082498550415</v>
      </c>
      <c r="C102" s="72">
        <v>3257.27783203125</v>
      </c>
      <c r="D102" s="72">
        <v>999.6854248046875</v>
      </c>
      <c r="E102" s="72">
        <v>2757.43505859375</v>
      </c>
      <c r="F102" s="72">
        <v>7827.1884765625</v>
      </c>
      <c r="G102" s="73">
        <v>2.402984619140625</v>
      </c>
    </row>
    <row r="103" spans="1:7">
      <c r="A103" s="71" t="s">
        <v>345</v>
      </c>
      <c r="B103" s="68">
        <v>0.32965001463890076</v>
      </c>
      <c r="C103" s="72">
        <v>2257.59228515625</v>
      </c>
      <c r="D103" s="72">
        <v>744.21533203125</v>
      </c>
      <c r="E103" s="72">
        <v>1885.484619140625</v>
      </c>
      <c r="F103" s="72">
        <v>5069.75341796875</v>
      </c>
      <c r="G103" s="73">
        <v>2.2456462383270264</v>
      </c>
    </row>
    <row r="104" spans="1:7">
      <c r="A104" s="74" t="s">
        <v>346</v>
      </c>
      <c r="B104" s="75">
        <v>1</v>
      </c>
      <c r="C104" s="76">
        <v>1513.376953125</v>
      </c>
      <c r="D104" s="76">
        <v>1513.376953125</v>
      </c>
      <c r="E104" s="76">
        <v>3184.268798828125</v>
      </c>
      <c r="F104" s="76">
        <v>3184.268798828125</v>
      </c>
      <c r="G104" s="77">
        <v>2.1040816307067871</v>
      </c>
    </row>
    <row r="105" spans="1:7" ht="14.5" customHeight="1">
      <c r="A105" s="149" t="s">
        <v>347</v>
      </c>
      <c r="B105" s="149"/>
      <c r="C105" s="149"/>
      <c r="D105" s="149"/>
      <c r="E105" s="149"/>
      <c r="F105" s="149"/>
      <c r="G105" s="149"/>
    </row>
    <row r="106" spans="1:7">
      <c r="A106" s="78"/>
      <c r="B106" s="78"/>
      <c r="C106" s="78"/>
      <c r="D106" s="78"/>
      <c r="E106" s="78"/>
      <c r="F106" s="78"/>
      <c r="G106" s="78"/>
    </row>
  </sheetData>
  <mergeCells count="3">
    <mergeCell ref="A1:G1"/>
    <mergeCell ref="A2:A3"/>
    <mergeCell ref="A105:G105"/>
  </mergeCells>
  <pageMargins left="0.7" right="0.45" top="0.75" bottom="0.75" header="0.3" footer="0.3"/>
  <pageSetup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D2A3-3503-48E7-B317-74FEB966EE91}">
  <dimension ref="B3:AB66"/>
  <sheetViews>
    <sheetView topLeftCell="I2" zoomScale="125" zoomScaleNormal="125" workbookViewId="0">
      <selection activeCell="J28" sqref="J28"/>
    </sheetView>
  </sheetViews>
  <sheetFormatPr baseColWidth="10" defaultColWidth="8.83203125" defaultRowHeight="13"/>
  <cols>
    <col min="1" max="2" width="8.83203125" style="79"/>
    <col min="3" max="3" width="12.33203125" style="79" bestFit="1" customWidth="1"/>
    <col min="4" max="4" width="8.83203125" style="79"/>
    <col min="5" max="5" width="15.6640625" style="79" customWidth="1"/>
    <col min="6" max="6" width="8.83203125" style="79"/>
    <col min="7" max="7" width="9.1640625" style="79" bestFit="1" customWidth="1"/>
    <col min="8" max="8" width="24.6640625" style="79" bestFit="1" customWidth="1"/>
    <col min="9" max="9" width="13.5" style="79" customWidth="1"/>
    <col min="10" max="13" width="8.83203125" style="79"/>
    <col min="14" max="14" width="15.83203125" style="79" customWidth="1"/>
    <col min="15" max="15" width="8.83203125" style="79"/>
    <col min="16" max="16" width="12.6640625" style="79" customWidth="1"/>
    <col min="17" max="17" width="8.83203125" style="79"/>
    <col min="18" max="18" width="11.1640625" style="79" customWidth="1"/>
    <col min="19" max="16384" width="8.83203125" style="79"/>
  </cols>
  <sheetData>
    <row r="3" spans="2:28">
      <c r="O3" s="150" t="s">
        <v>348</v>
      </c>
      <c r="P3" s="150"/>
    </row>
    <row r="4" spans="2:28">
      <c r="E4" s="79" t="s">
        <v>349</v>
      </c>
      <c r="F4" s="79" t="s">
        <v>174</v>
      </c>
      <c r="N4" s="79" t="s">
        <v>350</v>
      </c>
      <c r="O4" s="79" t="s">
        <v>351</v>
      </c>
      <c r="P4" s="79" t="s">
        <v>352</v>
      </c>
    </row>
    <row r="5" spans="2:28" ht="16">
      <c r="B5" s="79" t="s">
        <v>103</v>
      </c>
      <c r="C5" s="79">
        <f>DATEDIF(E15,E18,"d")</f>
        <v>16000</v>
      </c>
      <c r="D5" s="80">
        <f>C5/365.25</f>
        <v>43.805612594113619</v>
      </c>
      <c r="E5" s="81">
        <v>43</v>
      </c>
      <c r="F5" s="82" t="s">
        <v>353</v>
      </c>
      <c r="G5" s="83" t="s">
        <v>354</v>
      </c>
      <c r="H5" s="82" t="s">
        <v>355</v>
      </c>
      <c r="I5" s="82" t="s">
        <v>356</v>
      </c>
      <c r="J5" s="82" t="s">
        <v>357</v>
      </c>
      <c r="K5" s="82" t="s">
        <v>358</v>
      </c>
      <c r="L5" s="82" t="s">
        <v>359</v>
      </c>
      <c r="M5" s="82" t="s">
        <v>360</v>
      </c>
    </row>
    <row r="6" spans="2:28" ht="16">
      <c r="B6" s="79" t="s">
        <v>361</v>
      </c>
      <c r="C6" s="79">
        <f>DATEDIF(E21,E18,"d")</f>
        <v>440</v>
      </c>
      <c r="D6" s="84">
        <f>C6/365.25</f>
        <v>1.2046543463381245</v>
      </c>
    </row>
    <row r="7" spans="2:28" ht="16">
      <c r="B7" s="79" t="s">
        <v>362</v>
      </c>
      <c r="D7" s="85"/>
      <c r="E7" s="82" t="s">
        <v>362</v>
      </c>
      <c r="F7" s="86">
        <f>VLOOKUP(E5,[1]M_LF_ALL!$A$1:$C$75,3,FALSE)</f>
        <v>34</v>
      </c>
      <c r="N7" s="87">
        <f>VLOOKUP(E5,[2]F_LF_ALL!$A$2:$C$74,3,FALSE)</f>
        <v>39.815711975097656</v>
      </c>
      <c r="O7" s="86">
        <f>VLOOKUP($E$5,[2]M_LF_ALL!$A$1:$D$74,3,FALSE)</f>
        <v>36.005893707275391</v>
      </c>
      <c r="P7" s="87">
        <f>VLOOKUP($E$5,[2]F_LF_ALL!$A$1:$D$74,3,FALSE)</f>
        <v>39.815711975097656</v>
      </c>
    </row>
    <row r="8" spans="2:28" ht="16">
      <c r="B8" s="79" t="s">
        <v>363</v>
      </c>
      <c r="D8" s="80">
        <v>19.64</v>
      </c>
      <c r="E8" s="88" t="s">
        <v>65</v>
      </c>
      <c r="F8" s="86">
        <f>VLOOKUP(E5,[1]M_LF_ALL!$A$1:$B$75,2,FALSE)</f>
        <v>19.64</v>
      </c>
      <c r="G8" s="86">
        <f>VLOOKUP($E$5,[1]M_10_12_LF_HS!$A$1:$B$75,2,FALSE)</f>
        <v>14.68</v>
      </c>
      <c r="H8" s="86">
        <f>VLOOKUP($E$5,[1]M_LF_HSD!$A$1:$B$75,2,FALSE)</f>
        <v>18.170000000000002</v>
      </c>
      <c r="I8" s="86">
        <f>VLOOKUP($E$5,[1]M_LF_GED!$A$1:$B$75,2,FALSE)</f>
        <v>15.01</v>
      </c>
      <c r="J8" s="86">
        <f>VLOOKUP($E$5,[1]M_SC!$A$1:$B$75,2,FALSE)</f>
        <v>19.100000000000001</v>
      </c>
      <c r="K8" s="86">
        <f>VLOOKUP($E$5,[1]M_ASS!$A$1:$B$75,2,FALSE)</f>
        <v>20.09</v>
      </c>
      <c r="L8" s="86">
        <f>VLOOKUP($E$5,[1]M_Coll!$A$1:$B$75,2,FALSE)</f>
        <v>21.67</v>
      </c>
      <c r="M8" s="86">
        <f>VLOOKUP($E$5,[1]M_Prof!$A$1:$B$75,2,FALSE)</f>
        <v>24.37</v>
      </c>
      <c r="N8" s="87">
        <f>VLOOKUP(E5,[2]F_LF_ALL!$A$2:$B$74,2,FALSE)</f>
        <v>19.546056250261241</v>
      </c>
      <c r="O8" s="86">
        <f>VLOOKUP($E$5,[2]M_LF_C!$A$1:$D$74,2,FALSE)</f>
        <v>21.921978048165759</v>
      </c>
      <c r="P8" s="87">
        <f>VLOOKUP($E$5,[3]F_LF_C!$A$1:$D$74,2,FALSE)</f>
        <v>22.566498777329606</v>
      </c>
    </row>
    <row r="9" spans="2:28" ht="16">
      <c r="B9" s="79" t="s">
        <v>364</v>
      </c>
      <c r="C9" s="85"/>
      <c r="D9" s="80"/>
      <c r="E9" s="82" t="s">
        <v>365</v>
      </c>
      <c r="F9" s="86">
        <f>VLOOKUP(E5,[1]M_LF_ALL!$A$1:DB$75,4,FALSE)</f>
        <v>77</v>
      </c>
      <c r="G9" s="86">
        <f>VLOOKUP($E$5,[1]M_10_12_LF_HS!$A$1:$B$75,2,FALSE)</f>
        <v>14.68</v>
      </c>
      <c r="H9" s="86">
        <f>VLOOKUP($E$5,[1]M_LF_HSD!$A$1:$B$75,2,FALSE)</f>
        <v>18.170000000000002</v>
      </c>
      <c r="I9" s="86">
        <f>VLOOKUP($E$5,[1]M_LF_GED!$A$1:$B$75,2,FALSE)</f>
        <v>15.01</v>
      </c>
      <c r="J9" s="86">
        <f>VLOOKUP($E$5,[1]M_SC!$A$1:$B$75,2,FALSE)</f>
        <v>19.100000000000001</v>
      </c>
      <c r="K9" s="86">
        <f>VLOOKUP($E$5,[1]M_ASS!$A$1:$B$75,2,FALSE)</f>
        <v>20.09</v>
      </c>
      <c r="L9" s="86">
        <f>VLOOKUP($E$5,[1]M_Coll!$A$1:$B$75,2,FALSE)</f>
        <v>21.67</v>
      </c>
      <c r="N9" s="87">
        <f>VLOOKUP(E5,[2]F_LF_ALL!$A$2:$D$74,4,FALSE)</f>
        <v>82.815711975097656</v>
      </c>
      <c r="O9" s="86">
        <f>VLOOKUP($E$5,[2]M_LF_ALL!$A$1:$D$74,4,FALSE)</f>
        <v>79.005893707275391</v>
      </c>
      <c r="P9" s="87">
        <f>VLOOKUP($E$5,[3]F_LF_ALL!$A$1:$D$74,4,FALSE)</f>
        <v>82.617176055908203</v>
      </c>
    </row>
    <row r="10" spans="2:28" ht="16">
      <c r="B10" s="82" t="s">
        <v>366</v>
      </c>
      <c r="D10" s="86">
        <v>0.19</v>
      </c>
      <c r="G10" s="89">
        <f>F7+D5</f>
        <v>77.805612594113626</v>
      </c>
      <c r="H10" s="90"/>
      <c r="I10" s="90"/>
      <c r="J10" s="90"/>
      <c r="K10" s="90"/>
      <c r="L10" s="90"/>
      <c r="P10" s="85">
        <f>P9-D5</f>
        <v>38.811563461794584</v>
      </c>
    </row>
    <row r="11" spans="2:28" ht="16">
      <c r="B11" s="82" t="s">
        <v>367</v>
      </c>
      <c r="C11" s="85"/>
      <c r="D11" s="86">
        <v>0.23</v>
      </c>
      <c r="G11" s="90"/>
      <c r="H11" s="90"/>
      <c r="I11" s="90"/>
      <c r="J11" s="90"/>
      <c r="K11" s="90"/>
      <c r="L11" s="90"/>
      <c r="P11" s="79" t="s">
        <v>353</v>
      </c>
      <c r="Q11" s="79" t="s">
        <v>368</v>
      </c>
      <c r="R11" s="79" t="s">
        <v>369</v>
      </c>
      <c r="S11" s="79" t="s">
        <v>370</v>
      </c>
      <c r="T11" s="79" t="s">
        <v>371</v>
      </c>
      <c r="U11" s="79" t="s">
        <v>372</v>
      </c>
      <c r="V11" s="79" t="s">
        <v>373</v>
      </c>
      <c r="W11" s="79" t="s">
        <v>369</v>
      </c>
      <c r="X11" s="79" t="s">
        <v>370</v>
      </c>
      <c r="Y11" s="79" t="s">
        <v>374</v>
      </c>
      <c r="Z11" s="79" t="s">
        <v>375</v>
      </c>
      <c r="AA11" s="79" t="s">
        <v>376</v>
      </c>
      <c r="AB11" s="79" t="s">
        <v>377</v>
      </c>
    </row>
    <row r="12" spans="2:28" ht="16">
      <c r="B12" s="82" t="s">
        <v>378</v>
      </c>
      <c r="C12" s="85"/>
      <c r="D12" s="86">
        <v>0.1</v>
      </c>
      <c r="G12" s="90"/>
      <c r="H12" s="90"/>
      <c r="I12" s="90"/>
      <c r="J12" s="90"/>
      <c r="K12" s="90"/>
      <c r="L12" s="90"/>
    </row>
    <row r="13" spans="2:28" ht="16">
      <c r="B13" s="82" t="s">
        <v>379</v>
      </c>
      <c r="C13" s="85"/>
      <c r="G13" s="90"/>
      <c r="H13" s="90"/>
      <c r="I13" s="90"/>
      <c r="J13" s="90"/>
      <c r="K13" s="90"/>
      <c r="L13" s="90"/>
    </row>
    <row r="14" spans="2:28" ht="16">
      <c r="C14" s="85"/>
      <c r="G14" s="90"/>
      <c r="H14" s="90"/>
      <c r="I14" s="90"/>
      <c r="J14" s="90"/>
      <c r="K14" s="90"/>
      <c r="L14" s="90"/>
    </row>
    <row r="15" spans="2:28" ht="16">
      <c r="B15" s="79" t="s">
        <v>380</v>
      </c>
      <c r="C15" s="79" t="s">
        <v>381</v>
      </c>
      <c r="D15" s="91">
        <v>12</v>
      </c>
      <c r="E15" s="92">
        <f>DATE(D17,D15,D16)</f>
        <v>29580</v>
      </c>
      <c r="F15" s="82" t="s">
        <v>350</v>
      </c>
      <c r="G15" s="90"/>
      <c r="H15" s="90"/>
      <c r="I15" s="90"/>
      <c r="J15" s="90"/>
      <c r="K15" s="90"/>
      <c r="L15" s="90"/>
      <c r="N15" s="79" t="s">
        <v>382</v>
      </c>
      <c r="O15" s="91">
        <v>2011</v>
      </c>
      <c r="P15" s="79">
        <f>VLOOKUP(O15,'[4]All Workers ECI'!$B$1:$G$444,6,FALSE)</f>
        <v>115.16666666666667</v>
      </c>
      <c r="Q15" s="79">
        <f>VLOOKUP(O15,'[4]Business Management'!$C$3:$H$32,6,FALSE)</f>
        <v>114.75000000000001</v>
      </c>
      <c r="R15" s="79">
        <f>VLOOKUP($O$15,[4]Professional!$C$2:$H$31,6,FALSE)</f>
        <v>115.64999999999999</v>
      </c>
      <c r="S15" s="79">
        <f>VLOOKUP($O$15,'[4]Office &amp; Admin'!$B$1:$G$30,6,FALSE)</f>
        <v>116.22500000000001</v>
      </c>
      <c r="T15" s="79">
        <f>VLOOKUP($O$15,[4]Service!$C$1:$H$38,6,FALSE)</f>
        <v>116.1</v>
      </c>
      <c r="U15" s="79">
        <f>VLOOKUP($O$15,[4]PIALL!$C$1:$H$39,6,FALSE)</f>
        <v>114.3</v>
      </c>
      <c r="V15" s="79">
        <f>VLOOKUP($O$15,[4]PIB!$C$1:$H$34,6,FALSE)</f>
        <v>114.47499999999999</v>
      </c>
      <c r="W15" s="79">
        <f>VLOOKUP($O$15,[4]PIP!$C$1:$H$31,6,FALSE)</f>
        <v>115.2</v>
      </c>
      <c r="X15" s="79">
        <f>VLOOKUP($O$15,[4]PIO!$C$1:$H$31,6,FALSE)</f>
        <v>115.89999999999999</v>
      </c>
      <c r="Y15" s="79">
        <f>VLOOKUP($O$15,[4]PIS!$C$1:$H$36,6,FALSE)</f>
        <v>114.9</v>
      </c>
      <c r="Z15" s="79">
        <f>VLOOKUP($O$15,[4]SAL!$C$1:$H$35,6,FALSE)</f>
        <v>117.14999999999999</v>
      </c>
      <c r="AA15" s="79">
        <f>VLOOKUP($O$15,[4]PAR!$C$1:$H$27,6,FALSE)</f>
        <v>116.375</v>
      </c>
      <c r="AB15" s="79">
        <f>VLOOKUP($O$15,[4]PISA!$C$1:$H$31,6,FALSE)</f>
        <v>109.64999999999999</v>
      </c>
    </row>
    <row r="16" spans="2:28" ht="16">
      <c r="C16" s="79" t="s">
        <v>383</v>
      </c>
      <c r="D16" s="91">
        <v>25</v>
      </c>
      <c r="G16" s="90"/>
      <c r="H16" s="90"/>
      <c r="I16" s="90"/>
      <c r="J16" s="90"/>
      <c r="K16" s="90"/>
      <c r="L16" s="90"/>
      <c r="N16" s="79" t="s">
        <v>384</v>
      </c>
      <c r="O16" s="91">
        <v>2018</v>
      </c>
      <c r="P16" s="79">
        <f>VLOOKUP(O16,'[4]All Workers ECI'!$B$1:$G$444,6,FALSE)</f>
        <v>133.4</v>
      </c>
      <c r="Q16" s="79">
        <f>VLOOKUP(O16,'[4]Business Management'!$C$3:$H$32,6,FALSE)</f>
        <v>134.16666666666666</v>
      </c>
      <c r="R16" s="79">
        <f>VLOOKUP($O$16,[4]Professional!$C$2:$H$31,6,FALSE)</f>
        <v>132.43333333333331</v>
      </c>
      <c r="S16" s="79">
        <f>VLOOKUP($O$16,'[4]Office &amp; Admin'!$B$1:$G$30,6,FALSE)</f>
        <v>136.5</v>
      </c>
      <c r="T16" s="79">
        <f>VLOOKUP($O$16,[4]Service!$C$1:$H$38,6,FALSE)</f>
        <v>135.1</v>
      </c>
      <c r="U16" s="79">
        <f>VLOOKUP($O$16,[4]PIALL!$C$1:$H$39,6,FALSE)</f>
        <v>132.86666666666667</v>
      </c>
      <c r="V16" s="79">
        <f>VLOOKUP($O$16,[4]PIB!$C$1:$H$41,6,FALSE)</f>
        <v>133.93333333333334</v>
      </c>
      <c r="W16" s="79">
        <f>VLOOKUP($O$16,[4]PIP!$C$1:$H$34,6,FALSE)</f>
        <v>131.56666666666666</v>
      </c>
      <c r="X16" s="79">
        <f>VLOOKUP($O$16,[4]PIO!$C$1:$H$34,6,FALSE)</f>
        <v>136.26666666666668</v>
      </c>
      <c r="Y16" s="79">
        <f>VLOOKUP($O$16,[4]PIS!$C$1:$H$39,6,FALSE)</f>
        <v>133.56666666666666</v>
      </c>
      <c r="Z16" s="79">
        <f>VLOOKUP($O$16,[4]SAL!$C$1:$H$38,6,FALSE)</f>
        <v>135.5</v>
      </c>
      <c r="AA16" s="79">
        <f>VLOOKUP($O$16,[4]PAR!$C$1:$H$30,6,FALSE)</f>
        <v>133.99999999999997</v>
      </c>
      <c r="AB16" s="79">
        <f>VLOOKUP($O$16,[4]PISA!$C$1:$H$34,6,FALSE)</f>
        <v>130.80000000000001</v>
      </c>
    </row>
    <row r="17" spans="2:28" ht="16">
      <c r="C17" s="79" t="s">
        <v>2</v>
      </c>
      <c r="D17" s="91">
        <v>1980</v>
      </c>
      <c r="F17" s="82" t="s">
        <v>385</v>
      </c>
      <c r="G17" s="86">
        <f>VLOOKUP(E5,[1]F_LF_ALL!$A$1:$C$75,3,FALSE)</f>
        <v>38.299999999999997</v>
      </c>
      <c r="H17" s="90"/>
      <c r="I17" s="90"/>
      <c r="J17" s="90"/>
      <c r="K17" s="90"/>
      <c r="L17" s="90"/>
      <c r="M17" s="90"/>
      <c r="N17" s="79" t="s">
        <v>386</v>
      </c>
      <c r="O17" s="79">
        <f>O16-O15</f>
        <v>7</v>
      </c>
    </row>
    <row r="18" spans="2:28" ht="16">
      <c r="B18" s="79" t="s">
        <v>387</v>
      </c>
      <c r="C18" s="79" t="s">
        <v>381</v>
      </c>
      <c r="D18" s="91">
        <v>10</v>
      </c>
      <c r="E18" s="92">
        <f>DATE(D20,D18,D19)</f>
        <v>45580</v>
      </c>
      <c r="F18" s="86">
        <f>VLOOKUP($E$5,[1]F_LF_ALL!$A$1:$B$75,2,FALSE)</f>
        <v>22.5</v>
      </c>
      <c r="G18" s="86">
        <f>VLOOKUP($E$5,[1]F_10_12_HS!$A$1:$B$75,2,FALSE)</f>
        <v>17.07</v>
      </c>
      <c r="H18" s="86">
        <f>VLOOKUP($E$5,[1]F_LF_HSD!$A$1:$B$75,2,FALSE)</f>
        <v>21.01</v>
      </c>
      <c r="I18" s="86">
        <f>VLOOKUP($E$5,[1]F_LF_GED!$A$1:$B$75,2,FALSE)</f>
        <v>20.9</v>
      </c>
      <c r="J18" s="86">
        <f>VLOOKUP($E$5,[1]F_SC!$A$1:$B$75,2,FALSE)</f>
        <v>22.47</v>
      </c>
      <c r="K18" s="86">
        <f>VLOOKUP($E$5,[1]F_ASS!$A$1:$B$75,2,FALSE)</f>
        <v>23.46</v>
      </c>
      <c r="L18" s="86">
        <f>VLOOKUP($E$5,[1]F_Coll!$A$1:$B$75,2,FALSE)</f>
        <v>24.29</v>
      </c>
      <c r="N18" s="79" t="s">
        <v>206</v>
      </c>
      <c r="O18" s="79" t="s">
        <v>388</v>
      </c>
      <c r="Q18" s="79" t="s">
        <v>389</v>
      </c>
      <c r="S18" s="79" t="s">
        <v>390</v>
      </c>
    </row>
    <row r="19" spans="2:28" ht="16">
      <c r="C19" s="79" t="s">
        <v>391</v>
      </c>
      <c r="D19" s="91">
        <v>15</v>
      </c>
      <c r="F19" s="82" t="s">
        <v>65</v>
      </c>
      <c r="G19" s="85">
        <f>G17+E5</f>
        <v>81.3</v>
      </c>
      <c r="O19" s="86">
        <f>(P16/P15)^(1/O17)</f>
        <v>1.0212179345077075</v>
      </c>
      <c r="P19" s="79" t="s">
        <v>392</v>
      </c>
      <c r="Q19" s="86">
        <f>(U16/U15)^(1/$O$17)</f>
        <v>1.0217356436483858</v>
      </c>
      <c r="R19" s="79" t="s">
        <v>392</v>
      </c>
      <c r="S19" s="86">
        <f>(Z16/Z15)^(1/$O$17)</f>
        <v>1.0210056448457623</v>
      </c>
    </row>
    <row r="20" spans="2:28" ht="16">
      <c r="C20" s="79" t="s">
        <v>2</v>
      </c>
      <c r="D20" s="91">
        <v>2024</v>
      </c>
      <c r="F20" s="82"/>
      <c r="G20" s="93"/>
      <c r="O20" s="86">
        <f>(Q16/Q15)^(1/$O$17)</f>
        <v>1.0225836580481458</v>
      </c>
      <c r="P20" s="79" t="s">
        <v>368</v>
      </c>
      <c r="Q20" s="86">
        <f>(V16/V15)^(1/$O$17)</f>
        <v>1.0226798944066402</v>
      </c>
    </row>
    <row r="21" spans="2:28" ht="16">
      <c r="B21" s="79" t="s">
        <v>393</v>
      </c>
      <c r="C21" s="79" t="s">
        <v>381</v>
      </c>
      <c r="D21" s="91">
        <v>8</v>
      </c>
      <c r="E21" s="92">
        <f>DATE(D23,D21,D22)</f>
        <v>45140</v>
      </c>
      <c r="F21" s="79">
        <f>F18*0.95</f>
        <v>21.375</v>
      </c>
      <c r="O21" s="86">
        <f>(R16/Q15)^(1/$O$17)</f>
        <v>1.0206858357307291</v>
      </c>
      <c r="P21" s="79" t="s">
        <v>369</v>
      </c>
      <c r="Q21" s="86">
        <f>(W16/W15)^(1/$O$17)</f>
        <v>1.019158927779372</v>
      </c>
      <c r="R21" s="79" t="s">
        <v>369</v>
      </c>
      <c r="S21" s="86">
        <f>(AA16/AA15)^(1/O17)</f>
        <v>1.0203503096767057</v>
      </c>
    </row>
    <row r="22" spans="2:28" ht="16">
      <c r="C22" s="79" t="s">
        <v>383</v>
      </c>
      <c r="D22" s="91">
        <v>2</v>
      </c>
      <c r="O22" s="86">
        <f>(S16/S15)^(1/$O$17)</f>
        <v>1.023236813654548</v>
      </c>
      <c r="P22" s="79" t="s">
        <v>370</v>
      </c>
      <c r="Q22" s="86">
        <f>(X16/X15)^(1/$O$17)</f>
        <v>1.0233960640336395</v>
      </c>
    </row>
    <row r="23" spans="2:28" ht="16">
      <c r="C23" s="79" t="s">
        <v>2</v>
      </c>
      <c r="D23" s="91">
        <v>2023</v>
      </c>
      <c r="O23" s="86">
        <f>(T16/Q15)^(1/$O$17)</f>
        <v>1.0235968734772156</v>
      </c>
      <c r="P23" s="79" t="s">
        <v>371</v>
      </c>
      <c r="Q23" s="86">
        <f>(Y16/Y15)^(1/$O$17)</f>
        <v>1.0217384163229486</v>
      </c>
    </row>
    <row r="24" spans="2:28" ht="16">
      <c r="P24" s="79" t="s">
        <v>394</v>
      </c>
      <c r="Q24" s="86">
        <f>(AB16/AB15)^(1/$O$17)</f>
        <v>1.0255166827421973</v>
      </c>
    </row>
    <row r="26" spans="2:28" ht="16">
      <c r="B26" s="82" t="s">
        <v>395</v>
      </c>
      <c r="C26" s="82"/>
      <c r="D26" s="91">
        <v>42.6</v>
      </c>
      <c r="E26" s="82" t="s">
        <v>396</v>
      </c>
      <c r="F26" s="79">
        <v>20.46</v>
      </c>
      <c r="G26" s="85"/>
    </row>
    <row r="27" spans="2:28">
      <c r="F27" s="79">
        <f>43.8-42.6</f>
        <v>1.1999999999999957</v>
      </c>
      <c r="N27" s="79" t="s">
        <v>397</v>
      </c>
      <c r="P27" s="79" t="s">
        <v>398</v>
      </c>
      <c r="Q27" s="79" t="s">
        <v>399</v>
      </c>
      <c r="R27" s="79" t="s">
        <v>400</v>
      </c>
      <c r="S27" s="79" t="s">
        <v>224</v>
      </c>
      <c r="T27" s="79" t="s">
        <v>401</v>
      </c>
      <c r="U27" s="79" t="s">
        <v>402</v>
      </c>
      <c r="V27" s="79" t="s">
        <v>403</v>
      </c>
      <c r="W27" s="79" t="s">
        <v>210</v>
      </c>
      <c r="AB27" s="79" t="s">
        <v>404</v>
      </c>
    </row>
    <row r="28" spans="2:28" ht="16">
      <c r="H28" s="79" t="s">
        <v>382</v>
      </c>
      <c r="I28" s="91">
        <v>1988</v>
      </c>
      <c r="J28" s="79" t="e">
        <f>VLOOKUP($I$28,'[5]Services By Other MP'!$B$1:$O$28,14,FALSE)</f>
        <v>#N/A</v>
      </c>
      <c r="K28" s="79">
        <f>VLOOKUP($I$28,'[5]Physicians Services'!$A$2:$N$58,14,FALSE)</f>
        <v>139.78333333333333</v>
      </c>
      <c r="L28" s="79">
        <f>VLOOKUP($I$28,'[5]Medical Care Commodities'!$A$1:$N$50,14,FALSE)</f>
        <v>139.95000000000002</v>
      </c>
      <c r="M28" s="79">
        <f>VLOOKUP($I$28,'[5]Prescription Drugs'!$A$1:$N$57,14,FALSE)</f>
        <v>152.01666666666665</v>
      </c>
      <c r="N28" s="79" t="e">
        <f>VLOOKUP(I28,'[5]Inpatient Hosp'!$A$2:$N$20,14,FALSE)</f>
        <v>#N/A</v>
      </c>
      <c r="O28" s="79">
        <f>VLOOKUP($I$28,'[5]Outpatient Hosp'!$A$1:$N$30,14,FALSE)</f>
        <v>112.52500000000002</v>
      </c>
      <c r="P28" s="79" t="e">
        <f>VLOOKUP($I$28,'[5]Nursing Homes &amp; Adult Day'!$A$1:$N$20,14,FALSE)</f>
        <v>#N/A</v>
      </c>
      <c r="Q28" s="79">
        <f>VLOOKUP($I$28,'[5]Medical Care'!$B$3:$O$58,14,FALSE)</f>
        <v>138.62500000000003</v>
      </c>
      <c r="V28" s="79">
        <f>VLOOKUP($I$28,'[5]CPI ALL'!$A$1:$N$545,14,FALSE)</f>
        <v>118.27500000000002</v>
      </c>
    </row>
    <row r="29" spans="2:28" ht="16">
      <c r="H29" s="79" t="s">
        <v>384</v>
      </c>
      <c r="I29" s="91">
        <v>1999</v>
      </c>
      <c r="J29" s="79">
        <f>VLOOKUP($I$29,'[5]Services By Other MP'!$B$1:$O$31,14,FALSE)</f>
        <v>158.69166666666666</v>
      </c>
      <c r="K29" s="79">
        <f>VLOOKUP($I$29,'[5]Physicians Services'!$A$2:$N$61,14,FALSE)</f>
        <v>236.02500000000001</v>
      </c>
      <c r="L29" s="79">
        <f>VLOOKUP($I$29,'[5]Medical Care Commodities'!$A$1:$N$53,14,FALSE)</f>
        <v>230.70000000000002</v>
      </c>
      <c r="M29" s="79">
        <f>VLOOKUP($I$29,'[5]Prescription Drugs'!$A$1:$N$60,14,FALSE)</f>
        <v>273.37500000000006</v>
      </c>
      <c r="N29" s="79">
        <f>VLOOKUP(I29,'[5]Inpatient Hosp'!$A$2:$N$23,14,FALSE)</f>
        <v>107.85833333333333</v>
      </c>
      <c r="O29" s="79">
        <f>VLOOKUP($I$29,'[5]Outpatient Hosp'!$A$1:$N$33,14,FALSE)</f>
        <v>245.98333333333332</v>
      </c>
      <c r="P29" s="79">
        <f>VLOOKUP($I$29,'[5]Nursing Homes &amp; Adult Day'!$A$1:$N$23,14,FALSE)</f>
        <v>111.55000000000001</v>
      </c>
      <c r="Q29" s="79">
        <f>VLOOKUP($I$29,'[5]Medical Care'!$B$2:$O$61,14,FALSE)</f>
        <v>250.55833333333337</v>
      </c>
      <c r="V29" s="79">
        <f>VLOOKUP($I$29,'[5]CPI ALL'!$A$1:$N$57,14,FALSE)</f>
        <v>166.58333333333331</v>
      </c>
    </row>
    <row r="30" spans="2:28">
      <c r="H30" s="79" t="s">
        <v>386</v>
      </c>
      <c r="I30" s="79">
        <f>I29-I28</f>
        <v>11</v>
      </c>
    </row>
    <row r="31" spans="2:28" ht="16">
      <c r="H31" s="79" t="s">
        <v>405</v>
      </c>
      <c r="I31" s="86" t="e">
        <f>(J29/J28)^(1/I30)</f>
        <v>#N/A</v>
      </c>
    </row>
    <row r="32" spans="2:28">
      <c r="B32" s="82" t="s">
        <v>406</v>
      </c>
      <c r="H32" s="79" t="s">
        <v>407</v>
      </c>
    </row>
    <row r="33" spans="2:18" ht="16">
      <c r="H33" s="79" t="s">
        <v>408</v>
      </c>
      <c r="I33" s="86">
        <f>(K29/K28)^(1/I30)</f>
        <v>1.0487743465432624</v>
      </c>
    </row>
    <row r="34" spans="2:18" ht="16">
      <c r="H34" s="79" t="s">
        <v>212</v>
      </c>
      <c r="I34" s="86">
        <f>(L29/L28)^(1/I30)</f>
        <v>1.0464875426594591</v>
      </c>
    </row>
    <row r="35" spans="2:18" ht="16">
      <c r="H35" s="79" t="s">
        <v>224</v>
      </c>
      <c r="I35" s="86">
        <f>(M29/M28)^(1/I30)</f>
        <v>1.0547991738590941</v>
      </c>
    </row>
    <row r="36" spans="2:18" ht="16">
      <c r="H36" s="79" t="s">
        <v>409</v>
      </c>
      <c r="I36" s="86" t="e">
        <f>(N29/N28)^(1/I30)</f>
        <v>#N/A</v>
      </c>
    </row>
    <row r="37" spans="2:18" ht="16">
      <c r="H37" s="79" t="s">
        <v>410</v>
      </c>
      <c r="I37" s="86">
        <f>(O29/O28)^(1/I30)</f>
        <v>1.0736874535709111</v>
      </c>
    </row>
    <row r="38" spans="2:18" ht="16">
      <c r="H38" s="79" t="s">
        <v>411</v>
      </c>
      <c r="I38" s="86" t="e">
        <f>(P29/P28)^(1/I30)</f>
        <v>#N/A</v>
      </c>
    </row>
    <row r="39" spans="2:18">
      <c r="H39" s="79" t="s">
        <v>412</v>
      </c>
    </row>
    <row r="40" spans="2:18" ht="16">
      <c r="N40" s="79" t="s">
        <v>210</v>
      </c>
      <c r="O40" s="86">
        <f>(Q29/Q28)^(1/I30)</f>
        <v>1.0552849727979976</v>
      </c>
    </row>
    <row r="41" spans="2:18" ht="16">
      <c r="N41" s="79" t="s">
        <v>413</v>
      </c>
      <c r="O41" s="86">
        <f>(V29/V28)^(1/I30)</f>
        <v>1.0316246009447718</v>
      </c>
    </row>
    <row r="43" spans="2:18">
      <c r="N43" s="79" t="s">
        <v>414</v>
      </c>
      <c r="O43" s="79" t="s">
        <v>415</v>
      </c>
      <c r="P43" s="79" t="s">
        <v>416</v>
      </c>
      <c r="Q43" s="79" t="s">
        <v>417</v>
      </c>
      <c r="R43" s="79" t="s">
        <v>418</v>
      </c>
    </row>
    <row r="44" spans="2:18">
      <c r="D44" s="82"/>
      <c r="E44" s="82"/>
      <c r="N44" s="79" t="s">
        <v>419</v>
      </c>
      <c r="O44" s="79">
        <v>20.25</v>
      </c>
      <c r="P44" s="79">
        <v>2.21</v>
      </c>
      <c r="Q44" s="79">
        <v>0.6</v>
      </c>
      <c r="R44" s="79">
        <f>(P44+Q44)/O44</f>
        <v>0.13876543209876543</v>
      </c>
    </row>
    <row r="45" spans="2:18">
      <c r="D45" s="82"/>
      <c r="N45" s="79" t="s">
        <v>388</v>
      </c>
      <c r="O45" s="79">
        <v>21.27</v>
      </c>
      <c r="P45" s="79">
        <v>2.6</v>
      </c>
      <c r="Q45" s="79">
        <v>0.55000000000000004</v>
      </c>
      <c r="R45" s="79">
        <f>(P45+Q45)/O45</f>
        <v>0.14809590973201694</v>
      </c>
    </row>
    <row r="47" spans="2:18">
      <c r="B47" s="82"/>
    </row>
    <row r="48" spans="2:18">
      <c r="B48" s="82"/>
      <c r="C48" s="82"/>
      <c r="G48" s="82"/>
    </row>
    <row r="50" spans="2:10" ht="14" thickBot="1"/>
    <row r="51" spans="2:10" ht="14" thickBot="1">
      <c r="C51" s="94"/>
      <c r="D51" s="95"/>
    </row>
    <row r="52" spans="2:10" ht="14" thickBot="1">
      <c r="C52" s="96"/>
      <c r="D52" s="97"/>
    </row>
    <row r="53" spans="2:10" ht="14" thickBot="1">
      <c r="C53" s="96"/>
      <c r="D53" s="97"/>
    </row>
    <row r="54" spans="2:10" ht="14" thickBot="1">
      <c r="C54" s="96"/>
      <c r="D54" s="97"/>
      <c r="J54" s="82"/>
    </row>
    <row r="55" spans="2:10" ht="14" thickBot="1">
      <c r="C55" s="96"/>
      <c r="D55" s="97"/>
      <c r="J55" s="82"/>
    </row>
    <row r="56" spans="2:10">
      <c r="C56" s="82"/>
      <c r="J56" s="82"/>
    </row>
    <row r="57" spans="2:10">
      <c r="C57" s="82"/>
    </row>
    <row r="58" spans="2:10">
      <c r="B58" s="79" t="e">
        <f>3.74*'[6]pv loss'!#REF!</f>
        <v>#REF!</v>
      </c>
    </row>
    <row r="59" spans="2:10">
      <c r="B59" s="79" t="e">
        <f>B58*(1-0.2265)</f>
        <v>#REF!</v>
      </c>
    </row>
    <row r="60" spans="2:10">
      <c r="C60" s="82"/>
    </row>
    <row r="61" spans="2:10">
      <c r="C61" s="82"/>
      <c r="J61" s="82"/>
    </row>
    <row r="63" spans="2:10">
      <c r="C63" s="82"/>
    </row>
    <row r="64" spans="2:10">
      <c r="C64" s="82"/>
      <c r="F64" s="98"/>
    </row>
    <row r="66" spans="3:3">
      <c r="C66" s="82"/>
    </row>
  </sheetData>
  <mergeCells count="1">
    <mergeCell ref="O3:P3"/>
  </mergeCells>
  <pageMargins left="0.75" right="0.75" top="1" bottom="1" header="0.5" footer="0.5"/>
  <pageSetup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01D9-30DE-4CEE-9663-8379D90C6D65}">
  <dimension ref="A1:C35"/>
  <sheetViews>
    <sheetView topLeftCell="A9" workbookViewId="0">
      <selection activeCell="A25" sqref="A25:A35"/>
    </sheetView>
  </sheetViews>
  <sheetFormatPr baseColWidth="10" defaultColWidth="8.83203125" defaultRowHeight="15"/>
  <cols>
    <col min="1" max="1" width="45" customWidth="1"/>
    <col min="2" max="2" width="20" customWidth="1"/>
    <col min="3" max="3" width="10" customWidth="1"/>
  </cols>
  <sheetData>
    <row r="1" spans="1:2" ht="21">
      <c r="A1" s="100" t="s">
        <v>434</v>
      </c>
    </row>
    <row r="2" spans="1:2" ht="16">
      <c r="A2" s="101" t="s">
        <v>435</v>
      </c>
    </row>
    <row r="3" spans="1:2">
      <c r="A3" t="s">
        <v>436</v>
      </c>
    </row>
    <row r="4" spans="1:2">
      <c r="A4" t="s">
        <v>437</v>
      </c>
    </row>
    <row r="5" spans="1:2">
      <c r="A5" t="s">
        <v>438</v>
      </c>
    </row>
    <row r="7" spans="1:2">
      <c r="A7" s="102" t="s">
        <v>439</v>
      </c>
    </row>
    <row r="8" spans="1:2">
      <c r="A8" s="103" t="s">
        <v>440</v>
      </c>
      <c r="B8" t="s">
        <v>441</v>
      </c>
    </row>
    <row r="9" spans="1:2">
      <c r="A9" s="103" t="s">
        <v>442</v>
      </c>
      <c r="B9">
        <v>603</v>
      </c>
    </row>
    <row r="10" spans="1:2">
      <c r="A10" s="103" t="s">
        <v>443</v>
      </c>
      <c r="B10" t="s">
        <v>444</v>
      </c>
    </row>
    <row r="11" spans="1:2">
      <c r="A11" s="103" t="s">
        <v>445</v>
      </c>
      <c r="B11">
        <v>5</v>
      </c>
    </row>
    <row r="12" spans="1:2">
      <c r="A12" s="103" t="s">
        <v>446</v>
      </c>
      <c r="B12" t="s">
        <v>447</v>
      </c>
    </row>
    <row r="13" spans="1:2">
      <c r="A13" s="103" t="s">
        <v>448</v>
      </c>
      <c r="B13" t="s">
        <v>449</v>
      </c>
    </row>
    <row r="14" spans="1:2">
      <c r="A14" s="103" t="s">
        <v>450</v>
      </c>
      <c r="B14" t="s">
        <v>451</v>
      </c>
    </row>
    <row r="16" spans="1:2">
      <c r="A16" s="102" t="s">
        <v>452</v>
      </c>
    </row>
    <row r="17" spans="1:3">
      <c r="A17" s="103" t="s">
        <v>453</v>
      </c>
      <c r="B17">
        <v>6</v>
      </c>
    </row>
    <row r="18" spans="1:3">
      <c r="A18" s="103" t="s">
        <v>454</v>
      </c>
      <c r="B18">
        <v>5</v>
      </c>
    </row>
    <row r="19" spans="1:3">
      <c r="A19" s="103" t="s">
        <v>455</v>
      </c>
      <c r="B19" t="s">
        <v>456</v>
      </c>
    </row>
    <row r="20" spans="1:3">
      <c r="A20" s="103" t="s">
        <v>457</v>
      </c>
      <c r="B20" t="s">
        <v>458</v>
      </c>
    </row>
    <row r="21" spans="1:3">
      <c r="A21" s="103" t="s">
        <v>459</v>
      </c>
      <c r="B21" t="s">
        <v>460</v>
      </c>
    </row>
    <row r="22" spans="1:3">
      <c r="A22" s="103" t="s">
        <v>461</v>
      </c>
      <c r="B22" t="s">
        <v>462</v>
      </c>
    </row>
    <row r="24" spans="1:3">
      <c r="A24" s="102" t="s">
        <v>463</v>
      </c>
    </row>
    <row r="25" spans="1:3">
      <c r="A25" s="104" t="s">
        <v>464</v>
      </c>
      <c r="B25" s="105" t="s">
        <v>465</v>
      </c>
      <c r="C25" s="105" t="s">
        <v>466</v>
      </c>
    </row>
    <row r="26" spans="1:3">
      <c r="A26" s="106" t="s">
        <v>467</v>
      </c>
      <c r="B26" s="107" t="s">
        <v>465</v>
      </c>
      <c r="C26" s="107" t="s">
        <v>468</v>
      </c>
    </row>
    <row r="27" spans="1:3">
      <c r="A27" s="106" t="s">
        <v>469</v>
      </c>
      <c r="B27" s="107" t="s">
        <v>470</v>
      </c>
      <c r="C27" s="107" t="s">
        <v>468</v>
      </c>
    </row>
    <row r="28" spans="1:3">
      <c r="A28" s="104" t="s">
        <v>471</v>
      </c>
      <c r="B28" s="105" t="s">
        <v>470</v>
      </c>
      <c r="C28" s="105" t="s">
        <v>466</v>
      </c>
    </row>
    <row r="29" spans="1:3">
      <c r="A29" s="104" t="s">
        <v>472</v>
      </c>
      <c r="B29" s="105" t="s">
        <v>473</v>
      </c>
      <c r="C29" s="105" t="s">
        <v>466</v>
      </c>
    </row>
    <row r="30" spans="1:3">
      <c r="A30" s="104" t="s">
        <v>474</v>
      </c>
      <c r="B30" s="105" t="s">
        <v>475</v>
      </c>
      <c r="C30" s="105" t="s">
        <v>466</v>
      </c>
    </row>
    <row r="31" spans="1:3">
      <c r="A31" s="106" t="s">
        <v>476</v>
      </c>
      <c r="B31" s="107" t="s">
        <v>477</v>
      </c>
      <c r="C31" s="107" t="s">
        <v>468</v>
      </c>
    </row>
    <row r="32" spans="1:3">
      <c r="A32" s="104" t="s">
        <v>478</v>
      </c>
      <c r="B32" s="105" t="s">
        <v>479</v>
      </c>
      <c r="C32" s="105" t="s">
        <v>466</v>
      </c>
    </row>
    <row r="33" spans="1:3">
      <c r="A33" s="106" t="s">
        <v>480</v>
      </c>
      <c r="B33" s="107" t="s">
        <v>481</v>
      </c>
      <c r="C33" s="107" t="s">
        <v>468</v>
      </c>
    </row>
    <row r="34" spans="1:3">
      <c r="A34" s="104" t="s">
        <v>482</v>
      </c>
      <c r="B34" s="105" t="s">
        <v>483</v>
      </c>
      <c r="C34" s="105" t="s">
        <v>466</v>
      </c>
    </row>
    <row r="35" spans="1:3">
      <c r="A35" s="106" t="s">
        <v>484</v>
      </c>
      <c r="B35" s="107" t="s">
        <v>485</v>
      </c>
      <c r="C35" s="107" t="s">
        <v>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5CA1-2F5D-4A61-BC23-D0B7C045CBB5}">
  <dimension ref="A1:H8"/>
  <sheetViews>
    <sheetView workbookViewId="0"/>
  </sheetViews>
  <sheetFormatPr baseColWidth="10" defaultColWidth="8.83203125" defaultRowHeight="15"/>
  <cols>
    <col min="1" max="1" width="30" customWidth="1"/>
    <col min="2" max="8" width="15" customWidth="1"/>
  </cols>
  <sheetData>
    <row r="1" spans="1:8" ht="19">
      <c r="A1" s="108" t="s">
        <v>486</v>
      </c>
    </row>
    <row r="3" spans="1:8">
      <c r="A3" s="109" t="s">
        <v>487</v>
      </c>
      <c r="B3" s="109" t="s">
        <v>488</v>
      </c>
      <c r="C3" s="109" t="s">
        <v>489</v>
      </c>
      <c r="D3" s="109" t="s">
        <v>490</v>
      </c>
      <c r="E3" s="109" t="s">
        <v>491</v>
      </c>
      <c r="F3" s="109" t="s">
        <v>492</v>
      </c>
      <c r="G3" s="109" t="s">
        <v>493</v>
      </c>
      <c r="H3" s="109" t="s">
        <v>494</v>
      </c>
    </row>
    <row r="4" spans="1:8">
      <c r="A4" s="110" t="s">
        <v>212</v>
      </c>
      <c r="B4" s="111" t="s">
        <v>495</v>
      </c>
      <c r="C4" s="112">
        <v>2.723040721980746</v>
      </c>
      <c r="D4" s="113" t="s">
        <v>215</v>
      </c>
      <c r="E4" s="114">
        <v>2.7269630355377541</v>
      </c>
      <c r="F4" s="112">
        <v>3.9223135570076728E-3</v>
      </c>
      <c r="G4" s="115">
        <v>58</v>
      </c>
      <c r="H4" s="116">
        <v>58</v>
      </c>
    </row>
    <row r="5" spans="1:8">
      <c r="A5" s="110" t="s">
        <v>214</v>
      </c>
      <c r="B5" s="111" t="s">
        <v>496</v>
      </c>
      <c r="C5" s="112">
        <v>4.1471382111134849</v>
      </c>
      <c r="D5" s="113" t="s">
        <v>213</v>
      </c>
      <c r="E5" s="114">
        <v>4.1497812732168731</v>
      </c>
      <c r="F5" s="112">
        <v>2.6430621033881612E-3</v>
      </c>
      <c r="G5" s="115">
        <v>69</v>
      </c>
      <c r="H5" s="116">
        <v>69</v>
      </c>
    </row>
    <row r="6" spans="1:8">
      <c r="A6" s="110" t="s">
        <v>497</v>
      </c>
      <c r="B6" s="111" t="s">
        <v>498</v>
      </c>
      <c r="C6" s="112">
        <v>2.989539162039204</v>
      </c>
      <c r="D6" s="113" t="s">
        <v>223</v>
      </c>
      <c r="E6" s="114">
        <v>2.5790963528702209</v>
      </c>
      <c r="F6" s="112">
        <v>-0.41044280916898312</v>
      </c>
      <c r="G6" s="115">
        <v>58</v>
      </c>
      <c r="H6" s="116">
        <v>45</v>
      </c>
    </row>
    <row r="7" spans="1:8">
      <c r="A7" s="110" t="s">
        <v>499</v>
      </c>
      <c r="B7" s="111" t="s">
        <v>500</v>
      </c>
      <c r="C7" s="112">
        <v>1.827308934297325</v>
      </c>
      <c r="D7" s="113" t="s">
        <v>501</v>
      </c>
      <c r="E7" s="114">
        <v>1.794032658586024</v>
      </c>
      <c r="F7" s="112">
        <v>-3.327627571130054E-2</v>
      </c>
      <c r="G7" s="115">
        <v>38</v>
      </c>
      <c r="H7" s="116">
        <v>36</v>
      </c>
    </row>
    <row r="8" spans="1:8">
      <c r="A8" s="110" t="s">
        <v>502</v>
      </c>
      <c r="B8" s="111" t="s">
        <v>503</v>
      </c>
      <c r="C8" s="112">
        <v>5.0990930574263018</v>
      </c>
      <c r="D8" s="113" t="s">
        <v>225</v>
      </c>
      <c r="E8" s="114">
        <v>5.0973424774918241</v>
      </c>
      <c r="F8" s="112">
        <v>-1.750579934477692E-3</v>
      </c>
      <c r="G8" s="115">
        <v>47</v>
      </c>
      <c r="H8" s="116">
        <v>47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32CE-08BD-4206-B179-AC3D50D7E45E}">
  <dimension ref="A1:K604"/>
  <sheetViews>
    <sheetView topLeftCell="A55" workbookViewId="0">
      <selection activeCell="D79" sqref="D79"/>
    </sheetView>
  </sheetViews>
  <sheetFormatPr baseColWidth="10" defaultColWidth="8.83203125" defaultRowHeight="15"/>
  <cols>
    <col min="1" max="1" width="15" customWidth="1"/>
    <col min="2" max="2" width="40" customWidth="1"/>
    <col min="3" max="3" width="12" customWidth="1"/>
    <col min="4" max="4" width="18.5" customWidth="1"/>
    <col min="5" max="5" width="16.33203125" customWidth="1"/>
    <col min="6" max="6" width="26.5" customWidth="1"/>
    <col min="7" max="7" width="14.6640625" customWidth="1"/>
    <col min="8" max="8" width="12" customWidth="1"/>
    <col min="9" max="9" width="18" customWidth="1"/>
    <col min="10" max="10" width="12" customWidth="1"/>
  </cols>
  <sheetData>
    <row r="1" spans="1:11">
      <c r="A1" s="109" t="s">
        <v>207</v>
      </c>
      <c r="B1" s="109" t="s">
        <v>504</v>
      </c>
      <c r="C1" s="109" t="s">
        <v>505</v>
      </c>
      <c r="D1" s="109" t="s">
        <v>506</v>
      </c>
      <c r="E1" s="109" t="s">
        <v>507</v>
      </c>
      <c r="F1" s="109" t="s">
        <v>508</v>
      </c>
      <c r="G1" s="109" t="s">
        <v>509</v>
      </c>
      <c r="H1" s="109" t="s">
        <v>510</v>
      </c>
      <c r="I1" s="109" t="s">
        <v>511</v>
      </c>
      <c r="J1" s="109" t="s">
        <v>512</v>
      </c>
      <c r="K1" t="s">
        <v>104</v>
      </c>
    </row>
    <row r="2" spans="1:11">
      <c r="A2" s="111" t="s">
        <v>513</v>
      </c>
      <c r="B2" s="111" t="s">
        <v>514</v>
      </c>
      <c r="C2" s="111" t="s">
        <v>466</v>
      </c>
      <c r="D2" s="115">
        <v>1947</v>
      </c>
      <c r="E2" s="115">
        <v>5</v>
      </c>
      <c r="F2" s="117">
        <v>13.5</v>
      </c>
      <c r="G2" s="115">
        <v>2025</v>
      </c>
      <c r="H2" s="115">
        <v>5</v>
      </c>
      <c r="I2" s="117">
        <v>578.25</v>
      </c>
      <c r="J2" s="112">
        <v>4.9349791159006617</v>
      </c>
      <c r="K2" s="118" t="s">
        <v>515</v>
      </c>
    </row>
    <row r="3" spans="1:11">
      <c r="A3" s="111" t="s">
        <v>513</v>
      </c>
      <c r="B3" s="111" t="s">
        <v>514</v>
      </c>
      <c r="C3" s="111" t="s">
        <v>466</v>
      </c>
      <c r="D3" s="115">
        <v>1948</v>
      </c>
      <c r="E3" s="115">
        <v>5</v>
      </c>
      <c r="F3" s="117">
        <v>14.3</v>
      </c>
      <c r="G3" s="115">
        <v>2025</v>
      </c>
      <c r="H3" s="115">
        <v>5</v>
      </c>
      <c r="I3" s="117">
        <v>578.25</v>
      </c>
      <c r="J3" s="112">
        <v>4.9221708445516432</v>
      </c>
    </row>
    <row r="4" spans="1:11">
      <c r="A4" s="111" t="s">
        <v>513</v>
      </c>
      <c r="B4" s="111" t="s">
        <v>514</v>
      </c>
      <c r="C4" s="111" t="s">
        <v>466</v>
      </c>
      <c r="D4" s="115">
        <v>1949</v>
      </c>
      <c r="E4" s="115">
        <v>5</v>
      </c>
      <c r="F4" s="117">
        <v>14.8</v>
      </c>
      <c r="G4" s="115">
        <v>2025</v>
      </c>
      <c r="H4" s="115">
        <v>5</v>
      </c>
      <c r="I4" s="117">
        <v>578.25</v>
      </c>
      <c r="J4" s="112">
        <v>4.9410599377186948</v>
      </c>
    </row>
    <row r="5" spans="1:11">
      <c r="A5" s="111" t="s">
        <v>513</v>
      </c>
      <c r="B5" s="111" t="s">
        <v>514</v>
      </c>
      <c r="C5" s="111" t="s">
        <v>466</v>
      </c>
      <c r="D5" s="115">
        <v>1950</v>
      </c>
      <c r="E5" s="115">
        <v>5</v>
      </c>
      <c r="F5" s="117">
        <v>15</v>
      </c>
      <c r="G5" s="115">
        <v>2025</v>
      </c>
      <c r="H5" s="115">
        <v>5</v>
      </c>
      <c r="I5" s="117">
        <v>578.25</v>
      </c>
      <c r="J5" s="112">
        <v>4.9897718004268121</v>
      </c>
    </row>
    <row r="6" spans="1:11">
      <c r="A6" s="111" t="s">
        <v>513</v>
      </c>
      <c r="B6" s="111" t="s">
        <v>514</v>
      </c>
      <c r="C6" s="111" t="s">
        <v>466</v>
      </c>
      <c r="D6" s="115">
        <v>1951</v>
      </c>
      <c r="E6" s="115">
        <v>5</v>
      </c>
      <c r="F6" s="117">
        <v>15.8</v>
      </c>
      <c r="G6" s="115">
        <v>2025</v>
      </c>
      <c r="H6" s="115">
        <v>5</v>
      </c>
      <c r="I6" s="117">
        <v>578.25</v>
      </c>
      <c r="J6" s="112">
        <v>4.9851367590632689</v>
      </c>
    </row>
    <row r="7" spans="1:11">
      <c r="A7" s="111" t="s">
        <v>513</v>
      </c>
      <c r="B7" s="111" t="s">
        <v>514</v>
      </c>
      <c r="C7" s="111" t="s">
        <v>466</v>
      </c>
      <c r="D7" s="115">
        <v>1952</v>
      </c>
      <c r="E7" s="115">
        <v>5</v>
      </c>
      <c r="F7" s="117">
        <v>16.5</v>
      </c>
      <c r="G7" s="115">
        <v>2025</v>
      </c>
      <c r="H7" s="115">
        <v>5</v>
      </c>
      <c r="I7" s="117">
        <v>578.25</v>
      </c>
      <c r="J7" s="112">
        <v>4.9927565959200448</v>
      </c>
    </row>
    <row r="8" spans="1:11">
      <c r="A8" s="111" t="s">
        <v>513</v>
      </c>
      <c r="B8" s="111" t="s">
        <v>514</v>
      </c>
      <c r="C8" s="111" t="s">
        <v>466</v>
      </c>
      <c r="D8" s="115">
        <v>1953</v>
      </c>
      <c r="E8" s="115">
        <v>5</v>
      </c>
      <c r="F8" s="117">
        <v>17.2</v>
      </c>
      <c r="G8" s="115">
        <v>2025</v>
      </c>
      <c r="H8" s="115">
        <v>5</v>
      </c>
      <c r="I8" s="117">
        <v>578.25</v>
      </c>
      <c r="J8" s="112">
        <v>5.0032158158381126</v>
      </c>
    </row>
    <row r="9" spans="1:11">
      <c r="A9" s="111" t="s">
        <v>513</v>
      </c>
      <c r="B9" s="111" t="s">
        <v>514</v>
      </c>
      <c r="C9" s="111" t="s">
        <v>466</v>
      </c>
      <c r="D9" s="115">
        <v>1954</v>
      </c>
      <c r="E9" s="115">
        <v>5</v>
      </c>
      <c r="F9" s="117">
        <v>17.8</v>
      </c>
      <c r="G9" s="115">
        <v>2025</v>
      </c>
      <c r="H9" s="115">
        <v>5</v>
      </c>
      <c r="I9" s="117">
        <v>578.25</v>
      </c>
      <c r="J9" s="112">
        <v>5.0247092409551941</v>
      </c>
    </row>
    <row r="10" spans="1:11">
      <c r="A10" s="111" t="s">
        <v>513</v>
      </c>
      <c r="B10" s="111" t="s">
        <v>514</v>
      </c>
      <c r="C10" s="111" t="s">
        <v>466</v>
      </c>
      <c r="D10" s="115">
        <v>1955</v>
      </c>
      <c r="E10" s="115">
        <v>5</v>
      </c>
      <c r="F10" s="117">
        <v>18.2</v>
      </c>
      <c r="G10" s="115">
        <v>2025</v>
      </c>
      <c r="H10" s="115">
        <v>5</v>
      </c>
      <c r="I10" s="117">
        <v>578.25</v>
      </c>
      <c r="J10" s="112">
        <v>5.064929890150105</v>
      </c>
    </row>
    <row r="11" spans="1:11">
      <c r="A11" s="111" t="s">
        <v>513</v>
      </c>
      <c r="B11" s="111" t="s">
        <v>514</v>
      </c>
      <c r="C11" s="111" t="s">
        <v>466</v>
      </c>
      <c r="D11" s="115">
        <v>1956</v>
      </c>
      <c r="E11" s="115">
        <v>5</v>
      </c>
      <c r="F11" s="117">
        <v>18.8</v>
      </c>
      <c r="G11" s="115">
        <v>2025</v>
      </c>
      <c r="H11" s="115">
        <v>5</v>
      </c>
      <c r="I11" s="117">
        <v>578.25</v>
      </c>
      <c r="J11" s="112">
        <v>5.09077763675021</v>
      </c>
    </row>
    <row r="12" spans="1:11">
      <c r="A12" s="111" t="s">
        <v>513</v>
      </c>
      <c r="B12" s="111" t="s">
        <v>514</v>
      </c>
      <c r="C12" s="111" t="s">
        <v>466</v>
      </c>
      <c r="D12" s="115">
        <v>1957</v>
      </c>
      <c r="E12" s="115">
        <v>5</v>
      </c>
      <c r="F12" s="117">
        <v>19.600000000000001</v>
      </c>
      <c r="G12" s="115">
        <v>2025</v>
      </c>
      <c r="H12" s="115">
        <v>5</v>
      </c>
      <c r="I12" s="117">
        <v>578.25</v>
      </c>
      <c r="J12" s="112">
        <v>5.1031136120244458</v>
      </c>
    </row>
    <row r="13" spans="1:11">
      <c r="A13" s="111" t="s">
        <v>513</v>
      </c>
      <c r="B13" s="111" t="s">
        <v>514</v>
      </c>
      <c r="C13" s="111" t="s">
        <v>466</v>
      </c>
      <c r="D13" s="115">
        <v>1958</v>
      </c>
      <c r="E13" s="115">
        <v>5</v>
      </c>
      <c r="F13" s="117">
        <v>20.5</v>
      </c>
      <c r="G13" s="115">
        <v>2025</v>
      </c>
      <c r="H13" s="115">
        <v>5</v>
      </c>
      <c r="I13" s="117">
        <v>578.25</v>
      </c>
      <c r="J13" s="112">
        <v>5.1107635095868131</v>
      </c>
    </row>
    <row r="14" spans="1:11">
      <c r="A14" s="111" t="s">
        <v>513</v>
      </c>
      <c r="B14" s="111" t="s">
        <v>514</v>
      </c>
      <c r="C14" s="111" t="s">
        <v>466</v>
      </c>
      <c r="D14" s="115">
        <v>1959</v>
      </c>
      <c r="E14" s="115">
        <v>5</v>
      </c>
      <c r="F14" s="117">
        <v>21.4</v>
      </c>
      <c r="G14" s="115">
        <v>2025</v>
      </c>
      <c r="H14" s="115">
        <v>5</v>
      </c>
      <c r="I14" s="117">
        <v>578.25</v>
      </c>
      <c r="J14" s="112">
        <v>5.1217186331961262</v>
      </c>
    </row>
    <row r="15" spans="1:11">
      <c r="A15" s="111" t="s">
        <v>513</v>
      </c>
      <c r="B15" s="111" t="s">
        <v>514</v>
      </c>
      <c r="C15" s="111" t="s">
        <v>466</v>
      </c>
      <c r="D15" s="115">
        <v>1960</v>
      </c>
      <c r="E15" s="115">
        <v>5</v>
      </c>
      <c r="F15" s="117">
        <v>22.2</v>
      </c>
      <c r="G15" s="115">
        <v>2025</v>
      </c>
      <c r="H15" s="115">
        <v>5</v>
      </c>
      <c r="I15" s="117">
        <v>578.25</v>
      </c>
      <c r="J15" s="112">
        <v>5.1431451904841552</v>
      </c>
    </row>
    <row r="16" spans="1:11">
      <c r="A16" s="111" t="s">
        <v>513</v>
      </c>
      <c r="B16" s="111" t="s">
        <v>514</v>
      </c>
      <c r="C16" s="111" t="s">
        <v>466</v>
      </c>
      <c r="D16" s="115">
        <v>1961</v>
      </c>
      <c r="E16" s="115">
        <v>5</v>
      </c>
      <c r="F16" s="117">
        <v>22.9</v>
      </c>
      <c r="G16" s="115">
        <v>2025</v>
      </c>
      <c r="H16" s="115">
        <v>5</v>
      </c>
      <c r="I16" s="117">
        <v>578.25</v>
      </c>
      <c r="J16" s="112">
        <v>5.1745415157101524</v>
      </c>
    </row>
    <row r="17" spans="1:10">
      <c r="A17" s="111" t="s">
        <v>513</v>
      </c>
      <c r="B17" s="111" t="s">
        <v>514</v>
      </c>
      <c r="C17" s="111" t="s">
        <v>466</v>
      </c>
      <c r="D17" s="115">
        <v>1962</v>
      </c>
      <c r="E17" s="115">
        <v>5</v>
      </c>
      <c r="F17" s="117">
        <v>23.5</v>
      </c>
      <c r="G17" s="115">
        <v>2025</v>
      </c>
      <c r="H17" s="115">
        <v>5</v>
      </c>
      <c r="I17" s="117">
        <v>578.25</v>
      </c>
      <c r="J17" s="112">
        <v>5.215596935996758</v>
      </c>
    </row>
    <row r="18" spans="1:10">
      <c r="A18" s="111" t="s">
        <v>513</v>
      </c>
      <c r="B18" s="111" t="s">
        <v>514</v>
      </c>
      <c r="C18" s="111" t="s">
        <v>466</v>
      </c>
      <c r="D18" s="115">
        <v>1963</v>
      </c>
      <c r="E18" s="115">
        <v>5</v>
      </c>
      <c r="F18" s="117">
        <v>24</v>
      </c>
      <c r="G18" s="115">
        <v>2025</v>
      </c>
      <c r="H18" s="115">
        <v>5</v>
      </c>
      <c r="I18" s="117">
        <v>578.25</v>
      </c>
      <c r="J18" s="112">
        <v>5.2661600067066328</v>
      </c>
    </row>
    <row r="19" spans="1:10">
      <c r="A19" s="111" t="s">
        <v>513</v>
      </c>
      <c r="B19" s="111" t="s">
        <v>514</v>
      </c>
      <c r="C19" s="111" t="s">
        <v>466</v>
      </c>
      <c r="D19" s="115">
        <v>1964</v>
      </c>
      <c r="E19" s="115">
        <v>5</v>
      </c>
      <c r="F19" s="117">
        <v>24.5</v>
      </c>
      <c r="G19" s="115">
        <v>2025</v>
      </c>
      <c r="H19" s="115">
        <v>5</v>
      </c>
      <c r="I19" s="117">
        <v>578.25</v>
      </c>
      <c r="J19" s="112">
        <v>5.3191559180032044</v>
      </c>
    </row>
    <row r="20" spans="1:10">
      <c r="A20" s="111" t="s">
        <v>513</v>
      </c>
      <c r="B20" s="111" t="s">
        <v>514</v>
      </c>
      <c r="C20" s="111" t="s">
        <v>466</v>
      </c>
      <c r="D20" s="115">
        <v>1965</v>
      </c>
      <c r="E20" s="115">
        <v>5</v>
      </c>
      <c r="F20" s="117">
        <v>25.1</v>
      </c>
      <c r="G20" s="115">
        <v>2025</v>
      </c>
      <c r="H20" s="115">
        <v>5</v>
      </c>
      <c r="I20" s="117">
        <v>578.25</v>
      </c>
      <c r="J20" s="112">
        <v>5.3676672702532402</v>
      </c>
    </row>
    <row r="21" spans="1:10">
      <c r="A21" s="111" t="s">
        <v>513</v>
      </c>
      <c r="B21" s="111" t="s">
        <v>514</v>
      </c>
      <c r="C21" s="111" t="s">
        <v>466</v>
      </c>
      <c r="D21" s="115">
        <v>1966</v>
      </c>
      <c r="E21" s="115">
        <v>5</v>
      </c>
      <c r="F21" s="117">
        <v>26</v>
      </c>
      <c r="G21" s="115">
        <v>2025</v>
      </c>
      <c r="H21" s="115">
        <v>5</v>
      </c>
      <c r="I21" s="117">
        <v>578.25</v>
      </c>
      <c r="J21" s="112">
        <v>5.3981335541296138</v>
      </c>
    </row>
    <row r="22" spans="1:10">
      <c r="A22" s="111" t="s">
        <v>513</v>
      </c>
      <c r="B22" s="111" t="s">
        <v>514</v>
      </c>
      <c r="C22" s="111" t="s">
        <v>466</v>
      </c>
      <c r="D22" s="115">
        <v>1967</v>
      </c>
      <c r="E22" s="115">
        <v>5</v>
      </c>
      <c r="F22" s="117">
        <v>28</v>
      </c>
      <c r="G22" s="115">
        <v>2025</v>
      </c>
      <c r="H22" s="115">
        <v>5</v>
      </c>
      <c r="I22" s="117">
        <v>578.25</v>
      </c>
      <c r="J22" s="112">
        <v>5.3590104326715071</v>
      </c>
    </row>
    <row r="23" spans="1:10">
      <c r="A23" s="111" t="s">
        <v>513</v>
      </c>
      <c r="B23" s="111" t="s">
        <v>514</v>
      </c>
      <c r="C23" s="111" t="s">
        <v>466</v>
      </c>
      <c r="D23" s="115">
        <v>1968</v>
      </c>
      <c r="E23" s="115">
        <v>5</v>
      </c>
      <c r="F23" s="117">
        <v>29.6</v>
      </c>
      <c r="G23" s="115">
        <v>2025</v>
      </c>
      <c r="H23" s="115">
        <v>5</v>
      </c>
      <c r="I23" s="117">
        <v>578.25</v>
      </c>
      <c r="J23" s="112">
        <v>5.3527882019790196</v>
      </c>
    </row>
    <row r="24" spans="1:10">
      <c r="A24" s="111" t="s">
        <v>513</v>
      </c>
      <c r="B24" s="111" t="s">
        <v>514</v>
      </c>
      <c r="C24" s="111" t="s">
        <v>466</v>
      </c>
      <c r="D24" s="115">
        <v>1969</v>
      </c>
      <c r="E24" s="115">
        <v>5</v>
      </c>
      <c r="F24" s="117">
        <v>31.8</v>
      </c>
      <c r="G24" s="115">
        <v>2025</v>
      </c>
      <c r="H24" s="115">
        <v>5</v>
      </c>
      <c r="I24" s="117">
        <v>578.25</v>
      </c>
      <c r="J24" s="112">
        <v>5.3160198960260807</v>
      </c>
    </row>
    <row r="25" spans="1:10">
      <c r="A25" s="111" t="s">
        <v>513</v>
      </c>
      <c r="B25" s="111" t="s">
        <v>514</v>
      </c>
      <c r="C25" s="111" t="s">
        <v>466</v>
      </c>
      <c r="D25" s="115">
        <v>1970</v>
      </c>
      <c r="E25" s="115">
        <v>5</v>
      </c>
      <c r="F25" s="117">
        <v>33.700000000000003</v>
      </c>
      <c r="G25" s="115">
        <v>2025</v>
      </c>
      <c r="H25" s="115">
        <v>5</v>
      </c>
      <c r="I25" s="117">
        <v>578.25</v>
      </c>
      <c r="J25" s="112">
        <v>5.3040792869102127</v>
      </c>
    </row>
    <row r="26" spans="1:10">
      <c r="A26" s="111" t="s">
        <v>513</v>
      </c>
      <c r="B26" s="111" t="s">
        <v>514</v>
      </c>
      <c r="C26" s="111" t="s">
        <v>466</v>
      </c>
      <c r="D26" s="115">
        <v>1971</v>
      </c>
      <c r="E26" s="115">
        <v>5</v>
      </c>
      <c r="F26" s="117">
        <v>36.1</v>
      </c>
      <c r="G26" s="115">
        <v>2025</v>
      </c>
      <c r="H26" s="115">
        <v>5</v>
      </c>
      <c r="I26" s="117">
        <v>578.25</v>
      </c>
      <c r="J26" s="112">
        <v>5.2707128224572131</v>
      </c>
    </row>
    <row r="27" spans="1:10">
      <c r="A27" s="111" t="s">
        <v>513</v>
      </c>
      <c r="B27" s="111" t="s">
        <v>514</v>
      </c>
      <c r="C27" s="111" t="s">
        <v>466</v>
      </c>
      <c r="D27" s="115">
        <v>1972</v>
      </c>
      <c r="E27" s="115">
        <v>5</v>
      </c>
      <c r="F27" s="117">
        <v>37.200000000000003</v>
      </c>
      <c r="G27" s="115">
        <v>2025</v>
      </c>
      <c r="H27" s="115">
        <v>5</v>
      </c>
      <c r="I27" s="117">
        <v>578.25</v>
      </c>
      <c r="J27" s="112">
        <v>5.3131259321229196</v>
      </c>
    </row>
    <row r="28" spans="1:10">
      <c r="A28" s="111" t="s">
        <v>513</v>
      </c>
      <c r="B28" s="111" t="s">
        <v>514</v>
      </c>
      <c r="C28" s="111" t="s">
        <v>466</v>
      </c>
      <c r="D28" s="115">
        <v>1973</v>
      </c>
      <c r="E28" s="115">
        <v>5</v>
      </c>
      <c r="F28" s="117">
        <v>38.5</v>
      </c>
      <c r="G28" s="115">
        <v>2025</v>
      </c>
      <c r="H28" s="115">
        <v>5</v>
      </c>
      <c r="I28" s="117">
        <v>578.25</v>
      </c>
      <c r="J28" s="112">
        <v>5.3484084940047749</v>
      </c>
    </row>
    <row r="29" spans="1:10">
      <c r="A29" s="111" t="s">
        <v>513</v>
      </c>
      <c r="B29" s="111" t="s">
        <v>514</v>
      </c>
      <c r="C29" s="111" t="s">
        <v>466</v>
      </c>
      <c r="D29" s="115">
        <v>1974</v>
      </c>
      <c r="E29" s="115">
        <v>5</v>
      </c>
      <c r="F29" s="117">
        <v>41.4</v>
      </c>
      <c r="G29" s="115">
        <v>2025</v>
      </c>
      <c r="H29" s="115">
        <v>5</v>
      </c>
      <c r="I29" s="117">
        <v>578.25</v>
      </c>
      <c r="J29" s="112">
        <v>5.3060302071727516</v>
      </c>
    </row>
    <row r="30" spans="1:10">
      <c r="A30" s="111" t="s">
        <v>513</v>
      </c>
      <c r="B30" s="111" t="s">
        <v>514</v>
      </c>
      <c r="C30" s="111" t="s">
        <v>466</v>
      </c>
      <c r="D30" s="115">
        <v>1975</v>
      </c>
      <c r="E30" s="115">
        <v>5</v>
      </c>
      <c r="F30" s="117">
        <v>47</v>
      </c>
      <c r="G30" s="115">
        <v>2025</v>
      </c>
      <c r="H30" s="115">
        <v>5</v>
      </c>
      <c r="I30" s="117">
        <v>578.25</v>
      </c>
      <c r="J30" s="112">
        <v>5.147840012737892</v>
      </c>
    </row>
    <row r="31" spans="1:10">
      <c r="A31" s="111" t="s">
        <v>513</v>
      </c>
      <c r="B31" s="111" t="s">
        <v>514</v>
      </c>
      <c r="C31" s="111" t="s">
        <v>466</v>
      </c>
      <c r="D31" s="115">
        <v>1976</v>
      </c>
      <c r="E31" s="115">
        <v>5</v>
      </c>
      <c r="F31" s="117">
        <v>51.4</v>
      </c>
      <c r="G31" s="115">
        <v>2025</v>
      </c>
      <c r="H31" s="115">
        <v>5</v>
      </c>
      <c r="I31" s="117">
        <v>578.25</v>
      </c>
      <c r="J31" s="112">
        <v>5.0635551218144226</v>
      </c>
    </row>
    <row r="32" spans="1:10">
      <c r="A32" s="111" t="s">
        <v>513</v>
      </c>
      <c r="B32" s="111" t="s">
        <v>514</v>
      </c>
      <c r="C32" s="111" t="s">
        <v>466</v>
      </c>
      <c r="D32" s="115">
        <v>1977</v>
      </c>
      <c r="E32" s="115">
        <v>5</v>
      </c>
      <c r="F32" s="117">
        <v>56.4</v>
      </c>
      <c r="G32" s="115">
        <v>2025</v>
      </c>
      <c r="H32" s="115">
        <v>5</v>
      </c>
      <c r="I32" s="117">
        <v>578.25</v>
      </c>
      <c r="J32" s="112">
        <v>4.9685249801155296</v>
      </c>
    </row>
    <row r="33" spans="1:10">
      <c r="A33" s="111" t="s">
        <v>513</v>
      </c>
      <c r="B33" s="111" t="s">
        <v>514</v>
      </c>
      <c r="C33" s="111" t="s">
        <v>466</v>
      </c>
      <c r="D33" s="115">
        <v>1978</v>
      </c>
      <c r="E33" s="115">
        <v>5</v>
      </c>
      <c r="F33" s="117">
        <v>61.1</v>
      </c>
      <c r="G33" s="115">
        <v>2025</v>
      </c>
      <c r="H33" s="115">
        <v>5</v>
      </c>
      <c r="I33" s="117">
        <v>578.25</v>
      </c>
      <c r="J33" s="112">
        <v>4.8980804646678866</v>
      </c>
    </row>
    <row r="34" spans="1:10">
      <c r="A34" s="111" t="s">
        <v>513</v>
      </c>
      <c r="B34" s="111" t="s">
        <v>514</v>
      </c>
      <c r="C34" s="111" t="s">
        <v>466</v>
      </c>
      <c r="D34" s="115">
        <v>1979</v>
      </c>
      <c r="E34" s="115">
        <v>5</v>
      </c>
      <c r="F34" s="117">
        <v>66.5</v>
      </c>
      <c r="G34" s="115">
        <v>2025</v>
      </c>
      <c r="H34" s="115">
        <v>5</v>
      </c>
      <c r="I34" s="117">
        <v>578.25</v>
      </c>
      <c r="J34" s="112">
        <v>4.8140336643234916</v>
      </c>
    </row>
    <row r="35" spans="1:10">
      <c r="A35" s="111" t="s">
        <v>513</v>
      </c>
      <c r="B35" s="111" t="s">
        <v>514</v>
      </c>
      <c r="C35" s="111" t="s">
        <v>466</v>
      </c>
      <c r="D35" s="115">
        <v>1980</v>
      </c>
      <c r="E35" s="115">
        <v>5</v>
      </c>
      <c r="F35" s="117">
        <v>74.2</v>
      </c>
      <c r="G35" s="115">
        <v>2025</v>
      </c>
      <c r="H35" s="115">
        <v>5</v>
      </c>
      <c r="I35" s="117">
        <v>578.25</v>
      </c>
      <c r="J35" s="112">
        <v>4.6684556553117096</v>
      </c>
    </row>
    <row r="36" spans="1:10">
      <c r="A36" s="111" t="s">
        <v>513</v>
      </c>
      <c r="B36" s="111" t="s">
        <v>514</v>
      </c>
      <c r="C36" s="111" t="s">
        <v>466</v>
      </c>
      <c r="D36" s="115">
        <v>1981</v>
      </c>
      <c r="E36" s="115">
        <v>5</v>
      </c>
      <c r="F36" s="117">
        <v>81.400000000000006</v>
      </c>
      <c r="G36" s="115">
        <v>2025</v>
      </c>
      <c r="H36" s="115">
        <v>5</v>
      </c>
      <c r="I36" s="117">
        <v>578.25</v>
      </c>
      <c r="J36" s="112">
        <v>4.5567495692714344</v>
      </c>
    </row>
    <row r="37" spans="1:10">
      <c r="A37" s="111" t="s">
        <v>513</v>
      </c>
      <c r="B37" s="111" t="s">
        <v>514</v>
      </c>
      <c r="C37" s="111" t="s">
        <v>466</v>
      </c>
      <c r="D37" s="115">
        <v>1982</v>
      </c>
      <c r="E37" s="115">
        <v>5</v>
      </c>
      <c r="F37" s="117">
        <v>91.2</v>
      </c>
      <c r="G37" s="115">
        <v>2025</v>
      </c>
      <c r="H37" s="115">
        <v>5</v>
      </c>
      <c r="I37" s="117">
        <v>578.25</v>
      </c>
      <c r="J37" s="112">
        <v>4.3888160989675304</v>
      </c>
    </row>
    <row r="38" spans="1:10">
      <c r="A38" s="111" t="s">
        <v>513</v>
      </c>
      <c r="B38" s="111" t="s">
        <v>514</v>
      </c>
      <c r="C38" s="111" t="s">
        <v>466</v>
      </c>
      <c r="D38" s="115">
        <v>1983</v>
      </c>
      <c r="E38" s="115">
        <v>5</v>
      </c>
      <c r="F38" s="117">
        <v>99.7</v>
      </c>
      <c r="G38" s="115">
        <v>2025</v>
      </c>
      <c r="H38" s="115">
        <v>5</v>
      </c>
      <c r="I38" s="117">
        <v>578.25</v>
      </c>
      <c r="J38" s="112">
        <v>4.2741547605970043</v>
      </c>
    </row>
    <row r="39" spans="1:10">
      <c r="A39" s="111" t="s">
        <v>513</v>
      </c>
      <c r="B39" s="111" t="s">
        <v>514</v>
      </c>
      <c r="C39" s="111" t="s">
        <v>466</v>
      </c>
      <c r="D39" s="115">
        <v>1984</v>
      </c>
      <c r="E39" s="115">
        <v>5</v>
      </c>
      <c r="F39" s="117">
        <v>106.1</v>
      </c>
      <c r="G39" s="115">
        <v>2025</v>
      </c>
      <c r="H39" s="115">
        <v>5</v>
      </c>
      <c r="I39" s="117">
        <v>578.25</v>
      </c>
      <c r="J39" s="112">
        <v>4.2223789179933746</v>
      </c>
    </row>
    <row r="40" spans="1:10">
      <c r="A40" s="111" t="s">
        <v>513</v>
      </c>
      <c r="B40" s="111" t="s">
        <v>514</v>
      </c>
      <c r="C40" s="111" t="s">
        <v>466</v>
      </c>
      <c r="D40" s="115">
        <v>1985</v>
      </c>
      <c r="E40" s="115">
        <v>5</v>
      </c>
      <c r="F40" s="117">
        <v>112.5</v>
      </c>
      <c r="G40" s="115">
        <v>2025</v>
      </c>
      <c r="H40" s="115">
        <v>5</v>
      </c>
      <c r="I40" s="117">
        <v>578.25</v>
      </c>
      <c r="J40" s="112">
        <v>4.1775351988794451</v>
      </c>
    </row>
    <row r="41" spans="1:10">
      <c r="A41" s="111" t="s">
        <v>513</v>
      </c>
      <c r="B41" s="111" t="s">
        <v>514</v>
      </c>
      <c r="C41" s="111" t="s">
        <v>466</v>
      </c>
      <c r="D41" s="115">
        <v>1986</v>
      </c>
      <c r="E41" s="115">
        <v>5</v>
      </c>
      <c r="F41" s="117">
        <v>121</v>
      </c>
      <c r="G41" s="115">
        <v>2025</v>
      </c>
      <c r="H41" s="115">
        <v>5</v>
      </c>
      <c r="I41" s="117">
        <v>578.25</v>
      </c>
      <c r="J41" s="112">
        <v>4.0923288062193031</v>
      </c>
    </row>
    <row r="42" spans="1:10">
      <c r="A42" s="111" t="s">
        <v>513</v>
      </c>
      <c r="B42" s="111" t="s">
        <v>514</v>
      </c>
      <c r="C42" s="111" t="s">
        <v>466</v>
      </c>
      <c r="D42" s="115">
        <v>1987</v>
      </c>
      <c r="E42" s="115">
        <v>5</v>
      </c>
      <c r="F42" s="117">
        <v>129.19999999999999</v>
      </c>
      <c r="G42" s="115">
        <v>2025</v>
      </c>
      <c r="H42" s="115">
        <v>5</v>
      </c>
      <c r="I42" s="117">
        <v>578.25</v>
      </c>
      <c r="J42" s="112">
        <v>4.0226022302739528</v>
      </c>
    </row>
    <row r="43" spans="1:10">
      <c r="A43" s="111" t="s">
        <v>513</v>
      </c>
      <c r="B43" s="111" t="s">
        <v>514</v>
      </c>
      <c r="C43" s="111" t="s">
        <v>466</v>
      </c>
      <c r="D43" s="115">
        <v>1988</v>
      </c>
      <c r="E43" s="115">
        <v>5</v>
      </c>
      <c r="F43" s="117">
        <v>137.5</v>
      </c>
      <c r="G43" s="115">
        <v>2025</v>
      </c>
      <c r="H43" s="115">
        <v>5</v>
      </c>
      <c r="I43" s="117">
        <v>578.25</v>
      </c>
      <c r="J43" s="112">
        <v>3.9584532663958778</v>
      </c>
    </row>
    <row r="44" spans="1:10">
      <c r="A44" s="111" t="s">
        <v>513</v>
      </c>
      <c r="B44" s="111" t="s">
        <v>514</v>
      </c>
      <c r="C44" s="111" t="s">
        <v>466</v>
      </c>
      <c r="D44" s="115">
        <v>1989</v>
      </c>
      <c r="E44" s="115">
        <v>5</v>
      </c>
      <c r="F44" s="117">
        <v>147.5</v>
      </c>
      <c r="G44" s="115">
        <v>2025</v>
      </c>
      <c r="H44" s="115">
        <v>5</v>
      </c>
      <c r="I44" s="117">
        <v>578.25</v>
      </c>
      <c r="J44" s="112">
        <v>3.867866648307317</v>
      </c>
    </row>
    <row r="45" spans="1:10">
      <c r="A45" s="111" t="s">
        <v>513</v>
      </c>
      <c r="B45" s="111" t="s">
        <v>514</v>
      </c>
      <c r="C45" s="111" t="s">
        <v>466</v>
      </c>
      <c r="D45" s="115">
        <v>1990</v>
      </c>
      <c r="E45" s="115">
        <v>5</v>
      </c>
      <c r="F45" s="117">
        <v>160.80000000000001</v>
      </c>
      <c r="G45" s="115">
        <v>2025</v>
      </c>
      <c r="H45" s="115">
        <v>5</v>
      </c>
      <c r="I45" s="117">
        <v>578.25</v>
      </c>
      <c r="J45" s="112">
        <v>3.7243795375385469</v>
      </c>
    </row>
    <row r="46" spans="1:10">
      <c r="A46" s="111" t="s">
        <v>513</v>
      </c>
      <c r="B46" s="111" t="s">
        <v>514</v>
      </c>
      <c r="C46" s="111" t="s">
        <v>466</v>
      </c>
      <c r="D46" s="115">
        <v>1991</v>
      </c>
      <c r="E46" s="115">
        <v>5</v>
      </c>
      <c r="F46" s="117">
        <v>175.2</v>
      </c>
      <c r="G46" s="115">
        <v>2025</v>
      </c>
      <c r="H46" s="115">
        <v>5</v>
      </c>
      <c r="I46" s="117">
        <v>578.25</v>
      </c>
      <c r="J46" s="112">
        <v>3.5743933430376851</v>
      </c>
    </row>
    <row r="47" spans="1:10">
      <c r="A47" s="111" t="s">
        <v>513</v>
      </c>
      <c r="B47" s="111" t="s">
        <v>514</v>
      </c>
      <c r="C47" s="111" t="s">
        <v>466</v>
      </c>
      <c r="D47" s="115">
        <v>1992</v>
      </c>
      <c r="E47" s="115">
        <v>5</v>
      </c>
      <c r="F47" s="117">
        <v>188.7</v>
      </c>
      <c r="G47" s="115">
        <v>2025</v>
      </c>
      <c r="H47" s="115">
        <v>5</v>
      </c>
      <c r="I47" s="117">
        <v>578.25</v>
      </c>
      <c r="J47" s="112">
        <v>3.4517136729196758</v>
      </c>
    </row>
    <row r="48" spans="1:10">
      <c r="A48" s="111" t="s">
        <v>513</v>
      </c>
      <c r="B48" s="111" t="s">
        <v>514</v>
      </c>
      <c r="C48" s="111" t="s">
        <v>466</v>
      </c>
      <c r="D48" s="115">
        <v>1993</v>
      </c>
      <c r="E48" s="115">
        <v>5</v>
      </c>
      <c r="F48" s="117">
        <v>200.5</v>
      </c>
      <c r="G48" s="115">
        <v>2025</v>
      </c>
      <c r="H48" s="115">
        <v>5</v>
      </c>
      <c r="I48" s="117">
        <v>578.25</v>
      </c>
      <c r="J48" s="112">
        <v>3.365364280579008</v>
      </c>
    </row>
    <row r="49" spans="1:10">
      <c r="A49" s="111" t="s">
        <v>513</v>
      </c>
      <c r="B49" s="111" t="s">
        <v>514</v>
      </c>
      <c r="C49" s="111" t="s">
        <v>466</v>
      </c>
      <c r="D49" s="115">
        <v>1994</v>
      </c>
      <c r="E49" s="115">
        <v>5</v>
      </c>
      <c r="F49" s="117">
        <v>209.7</v>
      </c>
      <c r="G49" s="115">
        <v>2025</v>
      </c>
      <c r="H49" s="115">
        <v>5</v>
      </c>
      <c r="I49" s="117">
        <v>578.25</v>
      </c>
      <c r="J49" s="112">
        <v>3.3261464355747168</v>
      </c>
    </row>
    <row r="50" spans="1:10">
      <c r="A50" s="111" t="s">
        <v>513</v>
      </c>
      <c r="B50" s="111" t="s">
        <v>514</v>
      </c>
      <c r="C50" s="111" t="s">
        <v>466</v>
      </c>
      <c r="D50" s="115">
        <v>1995</v>
      </c>
      <c r="E50" s="115">
        <v>5</v>
      </c>
      <c r="F50" s="117">
        <v>219.3</v>
      </c>
      <c r="G50" s="115">
        <v>2025</v>
      </c>
      <c r="H50" s="115">
        <v>5</v>
      </c>
      <c r="I50" s="117">
        <v>578.25</v>
      </c>
      <c r="J50" s="112">
        <v>3.2846781018645692</v>
      </c>
    </row>
    <row r="51" spans="1:10">
      <c r="A51" s="111" t="s">
        <v>513</v>
      </c>
      <c r="B51" s="111" t="s">
        <v>514</v>
      </c>
      <c r="C51" s="111" t="s">
        <v>466</v>
      </c>
      <c r="D51" s="115">
        <v>1996</v>
      </c>
      <c r="E51" s="115">
        <v>5</v>
      </c>
      <c r="F51" s="117">
        <v>227.4</v>
      </c>
      <c r="G51" s="115">
        <v>2025</v>
      </c>
      <c r="H51" s="115">
        <v>5</v>
      </c>
      <c r="I51" s="117">
        <v>578.25</v>
      </c>
      <c r="J51" s="112">
        <v>3.2706071604207798</v>
      </c>
    </row>
    <row r="52" spans="1:10">
      <c r="A52" s="111" t="s">
        <v>513</v>
      </c>
      <c r="B52" s="111" t="s">
        <v>514</v>
      </c>
      <c r="C52" s="111" t="s">
        <v>466</v>
      </c>
      <c r="D52" s="115">
        <v>1997</v>
      </c>
      <c r="E52" s="115">
        <v>5</v>
      </c>
      <c r="F52" s="117">
        <v>234.2</v>
      </c>
      <c r="G52" s="115">
        <v>2025</v>
      </c>
      <c r="H52" s="115">
        <v>5</v>
      </c>
      <c r="I52" s="117">
        <v>578.25</v>
      </c>
      <c r="J52" s="112">
        <v>3.280631317674354</v>
      </c>
    </row>
    <row r="53" spans="1:10">
      <c r="A53" s="111" t="s">
        <v>513</v>
      </c>
      <c r="B53" s="111" t="s">
        <v>514</v>
      </c>
      <c r="C53" s="111" t="s">
        <v>466</v>
      </c>
      <c r="D53" s="115">
        <v>1998</v>
      </c>
      <c r="E53" s="115">
        <v>5</v>
      </c>
      <c r="F53" s="117">
        <v>241.4</v>
      </c>
      <c r="G53" s="115">
        <v>2025</v>
      </c>
      <c r="H53" s="115">
        <v>5</v>
      </c>
      <c r="I53" s="117">
        <v>578.25</v>
      </c>
      <c r="J53" s="112">
        <v>3.2882813131748461</v>
      </c>
    </row>
    <row r="54" spans="1:10">
      <c r="A54" s="111" t="s">
        <v>513</v>
      </c>
      <c r="B54" s="111" t="s">
        <v>514</v>
      </c>
      <c r="C54" s="111" t="s">
        <v>466</v>
      </c>
      <c r="D54" s="115">
        <v>1999</v>
      </c>
      <c r="E54" s="115">
        <v>5</v>
      </c>
      <c r="F54" s="117">
        <v>249.5</v>
      </c>
      <c r="G54" s="115">
        <v>2025</v>
      </c>
      <c r="H54" s="115">
        <v>5</v>
      </c>
      <c r="I54" s="117">
        <v>578.25</v>
      </c>
      <c r="J54" s="112">
        <v>3.285699670471387</v>
      </c>
    </row>
    <row r="55" spans="1:10">
      <c r="A55" s="111" t="s">
        <v>513</v>
      </c>
      <c r="B55" s="111" t="s">
        <v>514</v>
      </c>
      <c r="C55" s="111" t="s">
        <v>466</v>
      </c>
      <c r="D55" s="115">
        <v>2000</v>
      </c>
      <c r="E55" s="115">
        <v>5</v>
      </c>
      <c r="F55" s="117">
        <v>259.39999999999998</v>
      </c>
      <c r="G55" s="115">
        <v>2025</v>
      </c>
      <c r="H55" s="115">
        <v>5</v>
      </c>
      <c r="I55" s="117">
        <v>578.25</v>
      </c>
      <c r="J55" s="112">
        <v>3.2585035365400472</v>
      </c>
    </row>
    <row r="56" spans="1:10">
      <c r="A56" s="111" t="s">
        <v>513</v>
      </c>
      <c r="B56" s="111" t="s">
        <v>514</v>
      </c>
      <c r="C56" s="111" t="s">
        <v>466</v>
      </c>
      <c r="D56" s="115">
        <v>2001</v>
      </c>
      <c r="E56" s="115">
        <v>5</v>
      </c>
      <c r="F56" s="117">
        <v>271.39999999999998</v>
      </c>
      <c r="G56" s="115">
        <v>2025</v>
      </c>
      <c r="H56" s="115">
        <v>5</v>
      </c>
      <c r="I56" s="117">
        <v>578.25</v>
      </c>
      <c r="J56" s="112">
        <v>3.2019115581328079</v>
      </c>
    </row>
    <row r="57" spans="1:10">
      <c r="A57" s="111" t="s">
        <v>513</v>
      </c>
      <c r="B57" s="111" t="s">
        <v>514</v>
      </c>
      <c r="C57" s="111" t="s">
        <v>466</v>
      </c>
      <c r="D57" s="115">
        <v>2002</v>
      </c>
      <c r="E57" s="115">
        <v>5</v>
      </c>
      <c r="F57" s="117">
        <v>284.10000000000002</v>
      </c>
      <c r="G57" s="115">
        <v>2025</v>
      </c>
      <c r="H57" s="115">
        <v>5</v>
      </c>
      <c r="I57" s="117">
        <v>578.25</v>
      </c>
      <c r="J57" s="112">
        <v>3.138146418893895</v>
      </c>
    </row>
    <row r="58" spans="1:10">
      <c r="A58" s="111" t="s">
        <v>513</v>
      </c>
      <c r="B58" s="111" t="s">
        <v>514</v>
      </c>
      <c r="C58" s="111" t="s">
        <v>466</v>
      </c>
      <c r="D58" s="115">
        <v>2003</v>
      </c>
      <c r="E58" s="115">
        <v>5</v>
      </c>
      <c r="F58" s="117">
        <v>295.5</v>
      </c>
      <c r="G58" s="115">
        <v>2025</v>
      </c>
      <c r="H58" s="115">
        <v>5</v>
      </c>
      <c r="I58" s="117">
        <v>578.25</v>
      </c>
      <c r="J58" s="112">
        <v>3.098570451082594</v>
      </c>
    </row>
    <row r="59" spans="1:10">
      <c r="A59" s="111" t="s">
        <v>513</v>
      </c>
      <c r="B59" s="111" t="s">
        <v>514</v>
      </c>
      <c r="C59" s="111" t="s">
        <v>466</v>
      </c>
      <c r="D59" s="115">
        <v>2004</v>
      </c>
      <c r="E59" s="115">
        <v>5</v>
      </c>
      <c r="F59" s="117">
        <v>309</v>
      </c>
      <c r="G59" s="115">
        <v>2025</v>
      </c>
      <c r="H59" s="115">
        <v>5</v>
      </c>
      <c r="I59" s="117">
        <v>578.25</v>
      </c>
      <c r="J59" s="112">
        <v>3.0290902141220539</v>
      </c>
    </row>
    <row r="60" spans="1:10">
      <c r="A60" s="111" t="s">
        <v>513</v>
      </c>
      <c r="B60" s="111" t="s">
        <v>514</v>
      </c>
      <c r="C60" s="111" t="s">
        <v>466</v>
      </c>
      <c r="D60" s="115">
        <v>2005</v>
      </c>
      <c r="E60" s="115">
        <v>5</v>
      </c>
      <c r="F60" s="117">
        <v>322.2</v>
      </c>
      <c r="G60" s="115">
        <v>2025</v>
      </c>
      <c r="H60" s="115">
        <v>5</v>
      </c>
      <c r="I60" s="117">
        <v>578.25</v>
      </c>
      <c r="J60" s="112">
        <v>2.9673427737715752</v>
      </c>
    </row>
    <row r="61" spans="1:10">
      <c r="A61" s="111" t="s">
        <v>513</v>
      </c>
      <c r="B61" s="111" t="s">
        <v>514</v>
      </c>
      <c r="C61" s="111" t="s">
        <v>466</v>
      </c>
      <c r="D61" s="115">
        <v>2006</v>
      </c>
      <c r="E61" s="115">
        <v>5</v>
      </c>
      <c r="F61" s="117">
        <v>335.6</v>
      </c>
      <c r="G61" s="115">
        <v>2025</v>
      </c>
      <c r="H61" s="115">
        <v>5</v>
      </c>
      <c r="I61" s="117">
        <v>578.25</v>
      </c>
      <c r="J61" s="112">
        <v>2.9050078117256679</v>
      </c>
    </row>
    <row r="62" spans="1:10">
      <c r="A62" s="111" t="s">
        <v>513</v>
      </c>
      <c r="B62" s="111" t="s">
        <v>514</v>
      </c>
      <c r="C62" s="111" t="s">
        <v>466</v>
      </c>
      <c r="D62" s="115">
        <v>2007</v>
      </c>
      <c r="E62" s="115">
        <v>5</v>
      </c>
      <c r="F62" s="117">
        <v>349.08699999999999</v>
      </c>
      <c r="G62" s="115">
        <v>2025</v>
      </c>
      <c r="H62" s="115">
        <v>5</v>
      </c>
      <c r="I62" s="117">
        <v>578.25</v>
      </c>
      <c r="J62" s="112">
        <v>2.8434828551823892</v>
      </c>
    </row>
    <row r="63" spans="1:10">
      <c r="A63" s="111" t="s">
        <v>513</v>
      </c>
      <c r="B63" s="111" t="s">
        <v>514</v>
      </c>
      <c r="C63" s="111" t="s">
        <v>466</v>
      </c>
      <c r="D63" s="115">
        <v>2008</v>
      </c>
      <c r="E63" s="115">
        <v>5</v>
      </c>
      <c r="F63" s="117">
        <v>363.39600000000002</v>
      </c>
      <c r="G63" s="115">
        <v>2025</v>
      </c>
      <c r="H63" s="115">
        <v>5</v>
      </c>
      <c r="I63" s="117">
        <v>578.25</v>
      </c>
      <c r="J63" s="112">
        <v>2.7701035337757358</v>
      </c>
    </row>
    <row r="64" spans="1:10">
      <c r="A64" s="111" t="s">
        <v>513</v>
      </c>
      <c r="B64" s="111" t="s">
        <v>514</v>
      </c>
      <c r="C64" s="111" t="s">
        <v>466</v>
      </c>
      <c r="D64" s="115">
        <v>2009</v>
      </c>
      <c r="E64" s="115">
        <v>5</v>
      </c>
      <c r="F64" s="117">
        <v>375.02600000000001</v>
      </c>
      <c r="G64" s="115">
        <v>2025</v>
      </c>
      <c r="H64" s="115">
        <v>5</v>
      </c>
      <c r="I64" s="117">
        <v>578.25</v>
      </c>
      <c r="J64" s="112">
        <v>2.743271803508573</v>
      </c>
    </row>
    <row r="65" spans="1:10">
      <c r="A65" s="111" t="s">
        <v>513</v>
      </c>
      <c r="B65" s="111" t="s">
        <v>514</v>
      </c>
      <c r="C65" s="111" t="s">
        <v>466</v>
      </c>
      <c r="D65" s="115">
        <v>2010</v>
      </c>
      <c r="E65" s="115">
        <v>5</v>
      </c>
      <c r="F65" s="117">
        <v>387.762</v>
      </c>
      <c r="G65" s="115">
        <v>2025</v>
      </c>
      <c r="H65" s="115">
        <v>5</v>
      </c>
      <c r="I65" s="117">
        <v>578.25</v>
      </c>
      <c r="J65" s="112">
        <v>2.6999013228873769</v>
      </c>
    </row>
    <row r="66" spans="1:10">
      <c r="A66" s="111" t="s">
        <v>513</v>
      </c>
      <c r="B66" s="111" t="s">
        <v>514</v>
      </c>
      <c r="C66" s="111" t="s">
        <v>466</v>
      </c>
      <c r="D66" s="115">
        <v>2011</v>
      </c>
      <c r="E66" s="115">
        <v>5</v>
      </c>
      <c r="F66" s="117">
        <v>399.375</v>
      </c>
      <c r="G66" s="115">
        <v>2025</v>
      </c>
      <c r="H66" s="115">
        <v>5</v>
      </c>
      <c r="I66" s="117">
        <v>578.25</v>
      </c>
      <c r="J66" s="112">
        <v>2.6788638944178489</v>
      </c>
    </row>
    <row r="67" spans="1:10">
      <c r="A67" s="111" t="s">
        <v>513</v>
      </c>
      <c r="B67" s="111" t="s">
        <v>514</v>
      </c>
      <c r="C67" s="111" t="s">
        <v>466</v>
      </c>
      <c r="D67" s="115">
        <v>2012</v>
      </c>
      <c r="E67" s="115">
        <v>5</v>
      </c>
      <c r="F67" s="117">
        <v>413.65499999999997</v>
      </c>
      <c r="G67" s="115">
        <v>2025</v>
      </c>
      <c r="H67" s="115">
        <v>5</v>
      </c>
      <c r="I67" s="117">
        <v>578.25</v>
      </c>
      <c r="J67" s="112">
        <v>2.610207631675054</v>
      </c>
    </row>
    <row r="68" spans="1:10">
      <c r="A68" s="111" t="s">
        <v>513</v>
      </c>
      <c r="B68" s="111" t="s">
        <v>514</v>
      </c>
      <c r="C68" s="111" t="s">
        <v>466</v>
      </c>
      <c r="D68" s="115">
        <v>2013</v>
      </c>
      <c r="E68" s="115">
        <v>5</v>
      </c>
      <c r="F68" s="117">
        <v>422.834</v>
      </c>
      <c r="G68" s="115">
        <v>2025</v>
      </c>
      <c r="H68" s="115">
        <v>5</v>
      </c>
      <c r="I68" s="117">
        <v>578.25</v>
      </c>
      <c r="J68" s="112">
        <v>2.6428758612218051</v>
      </c>
    </row>
    <row r="69" spans="1:10">
      <c r="A69" s="111" t="s">
        <v>513</v>
      </c>
      <c r="B69" s="111" t="s">
        <v>514</v>
      </c>
      <c r="C69" s="111" t="s">
        <v>466</v>
      </c>
      <c r="D69" s="115">
        <v>2014</v>
      </c>
      <c r="E69" s="115">
        <v>5</v>
      </c>
      <c r="F69" s="117">
        <v>434.87400000000002</v>
      </c>
      <c r="G69" s="115">
        <v>2025</v>
      </c>
      <c r="H69" s="115">
        <v>5</v>
      </c>
      <c r="I69" s="117">
        <v>578.25</v>
      </c>
      <c r="J69" s="112">
        <v>2.624298117595036</v>
      </c>
    </row>
    <row r="70" spans="1:10">
      <c r="A70" s="111" t="s">
        <v>513</v>
      </c>
      <c r="B70" s="111" t="s">
        <v>514</v>
      </c>
      <c r="C70" s="111" t="s">
        <v>466</v>
      </c>
      <c r="D70" s="115">
        <v>2015</v>
      </c>
      <c r="E70" s="115">
        <v>5</v>
      </c>
      <c r="F70" s="117">
        <v>447.21300000000002</v>
      </c>
      <c r="G70" s="115">
        <v>2025</v>
      </c>
      <c r="H70" s="115">
        <v>5</v>
      </c>
      <c r="I70" s="117">
        <v>578.25</v>
      </c>
      <c r="J70" s="112">
        <v>2.603014867728537</v>
      </c>
    </row>
    <row r="71" spans="1:10">
      <c r="A71" s="111" t="s">
        <v>513</v>
      </c>
      <c r="B71" s="111" t="s">
        <v>514</v>
      </c>
      <c r="C71" s="111" t="s">
        <v>466</v>
      </c>
      <c r="D71" s="115">
        <v>2016</v>
      </c>
      <c r="E71" s="115">
        <v>5</v>
      </c>
      <c r="F71" s="117">
        <v>461.23</v>
      </c>
      <c r="G71" s="115">
        <v>2025</v>
      </c>
      <c r="H71" s="115">
        <v>5</v>
      </c>
      <c r="I71" s="117">
        <v>578.25</v>
      </c>
      <c r="J71" s="112">
        <v>2.5441523140314</v>
      </c>
    </row>
    <row r="72" spans="1:10">
      <c r="A72" s="111" t="s">
        <v>513</v>
      </c>
      <c r="B72" s="111" t="s">
        <v>514</v>
      </c>
      <c r="C72" s="111" t="s">
        <v>466</v>
      </c>
      <c r="D72" s="115">
        <v>2017</v>
      </c>
      <c r="E72" s="115">
        <v>5</v>
      </c>
      <c r="F72" s="117">
        <v>473.512</v>
      </c>
      <c r="G72" s="115">
        <v>2025</v>
      </c>
      <c r="H72" s="115">
        <v>5</v>
      </c>
      <c r="I72" s="117">
        <v>578.25</v>
      </c>
      <c r="J72" s="112">
        <v>2.5293210494372391</v>
      </c>
    </row>
    <row r="73" spans="1:10">
      <c r="A73" s="111" t="s">
        <v>513</v>
      </c>
      <c r="B73" s="111" t="s">
        <v>514</v>
      </c>
      <c r="C73" s="111" t="s">
        <v>466</v>
      </c>
      <c r="D73" s="115">
        <v>2018</v>
      </c>
      <c r="E73" s="115">
        <v>5</v>
      </c>
      <c r="F73" s="117">
        <v>484.85300000000001</v>
      </c>
      <c r="G73" s="115">
        <v>2025</v>
      </c>
      <c r="H73" s="115">
        <v>5</v>
      </c>
      <c r="I73" s="117">
        <v>578.25</v>
      </c>
      <c r="J73" s="112">
        <v>2.5485124378843649</v>
      </c>
    </row>
    <row r="74" spans="1:10">
      <c r="A74" s="111" t="s">
        <v>513</v>
      </c>
      <c r="B74" s="111" t="s">
        <v>514</v>
      </c>
      <c r="C74" s="111" t="s">
        <v>466</v>
      </c>
      <c r="D74" s="115">
        <v>2019</v>
      </c>
      <c r="E74" s="115">
        <v>5</v>
      </c>
      <c r="F74" s="117">
        <v>494.928</v>
      </c>
      <c r="G74" s="115">
        <v>2025</v>
      </c>
      <c r="H74" s="115">
        <v>5</v>
      </c>
      <c r="I74" s="117">
        <v>578.25</v>
      </c>
      <c r="J74" s="112">
        <v>2.6271502379604521</v>
      </c>
    </row>
    <row r="75" spans="1:10">
      <c r="A75" s="111" t="s">
        <v>513</v>
      </c>
      <c r="B75" s="111" t="s">
        <v>514</v>
      </c>
      <c r="C75" s="111" t="s">
        <v>466</v>
      </c>
      <c r="D75" s="115">
        <v>2020</v>
      </c>
      <c r="E75" s="115">
        <v>5</v>
      </c>
      <c r="F75" s="117">
        <v>519.19399999999996</v>
      </c>
      <c r="G75" s="115">
        <v>2025</v>
      </c>
      <c r="H75" s="115">
        <v>5</v>
      </c>
      <c r="I75" s="117">
        <v>578.25</v>
      </c>
      <c r="J75" s="112">
        <v>2.1779523835076859</v>
      </c>
    </row>
    <row r="76" spans="1:10">
      <c r="A76" s="111" t="s">
        <v>513</v>
      </c>
      <c r="B76" s="111" t="s">
        <v>514</v>
      </c>
      <c r="C76" s="111" t="s">
        <v>466</v>
      </c>
      <c r="D76" s="115">
        <v>2021</v>
      </c>
      <c r="E76" s="115">
        <v>5</v>
      </c>
      <c r="F76" s="117">
        <v>523.91800000000001</v>
      </c>
      <c r="G76" s="115">
        <v>2025</v>
      </c>
      <c r="H76" s="115">
        <v>5</v>
      </c>
      <c r="I76" s="117">
        <v>578.25</v>
      </c>
      <c r="J76" s="112">
        <v>2.49745462922637</v>
      </c>
    </row>
    <row r="77" spans="1:10">
      <c r="A77" s="111" t="s">
        <v>513</v>
      </c>
      <c r="B77" s="111" t="s">
        <v>514</v>
      </c>
      <c r="C77" s="111" t="s">
        <v>466</v>
      </c>
      <c r="D77" s="115">
        <v>2022</v>
      </c>
      <c r="E77" s="115">
        <v>5</v>
      </c>
      <c r="F77" s="117">
        <v>543.48800000000006</v>
      </c>
      <c r="G77" s="115">
        <v>2025</v>
      </c>
      <c r="H77" s="115">
        <v>5</v>
      </c>
      <c r="I77" s="117">
        <v>578.25</v>
      </c>
      <c r="J77" s="112">
        <v>2.0881249755294369</v>
      </c>
    </row>
    <row r="78" spans="1:10">
      <c r="A78" s="111" t="s">
        <v>513</v>
      </c>
      <c r="B78" s="111" t="s">
        <v>514</v>
      </c>
      <c r="C78" s="111" t="s">
        <v>466</v>
      </c>
      <c r="D78" s="115">
        <v>2023</v>
      </c>
      <c r="E78" s="115">
        <v>5</v>
      </c>
      <c r="F78" s="117">
        <v>547.41999999999996</v>
      </c>
      <c r="G78" s="115">
        <v>2025</v>
      </c>
      <c r="H78" s="115">
        <v>5</v>
      </c>
      <c r="I78" s="117">
        <v>578.25</v>
      </c>
      <c r="J78" s="112">
        <v>2.7773677180023442</v>
      </c>
    </row>
    <row r="79" spans="1:10">
      <c r="A79" s="111" t="s">
        <v>513</v>
      </c>
      <c r="B79" s="111" t="s">
        <v>514</v>
      </c>
      <c r="C79" s="111" t="s">
        <v>466</v>
      </c>
      <c r="D79" s="115">
        <v>2024</v>
      </c>
      <c r="E79" s="115">
        <v>5</v>
      </c>
      <c r="F79" s="117">
        <v>564.24900000000002</v>
      </c>
      <c r="G79" s="115">
        <v>2025</v>
      </c>
      <c r="H79" s="115">
        <v>5</v>
      </c>
      <c r="I79" s="117">
        <v>578.25</v>
      </c>
      <c r="J79" s="112">
        <v>2.4813513183009621</v>
      </c>
    </row>
    <row r="80" spans="1:10">
      <c r="A80" s="111" t="s">
        <v>495</v>
      </c>
      <c r="B80" s="111" t="s">
        <v>516</v>
      </c>
      <c r="C80" s="111" t="s">
        <v>466</v>
      </c>
      <c r="D80" s="115">
        <v>1967</v>
      </c>
      <c r="E80" s="115">
        <v>5</v>
      </c>
      <c r="F80" s="117">
        <v>44.9</v>
      </c>
      <c r="G80" s="115">
        <v>2025</v>
      </c>
      <c r="H80" s="115">
        <v>5</v>
      </c>
      <c r="I80" s="117">
        <v>417.149</v>
      </c>
      <c r="J80" s="112">
        <v>3.9179160086269871</v>
      </c>
    </row>
    <row r="81" spans="1:10">
      <c r="A81" s="111" t="s">
        <v>495</v>
      </c>
      <c r="B81" s="111" t="s">
        <v>516</v>
      </c>
      <c r="C81" s="111" t="s">
        <v>466</v>
      </c>
      <c r="D81" s="115">
        <v>1968</v>
      </c>
      <c r="E81" s="115">
        <v>5</v>
      </c>
      <c r="F81" s="117">
        <v>45</v>
      </c>
      <c r="G81" s="115">
        <v>2025</v>
      </c>
      <c r="H81" s="115">
        <v>5</v>
      </c>
      <c r="I81" s="117">
        <v>417.149</v>
      </c>
      <c r="J81" s="112">
        <v>3.983945705796144</v>
      </c>
    </row>
    <row r="82" spans="1:10">
      <c r="A82" s="111" t="s">
        <v>495</v>
      </c>
      <c r="B82" s="111" t="s">
        <v>516</v>
      </c>
      <c r="C82" s="111" t="s">
        <v>466</v>
      </c>
      <c r="D82" s="115">
        <v>1969</v>
      </c>
      <c r="E82" s="115">
        <v>5</v>
      </c>
      <c r="F82" s="117">
        <v>45.5</v>
      </c>
      <c r="G82" s="115">
        <v>2025</v>
      </c>
      <c r="H82" s="115">
        <v>5</v>
      </c>
      <c r="I82" s="117">
        <v>417.149</v>
      </c>
      <c r="J82" s="112">
        <v>4.0359813263873168</v>
      </c>
    </row>
    <row r="83" spans="1:10">
      <c r="A83" s="111" t="s">
        <v>495</v>
      </c>
      <c r="B83" s="111" t="s">
        <v>516</v>
      </c>
      <c r="C83" s="111" t="s">
        <v>466</v>
      </c>
      <c r="D83" s="115">
        <v>1970</v>
      </c>
      <c r="E83" s="115">
        <v>5</v>
      </c>
      <c r="F83" s="117">
        <v>46.5</v>
      </c>
      <c r="G83" s="115">
        <v>2025</v>
      </c>
      <c r="H83" s="115">
        <v>5</v>
      </c>
      <c r="I83" s="117">
        <v>417.149</v>
      </c>
      <c r="J83" s="112">
        <v>4.0697070114610989</v>
      </c>
    </row>
    <row r="84" spans="1:10">
      <c r="A84" s="111" t="s">
        <v>495</v>
      </c>
      <c r="B84" s="111" t="s">
        <v>516</v>
      </c>
      <c r="C84" s="111" t="s">
        <v>466</v>
      </c>
      <c r="D84" s="115">
        <v>1971</v>
      </c>
      <c r="E84" s="115">
        <v>5</v>
      </c>
      <c r="F84" s="117">
        <v>47.3</v>
      </c>
      <c r="G84" s="115">
        <v>2025</v>
      </c>
      <c r="H84" s="115">
        <v>5</v>
      </c>
      <c r="I84" s="117">
        <v>417.149</v>
      </c>
      <c r="J84" s="112">
        <v>4.1137200048771971</v>
      </c>
    </row>
    <row r="85" spans="1:10">
      <c r="A85" s="111" t="s">
        <v>495</v>
      </c>
      <c r="B85" s="111" t="s">
        <v>516</v>
      </c>
      <c r="C85" s="111" t="s">
        <v>466</v>
      </c>
      <c r="D85" s="115">
        <v>1972</v>
      </c>
      <c r="E85" s="115">
        <v>5</v>
      </c>
      <c r="F85" s="117">
        <v>47.4</v>
      </c>
      <c r="G85" s="115">
        <v>2025</v>
      </c>
      <c r="H85" s="115">
        <v>5</v>
      </c>
      <c r="I85" s="117">
        <v>417.149</v>
      </c>
      <c r="J85" s="112">
        <v>4.1887907411493952</v>
      </c>
    </row>
    <row r="86" spans="1:10">
      <c r="A86" s="111" t="s">
        <v>495</v>
      </c>
      <c r="B86" s="111" t="s">
        <v>516</v>
      </c>
      <c r="C86" s="111" t="s">
        <v>466</v>
      </c>
      <c r="D86" s="115">
        <v>1973</v>
      </c>
      <c r="E86" s="115">
        <v>5</v>
      </c>
      <c r="F86" s="117">
        <v>47.5</v>
      </c>
      <c r="G86" s="115">
        <v>2025</v>
      </c>
      <c r="H86" s="115">
        <v>5</v>
      </c>
      <c r="I86" s="117">
        <v>417.149</v>
      </c>
      <c r="J86" s="112">
        <v>4.2668150308354136</v>
      </c>
    </row>
    <row r="87" spans="1:10">
      <c r="A87" s="111" t="s">
        <v>495</v>
      </c>
      <c r="B87" s="111" t="s">
        <v>516</v>
      </c>
      <c r="C87" s="111" t="s">
        <v>466</v>
      </c>
      <c r="D87" s="115">
        <v>1974</v>
      </c>
      <c r="E87" s="115">
        <v>5</v>
      </c>
      <c r="F87" s="117">
        <v>48.5</v>
      </c>
      <c r="G87" s="115">
        <v>2025</v>
      </c>
      <c r="H87" s="115">
        <v>5</v>
      </c>
      <c r="I87" s="117">
        <v>417.149</v>
      </c>
      <c r="J87" s="112">
        <v>4.309652690193122</v>
      </c>
    </row>
    <row r="88" spans="1:10">
      <c r="A88" s="111" t="s">
        <v>495</v>
      </c>
      <c r="B88" s="111" t="s">
        <v>516</v>
      </c>
      <c r="C88" s="111" t="s">
        <v>466</v>
      </c>
      <c r="D88" s="115">
        <v>1975</v>
      </c>
      <c r="E88" s="115">
        <v>5</v>
      </c>
      <c r="F88" s="117">
        <v>53</v>
      </c>
      <c r="G88" s="115">
        <v>2025</v>
      </c>
      <c r="H88" s="115">
        <v>5</v>
      </c>
      <c r="I88" s="117">
        <v>417.149</v>
      </c>
      <c r="J88" s="112">
        <v>4.2126181168943289</v>
      </c>
    </row>
    <row r="89" spans="1:10">
      <c r="A89" s="111" t="s">
        <v>495</v>
      </c>
      <c r="B89" s="111" t="s">
        <v>516</v>
      </c>
      <c r="C89" s="111" t="s">
        <v>466</v>
      </c>
      <c r="D89" s="115">
        <v>1976</v>
      </c>
      <c r="E89" s="115">
        <v>5</v>
      </c>
      <c r="F89" s="117">
        <v>56.3</v>
      </c>
      <c r="G89" s="115">
        <v>2025</v>
      </c>
      <c r="H89" s="115">
        <v>5</v>
      </c>
      <c r="I89" s="117">
        <v>417.149</v>
      </c>
      <c r="J89" s="112">
        <v>4.1719202121678336</v>
      </c>
    </row>
    <row r="90" spans="1:10">
      <c r="A90" s="111" t="s">
        <v>495</v>
      </c>
      <c r="B90" s="111" t="s">
        <v>516</v>
      </c>
      <c r="C90" s="111" t="s">
        <v>466</v>
      </c>
      <c r="D90" s="115">
        <v>1977</v>
      </c>
      <c r="E90" s="115">
        <v>5</v>
      </c>
      <c r="F90" s="117">
        <v>59.8</v>
      </c>
      <c r="G90" s="115">
        <v>2025</v>
      </c>
      <c r="H90" s="115">
        <v>5</v>
      </c>
      <c r="I90" s="117">
        <v>417.149</v>
      </c>
      <c r="J90" s="112">
        <v>4.1297419501072019</v>
      </c>
    </row>
    <row r="91" spans="1:10">
      <c r="A91" s="111" t="s">
        <v>495</v>
      </c>
      <c r="B91" s="111" t="s">
        <v>516</v>
      </c>
      <c r="C91" s="111" t="s">
        <v>466</v>
      </c>
      <c r="D91" s="115">
        <v>1978</v>
      </c>
      <c r="E91" s="115">
        <v>5</v>
      </c>
      <c r="F91" s="117">
        <v>64</v>
      </c>
      <c r="G91" s="115">
        <v>2025</v>
      </c>
      <c r="H91" s="115">
        <v>5</v>
      </c>
      <c r="I91" s="117">
        <v>417.149</v>
      </c>
      <c r="J91" s="112">
        <v>4.0690321461215762</v>
      </c>
    </row>
    <row r="92" spans="1:10">
      <c r="A92" s="111" t="s">
        <v>495</v>
      </c>
      <c r="B92" s="111" t="s">
        <v>516</v>
      </c>
      <c r="C92" s="111" t="s">
        <v>466</v>
      </c>
      <c r="D92" s="115">
        <v>1979</v>
      </c>
      <c r="E92" s="115">
        <v>5</v>
      </c>
      <c r="F92" s="117">
        <v>68.400000000000006</v>
      </c>
      <c r="G92" s="115">
        <v>2025</v>
      </c>
      <c r="H92" s="115">
        <v>5</v>
      </c>
      <c r="I92" s="117">
        <v>417.149</v>
      </c>
      <c r="J92" s="112">
        <v>4.0088581079680274</v>
      </c>
    </row>
    <row r="93" spans="1:10">
      <c r="A93" s="111" t="s">
        <v>495</v>
      </c>
      <c r="B93" s="111" t="s">
        <v>516</v>
      </c>
      <c r="C93" s="111" t="s">
        <v>466</v>
      </c>
      <c r="D93" s="115">
        <v>1980</v>
      </c>
      <c r="E93" s="115">
        <v>5</v>
      </c>
      <c r="F93" s="117">
        <v>74.7</v>
      </c>
      <c r="G93" s="115">
        <v>2025</v>
      </c>
      <c r="H93" s="115">
        <v>5</v>
      </c>
      <c r="I93" s="117">
        <v>417.149</v>
      </c>
      <c r="J93" s="112">
        <v>3.8961242206734248</v>
      </c>
    </row>
    <row r="94" spans="1:10">
      <c r="A94" s="111" t="s">
        <v>495</v>
      </c>
      <c r="B94" s="111" t="s">
        <v>516</v>
      </c>
      <c r="C94" s="111" t="s">
        <v>466</v>
      </c>
      <c r="D94" s="115">
        <v>1981</v>
      </c>
      <c r="E94" s="115">
        <v>5</v>
      </c>
      <c r="F94" s="117">
        <v>82.9</v>
      </c>
      <c r="G94" s="115">
        <v>2025</v>
      </c>
      <c r="H94" s="115">
        <v>5</v>
      </c>
      <c r="I94" s="117">
        <v>417.149</v>
      </c>
      <c r="J94" s="112">
        <v>3.7405535035059061</v>
      </c>
    </row>
    <row r="95" spans="1:10">
      <c r="A95" s="111" t="s">
        <v>495</v>
      </c>
      <c r="B95" s="111" t="s">
        <v>516</v>
      </c>
      <c r="C95" s="111" t="s">
        <v>466</v>
      </c>
      <c r="D95" s="115">
        <v>1982</v>
      </c>
      <c r="E95" s="115">
        <v>5</v>
      </c>
      <c r="F95" s="117">
        <v>91.6</v>
      </c>
      <c r="G95" s="115">
        <v>2025</v>
      </c>
      <c r="H95" s="115">
        <v>5</v>
      </c>
      <c r="I95" s="117">
        <v>417.149</v>
      </c>
      <c r="J95" s="112">
        <v>3.5884962573357049</v>
      </c>
    </row>
    <row r="96" spans="1:10">
      <c r="A96" s="111" t="s">
        <v>495</v>
      </c>
      <c r="B96" s="111" t="s">
        <v>516</v>
      </c>
      <c r="C96" s="111" t="s">
        <v>466</v>
      </c>
      <c r="D96" s="115">
        <v>1983</v>
      </c>
      <c r="E96" s="115">
        <v>5</v>
      </c>
      <c r="F96" s="117">
        <v>99.8</v>
      </c>
      <c r="G96" s="115">
        <v>2025</v>
      </c>
      <c r="H96" s="115">
        <v>5</v>
      </c>
      <c r="I96" s="117">
        <v>417.149</v>
      </c>
      <c r="J96" s="112">
        <v>3.4640655360023591</v>
      </c>
    </row>
    <row r="97" spans="1:10">
      <c r="A97" s="111" t="s">
        <v>495</v>
      </c>
      <c r="B97" s="111" t="s">
        <v>516</v>
      </c>
      <c r="C97" s="111" t="s">
        <v>466</v>
      </c>
      <c r="D97" s="115">
        <v>1984</v>
      </c>
      <c r="E97" s="115">
        <v>5</v>
      </c>
      <c r="F97" s="117">
        <v>107.1</v>
      </c>
      <c r="G97" s="115">
        <v>2025</v>
      </c>
      <c r="H97" s="115">
        <v>5</v>
      </c>
      <c r="I97" s="117">
        <v>417.149</v>
      </c>
      <c r="J97" s="112">
        <v>3.371895854417839</v>
      </c>
    </row>
    <row r="98" spans="1:10">
      <c r="A98" s="111" t="s">
        <v>495</v>
      </c>
      <c r="B98" s="111" t="s">
        <v>516</v>
      </c>
      <c r="C98" s="111" t="s">
        <v>466</v>
      </c>
      <c r="D98" s="115">
        <v>1985</v>
      </c>
      <c r="E98" s="115">
        <v>5</v>
      </c>
      <c r="F98" s="117">
        <v>114.5</v>
      </c>
      <c r="G98" s="115">
        <v>2025</v>
      </c>
      <c r="H98" s="115">
        <v>5</v>
      </c>
      <c r="I98" s="117">
        <v>417.149</v>
      </c>
      <c r="J98" s="112">
        <v>3.2849736381769912</v>
      </c>
    </row>
    <row r="99" spans="1:10">
      <c r="A99" s="111" t="s">
        <v>495</v>
      </c>
      <c r="B99" s="111" t="s">
        <v>516</v>
      </c>
      <c r="C99" s="111" t="s">
        <v>466</v>
      </c>
      <c r="D99" s="115">
        <v>1986</v>
      </c>
      <c r="E99" s="115">
        <v>5</v>
      </c>
      <c r="F99" s="117">
        <v>122.2</v>
      </c>
      <c r="G99" s="115">
        <v>2025</v>
      </c>
      <c r="H99" s="115">
        <v>5</v>
      </c>
      <c r="I99" s="117">
        <v>417.149</v>
      </c>
      <c r="J99" s="112">
        <v>3.1982440539013219</v>
      </c>
    </row>
    <row r="100" spans="1:10">
      <c r="A100" s="111" t="s">
        <v>495</v>
      </c>
      <c r="B100" s="111" t="s">
        <v>516</v>
      </c>
      <c r="C100" s="111" t="s">
        <v>466</v>
      </c>
      <c r="D100" s="115">
        <v>1987</v>
      </c>
      <c r="E100" s="115">
        <v>5</v>
      </c>
      <c r="F100" s="117">
        <v>129.9</v>
      </c>
      <c r="G100" s="115">
        <v>2025</v>
      </c>
      <c r="H100" s="115">
        <v>5</v>
      </c>
      <c r="I100" s="117">
        <v>417.149</v>
      </c>
      <c r="J100" s="112">
        <v>3.1178236157242578</v>
      </c>
    </row>
    <row r="101" spans="1:10">
      <c r="A101" s="111" t="s">
        <v>495</v>
      </c>
      <c r="B101" s="111" t="s">
        <v>516</v>
      </c>
      <c r="C101" s="111" t="s">
        <v>466</v>
      </c>
      <c r="D101" s="115">
        <v>1988</v>
      </c>
      <c r="E101" s="115">
        <v>5</v>
      </c>
      <c r="F101" s="117">
        <v>139</v>
      </c>
      <c r="G101" s="115">
        <v>2025</v>
      </c>
      <c r="H101" s="115">
        <v>5</v>
      </c>
      <c r="I101" s="117">
        <v>417.149</v>
      </c>
      <c r="J101" s="112">
        <v>3.0147380049593941</v>
      </c>
    </row>
    <row r="102" spans="1:10">
      <c r="A102" s="111" t="s">
        <v>495</v>
      </c>
      <c r="B102" s="111" t="s">
        <v>516</v>
      </c>
      <c r="C102" s="111" t="s">
        <v>466</v>
      </c>
      <c r="D102" s="115">
        <v>1989</v>
      </c>
      <c r="E102" s="115">
        <v>5</v>
      </c>
      <c r="F102" s="117">
        <v>150</v>
      </c>
      <c r="G102" s="115">
        <v>2025</v>
      </c>
      <c r="H102" s="115">
        <v>5</v>
      </c>
      <c r="I102" s="117">
        <v>417.149</v>
      </c>
      <c r="J102" s="112">
        <v>2.881878994576148</v>
      </c>
    </row>
    <row r="103" spans="1:10">
      <c r="A103" s="111" t="s">
        <v>495</v>
      </c>
      <c r="B103" s="111" t="s">
        <v>516</v>
      </c>
      <c r="C103" s="111" t="s">
        <v>466</v>
      </c>
      <c r="D103" s="115">
        <v>1990</v>
      </c>
      <c r="E103" s="115">
        <v>5</v>
      </c>
      <c r="F103" s="117">
        <v>162.19999999999999</v>
      </c>
      <c r="G103" s="115">
        <v>2025</v>
      </c>
      <c r="H103" s="115">
        <v>5</v>
      </c>
      <c r="I103" s="117">
        <v>417.149</v>
      </c>
      <c r="J103" s="112">
        <v>2.7356452773286581</v>
      </c>
    </row>
    <row r="104" spans="1:10">
      <c r="A104" s="111" t="s">
        <v>495</v>
      </c>
      <c r="B104" s="111" t="s">
        <v>516</v>
      </c>
      <c r="C104" s="111" t="s">
        <v>466</v>
      </c>
      <c r="D104" s="115">
        <v>1991</v>
      </c>
      <c r="E104" s="115">
        <v>5</v>
      </c>
      <c r="F104" s="117">
        <v>175.4</v>
      </c>
      <c r="G104" s="115">
        <v>2025</v>
      </c>
      <c r="H104" s="115">
        <v>5</v>
      </c>
      <c r="I104" s="117">
        <v>417.149</v>
      </c>
      <c r="J104" s="112">
        <v>2.5809030974922602</v>
      </c>
    </row>
    <row r="105" spans="1:10">
      <c r="A105" s="111" t="s">
        <v>495</v>
      </c>
      <c r="B105" s="111" t="s">
        <v>516</v>
      </c>
      <c r="C105" s="111" t="s">
        <v>466</v>
      </c>
      <c r="D105" s="115">
        <v>1992</v>
      </c>
      <c r="E105" s="115">
        <v>5</v>
      </c>
      <c r="F105" s="117">
        <v>187.6</v>
      </c>
      <c r="G105" s="115">
        <v>2025</v>
      </c>
      <c r="H105" s="115">
        <v>5</v>
      </c>
      <c r="I105" s="117">
        <v>417.149</v>
      </c>
      <c r="J105" s="112">
        <v>2.4511695155194251</v>
      </c>
    </row>
    <row r="106" spans="1:10">
      <c r="A106" s="111" t="s">
        <v>495</v>
      </c>
      <c r="B106" s="111" t="s">
        <v>516</v>
      </c>
      <c r="C106" s="111" t="s">
        <v>466</v>
      </c>
      <c r="D106" s="115">
        <v>1993</v>
      </c>
      <c r="E106" s="115">
        <v>5</v>
      </c>
      <c r="F106" s="117">
        <v>194.2</v>
      </c>
      <c r="G106" s="115">
        <v>2025</v>
      </c>
      <c r="H106" s="115">
        <v>5</v>
      </c>
      <c r="I106" s="117">
        <v>417.149</v>
      </c>
      <c r="J106" s="112">
        <v>2.4180049891697091</v>
      </c>
    </row>
    <row r="107" spans="1:10">
      <c r="A107" s="111" t="s">
        <v>495</v>
      </c>
      <c r="B107" s="111" t="s">
        <v>516</v>
      </c>
      <c r="C107" s="111" t="s">
        <v>466</v>
      </c>
      <c r="D107" s="115">
        <v>1994</v>
      </c>
      <c r="E107" s="115">
        <v>5</v>
      </c>
      <c r="F107" s="117">
        <v>200.1</v>
      </c>
      <c r="G107" s="115">
        <v>2025</v>
      </c>
      <c r="H107" s="115">
        <v>5</v>
      </c>
      <c r="I107" s="117">
        <v>417.149</v>
      </c>
      <c r="J107" s="112">
        <v>2.3980640154917849</v>
      </c>
    </row>
    <row r="108" spans="1:10">
      <c r="A108" s="111" t="s">
        <v>495</v>
      </c>
      <c r="B108" s="111" t="s">
        <v>516</v>
      </c>
      <c r="C108" s="111" t="s">
        <v>466</v>
      </c>
      <c r="D108" s="115">
        <v>1995</v>
      </c>
      <c r="E108" s="115">
        <v>5</v>
      </c>
      <c r="F108" s="117">
        <v>203.4</v>
      </c>
      <c r="G108" s="115">
        <v>2025</v>
      </c>
      <c r="H108" s="115">
        <v>5</v>
      </c>
      <c r="I108" s="117">
        <v>417.149</v>
      </c>
      <c r="J108" s="112">
        <v>2.4231217652097792</v>
      </c>
    </row>
    <row r="109" spans="1:10">
      <c r="A109" s="111" t="s">
        <v>495</v>
      </c>
      <c r="B109" s="111" t="s">
        <v>516</v>
      </c>
      <c r="C109" s="111" t="s">
        <v>466</v>
      </c>
      <c r="D109" s="115">
        <v>1996</v>
      </c>
      <c r="E109" s="115">
        <v>5</v>
      </c>
      <c r="F109" s="117">
        <v>209.7</v>
      </c>
      <c r="G109" s="115">
        <v>2025</v>
      </c>
      <c r="H109" s="115">
        <v>5</v>
      </c>
      <c r="I109" s="117">
        <v>417.149</v>
      </c>
      <c r="J109" s="112">
        <v>2.3999514917753868</v>
      </c>
    </row>
    <row r="110" spans="1:10">
      <c r="A110" s="111" t="s">
        <v>495</v>
      </c>
      <c r="B110" s="111" t="s">
        <v>516</v>
      </c>
      <c r="C110" s="111" t="s">
        <v>466</v>
      </c>
      <c r="D110" s="115">
        <v>1997</v>
      </c>
      <c r="E110" s="115">
        <v>5</v>
      </c>
      <c r="F110" s="117">
        <v>215.6</v>
      </c>
      <c r="G110" s="115">
        <v>2025</v>
      </c>
      <c r="H110" s="115">
        <v>5</v>
      </c>
      <c r="I110" s="117">
        <v>417.149</v>
      </c>
      <c r="J110" s="112">
        <v>2.3852111719972808</v>
      </c>
    </row>
    <row r="111" spans="1:10">
      <c r="A111" s="111" t="s">
        <v>495</v>
      </c>
      <c r="B111" s="111" t="s">
        <v>516</v>
      </c>
      <c r="C111" s="111" t="s">
        <v>466</v>
      </c>
      <c r="D111" s="115">
        <v>1998</v>
      </c>
      <c r="E111" s="115">
        <v>5</v>
      </c>
      <c r="F111" s="117">
        <v>221.5</v>
      </c>
      <c r="G111" s="115">
        <v>2025</v>
      </c>
      <c r="H111" s="115">
        <v>5</v>
      </c>
      <c r="I111" s="117">
        <v>417.149</v>
      </c>
      <c r="J111" s="112">
        <v>2.3722217532577079</v>
      </c>
    </row>
    <row r="112" spans="1:10">
      <c r="A112" s="111" t="s">
        <v>495</v>
      </c>
      <c r="B112" s="111" t="s">
        <v>516</v>
      </c>
      <c r="C112" s="111" t="s">
        <v>466</v>
      </c>
      <c r="D112" s="115">
        <v>1999</v>
      </c>
      <c r="E112" s="115">
        <v>5</v>
      </c>
      <c r="F112" s="117">
        <v>229.4</v>
      </c>
      <c r="G112" s="115">
        <v>2025</v>
      </c>
      <c r="H112" s="115">
        <v>5</v>
      </c>
      <c r="I112" s="117">
        <v>417.149</v>
      </c>
      <c r="J112" s="112">
        <v>2.3265605519026571</v>
      </c>
    </row>
    <row r="113" spans="1:10">
      <c r="A113" s="111" t="s">
        <v>495</v>
      </c>
      <c r="B113" s="111" t="s">
        <v>516</v>
      </c>
      <c r="C113" s="111" t="s">
        <v>466</v>
      </c>
      <c r="D113" s="115">
        <v>2000</v>
      </c>
      <c r="E113" s="115">
        <v>5</v>
      </c>
      <c r="F113" s="117">
        <v>237.5</v>
      </c>
      <c r="G113" s="115">
        <v>2025</v>
      </c>
      <c r="H113" s="115">
        <v>5</v>
      </c>
      <c r="I113" s="117">
        <v>417.149</v>
      </c>
      <c r="J113" s="112">
        <v>2.2786774781515811</v>
      </c>
    </row>
    <row r="114" spans="1:10">
      <c r="A114" s="111" t="s">
        <v>495</v>
      </c>
      <c r="B114" s="111" t="s">
        <v>516</v>
      </c>
      <c r="C114" s="111" t="s">
        <v>466</v>
      </c>
      <c r="D114" s="115">
        <v>2001</v>
      </c>
      <c r="E114" s="115">
        <v>5</v>
      </c>
      <c r="F114" s="117">
        <v>246.6</v>
      </c>
      <c r="G114" s="115">
        <v>2025</v>
      </c>
      <c r="H114" s="115">
        <v>5</v>
      </c>
      <c r="I114" s="117">
        <v>417.149</v>
      </c>
      <c r="J114" s="112">
        <v>2.2144796938507572</v>
      </c>
    </row>
    <row r="115" spans="1:10">
      <c r="A115" s="111" t="s">
        <v>495</v>
      </c>
      <c r="B115" s="111" t="s">
        <v>516</v>
      </c>
      <c r="C115" s="111" t="s">
        <v>466</v>
      </c>
      <c r="D115" s="115">
        <v>2002</v>
      </c>
      <c r="E115" s="115">
        <v>5</v>
      </c>
      <c r="F115" s="117">
        <v>255.4</v>
      </c>
      <c r="G115" s="115">
        <v>2025</v>
      </c>
      <c r="H115" s="115">
        <v>5</v>
      </c>
      <c r="I115" s="117">
        <v>417.149</v>
      </c>
      <c r="J115" s="112">
        <v>2.156011114508916</v>
      </c>
    </row>
    <row r="116" spans="1:10">
      <c r="A116" s="111" t="s">
        <v>495</v>
      </c>
      <c r="B116" s="111" t="s">
        <v>516</v>
      </c>
      <c r="C116" s="111" t="s">
        <v>466</v>
      </c>
      <c r="D116" s="115">
        <v>2003</v>
      </c>
      <c r="E116" s="115">
        <v>5</v>
      </c>
      <c r="F116" s="117">
        <v>261.8</v>
      </c>
      <c r="G116" s="115">
        <v>2025</v>
      </c>
      <c r="H116" s="115">
        <v>5</v>
      </c>
      <c r="I116" s="117">
        <v>417.149</v>
      </c>
      <c r="J116" s="112">
        <v>2.140136698506967</v>
      </c>
    </row>
    <row r="117" spans="1:10">
      <c r="A117" s="111" t="s">
        <v>495</v>
      </c>
      <c r="B117" s="111" t="s">
        <v>516</v>
      </c>
      <c r="C117" s="111" t="s">
        <v>466</v>
      </c>
      <c r="D117" s="115">
        <v>2004</v>
      </c>
      <c r="E117" s="115">
        <v>5</v>
      </c>
      <c r="F117" s="117">
        <v>269.10000000000002</v>
      </c>
      <c r="G117" s="115">
        <v>2025</v>
      </c>
      <c r="H117" s="115">
        <v>5</v>
      </c>
      <c r="I117" s="117">
        <v>417.149</v>
      </c>
      <c r="J117" s="112">
        <v>2.1093697655399262</v>
      </c>
    </row>
    <row r="118" spans="1:10">
      <c r="A118" s="111" t="s">
        <v>495</v>
      </c>
      <c r="B118" s="111" t="s">
        <v>516</v>
      </c>
      <c r="C118" s="111" t="s">
        <v>466</v>
      </c>
      <c r="D118" s="115">
        <v>2005</v>
      </c>
      <c r="E118" s="115">
        <v>5</v>
      </c>
      <c r="F118" s="117">
        <v>274.60000000000002</v>
      </c>
      <c r="G118" s="115">
        <v>2025</v>
      </c>
      <c r="H118" s="115">
        <v>5</v>
      </c>
      <c r="I118" s="117">
        <v>417.149</v>
      </c>
      <c r="J118" s="112">
        <v>2.112646864400181</v>
      </c>
    </row>
    <row r="119" spans="1:10">
      <c r="A119" s="111" t="s">
        <v>495</v>
      </c>
      <c r="B119" s="111" t="s">
        <v>516</v>
      </c>
      <c r="C119" s="111" t="s">
        <v>466</v>
      </c>
      <c r="D119" s="115">
        <v>2006</v>
      </c>
      <c r="E119" s="115">
        <v>5</v>
      </c>
      <c r="F119" s="117">
        <v>286.3</v>
      </c>
      <c r="G119" s="115">
        <v>2025</v>
      </c>
      <c r="H119" s="115">
        <v>5</v>
      </c>
      <c r="I119" s="117">
        <v>417.149</v>
      </c>
      <c r="J119" s="112">
        <v>2.000823204492352</v>
      </c>
    </row>
    <row r="120" spans="1:10">
      <c r="A120" s="111" t="s">
        <v>495</v>
      </c>
      <c r="B120" s="111" t="s">
        <v>516</v>
      </c>
      <c r="C120" s="111" t="s">
        <v>466</v>
      </c>
      <c r="D120" s="115">
        <v>2007</v>
      </c>
      <c r="E120" s="115">
        <v>5</v>
      </c>
      <c r="F120" s="117">
        <v>288.661</v>
      </c>
      <c r="G120" s="115">
        <v>2025</v>
      </c>
      <c r="H120" s="115">
        <v>5</v>
      </c>
      <c r="I120" s="117">
        <v>417.149</v>
      </c>
      <c r="J120" s="112">
        <v>2.0665664638797709</v>
      </c>
    </row>
    <row r="121" spans="1:10">
      <c r="A121" s="111" t="s">
        <v>495</v>
      </c>
      <c r="B121" s="111" t="s">
        <v>516</v>
      </c>
      <c r="C121" s="111" t="s">
        <v>466</v>
      </c>
      <c r="D121" s="115">
        <v>2008</v>
      </c>
      <c r="E121" s="115">
        <v>5</v>
      </c>
      <c r="F121" s="117">
        <v>294.89600000000002</v>
      </c>
      <c r="G121" s="115">
        <v>2025</v>
      </c>
      <c r="H121" s="115">
        <v>5</v>
      </c>
      <c r="I121" s="117">
        <v>417.149</v>
      </c>
      <c r="J121" s="112">
        <v>2.0610746152404991</v>
      </c>
    </row>
    <row r="122" spans="1:10">
      <c r="A122" s="111" t="s">
        <v>495</v>
      </c>
      <c r="B122" s="111" t="s">
        <v>516</v>
      </c>
      <c r="C122" s="111" t="s">
        <v>466</v>
      </c>
      <c r="D122" s="115">
        <v>2009</v>
      </c>
      <c r="E122" s="115">
        <v>5</v>
      </c>
      <c r="F122" s="117">
        <v>304.697</v>
      </c>
      <c r="G122" s="115">
        <v>2025</v>
      </c>
      <c r="H122" s="115">
        <v>5</v>
      </c>
      <c r="I122" s="117">
        <v>417.149</v>
      </c>
      <c r="J122" s="112">
        <v>1.982684389283796</v>
      </c>
    </row>
    <row r="123" spans="1:10">
      <c r="A123" s="111" t="s">
        <v>495</v>
      </c>
      <c r="B123" s="111" t="s">
        <v>516</v>
      </c>
      <c r="C123" s="111" t="s">
        <v>466</v>
      </c>
      <c r="D123" s="115">
        <v>2010</v>
      </c>
      <c r="E123" s="115">
        <v>5</v>
      </c>
      <c r="F123" s="117">
        <v>314.923</v>
      </c>
      <c r="G123" s="115">
        <v>2025</v>
      </c>
      <c r="H123" s="115">
        <v>5</v>
      </c>
      <c r="I123" s="117">
        <v>417.149</v>
      </c>
      <c r="J123" s="112">
        <v>1.8917735647713709</v>
      </c>
    </row>
    <row r="124" spans="1:10">
      <c r="A124" s="111" t="s">
        <v>495</v>
      </c>
      <c r="B124" s="111" t="s">
        <v>516</v>
      </c>
      <c r="C124" s="111" t="s">
        <v>466</v>
      </c>
      <c r="D124" s="115">
        <v>2011</v>
      </c>
      <c r="E124" s="115">
        <v>5</v>
      </c>
      <c r="F124" s="117">
        <v>324.399</v>
      </c>
      <c r="G124" s="115">
        <v>2025</v>
      </c>
      <c r="H124" s="115">
        <v>5</v>
      </c>
      <c r="I124" s="117">
        <v>417.149</v>
      </c>
      <c r="J124" s="112">
        <v>1.81243765633552</v>
      </c>
    </row>
    <row r="125" spans="1:10">
      <c r="A125" s="111" t="s">
        <v>495</v>
      </c>
      <c r="B125" s="111" t="s">
        <v>516</v>
      </c>
      <c r="C125" s="111" t="s">
        <v>466</v>
      </c>
      <c r="D125" s="115">
        <v>2012</v>
      </c>
      <c r="E125" s="115">
        <v>5</v>
      </c>
      <c r="F125" s="117">
        <v>333.13099999999997</v>
      </c>
      <c r="G125" s="115">
        <v>2025</v>
      </c>
      <c r="H125" s="115">
        <v>5</v>
      </c>
      <c r="I125" s="117">
        <v>417.149</v>
      </c>
      <c r="J125" s="112">
        <v>1.7451111689663179</v>
      </c>
    </row>
    <row r="126" spans="1:10">
      <c r="A126" s="111" t="s">
        <v>495</v>
      </c>
      <c r="B126" s="111" t="s">
        <v>516</v>
      </c>
      <c r="C126" s="111" t="s">
        <v>466</v>
      </c>
      <c r="D126" s="115">
        <v>2013</v>
      </c>
      <c r="E126" s="115">
        <v>5</v>
      </c>
      <c r="F126" s="117">
        <v>333.06400000000002</v>
      </c>
      <c r="G126" s="115">
        <v>2025</v>
      </c>
      <c r="H126" s="115">
        <v>5</v>
      </c>
      <c r="I126" s="117">
        <v>417.149</v>
      </c>
      <c r="J126" s="112">
        <v>1.8936124079276251</v>
      </c>
    </row>
    <row r="127" spans="1:10">
      <c r="A127" s="111" t="s">
        <v>495</v>
      </c>
      <c r="B127" s="111" t="s">
        <v>516</v>
      </c>
      <c r="C127" s="111" t="s">
        <v>466</v>
      </c>
      <c r="D127" s="115">
        <v>2014</v>
      </c>
      <c r="E127" s="115">
        <v>5</v>
      </c>
      <c r="F127" s="117">
        <v>341.43200000000002</v>
      </c>
      <c r="G127" s="115">
        <v>2025</v>
      </c>
      <c r="H127" s="115">
        <v>5</v>
      </c>
      <c r="I127" s="117">
        <v>417.149</v>
      </c>
      <c r="J127" s="112">
        <v>1.8375418305004889</v>
      </c>
    </row>
    <row r="128" spans="1:10">
      <c r="A128" s="111" t="s">
        <v>495</v>
      </c>
      <c r="B128" s="111" t="s">
        <v>516</v>
      </c>
      <c r="C128" s="111" t="s">
        <v>466</v>
      </c>
      <c r="D128" s="115">
        <v>2015</v>
      </c>
      <c r="E128" s="115">
        <v>5</v>
      </c>
      <c r="F128" s="117">
        <v>354.64699999999999</v>
      </c>
      <c r="G128" s="115">
        <v>2025</v>
      </c>
      <c r="H128" s="115">
        <v>5</v>
      </c>
      <c r="I128" s="117">
        <v>417.149</v>
      </c>
      <c r="J128" s="112">
        <v>1.6364509854562841</v>
      </c>
    </row>
    <row r="129" spans="1:10">
      <c r="A129" s="111" t="s">
        <v>495</v>
      </c>
      <c r="B129" s="111" t="s">
        <v>516</v>
      </c>
      <c r="C129" s="111" t="s">
        <v>466</v>
      </c>
      <c r="D129" s="115">
        <v>2016</v>
      </c>
      <c r="E129" s="115">
        <v>5</v>
      </c>
      <c r="F129" s="117">
        <v>361.86599999999999</v>
      </c>
      <c r="G129" s="115">
        <v>2025</v>
      </c>
      <c r="H129" s="115">
        <v>5</v>
      </c>
      <c r="I129" s="117">
        <v>417.149</v>
      </c>
      <c r="J129" s="112">
        <v>1.592203652504343</v>
      </c>
    </row>
    <row r="130" spans="1:10">
      <c r="A130" s="111" t="s">
        <v>495</v>
      </c>
      <c r="B130" s="111" t="s">
        <v>516</v>
      </c>
      <c r="C130" s="111" t="s">
        <v>466</v>
      </c>
      <c r="D130" s="115">
        <v>2017</v>
      </c>
      <c r="E130" s="115">
        <v>5</v>
      </c>
      <c r="F130" s="117">
        <v>373.63099999999997</v>
      </c>
      <c r="G130" s="115">
        <v>2025</v>
      </c>
      <c r="H130" s="115">
        <v>5</v>
      </c>
      <c r="I130" s="117">
        <v>417.149</v>
      </c>
      <c r="J130" s="112">
        <v>1.386711784971562</v>
      </c>
    </row>
    <row r="131" spans="1:10">
      <c r="A131" s="111" t="s">
        <v>495</v>
      </c>
      <c r="B131" s="111" t="s">
        <v>516</v>
      </c>
      <c r="C131" s="111" t="s">
        <v>466</v>
      </c>
      <c r="D131" s="115">
        <v>2018</v>
      </c>
      <c r="E131" s="115">
        <v>5</v>
      </c>
      <c r="F131" s="117">
        <v>383.73399999999998</v>
      </c>
      <c r="G131" s="115">
        <v>2025</v>
      </c>
      <c r="H131" s="115">
        <v>5</v>
      </c>
      <c r="I131" s="117">
        <v>417.149</v>
      </c>
      <c r="J131" s="112">
        <v>1.1999114044691119</v>
      </c>
    </row>
    <row r="132" spans="1:10">
      <c r="A132" s="111" t="s">
        <v>495</v>
      </c>
      <c r="B132" s="111" t="s">
        <v>516</v>
      </c>
      <c r="C132" s="111" t="s">
        <v>466</v>
      </c>
      <c r="D132" s="115">
        <v>2019</v>
      </c>
      <c r="E132" s="115">
        <v>5</v>
      </c>
      <c r="F132" s="117">
        <v>381.06599999999997</v>
      </c>
      <c r="G132" s="115">
        <v>2025</v>
      </c>
      <c r="H132" s="115">
        <v>5</v>
      </c>
      <c r="I132" s="117">
        <v>417.149</v>
      </c>
      <c r="J132" s="112">
        <v>1.5192734433651101</v>
      </c>
    </row>
    <row r="133" spans="1:10">
      <c r="A133" s="111" t="s">
        <v>495</v>
      </c>
      <c r="B133" s="111" t="s">
        <v>516</v>
      </c>
      <c r="C133" s="111" t="s">
        <v>466</v>
      </c>
      <c r="D133" s="115">
        <v>2020</v>
      </c>
      <c r="E133" s="115">
        <v>5</v>
      </c>
      <c r="F133" s="117">
        <v>384.30399999999997</v>
      </c>
      <c r="G133" s="115">
        <v>2025</v>
      </c>
      <c r="H133" s="115">
        <v>5</v>
      </c>
      <c r="I133" s="117">
        <v>417.149</v>
      </c>
      <c r="J133" s="112">
        <v>1.6537163033548909</v>
      </c>
    </row>
    <row r="134" spans="1:10">
      <c r="A134" s="111" t="s">
        <v>495</v>
      </c>
      <c r="B134" s="111" t="s">
        <v>516</v>
      </c>
      <c r="C134" s="111" t="s">
        <v>466</v>
      </c>
      <c r="D134" s="115">
        <v>2021</v>
      </c>
      <c r="E134" s="115">
        <v>5</v>
      </c>
      <c r="F134" s="117">
        <v>377.19099999999997</v>
      </c>
      <c r="G134" s="115">
        <v>2025</v>
      </c>
      <c r="H134" s="115">
        <v>5</v>
      </c>
      <c r="I134" s="117">
        <v>417.149</v>
      </c>
      <c r="J134" s="112">
        <v>2.54924594112016</v>
      </c>
    </row>
    <row r="135" spans="1:10">
      <c r="A135" s="111" t="s">
        <v>495</v>
      </c>
      <c r="B135" s="111" t="s">
        <v>516</v>
      </c>
      <c r="C135" s="111" t="s">
        <v>466</v>
      </c>
      <c r="D135" s="115">
        <v>2022</v>
      </c>
      <c r="E135" s="115">
        <v>5</v>
      </c>
      <c r="F135" s="117">
        <v>386.27300000000002</v>
      </c>
      <c r="G135" s="115">
        <v>2025</v>
      </c>
      <c r="H135" s="115">
        <v>5</v>
      </c>
      <c r="I135" s="117">
        <v>417.149</v>
      </c>
      <c r="J135" s="112">
        <v>2.596438423051084</v>
      </c>
    </row>
    <row r="136" spans="1:10">
      <c r="A136" s="111" t="s">
        <v>495</v>
      </c>
      <c r="B136" s="111" t="s">
        <v>516</v>
      </c>
      <c r="C136" s="111" t="s">
        <v>466</v>
      </c>
      <c r="D136" s="115">
        <v>2023</v>
      </c>
      <c r="E136" s="115">
        <v>5</v>
      </c>
      <c r="F136" s="117">
        <v>403.358</v>
      </c>
      <c r="G136" s="115">
        <v>2025</v>
      </c>
      <c r="H136" s="115">
        <v>5</v>
      </c>
      <c r="I136" s="117">
        <v>417.149</v>
      </c>
      <c r="J136" s="112">
        <v>1.69515578413697</v>
      </c>
    </row>
    <row r="137" spans="1:10">
      <c r="A137" s="111" t="s">
        <v>495</v>
      </c>
      <c r="B137" s="111" t="s">
        <v>516</v>
      </c>
      <c r="C137" s="111" t="s">
        <v>466</v>
      </c>
      <c r="D137" s="115">
        <v>2024</v>
      </c>
      <c r="E137" s="115">
        <v>5</v>
      </c>
      <c r="F137" s="117">
        <v>416.00099999999998</v>
      </c>
      <c r="G137" s="115">
        <v>2025</v>
      </c>
      <c r="H137" s="115">
        <v>5</v>
      </c>
      <c r="I137" s="117">
        <v>417.149</v>
      </c>
      <c r="J137" s="112">
        <v>0.2759608750940501</v>
      </c>
    </row>
    <row r="138" spans="1:10">
      <c r="A138" s="111" t="s">
        <v>496</v>
      </c>
      <c r="B138" s="111" t="s">
        <v>517</v>
      </c>
      <c r="C138" s="111" t="s">
        <v>466</v>
      </c>
      <c r="D138" s="115">
        <v>1956</v>
      </c>
      <c r="E138" s="115">
        <v>5</v>
      </c>
      <c r="F138" s="117">
        <v>16.2</v>
      </c>
      <c r="G138" s="115">
        <v>2025</v>
      </c>
      <c r="H138" s="115">
        <v>5</v>
      </c>
      <c r="I138" s="117">
        <v>630.16200000000003</v>
      </c>
      <c r="J138" s="112">
        <v>5.4490248859191848</v>
      </c>
    </row>
    <row r="139" spans="1:10">
      <c r="A139" s="111" t="s">
        <v>496</v>
      </c>
      <c r="B139" s="111" t="s">
        <v>517</v>
      </c>
      <c r="C139" s="111" t="s">
        <v>466</v>
      </c>
      <c r="D139" s="115">
        <v>1957</v>
      </c>
      <c r="E139" s="115">
        <v>5</v>
      </c>
      <c r="F139" s="117">
        <v>16.899999999999999</v>
      </c>
      <c r="G139" s="115">
        <v>2025</v>
      </c>
      <c r="H139" s="115">
        <v>5</v>
      </c>
      <c r="I139" s="117">
        <v>630.16200000000003</v>
      </c>
      <c r="J139" s="112">
        <v>5.4657043546047834</v>
      </c>
    </row>
    <row r="140" spans="1:10">
      <c r="A140" s="111" t="s">
        <v>496</v>
      </c>
      <c r="B140" s="111" t="s">
        <v>517</v>
      </c>
      <c r="C140" s="111" t="s">
        <v>466</v>
      </c>
      <c r="D140" s="115">
        <v>1958</v>
      </c>
      <c r="E140" s="115">
        <v>5</v>
      </c>
      <c r="F140" s="117">
        <v>17.8</v>
      </c>
      <c r="G140" s="115">
        <v>2025</v>
      </c>
      <c r="H140" s="115">
        <v>5</v>
      </c>
      <c r="I140" s="117">
        <v>630.16200000000003</v>
      </c>
      <c r="J140" s="112">
        <v>5.4677992100036432</v>
      </c>
    </row>
    <row r="141" spans="1:10">
      <c r="A141" s="111" t="s">
        <v>496</v>
      </c>
      <c r="B141" s="111" t="s">
        <v>517</v>
      </c>
      <c r="C141" s="111" t="s">
        <v>466</v>
      </c>
      <c r="D141" s="115">
        <v>1959</v>
      </c>
      <c r="E141" s="115">
        <v>5</v>
      </c>
      <c r="F141" s="117">
        <v>18.7</v>
      </c>
      <c r="G141" s="115">
        <v>2025</v>
      </c>
      <c r="H141" s="115">
        <v>5</v>
      </c>
      <c r="I141" s="117">
        <v>630.16200000000003</v>
      </c>
      <c r="J141" s="112">
        <v>5.474048255192665</v>
      </c>
    </row>
    <row r="142" spans="1:10">
      <c r="A142" s="111" t="s">
        <v>496</v>
      </c>
      <c r="B142" s="111" t="s">
        <v>517</v>
      </c>
      <c r="C142" s="111" t="s">
        <v>466</v>
      </c>
      <c r="D142" s="115">
        <v>1960</v>
      </c>
      <c r="E142" s="115">
        <v>5</v>
      </c>
      <c r="F142" s="117">
        <v>19.399999999999999</v>
      </c>
      <c r="G142" s="115">
        <v>2025</v>
      </c>
      <c r="H142" s="115">
        <v>5</v>
      </c>
      <c r="I142" s="117">
        <v>630.16200000000003</v>
      </c>
      <c r="J142" s="112">
        <v>5.5008992092162812</v>
      </c>
    </row>
    <row r="143" spans="1:10">
      <c r="A143" s="111" t="s">
        <v>496</v>
      </c>
      <c r="B143" s="111" t="s">
        <v>517</v>
      </c>
      <c r="C143" s="111" t="s">
        <v>466</v>
      </c>
      <c r="D143" s="115">
        <v>1961</v>
      </c>
      <c r="E143" s="115">
        <v>5</v>
      </c>
      <c r="F143" s="117">
        <v>20.100000000000001</v>
      </c>
      <c r="G143" s="115">
        <v>2025</v>
      </c>
      <c r="H143" s="115">
        <v>5</v>
      </c>
      <c r="I143" s="117">
        <v>630.16200000000003</v>
      </c>
      <c r="J143" s="112">
        <v>5.5307445920461662</v>
      </c>
    </row>
    <row r="144" spans="1:10">
      <c r="A144" s="111" t="s">
        <v>496</v>
      </c>
      <c r="B144" s="111" t="s">
        <v>517</v>
      </c>
      <c r="C144" s="111" t="s">
        <v>466</v>
      </c>
      <c r="D144" s="115">
        <v>1962</v>
      </c>
      <c r="E144" s="115">
        <v>5</v>
      </c>
      <c r="F144" s="117">
        <v>20.8</v>
      </c>
      <c r="G144" s="115">
        <v>2025</v>
      </c>
      <c r="H144" s="115">
        <v>5</v>
      </c>
      <c r="I144" s="117">
        <v>630.16200000000003</v>
      </c>
      <c r="J144" s="112">
        <v>5.563579762351778</v>
      </c>
    </row>
    <row r="145" spans="1:10">
      <c r="A145" s="111" t="s">
        <v>496</v>
      </c>
      <c r="B145" s="111" t="s">
        <v>517</v>
      </c>
      <c r="C145" s="111" t="s">
        <v>466</v>
      </c>
      <c r="D145" s="115">
        <v>1963</v>
      </c>
      <c r="E145" s="115">
        <v>5</v>
      </c>
      <c r="F145" s="117">
        <v>21.4</v>
      </c>
      <c r="G145" s="115">
        <v>2025</v>
      </c>
      <c r="H145" s="115">
        <v>5</v>
      </c>
      <c r="I145" s="117">
        <v>630.16200000000003</v>
      </c>
      <c r="J145" s="112">
        <v>5.6073556701094374</v>
      </c>
    </row>
    <row r="146" spans="1:10">
      <c r="A146" s="111" t="s">
        <v>496</v>
      </c>
      <c r="B146" s="111" t="s">
        <v>517</v>
      </c>
      <c r="C146" s="111" t="s">
        <v>466</v>
      </c>
      <c r="D146" s="115">
        <v>1964</v>
      </c>
      <c r="E146" s="115">
        <v>5</v>
      </c>
      <c r="F146" s="117">
        <v>22</v>
      </c>
      <c r="G146" s="115">
        <v>2025</v>
      </c>
      <c r="H146" s="115">
        <v>5</v>
      </c>
      <c r="I146" s="117">
        <v>630.16200000000003</v>
      </c>
      <c r="J146" s="112">
        <v>5.6539479775315824</v>
      </c>
    </row>
    <row r="147" spans="1:10">
      <c r="A147" s="111" t="s">
        <v>496</v>
      </c>
      <c r="B147" s="111" t="s">
        <v>517</v>
      </c>
      <c r="C147" s="111" t="s">
        <v>466</v>
      </c>
      <c r="D147" s="115">
        <v>1965</v>
      </c>
      <c r="E147" s="115">
        <v>5</v>
      </c>
      <c r="F147" s="117">
        <v>22.6</v>
      </c>
      <c r="G147" s="115">
        <v>2025</v>
      </c>
      <c r="H147" s="115">
        <v>5</v>
      </c>
      <c r="I147" s="117">
        <v>630.16200000000003</v>
      </c>
      <c r="J147" s="112">
        <v>5.7034258094675438</v>
      </c>
    </row>
    <row r="148" spans="1:10">
      <c r="A148" s="111" t="s">
        <v>496</v>
      </c>
      <c r="B148" s="111" t="s">
        <v>517</v>
      </c>
      <c r="C148" s="111" t="s">
        <v>466</v>
      </c>
      <c r="D148" s="115">
        <v>1966</v>
      </c>
      <c r="E148" s="115">
        <v>5</v>
      </c>
      <c r="F148" s="117">
        <v>23.6</v>
      </c>
      <c r="G148" s="115">
        <v>2025</v>
      </c>
      <c r="H148" s="115">
        <v>5</v>
      </c>
      <c r="I148" s="117">
        <v>630.16200000000003</v>
      </c>
      <c r="J148" s="112">
        <v>5.7252321872252709</v>
      </c>
    </row>
    <row r="149" spans="1:10">
      <c r="A149" s="111" t="s">
        <v>496</v>
      </c>
      <c r="B149" s="111" t="s">
        <v>517</v>
      </c>
      <c r="C149" s="111" t="s">
        <v>466</v>
      </c>
      <c r="D149" s="115">
        <v>1967</v>
      </c>
      <c r="E149" s="115">
        <v>5</v>
      </c>
      <c r="F149" s="117">
        <v>25.8</v>
      </c>
      <c r="G149" s="115">
        <v>2025</v>
      </c>
      <c r="H149" s="115">
        <v>5</v>
      </c>
      <c r="I149" s="117">
        <v>630.16200000000003</v>
      </c>
      <c r="J149" s="112">
        <v>5.6642674820220229</v>
      </c>
    </row>
    <row r="150" spans="1:10">
      <c r="A150" s="111" t="s">
        <v>496</v>
      </c>
      <c r="B150" s="111" t="s">
        <v>517</v>
      </c>
      <c r="C150" s="111" t="s">
        <v>466</v>
      </c>
      <c r="D150" s="115">
        <v>1968</v>
      </c>
      <c r="E150" s="115">
        <v>5</v>
      </c>
      <c r="F150" s="117">
        <v>27.7</v>
      </c>
      <c r="G150" s="115">
        <v>2025</v>
      </c>
      <c r="H150" s="115">
        <v>5</v>
      </c>
      <c r="I150" s="117">
        <v>630.16200000000003</v>
      </c>
      <c r="J150" s="112">
        <v>5.6346831685667684</v>
      </c>
    </row>
    <row r="151" spans="1:10">
      <c r="A151" s="111" t="s">
        <v>496</v>
      </c>
      <c r="B151" s="111" t="s">
        <v>517</v>
      </c>
      <c r="C151" s="111" t="s">
        <v>466</v>
      </c>
      <c r="D151" s="115">
        <v>1969</v>
      </c>
      <c r="E151" s="115">
        <v>5</v>
      </c>
      <c r="F151" s="117">
        <v>30</v>
      </c>
      <c r="G151" s="115">
        <v>2025</v>
      </c>
      <c r="H151" s="115">
        <v>5</v>
      </c>
      <c r="I151" s="117">
        <v>630.16200000000003</v>
      </c>
      <c r="J151" s="112">
        <v>5.5876326478790714</v>
      </c>
    </row>
    <row r="152" spans="1:10">
      <c r="A152" s="111" t="s">
        <v>496</v>
      </c>
      <c r="B152" s="111" t="s">
        <v>517</v>
      </c>
      <c r="C152" s="111" t="s">
        <v>466</v>
      </c>
      <c r="D152" s="115">
        <v>1970</v>
      </c>
      <c r="E152" s="115">
        <v>5</v>
      </c>
      <c r="F152" s="117">
        <v>32</v>
      </c>
      <c r="G152" s="115">
        <v>2025</v>
      </c>
      <c r="H152" s="115">
        <v>5</v>
      </c>
      <c r="I152" s="117">
        <v>630.16200000000003</v>
      </c>
      <c r="J152" s="112">
        <v>5.568115219268055</v>
      </c>
    </row>
    <row r="153" spans="1:10">
      <c r="A153" s="111" t="s">
        <v>496</v>
      </c>
      <c r="B153" s="111" t="s">
        <v>517</v>
      </c>
      <c r="C153" s="111" t="s">
        <v>466</v>
      </c>
      <c r="D153" s="115">
        <v>1971</v>
      </c>
      <c r="E153" s="115">
        <v>5</v>
      </c>
      <c r="F153" s="117">
        <v>34.6</v>
      </c>
      <c r="G153" s="115">
        <v>2025</v>
      </c>
      <c r="H153" s="115">
        <v>5</v>
      </c>
      <c r="I153" s="117">
        <v>630.16200000000003</v>
      </c>
      <c r="J153" s="112">
        <v>5.5213401836217368</v>
      </c>
    </row>
    <row r="154" spans="1:10">
      <c r="A154" s="111" t="s">
        <v>496</v>
      </c>
      <c r="B154" s="111" t="s">
        <v>517</v>
      </c>
      <c r="C154" s="111" t="s">
        <v>466</v>
      </c>
      <c r="D154" s="115">
        <v>1972</v>
      </c>
      <c r="E154" s="115">
        <v>5</v>
      </c>
      <c r="F154" s="117">
        <v>35.799999999999997</v>
      </c>
      <c r="G154" s="115">
        <v>2025</v>
      </c>
      <c r="H154" s="115">
        <v>5</v>
      </c>
      <c r="I154" s="117">
        <v>630.16200000000003</v>
      </c>
      <c r="J154" s="112">
        <v>5.5604676049235016</v>
      </c>
    </row>
    <row r="155" spans="1:10">
      <c r="A155" s="111" t="s">
        <v>496</v>
      </c>
      <c r="B155" s="111" t="s">
        <v>517</v>
      </c>
      <c r="C155" s="111" t="s">
        <v>466</v>
      </c>
      <c r="D155" s="115">
        <v>1973</v>
      </c>
      <c r="E155" s="115">
        <v>5</v>
      </c>
      <c r="F155" s="117">
        <v>37.200000000000003</v>
      </c>
      <c r="G155" s="115">
        <v>2025</v>
      </c>
      <c r="H155" s="115">
        <v>5</v>
      </c>
      <c r="I155" s="117">
        <v>630.16200000000003</v>
      </c>
      <c r="J155" s="112">
        <v>5.5924509525200339</v>
      </c>
    </row>
    <row r="156" spans="1:10">
      <c r="A156" s="111" t="s">
        <v>496</v>
      </c>
      <c r="B156" s="111" t="s">
        <v>517</v>
      </c>
      <c r="C156" s="111" t="s">
        <v>466</v>
      </c>
      <c r="D156" s="115">
        <v>1974</v>
      </c>
      <c r="E156" s="115">
        <v>5</v>
      </c>
      <c r="F156" s="117">
        <v>40.4</v>
      </c>
      <c r="G156" s="115">
        <v>2025</v>
      </c>
      <c r="H156" s="115">
        <v>5</v>
      </c>
      <c r="I156" s="117">
        <v>630.16200000000003</v>
      </c>
      <c r="J156" s="112">
        <v>5.5342786511461286</v>
      </c>
    </row>
    <row r="157" spans="1:10">
      <c r="A157" s="111" t="s">
        <v>496</v>
      </c>
      <c r="B157" s="111" t="s">
        <v>517</v>
      </c>
      <c r="C157" s="111" t="s">
        <v>466</v>
      </c>
      <c r="D157" s="115">
        <v>1975</v>
      </c>
      <c r="E157" s="115">
        <v>5</v>
      </c>
      <c r="F157" s="117">
        <v>46</v>
      </c>
      <c r="G157" s="115">
        <v>2025</v>
      </c>
      <c r="H157" s="115">
        <v>5</v>
      </c>
      <c r="I157" s="117">
        <v>630.16200000000003</v>
      </c>
      <c r="J157" s="112">
        <v>5.374102242547818</v>
      </c>
    </row>
    <row r="158" spans="1:10">
      <c r="A158" s="111" t="s">
        <v>496</v>
      </c>
      <c r="B158" s="111" t="s">
        <v>517</v>
      </c>
      <c r="C158" s="111" t="s">
        <v>466</v>
      </c>
      <c r="D158" s="115">
        <v>1976</v>
      </c>
      <c r="E158" s="115">
        <v>5</v>
      </c>
      <c r="F158" s="117">
        <v>50.6</v>
      </c>
      <c r="G158" s="115">
        <v>2025</v>
      </c>
      <c r="H158" s="115">
        <v>5</v>
      </c>
      <c r="I158" s="117">
        <v>630.16200000000003</v>
      </c>
      <c r="J158" s="112">
        <v>5.2817501442260051</v>
      </c>
    </row>
    <row r="159" spans="1:10">
      <c r="A159" s="111" t="s">
        <v>496</v>
      </c>
      <c r="B159" s="111" t="s">
        <v>517</v>
      </c>
      <c r="C159" s="111" t="s">
        <v>466</v>
      </c>
      <c r="D159" s="115">
        <v>1977</v>
      </c>
      <c r="E159" s="115">
        <v>5</v>
      </c>
      <c r="F159" s="117">
        <v>55.8</v>
      </c>
      <c r="G159" s="115">
        <v>2025</v>
      </c>
      <c r="H159" s="115">
        <v>5</v>
      </c>
      <c r="I159" s="117">
        <v>630.16200000000003</v>
      </c>
      <c r="J159" s="112">
        <v>5.180131289901091</v>
      </c>
    </row>
    <row r="160" spans="1:10">
      <c r="A160" s="111" t="s">
        <v>496</v>
      </c>
      <c r="B160" s="111" t="s">
        <v>517</v>
      </c>
      <c r="C160" s="111" t="s">
        <v>466</v>
      </c>
      <c r="D160" s="115">
        <v>1978</v>
      </c>
      <c r="E160" s="115">
        <v>5</v>
      </c>
      <c r="F160" s="117">
        <v>60.5</v>
      </c>
      <c r="G160" s="115">
        <v>2025</v>
      </c>
      <c r="H160" s="115">
        <v>5</v>
      </c>
      <c r="I160" s="117">
        <v>630.16200000000003</v>
      </c>
      <c r="J160" s="112">
        <v>5.1121995645649898</v>
      </c>
    </row>
    <row r="161" spans="1:10">
      <c r="A161" s="111" t="s">
        <v>496</v>
      </c>
      <c r="B161" s="111" t="s">
        <v>517</v>
      </c>
      <c r="C161" s="111" t="s">
        <v>466</v>
      </c>
      <c r="D161" s="115">
        <v>1979</v>
      </c>
      <c r="E161" s="115">
        <v>5</v>
      </c>
      <c r="F161" s="117">
        <v>66.2</v>
      </c>
      <c r="G161" s="115">
        <v>2025</v>
      </c>
      <c r="H161" s="115">
        <v>5</v>
      </c>
      <c r="I161" s="117">
        <v>630.16200000000003</v>
      </c>
      <c r="J161" s="112">
        <v>5.0204288570079969</v>
      </c>
    </row>
    <row r="162" spans="1:10">
      <c r="A162" s="111" t="s">
        <v>496</v>
      </c>
      <c r="B162" s="111" t="s">
        <v>517</v>
      </c>
      <c r="C162" s="111" t="s">
        <v>466</v>
      </c>
      <c r="D162" s="115">
        <v>1980</v>
      </c>
      <c r="E162" s="115">
        <v>5</v>
      </c>
      <c r="F162" s="117">
        <v>74.099999999999994</v>
      </c>
      <c r="G162" s="115">
        <v>2025</v>
      </c>
      <c r="H162" s="115">
        <v>5</v>
      </c>
      <c r="I162" s="117">
        <v>630.16200000000003</v>
      </c>
      <c r="J162" s="112">
        <v>4.8717544041662286</v>
      </c>
    </row>
    <row r="163" spans="1:10">
      <c r="A163" s="111" t="s">
        <v>496</v>
      </c>
      <c r="B163" s="111" t="s">
        <v>517</v>
      </c>
      <c r="C163" s="111" t="s">
        <v>466</v>
      </c>
      <c r="D163" s="115">
        <v>1981</v>
      </c>
      <c r="E163" s="115">
        <v>5</v>
      </c>
      <c r="F163" s="117">
        <v>81.099999999999994</v>
      </c>
      <c r="G163" s="115">
        <v>2025</v>
      </c>
      <c r="H163" s="115">
        <v>5</v>
      </c>
      <c r="I163" s="117">
        <v>630.16200000000003</v>
      </c>
      <c r="J163" s="112">
        <v>4.7700319345851616</v>
      </c>
    </row>
    <row r="164" spans="1:10">
      <c r="A164" s="111" t="s">
        <v>496</v>
      </c>
      <c r="B164" s="111" t="s">
        <v>517</v>
      </c>
      <c r="C164" s="111" t="s">
        <v>466</v>
      </c>
      <c r="D164" s="115">
        <v>1982</v>
      </c>
      <c r="E164" s="115">
        <v>5</v>
      </c>
      <c r="F164" s="117">
        <v>91.1</v>
      </c>
      <c r="G164" s="115">
        <v>2025</v>
      </c>
      <c r="H164" s="115">
        <v>5</v>
      </c>
      <c r="I164" s="117">
        <v>630.16200000000003</v>
      </c>
      <c r="J164" s="112">
        <v>4.6003999188781508</v>
      </c>
    </row>
    <row r="165" spans="1:10">
      <c r="A165" s="111" t="s">
        <v>496</v>
      </c>
      <c r="B165" s="111" t="s">
        <v>517</v>
      </c>
      <c r="C165" s="111" t="s">
        <v>466</v>
      </c>
      <c r="D165" s="115">
        <v>1983</v>
      </c>
      <c r="E165" s="115">
        <v>5</v>
      </c>
      <c r="F165" s="117">
        <v>99.8</v>
      </c>
      <c r="G165" s="115">
        <v>2025</v>
      </c>
      <c r="H165" s="115">
        <v>5</v>
      </c>
      <c r="I165" s="117">
        <v>630.16200000000003</v>
      </c>
      <c r="J165" s="112">
        <v>4.4853201704504464</v>
      </c>
    </row>
    <row r="166" spans="1:10">
      <c r="A166" s="111" t="s">
        <v>496</v>
      </c>
      <c r="B166" s="111" t="s">
        <v>517</v>
      </c>
      <c r="C166" s="111" t="s">
        <v>466</v>
      </c>
      <c r="D166" s="115">
        <v>1984</v>
      </c>
      <c r="E166" s="115">
        <v>5</v>
      </c>
      <c r="F166" s="117">
        <v>105.9</v>
      </c>
      <c r="G166" s="115">
        <v>2025</v>
      </c>
      <c r="H166" s="115">
        <v>5</v>
      </c>
      <c r="I166" s="117">
        <v>630.16200000000003</v>
      </c>
      <c r="J166" s="112">
        <v>4.4459527529707277</v>
      </c>
    </row>
    <row r="167" spans="1:10">
      <c r="A167" s="111" t="s">
        <v>496</v>
      </c>
      <c r="B167" s="111" t="s">
        <v>517</v>
      </c>
      <c r="C167" s="111" t="s">
        <v>466</v>
      </c>
      <c r="D167" s="115">
        <v>1985</v>
      </c>
      <c r="E167" s="115">
        <v>5</v>
      </c>
      <c r="F167" s="117">
        <v>112.1</v>
      </c>
      <c r="G167" s="115">
        <v>2025</v>
      </c>
      <c r="H167" s="115">
        <v>5</v>
      </c>
      <c r="I167" s="117">
        <v>630.16200000000003</v>
      </c>
      <c r="J167" s="112">
        <v>4.4109782911803341</v>
      </c>
    </row>
    <row r="168" spans="1:10">
      <c r="A168" s="111" t="s">
        <v>496</v>
      </c>
      <c r="B168" s="111" t="s">
        <v>517</v>
      </c>
      <c r="C168" s="111" t="s">
        <v>466</v>
      </c>
      <c r="D168" s="115">
        <v>1986</v>
      </c>
      <c r="E168" s="115">
        <v>5</v>
      </c>
      <c r="F168" s="117">
        <v>120.8</v>
      </c>
      <c r="G168" s="115">
        <v>2025</v>
      </c>
      <c r="H168" s="115">
        <v>5</v>
      </c>
      <c r="I168" s="117">
        <v>630.16200000000003</v>
      </c>
      <c r="J168" s="112">
        <v>4.3264655480854008</v>
      </c>
    </row>
    <row r="169" spans="1:10">
      <c r="A169" s="111" t="s">
        <v>496</v>
      </c>
      <c r="B169" s="111" t="s">
        <v>517</v>
      </c>
      <c r="C169" s="111" t="s">
        <v>466</v>
      </c>
      <c r="D169" s="115">
        <v>1987</v>
      </c>
      <c r="E169" s="115">
        <v>5</v>
      </c>
      <c r="F169" s="117">
        <v>129</v>
      </c>
      <c r="G169" s="115">
        <v>2025</v>
      </c>
      <c r="H169" s="115">
        <v>5</v>
      </c>
      <c r="I169" s="117">
        <v>630.16200000000003</v>
      </c>
      <c r="J169" s="112">
        <v>4.2624583081761758</v>
      </c>
    </row>
    <row r="170" spans="1:10">
      <c r="A170" s="111" t="s">
        <v>496</v>
      </c>
      <c r="B170" s="111" t="s">
        <v>517</v>
      </c>
      <c r="C170" s="111" t="s">
        <v>466</v>
      </c>
      <c r="D170" s="115">
        <v>1988</v>
      </c>
      <c r="E170" s="115">
        <v>5</v>
      </c>
      <c r="F170" s="117">
        <v>137.19999999999999</v>
      </c>
      <c r="G170" s="115">
        <v>2025</v>
      </c>
      <c r="H170" s="115">
        <v>5</v>
      </c>
      <c r="I170" s="117">
        <v>630.16200000000003</v>
      </c>
      <c r="J170" s="112">
        <v>4.2064361276509699</v>
      </c>
    </row>
    <row r="171" spans="1:10">
      <c r="A171" s="111" t="s">
        <v>496</v>
      </c>
      <c r="B171" s="111" t="s">
        <v>517</v>
      </c>
      <c r="C171" s="111" t="s">
        <v>466</v>
      </c>
      <c r="D171" s="115">
        <v>1989</v>
      </c>
      <c r="E171" s="115">
        <v>5</v>
      </c>
      <c r="F171" s="117">
        <v>146.9</v>
      </c>
      <c r="G171" s="115">
        <v>2025</v>
      </c>
      <c r="H171" s="115">
        <v>5</v>
      </c>
      <c r="I171" s="117">
        <v>630.16200000000003</v>
      </c>
      <c r="J171" s="112">
        <v>4.1279963095359973</v>
      </c>
    </row>
    <row r="172" spans="1:10">
      <c r="A172" s="111" t="s">
        <v>496</v>
      </c>
      <c r="B172" s="111" t="s">
        <v>517</v>
      </c>
      <c r="C172" s="111" t="s">
        <v>466</v>
      </c>
      <c r="D172" s="115">
        <v>1990</v>
      </c>
      <c r="E172" s="115">
        <v>5</v>
      </c>
      <c r="F172" s="117">
        <v>160.5</v>
      </c>
      <c r="G172" s="115">
        <v>2025</v>
      </c>
      <c r="H172" s="115">
        <v>5</v>
      </c>
      <c r="I172" s="117">
        <v>630.16200000000003</v>
      </c>
      <c r="J172" s="112">
        <v>3.9850192142144141</v>
      </c>
    </row>
    <row r="173" spans="1:10">
      <c r="A173" s="111" t="s">
        <v>496</v>
      </c>
      <c r="B173" s="111" t="s">
        <v>517</v>
      </c>
      <c r="C173" s="111" t="s">
        <v>466</v>
      </c>
      <c r="D173" s="115">
        <v>1991</v>
      </c>
      <c r="E173" s="115">
        <v>5</v>
      </c>
      <c r="F173" s="117">
        <v>175.1</v>
      </c>
      <c r="G173" s="115">
        <v>2025</v>
      </c>
      <c r="H173" s="115">
        <v>5</v>
      </c>
      <c r="I173" s="117">
        <v>630.16200000000003</v>
      </c>
      <c r="J173" s="112">
        <v>3.8383612130873161</v>
      </c>
    </row>
    <row r="174" spans="1:10">
      <c r="A174" s="111" t="s">
        <v>496</v>
      </c>
      <c r="B174" s="111" t="s">
        <v>517</v>
      </c>
      <c r="C174" s="111" t="s">
        <v>466</v>
      </c>
      <c r="D174" s="115">
        <v>1992</v>
      </c>
      <c r="E174" s="115">
        <v>5</v>
      </c>
      <c r="F174" s="117">
        <v>188.9</v>
      </c>
      <c r="G174" s="115">
        <v>2025</v>
      </c>
      <c r="H174" s="115">
        <v>5</v>
      </c>
      <c r="I174" s="117">
        <v>630.16200000000003</v>
      </c>
      <c r="J174" s="112">
        <v>3.7182449158051911</v>
      </c>
    </row>
    <row r="175" spans="1:10">
      <c r="A175" s="111" t="s">
        <v>496</v>
      </c>
      <c r="B175" s="111" t="s">
        <v>517</v>
      </c>
      <c r="C175" s="111" t="s">
        <v>466</v>
      </c>
      <c r="D175" s="115">
        <v>1993</v>
      </c>
      <c r="E175" s="115">
        <v>5</v>
      </c>
      <c r="F175" s="117">
        <v>202</v>
      </c>
      <c r="G175" s="115">
        <v>2025</v>
      </c>
      <c r="H175" s="115">
        <v>5</v>
      </c>
      <c r="I175" s="117">
        <v>630.16200000000003</v>
      </c>
      <c r="J175" s="112">
        <v>3.6192993337479828</v>
      </c>
    </row>
    <row r="176" spans="1:10">
      <c r="A176" s="111" t="s">
        <v>496</v>
      </c>
      <c r="B176" s="111" t="s">
        <v>517</v>
      </c>
      <c r="C176" s="111" t="s">
        <v>466</v>
      </c>
      <c r="D176" s="115">
        <v>1994</v>
      </c>
      <c r="E176" s="115">
        <v>5</v>
      </c>
      <c r="F176" s="117">
        <v>212</v>
      </c>
      <c r="G176" s="115">
        <v>2025</v>
      </c>
      <c r="H176" s="115">
        <v>5</v>
      </c>
      <c r="I176" s="117">
        <v>630.16200000000003</v>
      </c>
      <c r="J176" s="112">
        <v>3.5766398166525941</v>
      </c>
    </row>
    <row r="177" spans="1:10">
      <c r="A177" s="111" t="s">
        <v>496</v>
      </c>
      <c r="B177" s="111" t="s">
        <v>517</v>
      </c>
      <c r="C177" s="111" t="s">
        <v>466</v>
      </c>
      <c r="D177" s="115">
        <v>1995</v>
      </c>
      <c r="E177" s="115">
        <v>5</v>
      </c>
      <c r="F177" s="117">
        <v>223</v>
      </c>
      <c r="G177" s="115">
        <v>2025</v>
      </c>
      <c r="H177" s="115">
        <v>5</v>
      </c>
      <c r="I177" s="117">
        <v>630.16200000000003</v>
      </c>
      <c r="J177" s="112">
        <v>3.5233327585560081</v>
      </c>
    </row>
    <row r="178" spans="1:10">
      <c r="A178" s="111" t="s">
        <v>496</v>
      </c>
      <c r="B178" s="111" t="s">
        <v>517</v>
      </c>
      <c r="C178" s="111" t="s">
        <v>466</v>
      </c>
      <c r="D178" s="115">
        <v>1996</v>
      </c>
      <c r="E178" s="115">
        <v>5</v>
      </c>
      <c r="F178" s="117">
        <v>231.6</v>
      </c>
      <c r="G178" s="115">
        <v>2025</v>
      </c>
      <c r="H178" s="115">
        <v>5</v>
      </c>
      <c r="I178" s="117">
        <v>630.16200000000003</v>
      </c>
      <c r="J178" s="112">
        <v>3.5118632384192772</v>
      </c>
    </row>
    <row r="179" spans="1:10">
      <c r="A179" s="111" t="s">
        <v>496</v>
      </c>
      <c r="B179" s="111" t="s">
        <v>517</v>
      </c>
      <c r="C179" s="111" t="s">
        <v>466</v>
      </c>
      <c r="D179" s="115">
        <v>1997</v>
      </c>
      <c r="E179" s="115">
        <v>5</v>
      </c>
      <c r="F179" s="117">
        <v>238.5</v>
      </c>
      <c r="G179" s="115">
        <v>2025</v>
      </c>
      <c r="H179" s="115">
        <v>5</v>
      </c>
      <c r="I179" s="117">
        <v>630.16200000000003</v>
      </c>
      <c r="J179" s="112">
        <v>3.5309351195019318</v>
      </c>
    </row>
    <row r="180" spans="1:10">
      <c r="A180" s="111" t="s">
        <v>496</v>
      </c>
      <c r="B180" s="111" t="s">
        <v>517</v>
      </c>
      <c r="C180" s="111" t="s">
        <v>466</v>
      </c>
      <c r="D180" s="115">
        <v>1998</v>
      </c>
      <c r="E180" s="115">
        <v>5</v>
      </c>
      <c r="F180" s="117">
        <v>245.9</v>
      </c>
      <c r="G180" s="115">
        <v>2025</v>
      </c>
      <c r="H180" s="115">
        <v>5</v>
      </c>
      <c r="I180" s="117">
        <v>630.16200000000003</v>
      </c>
      <c r="J180" s="112">
        <v>3.5468288486791182</v>
      </c>
    </row>
    <row r="181" spans="1:10">
      <c r="A181" s="111" t="s">
        <v>496</v>
      </c>
      <c r="B181" s="111" t="s">
        <v>517</v>
      </c>
      <c r="C181" s="111" t="s">
        <v>466</v>
      </c>
      <c r="D181" s="115">
        <v>1999</v>
      </c>
      <c r="E181" s="115">
        <v>5</v>
      </c>
      <c r="F181" s="117">
        <v>254</v>
      </c>
      <c r="G181" s="115">
        <v>2025</v>
      </c>
      <c r="H181" s="115">
        <v>5</v>
      </c>
      <c r="I181" s="117">
        <v>630.16200000000003</v>
      </c>
      <c r="J181" s="112">
        <v>3.5565645372000798</v>
      </c>
    </row>
    <row r="182" spans="1:10">
      <c r="A182" s="111" t="s">
        <v>496</v>
      </c>
      <c r="B182" s="111" t="s">
        <v>517</v>
      </c>
      <c r="C182" s="111" t="s">
        <v>466</v>
      </c>
      <c r="D182" s="115">
        <v>2000</v>
      </c>
      <c r="E182" s="115">
        <v>5</v>
      </c>
      <c r="F182" s="117">
        <v>264.39999999999998</v>
      </c>
      <c r="G182" s="115">
        <v>2025</v>
      </c>
      <c r="H182" s="115">
        <v>5</v>
      </c>
      <c r="I182" s="117">
        <v>630.16200000000003</v>
      </c>
      <c r="J182" s="112">
        <v>3.535105506824876</v>
      </c>
    </row>
    <row r="183" spans="1:10">
      <c r="A183" s="111" t="s">
        <v>496</v>
      </c>
      <c r="B183" s="111" t="s">
        <v>517</v>
      </c>
      <c r="C183" s="111" t="s">
        <v>466</v>
      </c>
      <c r="D183" s="115">
        <v>2001</v>
      </c>
      <c r="E183" s="115">
        <v>5</v>
      </c>
      <c r="F183" s="117">
        <v>277.3</v>
      </c>
      <c r="G183" s="115">
        <v>2025</v>
      </c>
      <c r="H183" s="115">
        <v>5</v>
      </c>
      <c r="I183" s="117">
        <v>630.16200000000003</v>
      </c>
      <c r="J183" s="112">
        <v>3.4794863293650118</v>
      </c>
    </row>
    <row r="184" spans="1:10">
      <c r="A184" s="111" t="s">
        <v>496</v>
      </c>
      <c r="B184" s="111" t="s">
        <v>517</v>
      </c>
      <c r="C184" s="111" t="s">
        <v>466</v>
      </c>
      <c r="D184" s="115">
        <v>2002</v>
      </c>
      <c r="E184" s="115">
        <v>5</v>
      </c>
      <c r="F184" s="117">
        <v>291.2</v>
      </c>
      <c r="G184" s="115">
        <v>2025</v>
      </c>
      <c r="H184" s="115">
        <v>5</v>
      </c>
      <c r="I184" s="117">
        <v>630.16200000000003</v>
      </c>
      <c r="J184" s="112">
        <v>3.4133383942354101</v>
      </c>
    </row>
    <row r="185" spans="1:10">
      <c r="A185" s="111" t="s">
        <v>496</v>
      </c>
      <c r="B185" s="111" t="s">
        <v>517</v>
      </c>
      <c r="C185" s="111" t="s">
        <v>466</v>
      </c>
      <c r="D185" s="115">
        <v>2003</v>
      </c>
      <c r="E185" s="115">
        <v>5</v>
      </c>
      <c r="F185" s="117">
        <v>304.2</v>
      </c>
      <c r="G185" s="115">
        <v>2025</v>
      </c>
      <c r="H185" s="115">
        <v>5</v>
      </c>
      <c r="I185" s="117">
        <v>630.16200000000003</v>
      </c>
      <c r="J185" s="112">
        <v>3.3658200851876869</v>
      </c>
    </row>
    <row r="186" spans="1:10">
      <c r="A186" s="111" t="s">
        <v>496</v>
      </c>
      <c r="B186" s="111" t="s">
        <v>517</v>
      </c>
      <c r="C186" s="111" t="s">
        <v>466</v>
      </c>
      <c r="D186" s="115">
        <v>2004</v>
      </c>
      <c r="E186" s="115">
        <v>5</v>
      </c>
      <c r="F186" s="117">
        <v>319.8</v>
      </c>
      <c r="G186" s="115">
        <v>2025</v>
      </c>
      <c r="H186" s="115">
        <v>5</v>
      </c>
      <c r="I186" s="117">
        <v>630.16200000000003</v>
      </c>
      <c r="J186" s="112">
        <v>3.28263788963099</v>
      </c>
    </row>
    <row r="187" spans="1:10">
      <c r="A187" s="111" t="s">
        <v>496</v>
      </c>
      <c r="B187" s="111" t="s">
        <v>517</v>
      </c>
      <c r="C187" s="111" t="s">
        <v>466</v>
      </c>
      <c r="D187" s="115">
        <v>2005</v>
      </c>
      <c r="E187" s="115">
        <v>5</v>
      </c>
      <c r="F187" s="117">
        <v>335.9</v>
      </c>
      <c r="G187" s="115">
        <v>2025</v>
      </c>
      <c r="H187" s="115">
        <v>5</v>
      </c>
      <c r="I187" s="117">
        <v>630.16200000000003</v>
      </c>
      <c r="J187" s="112">
        <v>3.19582095614519</v>
      </c>
    </row>
    <row r="188" spans="1:10">
      <c r="A188" s="111" t="s">
        <v>496</v>
      </c>
      <c r="B188" s="111" t="s">
        <v>517</v>
      </c>
      <c r="C188" s="111" t="s">
        <v>466</v>
      </c>
      <c r="D188" s="115">
        <v>2006</v>
      </c>
      <c r="E188" s="115">
        <v>5</v>
      </c>
      <c r="F188" s="117">
        <v>349.7</v>
      </c>
      <c r="G188" s="115">
        <v>2025</v>
      </c>
      <c r="H188" s="115">
        <v>5</v>
      </c>
      <c r="I188" s="117">
        <v>630.16200000000003</v>
      </c>
      <c r="J188" s="112">
        <v>3.148014479676164</v>
      </c>
    </row>
    <row r="189" spans="1:10">
      <c r="A189" s="111" t="s">
        <v>496</v>
      </c>
      <c r="B189" s="111" t="s">
        <v>517</v>
      </c>
      <c r="C189" s="111" t="s">
        <v>466</v>
      </c>
      <c r="D189" s="115">
        <v>2007</v>
      </c>
      <c r="E189" s="115">
        <v>5</v>
      </c>
      <c r="F189" s="117">
        <v>367.12700000000001</v>
      </c>
      <c r="G189" s="115">
        <v>2025</v>
      </c>
      <c r="H189" s="115">
        <v>5</v>
      </c>
      <c r="I189" s="117">
        <v>630.16200000000003</v>
      </c>
      <c r="J189" s="112">
        <v>3.0469938902958571</v>
      </c>
    </row>
    <row r="190" spans="1:10">
      <c r="A190" s="111" t="s">
        <v>496</v>
      </c>
      <c r="B190" s="111" t="s">
        <v>517</v>
      </c>
      <c r="C190" s="111" t="s">
        <v>466</v>
      </c>
      <c r="D190" s="115">
        <v>2008</v>
      </c>
      <c r="E190" s="115">
        <v>5</v>
      </c>
      <c r="F190" s="117">
        <v>384.505</v>
      </c>
      <c r="G190" s="115">
        <v>2025</v>
      </c>
      <c r="H190" s="115">
        <v>5</v>
      </c>
      <c r="I190" s="117">
        <v>630.16200000000003</v>
      </c>
      <c r="J190" s="112">
        <v>2.9486370065419321</v>
      </c>
    </row>
    <row r="191" spans="1:10">
      <c r="A191" s="111" t="s">
        <v>496</v>
      </c>
      <c r="B191" s="111" t="s">
        <v>517</v>
      </c>
      <c r="C191" s="111" t="s">
        <v>466</v>
      </c>
      <c r="D191" s="115">
        <v>2009</v>
      </c>
      <c r="E191" s="115">
        <v>5</v>
      </c>
      <c r="F191" s="117">
        <v>396.64800000000002</v>
      </c>
      <c r="G191" s="115">
        <v>2025</v>
      </c>
      <c r="H191" s="115">
        <v>5</v>
      </c>
      <c r="I191" s="117">
        <v>630.16200000000003</v>
      </c>
      <c r="J191" s="112">
        <v>2.9355605502144222</v>
      </c>
    </row>
    <row r="192" spans="1:10">
      <c r="A192" s="111" t="s">
        <v>496</v>
      </c>
      <c r="B192" s="111" t="s">
        <v>517</v>
      </c>
      <c r="C192" s="111" t="s">
        <v>466</v>
      </c>
      <c r="D192" s="115">
        <v>2010</v>
      </c>
      <c r="E192" s="115">
        <v>5</v>
      </c>
      <c r="F192" s="117">
        <v>410.173</v>
      </c>
      <c r="G192" s="115">
        <v>2025</v>
      </c>
      <c r="H192" s="115">
        <v>5</v>
      </c>
      <c r="I192" s="117">
        <v>630.16200000000003</v>
      </c>
      <c r="J192" s="112">
        <v>2.9040204123196078</v>
      </c>
    </row>
    <row r="193" spans="1:10">
      <c r="A193" s="111" t="s">
        <v>496</v>
      </c>
      <c r="B193" s="111" t="s">
        <v>517</v>
      </c>
      <c r="C193" s="111" t="s">
        <v>466</v>
      </c>
      <c r="D193" s="115">
        <v>2011</v>
      </c>
      <c r="E193" s="115">
        <v>5</v>
      </c>
      <c r="F193" s="117">
        <v>422.43799999999999</v>
      </c>
      <c r="G193" s="115">
        <v>2025</v>
      </c>
      <c r="H193" s="115">
        <v>5</v>
      </c>
      <c r="I193" s="117">
        <v>630.16200000000003</v>
      </c>
      <c r="J193" s="112">
        <v>2.897867366632068</v>
      </c>
    </row>
    <row r="194" spans="1:10">
      <c r="A194" s="111" t="s">
        <v>496</v>
      </c>
      <c r="B194" s="111" t="s">
        <v>517</v>
      </c>
      <c r="C194" s="111" t="s">
        <v>466</v>
      </c>
      <c r="D194" s="115">
        <v>2012</v>
      </c>
      <c r="E194" s="115">
        <v>5</v>
      </c>
      <c r="F194" s="117">
        <v>438.76600000000002</v>
      </c>
      <c r="G194" s="115">
        <v>2025</v>
      </c>
      <c r="H194" s="115">
        <v>5</v>
      </c>
      <c r="I194" s="117">
        <v>630.16200000000003</v>
      </c>
      <c r="J194" s="112">
        <v>2.8238327227223299</v>
      </c>
    </row>
    <row r="195" spans="1:10">
      <c r="A195" s="111" t="s">
        <v>496</v>
      </c>
      <c r="B195" s="111" t="s">
        <v>517</v>
      </c>
      <c r="C195" s="111" t="s">
        <v>466</v>
      </c>
      <c r="D195" s="115">
        <v>2013</v>
      </c>
      <c r="E195" s="115">
        <v>5</v>
      </c>
      <c r="F195" s="117">
        <v>451.64800000000002</v>
      </c>
      <c r="G195" s="115">
        <v>2025</v>
      </c>
      <c r="H195" s="115">
        <v>5</v>
      </c>
      <c r="I195" s="117">
        <v>630.16200000000003</v>
      </c>
      <c r="J195" s="112">
        <v>2.8144941890069219</v>
      </c>
    </row>
    <row r="196" spans="1:10">
      <c r="A196" s="111" t="s">
        <v>496</v>
      </c>
      <c r="B196" s="111" t="s">
        <v>517</v>
      </c>
      <c r="C196" s="111" t="s">
        <v>466</v>
      </c>
      <c r="D196" s="115">
        <v>2014</v>
      </c>
      <c r="E196" s="115">
        <v>5</v>
      </c>
      <c r="F196" s="117">
        <v>465.01400000000001</v>
      </c>
      <c r="G196" s="115">
        <v>2025</v>
      </c>
      <c r="H196" s="115">
        <v>5</v>
      </c>
      <c r="I196" s="117">
        <v>630.16200000000003</v>
      </c>
      <c r="J196" s="112">
        <v>2.8013324757266478</v>
      </c>
    </row>
    <row r="197" spans="1:10">
      <c r="A197" s="111" t="s">
        <v>496</v>
      </c>
      <c r="B197" s="111" t="s">
        <v>517</v>
      </c>
      <c r="C197" s="111" t="s">
        <v>466</v>
      </c>
      <c r="D197" s="115">
        <v>2015</v>
      </c>
      <c r="E197" s="115">
        <v>5</v>
      </c>
      <c r="F197" s="117">
        <v>476.8</v>
      </c>
      <c r="G197" s="115">
        <v>2025</v>
      </c>
      <c r="H197" s="115">
        <v>5</v>
      </c>
      <c r="I197" s="117">
        <v>630.16200000000003</v>
      </c>
      <c r="J197" s="112">
        <v>2.828049137061694</v>
      </c>
    </row>
    <row r="198" spans="1:10">
      <c r="A198" s="111" t="s">
        <v>496</v>
      </c>
      <c r="B198" s="111" t="s">
        <v>517</v>
      </c>
      <c r="C198" s="111" t="s">
        <v>466</v>
      </c>
      <c r="D198" s="115">
        <v>2016</v>
      </c>
      <c r="E198" s="115">
        <v>5</v>
      </c>
      <c r="F198" s="117">
        <v>493.27</v>
      </c>
      <c r="G198" s="115">
        <v>2025</v>
      </c>
      <c r="H198" s="115">
        <v>5</v>
      </c>
      <c r="I198" s="117">
        <v>630.16200000000003</v>
      </c>
      <c r="J198" s="112">
        <v>2.758702508302147</v>
      </c>
    </row>
    <row r="199" spans="1:10">
      <c r="A199" s="111" t="s">
        <v>496</v>
      </c>
      <c r="B199" s="111" t="s">
        <v>517</v>
      </c>
      <c r="C199" s="111" t="s">
        <v>466</v>
      </c>
      <c r="D199" s="115">
        <v>2017</v>
      </c>
      <c r="E199" s="115">
        <v>5</v>
      </c>
      <c r="F199" s="117">
        <v>505.61099999999999</v>
      </c>
      <c r="G199" s="115">
        <v>2025</v>
      </c>
      <c r="H199" s="115">
        <v>5</v>
      </c>
      <c r="I199" s="117">
        <v>630.16200000000003</v>
      </c>
      <c r="J199" s="112">
        <v>2.7908511300120962</v>
      </c>
    </row>
    <row r="200" spans="1:10">
      <c r="A200" s="111" t="s">
        <v>496</v>
      </c>
      <c r="B200" s="111" t="s">
        <v>517</v>
      </c>
      <c r="C200" s="111" t="s">
        <v>466</v>
      </c>
      <c r="D200" s="115">
        <v>2018</v>
      </c>
      <c r="E200" s="115">
        <v>5</v>
      </c>
      <c r="F200" s="117">
        <v>517.22</v>
      </c>
      <c r="G200" s="115">
        <v>2025</v>
      </c>
      <c r="H200" s="115">
        <v>5</v>
      </c>
      <c r="I200" s="117">
        <v>630.16200000000003</v>
      </c>
      <c r="J200" s="112">
        <v>2.8617344218117009</v>
      </c>
    </row>
    <row r="201" spans="1:10">
      <c r="A201" s="111" t="s">
        <v>496</v>
      </c>
      <c r="B201" s="111" t="s">
        <v>517</v>
      </c>
      <c r="C201" s="111" t="s">
        <v>466</v>
      </c>
      <c r="D201" s="115">
        <v>2019</v>
      </c>
      <c r="E201" s="115">
        <v>5</v>
      </c>
      <c r="F201" s="117">
        <v>531.56600000000003</v>
      </c>
      <c r="G201" s="115">
        <v>2025</v>
      </c>
      <c r="H201" s="115">
        <v>5</v>
      </c>
      <c r="I201" s="117">
        <v>630.16200000000003</v>
      </c>
      <c r="J201" s="112">
        <v>2.8764183851522458</v>
      </c>
    </row>
    <row r="202" spans="1:10">
      <c r="A202" s="111" t="s">
        <v>496</v>
      </c>
      <c r="B202" s="111" t="s">
        <v>517</v>
      </c>
      <c r="C202" s="111" t="s">
        <v>466</v>
      </c>
      <c r="D202" s="115">
        <v>2020</v>
      </c>
      <c r="E202" s="115">
        <v>5</v>
      </c>
      <c r="F202" s="117">
        <v>562.70100000000002</v>
      </c>
      <c r="G202" s="115">
        <v>2025</v>
      </c>
      <c r="H202" s="115">
        <v>5</v>
      </c>
      <c r="I202" s="117">
        <v>630.16200000000003</v>
      </c>
      <c r="J202" s="112">
        <v>2.2904065667229911</v>
      </c>
    </row>
    <row r="203" spans="1:10">
      <c r="A203" s="111" t="s">
        <v>496</v>
      </c>
      <c r="B203" s="111" t="s">
        <v>517</v>
      </c>
      <c r="C203" s="111" t="s">
        <v>466</v>
      </c>
      <c r="D203" s="115">
        <v>2021</v>
      </c>
      <c r="E203" s="115">
        <v>5</v>
      </c>
      <c r="F203" s="117">
        <v>571.255</v>
      </c>
      <c r="G203" s="115">
        <v>2025</v>
      </c>
      <c r="H203" s="115">
        <v>5</v>
      </c>
      <c r="I203" s="117">
        <v>630.16200000000003</v>
      </c>
      <c r="J203" s="112">
        <v>2.4838776060506</v>
      </c>
    </row>
    <row r="204" spans="1:10">
      <c r="A204" s="111" t="s">
        <v>496</v>
      </c>
      <c r="B204" s="111" t="s">
        <v>517</v>
      </c>
      <c r="C204" s="111" t="s">
        <v>466</v>
      </c>
      <c r="D204" s="115">
        <v>2022</v>
      </c>
      <c r="E204" s="115">
        <v>5</v>
      </c>
      <c r="F204" s="117">
        <v>594.24300000000005</v>
      </c>
      <c r="G204" s="115">
        <v>2025</v>
      </c>
      <c r="H204" s="115">
        <v>5</v>
      </c>
      <c r="I204" s="117">
        <v>630.16200000000003</v>
      </c>
      <c r="J204" s="112">
        <v>1.975547434667746</v>
      </c>
    </row>
    <row r="205" spans="1:10">
      <c r="A205" s="111" t="s">
        <v>496</v>
      </c>
      <c r="B205" s="111" t="s">
        <v>517</v>
      </c>
      <c r="C205" s="111" t="s">
        <v>466</v>
      </c>
      <c r="D205" s="115">
        <v>2023</v>
      </c>
      <c r="E205" s="115">
        <v>5</v>
      </c>
      <c r="F205" s="117">
        <v>593.73800000000006</v>
      </c>
      <c r="G205" s="115">
        <v>2025</v>
      </c>
      <c r="H205" s="115">
        <v>5</v>
      </c>
      <c r="I205" s="117">
        <v>630.16200000000003</v>
      </c>
      <c r="J205" s="112">
        <v>3.0216930585083008</v>
      </c>
    </row>
    <row r="206" spans="1:10">
      <c r="A206" s="111" t="s">
        <v>496</v>
      </c>
      <c r="B206" s="111" t="s">
        <v>517</v>
      </c>
      <c r="C206" s="111" t="s">
        <v>466</v>
      </c>
      <c r="D206" s="115">
        <v>2024</v>
      </c>
      <c r="E206" s="115">
        <v>5</v>
      </c>
      <c r="F206" s="117">
        <v>611.904</v>
      </c>
      <c r="G206" s="115">
        <v>2025</v>
      </c>
      <c r="H206" s="115">
        <v>5</v>
      </c>
      <c r="I206" s="117">
        <v>630.16200000000003</v>
      </c>
      <c r="J206" s="112">
        <v>2.9838013806087198</v>
      </c>
    </row>
    <row r="207" spans="1:10">
      <c r="A207" s="111" t="s">
        <v>498</v>
      </c>
      <c r="B207" s="111" t="s">
        <v>518</v>
      </c>
      <c r="C207" s="111" t="s">
        <v>466</v>
      </c>
      <c r="D207" s="115">
        <v>1967</v>
      </c>
      <c r="E207" s="115">
        <v>5</v>
      </c>
      <c r="F207" s="117">
        <v>30.7</v>
      </c>
      <c r="G207" s="115">
        <v>2025</v>
      </c>
      <c r="H207" s="115">
        <v>5</v>
      </c>
      <c r="I207" s="117">
        <v>436.58100000000002</v>
      </c>
      <c r="J207" s="112">
        <v>4.6834536909324376</v>
      </c>
    </row>
    <row r="208" spans="1:10">
      <c r="A208" s="111" t="s">
        <v>498</v>
      </c>
      <c r="B208" s="111" t="s">
        <v>518</v>
      </c>
      <c r="C208" s="111" t="s">
        <v>466</v>
      </c>
      <c r="D208" s="115">
        <v>1968</v>
      </c>
      <c r="E208" s="115">
        <v>5</v>
      </c>
      <c r="F208" s="117">
        <v>32.299999999999997</v>
      </c>
      <c r="G208" s="115">
        <v>2025</v>
      </c>
      <c r="H208" s="115">
        <v>5</v>
      </c>
      <c r="I208" s="117">
        <v>436.58100000000002</v>
      </c>
      <c r="J208" s="112">
        <v>4.6742094635408904</v>
      </c>
    </row>
    <row r="209" spans="1:10">
      <c r="A209" s="111" t="s">
        <v>498</v>
      </c>
      <c r="B209" s="111" t="s">
        <v>518</v>
      </c>
      <c r="C209" s="111" t="s">
        <v>466</v>
      </c>
      <c r="D209" s="115">
        <v>1969</v>
      </c>
      <c r="E209" s="115">
        <v>5</v>
      </c>
      <c r="F209" s="117">
        <v>34.6</v>
      </c>
      <c r="G209" s="115">
        <v>2025</v>
      </c>
      <c r="H209" s="115">
        <v>5</v>
      </c>
      <c r="I209" s="117">
        <v>436.58100000000002</v>
      </c>
      <c r="J209" s="112">
        <v>4.6310330102481867</v>
      </c>
    </row>
    <row r="210" spans="1:10">
      <c r="A210" s="111" t="s">
        <v>498</v>
      </c>
      <c r="B210" s="111" t="s">
        <v>518</v>
      </c>
      <c r="C210" s="111" t="s">
        <v>466</v>
      </c>
      <c r="D210" s="115">
        <v>1970</v>
      </c>
      <c r="E210" s="115">
        <v>5</v>
      </c>
      <c r="F210" s="117">
        <v>36.700000000000003</v>
      </c>
      <c r="G210" s="115">
        <v>2025</v>
      </c>
      <c r="H210" s="115">
        <v>5</v>
      </c>
      <c r="I210" s="117">
        <v>436.58100000000002</v>
      </c>
      <c r="J210" s="112">
        <v>4.605062875993049</v>
      </c>
    </row>
    <row r="211" spans="1:10">
      <c r="A211" s="111" t="s">
        <v>498</v>
      </c>
      <c r="B211" s="111" t="s">
        <v>518</v>
      </c>
      <c r="C211" s="111" t="s">
        <v>466</v>
      </c>
      <c r="D211" s="115">
        <v>1971</v>
      </c>
      <c r="E211" s="115">
        <v>5</v>
      </c>
      <c r="F211" s="117">
        <v>39.200000000000003</v>
      </c>
      <c r="G211" s="115">
        <v>2025</v>
      </c>
      <c r="H211" s="115">
        <v>5</v>
      </c>
      <c r="I211" s="117">
        <v>436.58100000000002</v>
      </c>
      <c r="J211" s="112">
        <v>4.5646268408779056</v>
      </c>
    </row>
    <row r="212" spans="1:10">
      <c r="A212" s="111" t="s">
        <v>498</v>
      </c>
      <c r="B212" s="111" t="s">
        <v>518</v>
      </c>
      <c r="C212" s="111" t="s">
        <v>466</v>
      </c>
      <c r="D212" s="115">
        <v>1972</v>
      </c>
      <c r="E212" s="115">
        <v>5</v>
      </c>
      <c r="F212" s="117">
        <v>40.700000000000003</v>
      </c>
      <c r="G212" s="115">
        <v>2025</v>
      </c>
      <c r="H212" s="115">
        <v>5</v>
      </c>
      <c r="I212" s="117">
        <v>436.58100000000002</v>
      </c>
      <c r="J212" s="112">
        <v>4.5786035026927907</v>
      </c>
    </row>
    <row r="213" spans="1:10">
      <c r="A213" s="111" t="s">
        <v>498</v>
      </c>
      <c r="B213" s="111" t="s">
        <v>518</v>
      </c>
      <c r="C213" s="111" t="s">
        <v>466</v>
      </c>
      <c r="D213" s="115">
        <v>1973</v>
      </c>
      <c r="E213" s="115">
        <v>5</v>
      </c>
      <c r="F213" s="117">
        <v>41.9</v>
      </c>
      <c r="G213" s="115">
        <v>2025</v>
      </c>
      <c r="H213" s="115">
        <v>5</v>
      </c>
      <c r="I213" s="117">
        <v>436.58100000000002</v>
      </c>
      <c r="J213" s="112">
        <v>4.6102052028400564</v>
      </c>
    </row>
    <row r="214" spans="1:10">
      <c r="A214" s="111" t="s">
        <v>498</v>
      </c>
      <c r="B214" s="111" t="s">
        <v>518</v>
      </c>
      <c r="C214" s="111" t="s">
        <v>466</v>
      </c>
      <c r="D214" s="115">
        <v>1974</v>
      </c>
      <c r="E214" s="115">
        <v>5</v>
      </c>
      <c r="F214" s="117">
        <v>44.9</v>
      </c>
      <c r="G214" s="115">
        <v>2025</v>
      </c>
      <c r="H214" s="115">
        <v>5</v>
      </c>
      <c r="I214" s="117">
        <v>436.58100000000002</v>
      </c>
      <c r="J214" s="112">
        <v>4.5608222971162959</v>
      </c>
    </row>
    <row r="215" spans="1:10">
      <c r="A215" s="111" t="s">
        <v>498</v>
      </c>
      <c r="B215" s="111" t="s">
        <v>518</v>
      </c>
      <c r="C215" s="111" t="s">
        <v>466</v>
      </c>
      <c r="D215" s="115">
        <v>1975</v>
      </c>
      <c r="E215" s="115">
        <v>5</v>
      </c>
      <c r="F215" s="117">
        <v>50.4</v>
      </c>
      <c r="G215" s="115">
        <v>2025</v>
      </c>
      <c r="H215" s="115">
        <v>5</v>
      </c>
      <c r="I215" s="117">
        <v>436.58100000000002</v>
      </c>
      <c r="J215" s="112">
        <v>4.412546036109033</v>
      </c>
    </row>
    <row r="216" spans="1:10">
      <c r="A216" s="111" t="s">
        <v>498</v>
      </c>
      <c r="B216" s="111" t="s">
        <v>518</v>
      </c>
      <c r="C216" s="111" t="s">
        <v>466</v>
      </c>
      <c r="D216" s="115">
        <v>1976</v>
      </c>
      <c r="E216" s="115">
        <v>5</v>
      </c>
      <c r="F216" s="117">
        <v>55</v>
      </c>
      <c r="G216" s="115">
        <v>2025</v>
      </c>
      <c r="H216" s="115">
        <v>5</v>
      </c>
      <c r="I216" s="117">
        <v>436.58100000000002</v>
      </c>
      <c r="J216" s="112">
        <v>4.3184842680659141</v>
      </c>
    </row>
    <row r="217" spans="1:10">
      <c r="A217" s="111" t="s">
        <v>498</v>
      </c>
      <c r="B217" s="111" t="s">
        <v>518</v>
      </c>
      <c r="C217" s="111" t="s">
        <v>466</v>
      </c>
      <c r="D217" s="115">
        <v>1977</v>
      </c>
      <c r="E217" s="115">
        <v>5</v>
      </c>
      <c r="F217" s="117">
        <v>59.5</v>
      </c>
      <c r="G217" s="115">
        <v>2025</v>
      </c>
      <c r="H217" s="115">
        <v>5</v>
      </c>
      <c r="I217" s="117">
        <v>436.58100000000002</v>
      </c>
      <c r="J217" s="112">
        <v>4.2394826337435854</v>
      </c>
    </row>
    <row r="218" spans="1:10">
      <c r="A218" s="111" t="s">
        <v>498</v>
      </c>
      <c r="B218" s="111" t="s">
        <v>518</v>
      </c>
      <c r="C218" s="111" t="s">
        <v>466</v>
      </c>
      <c r="D218" s="115">
        <v>1978</v>
      </c>
      <c r="E218" s="115">
        <v>5</v>
      </c>
      <c r="F218" s="117">
        <v>63.9</v>
      </c>
      <c r="G218" s="115">
        <v>2025</v>
      </c>
      <c r="H218" s="115">
        <v>5</v>
      </c>
      <c r="I218" s="117">
        <v>436.58100000000002</v>
      </c>
      <c r="J218" s="112">
        <v>4.1733619643604669</v>
      </c>
    </row>
    <row r="219" spans="1:10">
      <c r="A219" s="111" t="s">
        <v>498</v>
      </c>
      <c r="B219" s="111" t="s">
        <v>518</v>
      </c>
      <c r="C219" s="111" t="s">
        <v>466</v>
      </c>
      <c r="D219" s="115">
        <v>1979</v>
      </c>
      <c r="E219" s="115">
        <v>5</v>
      </c>
      <c r="F219" s="117">
        <v>69.3</v>
      </c>
      <c r="G219" s="115">
        <v>2025</v>
      </c>
      <c r="H219" s="115">
        <v>5</v>
      </c>
      <c r="I219" s="117">
        <v>436.58100000000002</v>
      </c>
      <c r="J219" s="112">
        <v>4.0822744012275258</v>
      </c>
    </row>
    <row r="220" spans="1:10">
      <c r="A220" s="111" t="s">
        <v>498</v>
      </c>
      <c r="B220" s="111" t="s">
        <v>518</v>
      </c>
      <c r="C220" s="111" t="s">
        <v>466</v>
      </c>
      <c r="D220" s="115">
        <v>1980</v>
      </c>
      <c r="E220" s="115">
        <v>5</v>
      </c>
      <c r="F220" s="117">
        <v>77.400000000000006</v>
      </c>
      <c r="G220" s="115">
        <v>2025</v>
      </c>
      <c r="H220" s="115">
        <v>5</v>
      </c>
      <c r="I220" s="117">
        <v>436.58100000000002</v>
      </c>
      <c r="J220" s="112">
        <v>3.9192696935369979</v>
      </c>
    </row>
    <row r="221" spans="1:10">
      <c r="A221" s="111" t="s">
        <v>498</v>
      </c>
      <c r="B221" s="111" t="s">
        <v>518</v>
      </c>
      <c r="C221" s="111" t="s">
        <v>466</v>
      </c>
      <c r="D221" s="115">
        <v>1981</v>
      </c>
      <c r="E221" s="115">
        <v>5</v>
      </c>
      <c r="F221" s="117">
        <v>84.6</v>
      </c>
      <c r="G221" s="115">
        <v>2025</v>
      </c>
      <c r="H221" s="115">
        <v>5</v>
      </c>
      <c r="I221" s="117">
        <v>436.58100000000002</v>
      </c>
      <c r="J221" s="112">
        <v>3.8000592833574038</v>
      </c>
    </row>
    <row r="222" spans="1:10">
      <c r="A222" s="111" t="s">
        <v>498</v>
      </c>
      <c r="B222" s="111" t="s">
        <v>518</v>
      </c>
      <c r="C222" s="111" t="s">
        <v>466</v>
      </c>
      <c r="D222" s="115">
        <v>1982</v>
      </c>
      <c r="E222" s="115">
        <v>5</v>
      </c>
      <c r="F222" s="117">
        <v>92.5</v>
      </c>
      <c r="G222" s="115">
        <v>2025</v>
      </c>
      <c r="H222" s="115">
        <v>5</v>
      </c>
      <c r="I222" s="117">
        <v>436.58100000000002</v>
      </c>
      <c r="J222" s="112">
        <v>3.6746624886337509</v>
      </c>
    </row>
    <row r="223" spans="1:10">
      <c r="A223" s="111" t="s">
        <v>498</v>
      </c>
      <c r="B223" s="111" t="s">
        <v>518</v>
      </c>
      <c r="C223" s="111" t="s">
        <v>466</v>
      </c>
      <c r="D223" s="115">
        <v>1983</v>
      </c>
      <c r="E223" s="115">
        <v>5</v>
      </c>
      <c r="F223" s="117">
        <v>98.8</v>
      </c>
      <c r="G223" s="115">
        <v>2025</v>
      </c>
      <c r="H223" s="115">
        <v>5</v>
      </c>
      <c r="I223" s="117">
        <v>436.58100000000002</v>
      </c>
      <c r="J223" s="112">
        <v>3.601125494694601</v>
      </c>
    </row>
    <row r="224" spans="1:10">
      <c r="A224" s="111" t="s">
        <v>498</v>
      </c>
      <c r="B224" s="111" t="s">
        <v>518</v>
      </c>
      <c r="C224" s="111" t="s">
        <v>466</v>
      </c>
      <c r="D224" s="115">
        <v>1984</v>
      </c>
      <c r="E224" s="115">
        <v>5</v>
      </c>
      <c r="F224" s="117">
        <v>106.3</v>
      </c>
      <c r="G224" s="115">
        <v>2025</v>
      </c>
      <c r="H224" s="115">
        <v>5</v>
      </c>
      <c r="I224" s="117">
        <v>436.58100000000002</v>
      </c>
      <c r="J224" s="112">
        <v>3.5056803982318701</v>
      </c>
    </row>
    <row r="225" spans="1:10">
      <c r="A225" s="111" t="s">
        <v>498</v>
      </c>
      <c r="B225" s="111" t="s">
        <v>518</v>
      </c>
      <c r="C225" s="111" t="s">
        <v>466</v>
      </c>
      <c r="D225" s="115">
        <v>1985</v>
      </c>
      <c r="E225" s="115">
        <v>5</v>
      </c>
      <c r="F225" s="117">
        <v>112.7</v>
      </c>
      <c r="G225" s="115">
        <v>2025</v>
      </c>
      <c r="H225" s="115">
        <v>5</v>
      </c>
      <c r="I225" s="117">
        <v>436.58100000000002</v>
      </c>
      <c r="J225" s="112">
        <v>3.4435753749011639</v>
      </c>
    </row>
    <row r="226" spans="1:10">
      <c r="A226" s="111" t="s">
        <v>498</v>
      </c>
      <c r="B226" s="111" t="s">
        <v>518</v>
      </c>
      <c r="C226" s="111" t="s">
        <v>466</v>
      </c>
      <c r="D226" s="115">
        <v>1986</v>
      </c>
      <c r="E226" s="115">
        <v>5</v>
      </c>
      <c r="F226" s="117">
        <v>120</v>
      </c>
      <c r="G226" s="115">
        <v>2025</v>
      </c>
      <c r="H226" s="115">
        <v>5</v>
      </c>
      <c r="I226" s="117">
        <v>436.58100000000002</v>
      </c>
      <c r="J226" s="112">
        <v>3.3669329706447648</v>
      </c>
    </row>
    <row r="227" spans="1:10">
      <c r="A227" s="111" t="s">
        <v>498</v>
      </c>
      <c r="B227" s="111" t="s">
        <v>518</v>
      </c>
      <c r="C227" s="111" t="s">
        <v>466</v>
      </c>
      <c r="D227" s="115">
        <v>1987</v>
      </c>
      <c r="E227" s="115">
        <v>5</v>
      </c>
      <c r="F227" s="117">
        <v>127.9</v>
      </c>
      <c r="G227" s="115">
        <v>2025</v>
      </c>
      <c r="H227" s="115">
        <v>5</v>
      </c>
      <c r="I227" s="117">
        <v>436.58100000000002</v>
      </c>
      <c r="J227" s="112">
        <v>3.2836146338029781</v>
      </c>
    </row>
    <row r="228" spans="1:10">
      <c r="A228" s="111" t="s">
        <v>498</v>
      </c>
      <c r="B228" s="111" t="s">
        <v>518</v>
      </c>
      <c r="C228" s="111" t="s">
        <v>466</v>
      </c>
      <c r="D228" s="115">
        <v>1988</v>
      </c>
      <c r="E228" s="115">
        <v>5</v>
      </c>
      <c r="F228" s="117">
        <v>136.4</v>
      </c>
      <c r="G228" s="115">
        <v>2025</v>
      </c>
      <c r="H228" s="115">
        <v>5</v>
      </c>
      <c r="I228" s="117">
        <v>436.58100000000002</v>
      </c>
      <c r="J228" s="112">
        <v>3.1942307191589858</v>
      </c>
    </row>
    <row r="229" spans="1:10">
      <c r="A229" s="111" t="s">
        <v>498</v>
      </c>
      <c r="B229" s="111" t="s">
        <v>518</v>
      </c>
      <c r="C229" s="111" t="s">
        <v>466</v>
      </c>
      <c r="D229" s="115">
        <v>1989</v>
      </c>
      <c r="E229" s="115">
        <v>5</v>
      </c>
      <c r="F229" s="117">
        <v>145.19999999999999</v>
      </c>
      <c r="G229" s="115">
        <v>2025</v>
      </c>
      <c r="H229" s="115">
        <v>5</v>
      </c>
      <c r="I229" s="117">
        <v>436.58100000000002</v>
      </c>
      <c r="J229" s="112">
        <v>3.1051850334726572</v>
      </c>
    </row>
    <row r="230" spans="1:10">
      <c r="A230" s="111" t="s">
        <v>498</v>
      </c>
      <c r="B230" s="111" t="s">
        <v>518</v>
      </c>
      <c r="C230" s="111" t="s">
        <v>466</v>
      </c>
      <c r="D230" s="115">
        <v>1990</v>
      </c>
      <c r="E230" s="115">
        <v>5</v>
      </c>
      <c r="F230" s="117">
        <v>155.1</v>
      </c>
      <c r="G230" s="115">
        <v>2025</v>
      </c>
      <c r="H230" s="115">
        <v>5</v>
      </c>
      <c r="I230" s="117">
        <v>436.58100000000002</v>
      </c>
      <c r="J230" s="112">
        <v>3.001017575686848</v>
      </c>
    </row>
    <row r="231" spans="1:10">
      <c r="A231" s="111" t="s">
        <v>498</v>
      </c>
      <c r="B231" s="111" t="s">
        <v>518</v>
      </c>
      <c r="C231" s="111" t="s">
        <v>466</v>
      </c>
      <c r="D231" s="115">
        <v>1991</v>
      </c>
      <c r="E231" s="115">
        <v>5</v>
      </c>
      <c r="F231" s="117">
        <v>164.4</v>
      </c>
      <c r="G231" s="115">
        <v>2025</v>
      </c>
      <c r="H231" s="115">
        <v>5</v>
      </c>
      <c r="I231" s="117">
        <v>436.58100000000002</v>
      </c>
      <c r="J231" s="112">
        <v>2.9142190672186259</v>
      </c>
    </row>
    <row r="232" spans="1:10">
      <c r="A232" s="111" t="s">
        <v>498</v>
      </c>
      <c r="B232" s="111" t="s">
        <v>518</v>
      </c>
      <c r="C232" s="111" t="s">
        <v>466</v>
      </c>
      <c r="D232" s="115">
        <v>1992</v>
      </c>
      <c r="E232" s="115">
        <v>5</v>
      </c>
      <c r="F232" s="117">
        <v>174.7</v>
      </c>
      <c r="G232" s="115">
        <v>2025</v>
      </c>
      <c r="H232" s="115">
        <v>5</v>
      </c>
      <c r="I232" s="117">
        <v>436.58100000000002</v>
      </c>
      <c r="J232" s="112">
        <v>2.8143406526866639</v>
      </c>
    </row>
    <row r="233" spans="1:10">
      <c r="A233" s="111" t="s">
        <v>498</v>
      </c>
      <c r="B233" s="111" t="s">
        <v>518</v>
      </c>
      <c r="C233" s="111" t="s">
        <v>466</v>
      </c>
      <c r="D233" s="115">
        <v>1993</v>
      </c>
      <c r="E233" s="115">
        <v>5</v>
      </c>
      <c r="F233" s="117">
        <v>184.4</v>
      </c>
      <c r="G233" s="115">
        <v>2025</v>
      </c>
      <c r="H233" s="115">
        <v>5</v>
      </c>
      <c r="I233" s="117">
        <v>436.58100000000002</v>
      </c>
      <c r="J233" s="112">
        <v>2.7299312167324401</v>
      </c>
    </row>
    <row r="234" spans="1:10">
      <c r="A234" s="111" t="s">
        <v>498</v>
      </c>
      <c r="B234" s="111" t="s">
        <v>518</v>
      </c>
      <c r="C234" s="111" t="s">
        <v>466</v>
      </c>
      <c r="D234" s="115">
        <v>1994</v>
      </c>
      <c r="E234" s="115">
        <v>5</v>
      </c>
      <c r="F234" s="117">
        <v>191.7</v>
      </c>
      <c r="G234" s="115">
        <v>2025</v>
      </c>
      <c r="H234" s="115">
        <v>5</v>
      </c>
      <c r="I234" s="117">
        <v>436.58100000000002</v>
      </c>
      <c r="J234" s="112">
        <v>2.6905335360178029</v>
      </c>
    </row>
    <row r="235" spans="1:10">
      <c r="A235" s="111" t="s">
        <v>498</v>
      </c>
      <c r="B235" s="111" t="s">
        <v>518</v>
      </c>
      <c r="C235" s="111" t="s">
        <v>466</v>
      </c>
      <c r="D235" s="115">
        <v>1995</v>
      </c>
      <c r="E235" s="115">
        <v>5</v>
      </c>
      <c r="F235" s="117">
        <v>200.2</v>
      </c>
      <c r="G235" s="115">
        <v>2025</v>
      </c>
      <c r="H235" s="115">
        <v>5</v>
      </c>
      <c r="I235" s="117">
        <v>436.58100000000002</v>
      </c>
      <c r="J235" s="112">
        <v>2.6329216033200038</v>
      </c>
    </row>
    <row r="236" spans="1:10">
      <c r="A236" s="111" t="s">
        <v>498</v>
      </c>
      <c r="B236" s="111" t="s">
        <v>518</v>
      </c>
      <c r="C236" s="111" t="s">
        <v>466</v>
      </c>
      <c r="D236" s="115">
        <v>1996</v>
      </c>
      <c r="E236" s="115">
        <v>5</v>
      </c>
      <c r="F236" s="117">
        <v>207.7</v>
      </c>
      <c r="G236" s="115">
        <v>2025</v>
      </c>
      <c r="H236" s="115">
        <v>5</v>
      </c>
      <c r="I236" s="117">
        <v>436.58100000000002</v>
      </c>
      <c r="J236" s="112">
        <v>2.5947446741984459</v>
      </c>
    </row>
    <row r="237" spans="1:10">
      <c r="A237" s="111" t="s">
        <v>498</v>
      </c>
      <c r="B237" s="111" t="s">
        <v>518</v>
      </c>
      <c r="C237" s="111" t="s">
        <v>466</v>
      </c>
      <c r="D237" s="115">
        <v>1997</v>
      </c>
      <c r="E237" s="115">
        <v>5</v>
      </c>
      <c r="F237" s="117">
        <v>215.2</v>
      </c>
      <c r="G237" s="115">
        <v>2025</v>
      </c>
      <c r="H237" s="115">
        <v>5</v>
      </c>
      <c r="I237" s="117">
        <v>436.58100000000002</v>
      </c>
      <c r="J237" s="112">
        <v>2.558635578774004</v>
      </c>
    </row>
    <row r="238" spans="1:10">
      <c r="A238" s="111" t="s">
        <v>498</v>
      </c>
      <c r="B238" s="111" t="s">
        <v>518</v>
      </c>
      <c r="C238" s="111" t="s">
        <v>466</v>
      </c>
      <c r="D238" s="115">
        <v>1998</v>
      </c>
      <c r="E238" s="115">
        <v>5</v>
      </c>
      <c r="F238" s="117">
        <v>221.7</v>
      </c>
      <c r="G238" s="115">
        <v>2025</v>
      </c>
      <c r="H238" s="115">
        <v>5</v>
      </c>
      <c r="I238" s="117">
        <v>436.58100000000002</v>
      </c>
      <c r="J238" s="112">
        <v>2.5415712990369381</v>
      </c>
    </row>
    <row r="239" spans="1:10">
      <c r="A239" s="111" t="s">
        <v>498</v>
      </c>
      <c r="B239" s="111" t="s">
        <v>518</v>
      </c>
      <c r="C239" s="111" t="s">
        <v>466</v>
      </c>
      <c r="D239" s="115">
        <v>1999</v>
      </c>
      <c r="E239" s="115">
        <v>5</v>
      </c>
      <c r="F239" s="117">
        <v>228.6</v>
      </c>
      <c r="G239" s="115">
        <v>2025</v>
      </c>
      <c r="H239" s="115">
        <v>5</v>
      </c>
      <c r="I239" s="117">
        <v>436.58100000000002</v>
      </c>
      <c r="J239" s="112">
        <v>2.5196828608307742</v>
      </c>
    </row>
    <row r="240" spans="1:10">
      <c r="A240" s="111" t="s">
        <v>498</v>
      </c>
      <c r="B240" s="111" t="s">
        <v>518</v>
      </c>
      <c r="C240" s="111" t="s">
        <v>466</v>
      </c>
      <c r="D240" s="115">
        <v>2000</v>
      </c>
      <c r="E240" s="115">
        <v>5</v>
      </c>
      <c r="F240" s="117">
        <v>237.1</v>
      </c>
      <c r="G240" s="115">
        <v>2025</v>
      </c>
      <c r="H240" s="115">
        <v>5</v>
      </c>
      <c r="I240" s="117">
        <v>436.58100000000002</v>
      </c>
      <c r="J240" s="112">
        <v>2.472027948153932</v>
      </c>
    </row>
    <row r="241" spans="1:10">
      <c r="A241" s="111" t="s">
        <v>498</v>
      </c>
      <c r="B241" s="111" t="s">
        <v>518</v>
      </c>
      <c r="C241" s="111" t="s">
        <v>466</v>
      </c>
      <c r="D241" s="115">
        <v>2001</v>
      </c>
      <c r="E241" s="115">
        <v>5</v>
      </c>
      <c r="F241" s="117">
        <v>245.8</v>
      </c>
      <c r="G241" s="115">
        <v>2025</v>
      </c>
      <c r="H241" s="115">
        <v>5</v>
      </c>
      <c r="I241" s="117">
        <v>436.58100000000002</v>
      </c>
      <c r="J241" s="112">
        <v>2.4224412389453942</v>
      </c>
    </row>
    <row r="242" spans="1:10">
      <c r="A242" s="111" t="s">
        <v>498</v>
      </c>
      <c r="B242" s="111" t="s">
        <v>518</v>
      </c>
      <c r="C242" s="111" t="s">
        <v>466</v>
      </c>
      <c r="D242" s="115">
        <v>2002</v>
      </c>
      <c r="E242" s="115">
        <v>5</v>
      </c>
      <c r="F242" s="117">
        <v>252.9</v>
      </c>
      <c r="G242" s="115">
        <v>2025</v>
      </c>
      <c r="H242" s="115">
        <v>5</v>
      </c>
      <c r="I242" s="117">
        <v>436.58100000000002</v>
      </c>
      <c r="J242" s="112">
        <v>2.4022245938210012</v>
      </c>
    </row>
    <row r="243" spans="1:10">
      <c r="A243" s="111" t="s">
        <v>498</v>
      </c>
      <c r="B243" s="111" t="s">
        <v>518</v>
      </c>
      <c r="C243" s="111" t="s">
        <v>466</v>
      </c>
      <c r="D243" s="115">
        <v>2003</v>
      </c>
      <c r="E243" s="115">
        <v>5</v>
      </c>
      <c r="F243" s="117">
        <v>261.10000000000002</v>
      </c>
      <c r="G243" s="115">
        <v>2025</v>
      </c>
      <c r="H243" s="115">
        <v>5</v>
      </c>
      <c r="I243" s="117">
        <v>436.58100000000002</v>
      </c>
      <c r="J243" s="112">
        <v>2.3641982079090962</v>
      </c>
    </row>
    <row r="244" spans="1:10">
      <c r="A244" s="111" t="s">
        <v>498</v>
      </c>
      <c r="B244" s="111" t="s">
        <v>518</v>
      </c>
      <c r="C244" s="111" t="s">
        <v>466</v>
      </c>
      <c r="D244" s="115">
        <v>2004</v>
      </c>
      <c r="E244" s="115">
        <v>5</v>
      </c>
      <c r="F244" s="117">
        <v>270.89999999999998</v>
      </c>
      <c r="G244" s="115">
        <v>2025</v>
      </c>
      <c r="H244" s="115">
        <v>5</v>
      </c>
      <c r="I244" s="117">
        <v>436.58100000000002</v>
      </c>
      <c r="J244" s="112">
        <v>2.2985139796767968</v>
      </c>
    </row>
    <row r="245" spans="1:10">
      <c r="A245" s="111" t="s">
        <v>498</v>
      </c>
      <c r="B245" s="111" t="s">
        <v>518</v>
      </c>
      <c r="C245" s="111" t="s">
        <v>466</v>
      </c>
      <c r="D245" s="115">
        <v>2005</v>
      </c>
      <c r="E245" s="115">
        <v>5</v>
      </c>
      <c r="F245" s="117">
        <v>281.60000000000002</v>
      </c>
      <c r="G245" s="115">
        <v>2025</v>
      </c>
      <c r="H245" s="115">
        <v>5</v>
      </c>
      <c r="I245" s="117">
        <v>436.58100000000002</v>
      </c>
      <c r="J245" s="112">
        <v>2.2166418917763719</v>
      </c>
    </row>
    <row r="246" spans="1:10">
      <c r="A246" s="111" t="s">
        <v>498</v>
      </c>
      <c r="B246" s="111" t="s">
        <v>518</v>
      </c>
      <c r="C246" s="111" t="s">
        <v>466</v>
      </c>
      <c r="D246" s="115">
        <v>2006</v>
      </c>
      <c r="E246" s="115">
        <v>5</v>
      </c>
      <c r="F246" s="117">
        <v>289</v>
      </c>
      <c r="G246" s="115">
        <v>2025</v>
      </c>
      <c r="H246" s="115">
        <v>5</v>
      </c>
      <c r="I246" s="117">
        <v>436.58100000000002</v>
      </c>
      <c r="J246" s="112">
        <v>2.19504553463159</v>
      </c>
    </row>
    <row r="247" spans="1:10">
      <c r="A247" s="111" t="s">
        <v>498</v>
      </c>
      <c r="B247" s="111" t="s">
        <v>518</v>
      </c>
      <c r="C247" s="111" t="s">
        <v>466</v>
      </c>
      <c r="D247" s="115">
        <v>2007</v>
      </c>
      <c r="E247" s="115">
        <v>5</v>
      </c>
      <c r="F247" s="117">
        <v>299.7</v>
      </c>
      <c r="G247" s="115">
        <v>2025</v>
      </c>
      <c r="H247" s="115">
        <v>5</v>
      </c>
      <c r="I247" s="117">
        <v>436.58100000000002</v>
      </c>
      <c r="J247" s="112">
        <v>2.1119477913536411</v>
      </c>
    </row>
    <row r="248" spans="1:10">
      <c r="A248" s="111" t="s">
        <v>498</v>
      </c>
      <c r="B248" s="111" t="s">
        <v>518</v>
      </c>
      <c r="C248" s="111" t="s">
        <v>466</v>
      </c>
      <c r="D248" s="115">
        <v>2008</v>
      </c>
      <c r="E248" s="115">
        <v>5</v>
      </c>
      <c r="F248" s="117">
        <v>310.91699999999997</v>
      </c>
      <c r="G248" s="115">
        <v>2025</v>
      </c>
      <c r="H248" s="115">
        <v>5</v>
      </c>
      <c r="I248" s="117">
        <v>436.58100000000002</v>
      </c>
      <c r="J248" s="112">
        <v>2.0168209798842258</v>
      </c>
    </row>
    <row r="249" spans="1:10">
      <c r="A249" s="111" t="s">
        <v>498</v>
      </c>
      <c r="B249" s="111" t="s">
        <v>518</v>
      </c>
      <c r="C249" s="111" t="s">
        <v>466</v>
      </c>
      <c r="D249" s="115">
        <v>2009</v>
      </c>
      <c r="E249" s="115">
        <v>5</v>
      </c>
      <c r="F249" s="117">
        <v>319.33300000000003</v>
      </c>
      <c r="G249" s="115">
        <v>2025</v>
      </c>
      <c r="H249" s="115">
        <v>5</v>
      </c>
      <c r="I249" s="117">
        <v>436.58100000000002</v>
      </c>
      <c r="J249" s="112">
        <v>1.9738495510860381</v>
      </c>
    </row>
    <row r="250" spans="1:10">
      <c r="A250" s="111" t="s">
        <v>498</v>
      </c>
      <c r="B250" s="111" t="s">
        <v>518</v>
      </c>
      <c r="C250" s="111" t="s">
        <v>466</v>
      </c>
      <c r="D250" s="115">
        <v>2010</v>
      </c>
      <c r="E250" s="115">
        <v>5</v>
      </c>
      <c r="F250" s="117">
        <v>327.12099999999998</v>
      </c>
      <c r="G250" s="115">
        <v>2025</v>
      </c>
      <c r="H250" s="115">
        <v>5</v>
      </c>
      <c r="I250" s="117">
        <v>436.58100000000002</v>
      </c>
      <c r="J250" s="112">
        <v>1.9429257756013121</v>
      </c>
    </row>
    <row r="251" spans="1:10">
      <c r="A251" s="111" t="s">
        <v>498</v>
      </c>
      <c r="B251" s="111" t="s">
        <v>518</v>
      </c>
      <c r="C251" s="111" t="s">
        <v>466</v>
      </c>
      <c r="D251" s="115">
        <v>2011</v>
      </c>
      <c r="E251" s="115">
        <v>5</v>
      </c>
      <c r="F251" s="117">
        <v>335.13200000000001</v>
      </c>
      <c r="G251" s="115">
        <v>2025</v>
      </c>
      <c r="H251" s="115">
        <v>5</v>
      </c>
      <c r="I251" s="117">
        <v>436.58100000000002</v>
      </c>
      <c r="J251" s="112">
        <v>1.9068776205953599</v>
      </c>
    </row>
    <row r="252" spans="1:10">
      <c r="A252" s="111" t="s">
        <v>498</v>
      </c>
      <c r="B252" s="111" t="s">
        <v>518</v>
      </c>
      <c r="C252" s="111" t="s">
        <v>466</v>
      </c>
      <c r="D252" s="115">
        <v>2012</v>
      </c>
      <c r="E252" s="115">
        <v>5</v>
      </c>
      <c r="F252" s="117">
        <v>341.02300000000002</v>
      </c>
      <c r="G252" s="115">
        <v>2025</v>
      </c>
      <c r="H252" s="115">
        <v>5</v>
      </c>
      <c r="I252" s="117">
        <v>436.58100000000002</v>
      </c>
      <c r="J252" s="112">
        <v>1.918353029386566</v>
      </c>
    </row>
    <row r="253" spans="1:10">
      <c r="A253" s="111" t="s">
        <v>498</v>
      </c>
      <c r="B253" s="111" t="s">
        <v>518</v>
      </c>
      <c r="C253" s="111" t="s">
        <v>466</v>
      </c>
      <c r="D253" s="115">
        <v>2013</v>
      </c>
      <c r="E253" s="115">
        <v>5</v>
      </c>
      <c r="F253" s="117">
        <v>348.78</v>
      </c>
      <c r="G253" s="115">
        <v>2025</v>
      </c>
      <c r="H253" s="115">
        <v>5</v>
      </c>
      <c r="I253" s="117">
        <v>436.58100000000002</v>
      </c>
      <c r="J253" s="112">
        <v>1.888719642647452</v>
      </c>
    </row>
    <row r="254" spans="1:10">
      <c r="A254" s="111" t="s">
        <v>498</v>
      </c>
      <c r="B254" s="111" t="s">
        <v>518</v>
      </c>
      <c r="C254" s="111" t="s">
        <v>466</v>
      </c>
      <c r="D254" s="115">
        <v>2014</v>
      </c>
      <c r="E254" s="115">
        <v>5</v>
      </c>
      <c r="F254" s="117">
        <v>355.40800000000002</v>
      </c>
      <c r="G254" s="115">
        <v>2025</v>
      </c>
      <c r="H254" s="115">
        <v>5</v>
      </c>
      <c r="I254" s="117">
        <v>436.58100000000002</v>
      </c>
      <c r="J254" s="112">
        <v>1.887663464749112</v>
      </c>
    </row>
    <row r="255" spans="1:10">
      <c r="A255" s="111" t="s">
        <v>498</v>
      </c>
      <c r="B255" s="111" t="s">
        <v>518</v>
      </c>
      <c r="C255" s="111" t="s">
        <v>466</v>
      </c>
      <c r="D255" s="115">
        <v>2015</v>
      </c>
      <c r="E255" s="115">
        <v>5</v>
      </c>
      <c r="F255" s="117">
        <v>361.01</v>
      </c>
      <c r="G255" s="115">
        <v>2025</v>
      </c>
      <c r="H255" s="115">
        <v>5</v>
      </c>
      <c r="I255" s="117">
        <v>436.58100000000002</v>
      </c>
      <c r="J255" s="112">
        <v>1.9188606216592681</v>
      </c>
    </row>
    <row r="256" spans="1:10">
      <c r="A256" s="111" t="s">
        <v>498</v>
      </c>
      <c r="B256" s="111" t="s">
        <v>518</v>
      </c>
      <c r="C256" s="111" t="s">
        <v>466</v>
      </c>
      <c r="D256" s="115">
        <v>2016</v>
      </c>
      <c r="E256" s="115">
        <v>5</v>
      </c>
      <c r="F256" s="117">
        <v>371.14499999999998</v>
      </c>
      <c r="G256" s="115">
        <v>2025</v>
      </c>
      <c r="H256" s="115">
        <v>5</v>
      </c>
      <c r="I256" s="117">
        <v>436.58100000000002</v>
      </c>
      <c r="J256" s="112">
        <v>1.8206091215202891</v>
      </c>
    </row>
    <row r="257" spans="1:10">
      <c r="A257" s="111" t="s">
        <v>498</v>
      </c>
      <c r="B257" s="111" t="s">
        <v>518</v>
      </c>
      <c r="C257" s="111" t="s">
        <v>466</v>
      </c>
      <c r="D257" s="115">
        <v>2017</v>
      </c>
      <c r="E257" s="115">
        <v>5</v>
      </c>
      <c r="F257" s="117">
        <v>374.84899999999999</v>
      </c>
      <c r="G257" s="115">
        <v>2025</v>
      </c>
      <c r="H257" s="115">
        <v>5</v>
      </c>
      <c r="I257" s="117">
        <v>436.58100000000002</v>
      </c>
      <c r="J257" s="112">
        <v>1.9239061611024291</v>
      </c>
    </row>
    <row r="258" spans="1:10">
      <c r="A258" s="111" t="s">
        <v>498</v>
      </c>
      <c r="B258" s="111" t="s">
        <v>518</v>
      </c>
      <c r="C258" s="111" t="s">
        <v>466</v>
      </c>
      <c r="D258" s="115">
        <v>2018</v>
      </c>
      <c r="E258" s="115">
        <v>5</v>
      </c>
      <c r="F258" s="117">
        <v>379.14499999999998</v>
      </c>
      <c r="G258" s="115">
        <v>2025</v>
      </c>
      <c r="H258" s="115">
        <v>5</v>
      </c>
      <c r="I258" s="117">
        <v>436.58100000000002</v>
      </c>
      <c r="J258" s="112">
        <v>2.0355140763161028</v>
      </c>
    </row>
    <row r="259" spans="1:10">
      <c r="A259" s="111" t="s">
        <v>498</v>
      </c>
      <c r="B259" s="111" t="s">
        <v>518</v>
      </c>
      <c r="C259" s="111" t="s">
        <v>466</v>
      </c>
      <c r="D259" s="115">
        <v>2019</v>
      </c>
      <c r="E259" s="115">
        <v>5</v>
      </c>
      <c r="F259" s="117">
        <v>381.65100000000001</v>
      </c>
      <c r="G259" s="115">
        <v>2025</v>
      </c>
      <c r="H259" s="115">
        <v>5</v>
      </c>
      <c r="I259" s="117">
        <v>436.58100000000002</v>
      </c>
      <c r="J259" s="112">
        <v>2.2664242542234758</v>
      </c>
    </row>
    <row r="260" spans="1:10">
      <c r="A260" s="111" t="s">
        <v>498</v>
      </c>
      <c r="B260" s="111" t="s">
        <v>518</v>
      </c>
      <c r="C260" s="111" t="s">
        <v>466</v>
      </c>
      <c r="D260" s="115">
        <v>2020</v>
      </c>
      <c r="E260" s="115">
        <v>5</v>
      </c>
      <c r="F260" s="117">
        <v>389.87200000000001</v>
      </c>
      <c r="G260" s="115">
        <v>2025</v>
      </c>
      <c r="H260" s="115">
        <v>5</v>
      </c>
      <c r="I260" s="117">
        <v>436.58100000000002</v>
      </c>
      <c r="J260" s="112">
        <v>2.2889114876981642</v>
      </c>
    </row>
    <row r="261" spans="1:10">
      <c r="A261" s="111" t="s">
        <v>498</v>
      </c>
      <c r="B261" s="111" t="s">
        <v>518</v>
      </c>
      <c r="C261" s="111" t="s">
        <v>466</v>
      </c>
      <c r="D261" s="115">
        <v>2021</v>
      </c>
      <c r="E261" s="115">
        <v>5</v>
      </c>
      <c r="F261" s="117">
        <v>401.14699999999999</v>
      </c>
      <c r="G261" s="115">
        <v>2025</v>
      </c>
      <c r="H261" s="115">
        <v>5</v>
      </c>
      <c r="I261" s="117">
        <v>436.58100000000002</v>
      </c>
      <c r="J261" s="112">
        <v>2.1386987568569489</v>
      </c>
    </row>
    <row r="262" spans="1:10">
      <c r="A262" s="111" t="s">
        <v>498</v>
      </c>
      <c r="B262" s="111" t="s">
        <v>518</v>
      </c>
      <c r="C262" s="111" t="s">
        <v>466</v>
      </c>
      <c r="D262" s="115">
        <v>2022</v>
      </c>
      <c r="E262" s="115">
        <v>5</v>
      </c>
      <c r="F262" s="117">
        <v>408.87299999999999</v>
      </c>
      <c r="G262" s="115">
        <v>2025</v>
      </c>
      <c r="H262" s="115">
        <v>5</v>
      </c>
      <c r="I262" s="117">
        <v>436.58100000000002</v>
      </c>
      <c r="J262" s="112">
        <v>2.2097045331140648</v>
      </c>
    </row>
    <row r="263" spans="1:10">
      <c r="A263" s="111" t="s">
        <v>498</v>
      </c>
      <c r="B263" s="111" t="s">
        <v>518</v>
      </c>
      <c r="C263" s="111" t="s">
        <v>466</v>
      </c>
      <c r="D263" s="115">
        <v>2023</v>
      </c>
      <c r="E263" s="115">
        <v>5</v>
      </c>
      <c r="F263" s="117">
        <v>416.99799999999999</v>
      </c>
      <c r="G263" s="115">
        <v>2025</v>
      </c>
      <c r="H263" s="115">
        <v>5</v>
      </c>
      <c r="I263" s="117">
        <v>436.58100000000002</v>
      </c>
      <c r="J263" s="112">
        <v>2.3211540167605178</v>
      </c>
    </row>
    <row r="264" spans="1:10">
      <c r="A264" s="111" t="s">
        <v>498</v>
      </c>
      <c r="B264" s="111" t="s">
        <v>518</v>
      </c>
      <c r="C264" s="111" t="s">
        <v>466</v>
      </c>
      <c r="D264" s="115">
        <v>2024</v>
      </c>
      <c r="E264" s="115">
        <v>5</v>
      </c>
      <c r="F264" s="117">
        <v>426.24400000000003</v>
      </c>
      <c r="G264" s="115">
        <v>2025</v>
      </c>
      <c r="H264" s="115">
        <v>5</v>
      </c>
      <c r="I264" s="117">
        <v>436.58100000000002</v>
      </c>
      <c r="J264" s="112">
        <v>2.4251367761188409</v>
      </c>
    </row>
    <row r="265" spans="1:10">
      <c r="A265" s="111" t="s">
        <v>500</v>
      </c>
      <c r="B265" s="111" t="s">
        <v>519</v>
      </c>
      <c r="C265" s="111" t="s">
        <v>466</v>
      </c>
      <c r="D265" s="115">
        <v>1987</v>
      </c>
      <c r="E265" s="115">
        <v>5</v>
      </c>
      <c r="F265" s="117">
        <v>101.9</v>
      </c>
      <c r="G265" s="115">
        <v>2025</v>
      </c>
      <c r="H265" s="115">
        <v>5</v>
      </c>
      <c r="I265" s="117">
        <v>265.738</v>
      </c>
      <c r="J265" s="112">
        <v>2.5545003613894668</v>
      </c>
    </row>
    <row r="266" spans="1:10">
      <c r="A266" s="111" t="s">
        <v>500</v>
      </c>
      <c r="B266" s="111" t="s">
        <v>519</v>
      </c>
      <c r="C266" s="111" t="s">
        <v>466</v>
      </c>
      <c r="D266" s="115">
        <v>1988</v>
      </c>
      <c r="E266" s="115">
        <v>5</v>
      </c>
      <c r="F266" s="117">
        <v>108.2</v>
      </c>
      <c r="G266" s="115">
        <v>2025</v>
      </c>
      <c r="H266" s="115">
        <v>5</v>
      </c>
      <c r="I266" s="117">
        <v>265.738</v>
      </c>
      <c r="J266" s="112">
        <v>2.4581852866961018</v>
      </c>
    </row>
    <row r="267" spans="1:10">
      <c r="A267" s="111" t="s">
        <v>500</v>
      </c>
      <c r="B267" s="111" t="s">
        <v>519</v>
      </c>
      <c r="C267" s="111" t="s">
        <v>466</v>
      </c>
      <c r="D267" s="115">
        <v>1989</v>
      </c>
      <c r="E267" s="115">
        <v>5</v>
      </c>
      <c r="F267" s="117">
        <v>113.3</v>
      </c>
      <c r="G267" s="115">
        <v>2025</v>
      </c>
      <c r="H267" s="115">
        <v>5</v>
      </c>
      <c r="I267" s="117">
        <v>265.738</v>
      </c>
      <c r="J267" s="112">
        <v>2.396236114613171</v>
      </c>
    </row>
    <row r="268" spans="1:10">
      <c r="A268" s="111" t="s">
        <v>500</v>
      </c>
      <c r="B268" s="111" t="s">
        <v>519</v>
      </c>
      <c r="C268" s="111" t="s">
        <v>466</v>
      </c>
      <c r="D268" s="115">
        <v>1990</v>
      </c>
      <c r="E268" s="115">
        <v>5</v>
      </c>
      <c r="F268" s="117">
        <v>119.5</v>
      </c>
      <c r="G268" s="115">
        <v>2025</v>
      </c>
      <c r="H268" s="115">
        <v>5</v>
      </c>
      <c r="I268" s="117">
        <v>265.738</v>
      </c>
      <c r="J268" s="112">
        <v>2.3096822636733849</v>
      </c>
    </row>
    <row r="269" spans="1:10">
      <c r="A269" s="111" t="s">
        <v>500</v>
      </c>
      <c r="B269" s="111" t="s">
        <v>519</v>
      </c>
      <c r="C269" s="111" t="s">
        <v>466</v>
      </c>
      <c r="D269" s="115">
        <v>1991</v>
      </c>
      <c r="E269" s="115">
        <v>5</v>
      </c>
      <c r="F269" s="117">
        <v>126.6</v>
      </c>
      <c r="G269" s="115">
        <v>2025</v>
      </c>
      <c r="H269" s="115">
        <v>5</v>
      </c>
      <c r="I269" s="117">
        <v>265.738</v>
      </c>
      <c r="J269" s="112">
        <v>2.2047723425254082</v>
      </c>
    </row>
    <row r="270" spans="1:10">
      <c r="A270" s="111" t="s">
        <v>500</v>
      </c>
      <c r="B270" s="111" t="s">
        <v>519</v>
      </c>
      <c r="C270" s="111" t="s">
        <v>466</v>
      </c>
      <c r="D270" s="115">
        <v>1992</v>
      </c>
      <c r="E270" s="115">
        <v>5</v>
      </c>
      <c r="F270" s="117">
        <v>131.6</v>
      </c>
      <c r="G270" s="115">
        <v>2025</v>
      </c>
      <c r="H270" s="115">
        <v>5</v>
      </c>
      <c r="I270" s="117">
        <v>265.738</v>
      </c>
      <c r="J270" s="112">
        <v>2.1523630292235252</v>
      </c>
    </row>
    <row r="271" spans="1:10">
      <c r="A271" s="111" t="s">
        <v>500</v>
      </c>
      <c r="B271" s="111" t="s">
        <v>519</v>
      </c>
      <c r="C271" s="111" t="s">
        <v>466</v>
      </c>
      <c r="D271" s="115">
        <v>1993</v>
      </c>
      <c r="E271" s="115">
        <v>5</v>
      </c>
      <c r="F271" s="117">
        <v>136</v>
      </c>
      <c r="G271" s="115">
        <v>2025</v>
      </c>
      <c r="H271" s="115">
        <v>5</v>
      </c>
      <c r="I271" s="117">
        <v>265.738</v>
      </c>
      <c r="J271" s="112">
        <v>2.1153631262205601</v>
      </c>
    </row>
    <row r="272" spans="1:10">
      <c r="A272" s="111" t="s">
        <v>500</v>
      </c>
      <c r="B272" s="111" t="s">
        <v>519</v>
      </c>
      <c r="C272" s="111" t="s">
        <v>466</v>
      </c>
      <c r="D272" s="115">
        <v>1994</v>
      </c>
      <c r="E272" s="115">
        <v>5</v>
      </c>
      <c r="F272" s="117">
        <v>141.30000000000001</v>
      </c>
      <c r="G272" s="115">
        <v>2025</v>
      </c>
      <c r="H272" s="115">
        <v>5</v>
      </c>
      <c r="I272" s="117">
        <v>265.738</v>
      </c>
      <c r="J272" s="112">
        <v>2.0584006079218402</v>
      </c>
    </row>
    <row r="273" spans="1:11">
      <c r="A273" s="111" t="s">
        <v>500</v>
      </c>
      <c r="B273" s="111" t="s">
        <v>519</v>
      </c>
      <c r="C273" s="111" t="s">
        <v>466</v>
      </c>
      <c r="D273" s="115">
        <v>1995</v>
      </c>
      <c r="E273" s="115">
        <v>5</v>
      </c>
      <c r="F273" s="117">
        <v>144.69999999999999</v>
      </c>
      <c r="G273" s="115">
        <v>2025</v>
      </c>
      <c r="H273" s="115">
        <v>5</v>
      </c>
      <c r="I273" s="117">
        <v>265.738</v>
      </c>
      <c r="J273" s="112">
        <v>2.0468267342111051</v>
      </c>
    </row>
    <row r="274" spans="1:11">
      <c r="A274" s="111" t="s">
        <v>500</v>
      </c>
      <c r="B274" s="111" t="s">
        <v>519</v>
      </c>
      <c r="C274" s="111" t="s">
        <v>466</v>
      </c>
      <c r="D274" s="115">
        <v>1996</v>
      </c>
      <c r="E274" s="115">
        <v>5</v>
      </c>
      <c r="F274" s="117">
        <v>146.4</v>
      </c>
      <c r="G274" s="115">
        <v>2025</v>
      </c>
      <c r="H274" s="115">
        <v>5</v>
      </c>
      <c r="I274" s="117">
        <v>265.738</v>
      </c>
      <c r="J274" s="112">
        <v>2.077028757777466</v>
      </c>
    </row>
    <row r="275" spans="1:11">
      <c r="A275" s="111" t="s">
        <v>500</v>
      </c>
      <c r="B275" s="111" t="s">
        <v>519</v>
      </c>
      <c r="C275" s="111" t="s">
        <v>466</v>
      </c>
      <c r="D275" s="115">
        <v>1997</v>
      </c>
      <c r="E275" s="115">
        <v>5</v>
      </c>
      <c r="F275" s="117">
        <v>152.1</v>
      </c>
      <c r="G275" s="115">
        <v>2025</v>
      </c>
      <c r="H275" s="115">
        <v>5</v>
      </c>
      <c r="I275" s="117">
        <v>265.738</v>
      </c>
      <c r="J275" s="112">
        <v>2.0127475085388151</v>
      </c>
    </row>
    <row r="276" spans="1:11">
      <c r="A276" s="111" t="s">
        <v>500</v>
      </c>
      <c r="B276" s="111" t="s">
        <v>519</v>
      </c>
      <c r="C276" s="111" t="s">
        <v>466</v>
      </c>
      <c r="D276" s="115">
        <v>1998</v>
      </c>
      <c r="E276" s="115">
        <v>5</v>
      </c>
      <c r="F276" s="117">
        <v>155.80000000000001</v>
      </c>
      <c r="G276" s="115">
        <v>2025</v>
      </c>
      <c r="H276" s="115">
        <v>5</v>
      </c>
      <c r="I276" s="117">
        <v>265.738</v>
      </c>
      <c r="J276" s="112">
        <v>1.9972301352348729</v>
      </c>
    </row>
    <row r="277" spans="1:11">
      <c r="A277" s="111" t="s">
        <v>500</v>
      </c>
      <c r="B277" s="111" t="s">
        <v>519</v>
      </c>
      <c r="C277" s="111" t="s">
        <v>466</v>
      </c>
      <c r="D277" s="115">
        <v>1999</v>
      </c>
      <c r="E277" s="115">
        <v>5</v>
      </c>
      <c r="F277" s="117">
        <v>158.6</v>
      </c>
      <c r="G277" s="115">
        <v>2025</v>
      </c>
      <c r="H277" s="115">
        <v>5</v>
      </c>
      <c r="I277" s="117">
        <v>265.738</v>
      </c>
      <c r="J277" s="112">
        <v>2.0049323766436311</v>
      </c>
    </row>
    <row r="278" spans="1:11">
      <c r="A278" s="111" t="s">
        <v>500</v>
      </c>
      <c r="B278" s="111" t="s">
        <v>519</v>
      </c>
      <c r="C278" s="111" t="s">
        <v>466</v>
      </c>
      <c r="D278" s="115">
        <v>2000</v>
      </c>
      <c r="E278" s="115">
        <v>5</v>
      </c>
      <c r="F278" s="117">
        <v>161.4</v>
      </c>
      <c r="G278" s="115">
        <v>2025</v>
      </c>
      <c r="H278" s="115">
        <v>5</v>
      </c>
      <c r="I278" s="117">
        <v>265.738</v>
      </c>
      <c r="J278" s="112">
        <v>2.014523478663222</v>
      </c>
    </row>
    <row r="279" spans="1:11">
      <c r="A279" s="111" t="s">
        <v>500</v>
      </c>
      <c r="B279" s="111" t="s">
        <v>519</v>
      </c>
      <c r="C279" s="111" t="s">
        <v>466</v>
      </c>
      <c r="D279" s="115">
        <v>2001</v>
      </c>
      <c r="E279" s="115">
        <v>5</v>
      </c>
      <c r="F279" s="117">
        <v>166.8</v>
      </c>
      <c r="G279" s="115">
        <v>2025</v>
      </c>
      <c r="H279" s="115">
        <v>5</v>
      </c>
      <c r="I279" s="117">
        <v>265.738</v>
      </c>
      <c r="J279" s="112">
        <v>1.9594304130161391</v>
      </c>
    </row>
    <row r="280" spans="1:11">
      <c r="A280" s="111" t="s">
        <v>500</v>
      </c>
      <c r="B280" s="111" t="s">
        <v>519</v>
      </c>
      <c r="C280" s="111" t="s">
        <v>466</v>
      </c>
      <c r="D280" s="115">
        <v>2002</v>
      </c>
      <c r="E280" s="115">
        <v>5</v>
      </c>
      <c r="F280" s="117">
        <v>171.4</v>
      </c>
      <c r="G280" s="115">
        <v>2025</v>
      </c>
      <c r="H280" s="115">
        <v>5</v>
      </c>
      <c r="I280" s="117">
        <v>265.738</v>
      </c>
      <c r="J280" s="112">
        <v>1.92486001861254</v>
      </c>
    </row>
    <row r="281" spans="1:11">
      <c r="A281" s="111" t="s">
        <v>500</v>
      </c>
      <c r="B281" s="111" t="s">
        <v>519</v>
      </c>
      <c r="C281" s="111" t="s">
        <v>466</v>
      </c>
      <c r="D281" s="115">
        <v>2003</v>
      </c>
      <c r="E281" s="115">
        <v>5</v>
      </c>
      <c r="F281" s="117">
        <v>176.3</v>
      </c>
      <c r="G281" s="115">
        <v>2025</v>
      </c>
      <c r="H281" s="115">
        <v>5</v>
      </c>
      <c r="I281" s="117">
        <v>265.738</v>
      </c>
      <c r="J281" s="112">
        <v>1.882609832574045</v>
      </c>
    </row>
    <row r="282" spans="1:11">
      <c r="A282" s="111" t="s">
        <v>500</v>
      </c>
      <c r="B282" s="111" t="s">
        <v>519</v>
      </c>
      <c r="C282" s="111" t="s">
        <v>466</v>
      </c>
      <c r="D282" s="115">
        <v>2004</v>
      </c>
      <c r="E282" s="115">
        <v>5</v>
      </c>
      <c r="F282" s="117">
        <v>181.8</v>
      </c>
      <c r="G282" s="115">
        <v>2025</v>
      </c>
      <c r="H282" s="115">
        <v>5</v>
      </c>
      <c r="I282" s="117">
        <v>265.738</v>
      </c>
      <c r="J282" s="112">
        <v>1.8240732064698679</v>
      </c>
    </row>
    <row r="283" spans="1:11">
      <c r="A283" s="111" t="s">
        <v>500</v>
      </c>
      <c r="B283" s="111" t="s">
        <v>519</v>
      </c>
      <c r="C283" s="111" t="s">
        <v>466</v>
      </c>
      <c r="D283" s="115">
        <v>2005</v>
      </c>
      <c r="E283" s="115">
        <v>5</v>
      </c>
      <c r="F283" s="117">
        <v>186.7</v>
      </c>
      <c r="G283" s="115">
        <v>2025</v>
      </c>
      <c r="H283" s="115">
        <v>5</v>
      </c>
      <c r="I283" s="117">
        <v>265.738</v>
      </c>
      <c r="J283" s="112">
        <v>1.7807079178926659</v>
      </c>
    </row>
    <row r="284" spans="1:11">
      <c r="A284" s="111" t="s">
        <v>500</v>
      </c>
      <c r="B284" s="111" t="s">
        <v>519</v>
      </c>
      <c r="C284" s="111" t="s">
        <v>466</v>
      </c>
      <c r="D284" s="115">
        <v>2006</v>
      </c>
      <c r="E284" s="115">
        <v>5</v>
      </c>
      <c r="F284" s="117">
        <v>191.4</v>
      </c>
      <c r="G284" s="115">
        <v>2025</v>
      </c>
      <c r="H284" s="115">
        <v>5</v>
      </c>
      <c r="I284" s="117">
        <v>265.738</v>
      </c>
      <c r="J284" s="112">
        <v>1.7420812320686929</v>
      </c>
    </row>
    <row r="285" spans="1:11">
      <c r="A285" s="111" t="s">
        <v>500</v>
      </c>
      <c r="B285" s="111" t="s">
        <v>519</v>
      </c>
      <c r="C285" s="111" t="s">
        <v>466</v>
      </c>
      <c r="D285" s="115">
        <v>2007</v>
      </c>
      <c r="E285" s="115">
        <v>5</v>
      </c>
      <c r="F285" s="117">
        <v>196.96</v>
      </c>
      <c r="G285" s="115">
        <v>2025</v>
      </c>
      <c r="H285" s="115">
        <v>5</v>
      </c>
      <c r="I285" s="117">
        <v>265.738</v>
      </c>
      <c r="J285" s="112">
        <v>1.6778662250495511</v>
      </c>
    </row>
    <row r="286" spans="1:11">
      <c r="A286" s="111" t="s">
        <v>500</v>
      </c>
      <c r="B286" s="111" t="s">
        <v>519</v>
      </c>
      <c r="C286" s="111" t="s">
        <v>466</v>
      </c>
      <c r="D286" s="115">
        <v>2008</v>
      </c>
      <c r="E286" s="115">
        <v>5</v>
      </c>
      <c r="F286" s="117">
        <v>204.70599999999999</v>
      </c>
      <c r="G286" s="115">
        <v>2025</v>
      </c>
      <c r="H286" s="115">
        <v>5</v>
      </c>
      <c r="I286" s="117">
        <v>265.738</v>
      </c>
      <c r="J286" s="112">
        <v>1.546758354155608</v>
      </c>
    </row>
    <row r="287" spans="1:11">
      <c r="A287" s="111" t="s">
        <v>500</v>
      </c>
      <c r="B287" s="111" t="s">
        <v>519</v>
      </c>
      <c r="C287" s="111" t="s">
        <v>466</v>
      </c>
      <c r="D287" s="115">
        <v>2009</v>
      </c>
      <c r="E287" s="115">
        <v>5</v>
      </c>
      <c r="F287" s="117">
        <v>209.02099999999999</v>
      </c>
      <c r="G287" s="115">
        <v>2025</v>
      </c>
      <c r="H287" s="115">
        <v>5</v>
      </c>
      <c r="I287" s="117">
        <v>265.738</v>
      </c>
      <c r="J287" s="112">
        <v>1.5117895017058069</v>
      </c>
    </row>
    <row r="288" spans="1:11">
      <c r="A288" s="111" t="s">
        <v>500</v>
      </c>
      <c r="B288" s="111" t="s">
        <v>519</v>
      </c>
      <c r="C288" s="111" t="s">
        <v>466</v>
      </c>
      <c r="D288" s="115">
        <v>2010</v>
      </c>
      <c r="E288" s="115">
        <v>5</v>
      </c>
      <c r="F288" s="117">
        <v>213.703</v>
      </c>
      <c r="G288" s="115">
        <v>2025</v>
      </c>
      <c r="H288" s="115">
        <v>5</v>
      </c>
      <c r="I288" s="117">
        <v>265.738</v>
      </c>
      <c r="J288" s="112">
        <v>1.4634291903573571</v>
      </c>
      <c r="K288">
        <f>(Complete_CAGR_Results[[#This Row],[Ending Index Value]]/Complete_CAGR_Results[[#This Row],[Beginning Index Value]])^(1/15)</f>
        <v>1.0146342919035736</v>
      </c>
    </row>
    <row r="289" spans="1:10">
      <c r="A289" s="111" t="s">
        <v>500</v>
      </c>
      <c r="B289" s="111" t="s">
        <v>519</v>
      </c>
      <c r="C289" s="111" t="s">
        <v>466</v>
      </c>
      <c r="D289" s="115">
        <v>2011</v>
      </c>
      <c r="E289" s="115">
        <v>5</v>
      </c>
      <c r="F289" s="117">
        <v>217.35900000000001</v>
      </c>
      <c r="G289" s="115">
        <v>2025</v>
      </c>
      <c r="H289" s="115">
        <v>5</v>
      </c>
      <c r="I289" s="117">
        <v>265.738</v>
      </c>
      <c r="J289" s="112">
        <v>1.4457839166544419</v>
      </c>
    </row>
    <row r="290" spans="1:10">
      <c r="A290" s="111" t="s">
        <v>500</v>
      </c>
      <c r="B290" s="111" t="s">
        <v>519</v>
      </c>
      <c r="C290" s="111" t="s">
        <v>466</v>
      </c>
      <c r="D290" s="115">
        <v>2012</v>
      </c>
      <c r="E290" s="115">
        <v>5</v>
      </c>
      <c r="F290" s="117">
        <v>219.65299999999999</v>
      </c>
      <c r="G290" s="115">
        <v>2025</v>
      </c>
      <c r="H290" s="115">
        <v>5</v>
      </c>
      <c r="I290" s="117">
        <v>265.738</v>
      </c>
      <c r="J290" s="112">
        <v>1.4758760841447449</v>
      </c>
    </row>
    <row r="291" spans="1:10">
      <c r="A291" s="111" t="s">
        <v>500</v>
      </c>
      <c r="B291" s="111" t="s">
        <v>519</v>
      </c>
      <c r="C291" s="111" t="s">
        <v>466</v>
      </c>
      <c r="D291" s="115">
        <v>2013</v>
      </c>
      <c r="E291" s="115">
        <v>5</v>
      </c>
      <c r="F291" s="117">
        <v>222.518</v>
      </c>
      <c r="G291" s="115">
        <v>2025</v>
      </c>
      <c r="H291" s="115">
        <v>5</v>
      </c>
      <c r="I291" s="117">
        <v>265.738</v>
      </c>
      <c r="J291" s="112">
        <v>1.4901846958926379</v>
      </c>
    </row>
    <row r="292" spans="1:10">
      <c r="A292" s="111" t="s">
        <v>500</v>
      </c>
      <c r="B292" s="111" t="s">
        <v>519</v>
      </c>
      <c r="C292" s="111" t="s">
        <v>466</v>
      </c>
      <c r="D292" s="115">
        <v>2014</v>
      </c>
      <c r="E292" s="115">
        <v>5</v>
      </c>
      <c r="F292" s="117">
        <v>225.29499999999999</v>
      </c>
      <c r="G292" s="115">
        <v>2025</v>
      </c>
      <c r="H292" s="115">
        <v>5</v>
      </c>
      <c r="I292" s="117">
        <v>265.738</v>
      </c>
      <c r="J292" s="112">
        <v>1.5122312007629151</v>
      </c>
    </row>
    <row r="293" spans="1:10">
      <c r="A293" s="111" t="s">
        <v>500</v>
      </c>
      <c r="B293" s="111" t="s">
        <v>519</v>
      </c>
      <c r="C293" s="111" t="s">
        <v>466</v>
      </c>
      <c r="D293" s="115">
        <v>2015</v>
      </c>
      <c r="E293" s="115">
        <v>5</v>
      </c>
      <c r="F293" s="117">
        <v>228.02699999999999</v>
      </c>
      <c r="G293" s="115">
        <v>2025</v>
      </c>
      <c r="H293" s="115">
        <v>5</v>
      </c>
      <c r="I293" s="117">
        <v>265.738</v>
      </c>
      <c r="J293" s="112">
        <v>1.5422398211753401</v>
      </c>
    </row>
    <row r="294" spans="1:10">
      <c r="A294" s="111" t="s">
        <v>500</v>
      </c>
      <c r="B294" s="111" t="s">
        <v>519</v>
      </c>
      <c r="C294" s="111" t="s">
        <v>466</v>
      </c>
      <c r="D294" s="115">
        <v>2016</v>
      </c>
      <c r="E294" s="115">
        <v>5</v>
      </c>
      <c r="F294" s="117">
        <v>231.20599999999999</v>
      </c>
      <c r="G294" s="115">
        <v>2025</v>
      </c>
      <c r="H294" s="115">
        <v>5</v>
      </c>
      <c r="I294" s="117">
        <v>265.738</v>
      </c>
      <c r="J294" s="112">
        <v>1.558709466405195</v>
      </c>
    </row>
    <row r="295" spans="1:10">
      <c r="A295" s="111" t="s">
        <v>500</v>
      </c>
      <c r="B295" s="111" t="s">
        <v>519</v>
      </c>
      <c r="C295" s="111" t="s">
        <v>466</v>
      </c>
      <c r="D295" s="115">
        <v>2017</v>
      </c>
      <c r="E295" s="115">
        <v>5</v>
      </c>
      <c r="F295" s="117">
        <v>236.29300000000001</v>
      </c>
      <c r="G295" s="115">
        <v>2025</v>
      </c>
      <c r="H295" s="115">
        <v>5</v>
      </c>
      <c r="I295" s="117">
        <v>265.738</v>
      </c>
      <c r="J295" s="112">
        <v>1.4788064835325581</v>
      </c>
    </row>
    <row r="296" spans="1:10">
      <c r="A296" s="111" t="s">
        <v>500</v>
      </c>
      <c r="B296" s="111" t="s">
        <v>519</v>
      </c>
      <c r="C296" s="111" t="s">
        <v>466</v>
      </c>
      <c r="D296" s="115">
        <v>2018</v>
      </c>
      <c r="E296" s="115">
        <v>5</v>
      </c>
      <c r="F296" s="117">
        <v>237.66300000000001</v>
      </c>
      <c r="G296" s="115">
        <v>2025</v>
      </c>
      <c r="H296" s="115">
        <v>5</v>
      </c>
      <c r="I296" s="117">
        <v>265.738</v>
      </c>
      <c r="J296" s="112">
        <v>1.607891912758852</v>
      </c>
    </row>
    <row r="297" spans="1:10">
      <c r="A297" s="111" t="s">
        <v>500</v>
      </c>
      <c r="B297" s="111" t="s">
        <v>519</v>
      </c>
      <c r="C297" s="111" t="s">
        <v>466</v>
      </c>
      <c r="D297" s="115">
        <v>2019</v>
      </c>
      <c r="E297" s="115">
        <v>5</v>
      </c>
      <c r="F297" s="117">
        <v>238.94200000000001</v>
      </c>
      <c r="G297" s="115">
        <v>2025</v>
      </c>
      <c r="H297" s="115">
        <v>5</v>
      </c>
      <c r="I297" s="117">
        <v>265.738</v>
      </c>
      <c r="J297" s="112">
        <v>1.787284405724199</v>
      </c>
    </row>
    <row r="298" spans="1:10">
      <c r="A298" s="111" t="s">
        <v>500</v>
      </c>
      <c r="B298" s="111" t="s">
        <v>519</v>
      </c>
      <c r="C298" s="111" t="s">
        <v>466</v>
      </c>
      <c r="D298" s="115">
        <v>2020</v>
      </c>
      <c r="E298" s="115">
        <v>5</v>
      </c>
      <c r="F298" s="117">
        <v>241.41900000000001</v>
      </c>
      <c r="G298" s="115">
        <v>2025</v>
      </c>
      <c r="H298" s="115">
        <v>5</v>
      </c>
      <c r="I298" s="117">
        <v>265.738</v>
      </c>
      <c r="J298" s="112">
        <v>1.9380785155116429</v>
      </c>
    </row>
    <row r="299" spans="1:10">
      <c r="A299" s="111" t="s">
        <v>500</v>
      </c>
      <c r="B299" s="111" t="s">
        <v>519</v>
      </c>
      <c r="C299" s="111" t="s">
        <v>466</v>
      </c>
      <c r="D299" s="115">
        <v>2021</v>
      </c>
      <c r="E299" s="115">
        <v>5</v>
      </c>
      <c r="F299" s="117">
        <v>247.78399999999999</v>
      </c>
      <c r="G299" s="115">
        <v>2025</v>
      </c>
      <c r="H299" s="115">
        <v>5</v>
      </c>
      <c r="I299" s="117">
        <v>265.738</v>
      </c>
      <c r="J299" s="112">
        <v>1.764218234202853</v>
      </c>
    </row>
    <row r="300" spans="1:10">
      <c r="A300" s="111" t="s">
        <v>500</v>
      </c>
      <c r="B300" s="111" t="s">
        <v>519</v>
      </c>
      <c r="C300" s="111" t="s">
        <v>466</v>
      </c>
      <c r="D300" s="115">
        <v>2022</v>
      </c>
      <c r="E300" s="115">
        <v>5</v>
      </c>
      <c r="F300" s="117">
        <v>259.02600000000001</v>
      </c>
      <c r="G300" s="115">
        <v>2025</v>
      </c>
      <c r="H300" s="115">
        <v>5</v>
      </c>
      <c r="I300" s="117">
        <v>265.738</v>
      </c>
      <c r="J300" s="112">
        <v>0.85639352061606111</v>
      </c>
    </row>
    <row r="301" spans="1:10">
      <c r="A301" s="111" t="s">
        <v>500</v>
      </c>
      <c r="B301" s="111" t="s">
        <v>519</v>
      </c>
      <c r="C301" s="111" t="s">
        <v>466</v>
      </c>
      <c r="D301" s="115">
        <v>2023</v>
      </c>
      <c r="E301" s="115">
        <v>5</v>
      </c>
      <c r="F301" s="117">
        <v>261.04899999999998</v>
      </c>
      <c r="G301" s="115">
        <v>2025</v>
      </c>
      <c r="H301" s="115">
        <v>5</v>
      </c>
      <c r="I301" s="117">
        <v>265.738</v>
      </c>
      <c r="J301" s="112">
        <v>0.89411008765103439</v>
      </c>
    </row>
    <row r="302" spans="1:10">
      <c r="A302" s="111" t="s">
        <v>500</v>
      </c>
      <c r="B302" s="111" t="s">
        <v>519</v>
      </c>
      <c r="C302" s="111" t="s">
        <v>466</v>
      </c>
      <c r="D302" s="115">
        <v>2024</v>
      </c>
      <c r="E302" s="115">
        <v>5</v>
      </c>
      <c r="F302" s="117">
        <v>259.58699999999999</v>
      </c>
      <c r="G302" s="115">
        <v>2025</v>
      </c>
      <c r="H302" s="115">
        <v>5</v>
      </c>
      <c r="I302" s="117">
        <v>265.738</v>
      </c>
      <c r="J302" s="112">
        <v>2.3695331430310551</v>
      </c>
    </row>
    <row r="303" spans="1:10">
      <c r="A303" s="111" t="s">
        <v>503</v>
      </c>
      <c r="B303" s="111" t="s">
        <v>520</v>
      </c>
      <c r="C303" s="111" t="s">
        <v>466</v>
      </c>
      <c r="D303" s="115">
        <v>1978</v>
      </c>
      <c r="E303" s="115">
        <v>5</v>
      </c>
      <c r="F303" s="117">
        <v>54.3</v>
      </c>
      <c r="G303" s="115">
        <v>2025</v>
      </c>
      <c r="H303" s="115">
        <v>5</v>
      </c>
      <c r="I303" s="117">
        <v>1137.3489999999999</v>
      </c>
      <c r="J303" s="112">
        <v>6.6862331120551177</v>
      </c>
    </row>
    <row r="304" spans="1:10">
      <c r="A304" s="111" t="s">
        <v>503</v>
      </c>
      <c r="B304" s="111" t="s">
        <v>520</v>
      </c>
      <c r="C304" s="111" t="s">
        <v>466</v>
      </c>
      <c r="D304" s="115">
        <v>1979</v>
      </c>
      <c r="E304" s="115">
        <v>5</v>
      </c>
      <c r="F304" s="117">
        <v>59.9</v>
      </c>
      <c r="G304" s="115">
        <v>2025</v>
      </c>
      <c r="H304" s="115">
        <v>5</v>
      </c>
      <c r="I304" s="117">
        <v>1137.3489999999999</v>
      </c>
      <c r="J304" s="112">
        <v>6.6087274337410804</v>
      </c>
    </row>
    <row r="305" spans="1:10">
      <c r="A305" s="111" t="s">
        <v>503</v>
      </c>
      <c r="B305" s="111" t="s">
        <v>520</v>
      </c>
      <c r="C305" s="111" t="s">
        <v>466</v>
      </c>
      <c r="D305" s="115">
        <v>1980</v>
      </c>
      <c r="E305" s="115">
        <v>5</v>
      </c>
      <c r="F305" s="117">
        <v>67.599999999999994</v>
      </c>
      <c r="G305" s="115">
        <v>2025</v>
      </c>
      <c r="H305" s="115">
        <v>5</v>
      </c>
      <c r="I305" s="117">
        <v>1137.3489999999999</v>
      </c>
      <c r="J305" s="112">
        <v>6.4739259560287588</v>
      </c>
    </row>
    <row r="306" spans="1:10">
      <c r="A306" s="111" t="s">
        <v>503</v>
      </c>
      <c r="B306" s="111" t="s">
        <v>520</v>
      </c>
      <c r="C306" s="111" t="s">
        <v>466</v>
      </c>
      <c r="D306" s="115">
        <v>1981</v>
      </c>
      <c r="E306" s="115">
        <v>5</v>
      </c>
      <c r="F306" s="117">
        <v>76.900000000000006</v>
      </c>
      <c r="G306" s="115">
        <v>2025</v>
      </c>
      <c r="H306" s="115">
        <v>5</v>
      </c>
      <c r="I306" s="117">
        <v>1137.3489999999999</v>
      </c>
      <c r="J306" s="112">
        <v>6.3139289821500411</v>
      </c>
    </row>
    <row r="307" spans="1:10">
      <c r="A307" s="111" t="s">
        <v>503</v>
      </c>
      <c r="B307" s="111" t="s">
        <v>520</v>
      </c>
      <c r="C307" s="111" t="s">
        <v>466</v>
      </c>
      <c r="D307" s="115">
        <v>1982</v>
      </c>
      <c r="E307" s="115">
        <v>5</v>
      </c>
      <c r="F307" s="117">
        <v>88.5</v>
      </c>
      <c r="G307" s="115">
        <v>2025</v>
      </c>
      <c r="H307" s="115">
        <v>5</v>
      </c>
      <c r="I307" s="117">
        <v>1137.3489999999999</v>
      </c>
      <c r="J307" s="112">
        <v>6.1181196730336618</v>
      </c>
    </row>
    <row r="308" spans="1:10">
      <c r="A308" s="111" t="s">
        <v>503</v>
      </c>
      <c r="B308" s="111" t="s">
        <v>520</v>
      </c>
      <c r="C308" s="111" t="s">
        <v>466</v>
      </c>
      <c r="D308" s="115">
        <v>1983</v>
      </c>
      <c r="E308" s="115">
        <v>5</v>
      </c>
      <c r="F308" s="117">
        <v>98.9</v>
      </c>
      <c r="G308" s="115">
        <v>2025</v>
      </c>
      <c r="H308" s="115">
        <v>5</v>
      </c>
      <c r="I308" s="117">
        <v>1137.3489999999999</v>
      </c>
      <c r="J308" s="112">
        <v>5.9875129637022129</v>
      </c>
    </row>
    <row r="309" spans="1:10">
      <c r="A309" s="111" t="s">
        <v>503</v>
      </c>
      <c r="B309" s="111" t="s">
        <v>520</v>
      </c>
      <c r="C309" s="111" t="s">
        <v>466</v>
      </c>
      <c r="D309" s="115">
        <v>1984</v>
      </c>
      <c r="E309" s="115">
        <v>5</v>
      </c>
      <c r="F309" s="117">
        <v>107.8</v>
      </c>
      <c r="G309" s="115">
        <v>2025</v>
      </c>
      <c r="H309" s="115">
        <v>5</v>
      </c>
      <c r="I309" s="117">
        <v>1137.3489999999999</v>
      </c>
      <c r="J309" s="112">
        <v>5.9151112126277994</v>
      </c>
    </row>
    <row r="310" spans="1:10">
      <c r="A310" s="111" t="s">
        <v>503</v>
      </c>
      <c r="B310" s="111" t="s">
        <v>520</v>
      </c>
      <c r="C310" s="111" t="s">
        <v>466</v>
      </c>
      <c r="D310" s="115">
        <v>1985</v>
      </c>
      <c r="E310" s="115">
        <v>5</v>
      </c>
      <c r="F310" s="117">
        <v>115.3</v>
      </c>
      <c r="G310" s="115">
        <v>2025</v>
      </c>
      <c r="H310" s="115">
        <v>5</v>
      </c>
      <c r="I310" s="117">
        <v>1137.3489999999999</v>
      </c>
      <c r="J310" s="112">
        <v>5.8891863160798419</v>
      </c>
    </row>
    <row r="311" spans="1:10">
      <c r="A311" s="111" t="s">
        <v>503</v>
      </c>
      <c r="B311" s="111" t="s">
        <v>520</v>
      </c>
      <c r="C311" s="111" t="s">
        <v>466</v>
      </c>
      <c r="D311" s="115">
        <v>1986</v>
      </c>
      <c r="E311" s="115">
        <v>5</v>
      </c>
      <c r="F311" s="117">
        <v>121.5</v>
      </c>
      <c r="G311" s="115">
        <v>2025</v>
      </c>
      <c r="H311" s="115">
        <v>5</v>
      </c>
      <c r="I311" s="117">
        <v>1137.3489999999999</v>
      </c>
      <c r="J311" s="112">
        <v>5.9023448524325506</v>
      </c>
    </row>
    <row r="312" spans="1:10">
      <c r="A312" s="111" t="s">
        <v>503</v>
      </c>
      <c r="B312" s="111" t="s">
        <v>520</v>
      </c>
      <c r="C312" s="111" t="s">
        <v>466</v>
      </c>
      <c r="D312" s="115">
        <v>1987</v>
      </c>
      <c r="E312" s="115">
        <v>5</v>
      </c>
      <c r="F312" s="117">
        <v>130.1</v>
      </c>
      <c r="G312" s="115">
        <v>2025</v>
      </c>
      <c r="H312" s="115">
        <v>5</v>
      </c>
      <c r="I312" s="117">
        <v>1137.3489999999999</v>
      </c>
      <c r="J312" s="112">
        <v>5.8715765700759537</v>
      </c>
    </row>
    <row r="313" spans="1:10">
      <c r="A313" s="111" t="s">
        <v>503</v>
      </c>
      <c r="B313" s="111" t="s">
        <v>520</v>
      </c>
      <c r="C313" s="111" t="s">
        <v>466</v>
      </c>
      <c r="D313" s="115">
        <v>1988</v>
      </c>
      <c r="E313" s="115">
        <v>5</v>
      </c>
      <c r="F313" s="117">
        <v>141.80000000000001</v>
      </c>
      <c r="G313" s="115">
        <v>2025</v>
      </c>
      <c r="H313" s="115">
        <v>5</v>
      </c>
      <c r="I313" s="117">
        <v>1137.3489999999999</v>
      </c>
      <c r="J313" s="112">
        <v>5.7884639782948222</v>
      </c>
    </row>
    <row r="314" spans="1:10">
      <c r="A314" s="111" t="s">
        <v>503</v>
      </c>
      <c r="B314" s="111" t="s">
        <v>520</v>
      </c>
      <c r="C314" s="111" t="s">
        <v>466</v>
      </c>
      <c r="D314" s="115">
        <v>1989</v>
      </c>
      <c r="E314" s="115">
        <v>5</v>
      </c>
      <c r="F314" s="117">
        <v>157.30000000000001</v>
      </c>
      <c r="G314" s="115">
        <v>2025</v>
      </c>
      <c r="H314" s="115">
        <v>5</v>
      </c>
      <c r="I314" s="117">
        <v>1137.3489999999999</v>
      </c>
      <c r="J314" s="112">
        <v>5.6490740816858453</v>
      </c>
    </row>
    <row r="315" spans="1:10">
      <c r="A315" s="111" t="s">
        <v>503</v>
      </c>
      <c r="B315" s="111" t="s">
        <v>520</v>
      </c>
      <c r="C315" s="111" t="s">
        <v>466</v>
      </c>
      <c r="D315" s="115">
        <v>1990</v>
      </c>
      <c r="E315" s="115">
        <v>5</v>
      </c>
      <c r="F315" s="117">
        <v>174.3</v>
      </c>
      <c r="G315" s="115">
        <v>2025</v>
      </c>
      <c r="H315" s="115">
        <v>5</v>
      </c>
      <c r="I315" s="117">
        <v>1137.3489999999999</v>
      </c>
      <c r="J315" s="112">
        <v>5.5052769397964552</v>
      </c>
    </row>
    <row r="316" spans="1:10">
      <c r="A316" s="111" t="s">
        <v>503</v>
      </c>
      <c r="B316" s="111" t="s">
        <v>520</v>
      </c>
      <c r="C316" s="111" t="s">
        <v>466</v>
      </c>
      <c r="D316" s="115">
        <v>1991</v>
      </c>
      <c r="E316" s="115">
        <v>5</v>
      </c>
      <c r="F316" s="117">
        <v>193.1</v>
      </c>
      <c r="G316" s="115">
        <v>2025</v>
      </c>
      <c r="H316" s="115">
        <v>5</v>
      </c>
      <c r="I316" s="117">
        <v>1137.3489999999999</v>
      </c>
      <c r="J316" s="112">
        <v>5.353832208218301</v>
      </c>
    </row>
    <row r="317" spans="1:10">
      <c r="A317" s="111" t="s">
        <v>503</v>
      </c>
      <c r="B317" s="111" t="s">
        <v>520</v>
      </c>
      <c r="C317" s="111" t="s">
        <v>466</v>
      </c>
      <c r="D317" s="115">
        <v>1992</v>
      </c>
      <c r="E317" s="115">
        <v>5</v>
      </c>
      <c r="F317" s="117">
        <v>211.4</v>
      </c>
      <c r="G317" s="115">
        <v>2025</v>
      </c>
      <c r="H317" s="115">
        <v>5</v>
      </c>
      <c r="I317" s="117">
        <v>1137.3489999999999</v>
      </c>
      <c r="J317" s="112">
        <v>5.2313432666271531</v>
      </c>
    </row>
    <row r="318" spans="1:10">
      <c r="A318" s="111" t="s">
        <v>503</v>
      </c>
      <c r="B318" s="111" t="s">
        <v>520</v>
      </c>
      <c r="C318" s="111" t="s">
        <v>466</v>
      </c>
      <c r="D318" s="115">
        <v>1993</v>
      </c>
      <c r="E318" s="115">
        <v>5</v>
      </c>
      <c r="F318" s="117">
        <v>230</v>
      </c>
      <c r="G318" s="115">
        <v>2025</v>
      </c>
      <c r="H318" s="115">
        <v>5</v>
      </c>
      <c r="I318" s="117">
        <v>1137.3489999999999</v>
      </c>
      <c r="J318" s="112">
        <v>5.1217748541475538</v>
      </c>
    </row>
    <row r="319" spans="1:10">
      <c r="A319" s="111" t="s">
        <v>503</v>
      </c>
      <c r="B319" s="111" t="s">
        <v>520</v>
      </c>
      <c r="C319" s="111" t="s">
        <v>466</v>
      </c>
      <c r="D319" s="115">
        <v>1994</v>
      </c>
      <c r="E319" s="115">
        <v>5</v>
      </c>
      <c r="F319" s="117">
        <v>243.5</v>
      </c>
      <c r="G319" s="115">
        <v>2025</v>
      </c>
      <c r="H319" s="115">
        <v>5</v>
      </c>
      <c r="I319" s="117">
        <v>1137.3489999999999</v>
      </c>
      <c r="J319" s="112">
        <v>5.0977407251777684</v>
      </c>
    </row>
    <row r="320" spans="1:10">
      <c r="A320" s="111" t="s">
        <v>503</v>
      </c>
      <c r="B320" s="111" t="s">
        <v>520</v>
      </c>
      <c r="C320" s="111" t="s">
        <v>466</v>
      </c>
      <c r="D320" s="115">
        <v>1995</v>
      </c>
      <c r="E320" s="115">
        <v>5</v>
      </c>
      <c r="F320" s="117">
        <v>255.6</v>
      </c>
      <c r="G320" s="115">
        <v>2025</v>
      </c>
      <c r="H320" s="115">
        <v>5</v>
      </c>
      <c r="I320" s="117">
        <v>1137.3489999999999</v>
      </c>
      <c r="J320" s="112">
        <v>5.102028153231819</v>
      </c>
    </row>
    <row r="321" spans="1:10">
      <c r="A321" s="111" t="s">
        <v>503</v>
      </c>
      <c r="B321" s="111" t="s">
        <v>520</v>
      </c>
      <c r="C321" s="111" t="s">
        <v>466</v>
      </c>
      <c r="D321" s="115">
        <v>1996</v>
      </c>
      <c r="E321" s="115">
        <v>5</v>
      </c>
      <c r="F321" s="117">
        <v>267.60000000000002</v>
      </c>
      <c r="G321" s="115">
        <v>2025</v>
      </c>
      <c r="H321" s="115">
        <v>5</v>
      </c>
      <c r="I321" s="117">
        <v>1137.3489999999999</v>
      </c>
      <c r="J321" s="112">
        <v>5.1160974844973284</v>
      </c>
    </row>
    <row r="322" spans="1:10">
      <c r="A322" s="111" t="s">
        <v>503</v>
      </c>
      <c r="B322" s="111" t="s">
        <v>520</v>
      </c>
      <c r="C322" s="111" t="s">
        <v>466</v>
      </c>
      <c r="D322" s="115">
        <v>1997</v>
      </c>
      <c r="E322" s="115">
        <v>5</v>
      </c>
      <c r="F322" s="117">
        <v>277.3</v>
      </c>
      <c r="G322" s="115">
        <v>2025</v>
      </c>
      <c r="H322" s="115">
        <v>5</v>
      </c>
      <c r="I322" s="117">
        <v>1137.3489999999999</v>
      </c>
      <c r="J322" s="112">
        <v>5.1697527415312416</v>
      </c>
    </row>
    <row r="323" spans="1:10">
      <c r="A323" s="111" t="s">
        <v>503</v>
      </c>
      <c r="B323" s="111" t="s">
        <v>520</v>
      </c>
      <c r="C323" s="111" t="s">
        <v>466</v>
      </c>
      <c r="D323" s="115">
        <v>1998</v>
      </c>
      <c r="E323" s="115">
        <v>5</v>
      </c>
      <c r="F323" s="117">
        <v>285.60000000000002</v>
      </c>
      <c r="G323" s="115">
        <v>2025</v>
      </c>
      <c r="H323" s="115">
        <v>5</v>
      </c>
      <c r="I323" s="117">
        <v>1137.3489999999999</v>
      </c>
      <c r="J323" s="112">
        <v>5.2512451803016669</v>
      </c>
    </row>
    <row r="324" spans="1:10">
      <c r="A324" s="111" t="s">
        <v>503</v>
      </c>
      <c r="B324" s="111" t="s">
        <v>520</v>
      </c>
      <c r="C324" s="111" t="s">
        <v>466</v>
      </c>
      <c r="D324" s="115">
        <v>1999</v>
      </c>
      <c r="E324" s="115">
        <v>5</v>
      </c>
      <c r="F324" s="117">
        <v>297</v>
      </c>
      <c r="G324" s="115">
        <v>2025</v>
      </c>
      <c r="H324" s="115">
        <v>5</v>
      </c>
      <c r="I324" s="117">
        <v>1137.3489999999999</v>
      </c>
      <c r="J324" s="112">
        <v>5.2999967357412192</v>
      </c>
    </row>
    <row r="325" spans="1:10">
      <c r="A325" s="111" t="s">
        <v>503</v>
      </c>
      <c r="B325" s="111" t="s">
        <v>520</v>
      </c>
      <c r="C325" s="111" t="s">
        <v>466</v>
      </c>
      <c r="D325" s="115">
        <v>2000</v>
      </c>
      <c r="E325" s="115">
        <v>5</v>
      </c>
      <c r="F325" s="117">
        <v>313.5</v>
      </c>
      <c r="G325" s="115">
        <v>2025</v>
      </c>
      <c r="H325" s="115">
        <v>5</v>
      </c>
      <c r="I325" s="117">
        <v>1137.3489999999999</v>
      </c>
      <c r="J325" s="112">
        <v>5.2897872624996678</v>
      </c>
    </row>
    <row r="326" spans="1:10">
      <c r="A326" s="111" t="s">
        <v>503</v>
      </c>
      <c r="B326" s="111" t="s">
        <v>520</v>
      </c>
      <c r="C326" s="111" t="s">
        <v>466</v>
      </c>
      <c r="D326" s="115">
        <v>2001</v>
      </c>
      <c r="E326" s="115">
        <v>5</v>
      </c>
      <c r="F326" s="117">
        <v>335.1</v>
      </c>
      <c r="G326" s="115">
        <v>2025</v>
      </c>
      <c r="H326" s="115">
        <v>5</v>
      </c>
      <c r="I326" s="117">
        <v>1137.3489999999999</v>
      </c>
      <c r="J326" s="112">
        <v>5.2236360822684116</v>
      </c>
    </row>
    <row r="327" spans="1:10">
      <c r="A327" s="111" t="s">
        <v>503</v>
      </c>
      <c r="B327" s="111" t="s">
        <v>520</v>
      </c>
      <c r="C327" s="111" t="s">
        <v>466</v>
      </c>
      <c r="D327" s="115">
        <v>2002</v>
      </c>
      <c r="E327" s="115">
        <v>5</v>
      </c>
      <c r="F327" s="117">
        <v>364.5</v>
      </c>
      <c r="G327" s="115">
        <v>2025</v>
      </c>
      <c r="H327" s="115">
        <v>5</v>
      </c>
      <c r="I327" s="117">
        <v>1137.3489999999999</v>
      </c>
      <c r="J327" s="112">
        <v>5.0719499479133789</v>
      </c>
    </row>
    <row r="328" spans="1:10">
      <c r="A328" s="111" t="s">
        <v>503</v>
      </c>
      <c r="B328" s="111" t="s">
        <v>520</v>
      </c>
      <c r="C328" s="111" t="s">
        <v>466</v>
      </c>
      <c r="D328" s="115">
        <v>2003</v>
      </c>
      <c r="E328" s="115">
        <v>5</v>
      </c>
      <c r="F328" s="117">
        <v>388.9</v>
      </c>
      <c r="G328" s="115">
        <v>2025</v>
      </c>
      <c r="H328" s="115">
        <v>5</v>
      </c>
      <c r="I328" s="117">
        <v>1137.3489999999999</v>
      </c>
      <c r="J328" s="112">
        <v>4.9988046384635174</v>
      </c>
    </row>
    <row r="329" spans="1:10">
      <c r="A329" s="111" t="s">
        <v>503</v>
      </c>
      <c r="B329" s="111" t="s">
        <v>520</v>
      </c>
      <c r="C329" s="111" t="s">
        <v>466</v>
      </c>
      <c r="D329" s="115">
        <v>2004</v>
      </c>
      <c r="E329" s="115">
        <v>5</v>
      </c>
      <c r="F329" s="117">
        <v>414.6</v>
      </c>
      <c r="G329" s="115">
        <v>2025</v>
      </c>
      <c r="H329" s="115">
        <v>5</v>
      </c>
      <c r="I329" s="117">
        <v>1137.3489999999999</v>
      </c>
      <c r="J329" s="112">
        <v>4.9227671542858342</v>
      </c>
    </row>
    <row r="330" spans="1:10">
      <c r="A330" s="111" t="s">
        <v>503</v>
      </c>
      <c r="B330" s="111" t="s">
        <v>520</v>
      </c>
      <c r="C330" s="111" t="s">
        <v>466</v>
      </c>
      <c r="D330" s="115">
        <v>2005</v>
      </c>
      <c r="E330" s="115">
        <v>5</v>
      </c>
      <c r="F330" s="117">
        <v>437.3</v>
      </c>
      <c r="G330" s="115">
        <v>2025</v>
      </c>
      <c r="H330" s="115">
        <v>5</v>
      </c>
      <c r="I330" s="117">
        <v>1137.3489999999999</v>
      </c>
      <c r="J330" s="112">
        <v>4.8952237393058873</v>
      </c>
    </row>
    <row r="331" spans="1:10">
      <c r="A331" s="111" t="s">
        <v>503</v>
      </c>
      <c r="B331" s="111" t="s">
        <v>520</v>
      </c>
      <c r="C331" s="111" t="s">
        <v>466</v>
      </c>
      <c r="D331" s="115">
        <v>2006</v>
      </c>
      <c r="E331" s="115">
        <v>5</v>
      </c>
      <c r="F331" s="117">
        <v>466.1</v>
      </c>
      <c r="G331" s="115">
        <v>2025</v>
      </c>
      <c r="H331" s="115">
        <v>5</v>
      </c>
      <c r="I331" s="117">
        <v>1137.3489999999999</v>
      </c>
      <c r="J331" s="112">
        <v>4.8069890654089509</v>
      </c>
    </row>
    <row r="332" spans="1:10">
      <c r="A332" s="111" t="s">
        <v>503</v>
      </c>
      <c r="B332" s="111" t="s">
        <v>520</v>
      </c>
      <c r="C332" s="111" t="s">
        <v>466</v>
      </c>
      <c r="D332" s="115">
        <v>2007</v>
      </c>
      <c r="E332" s="115">
        <v>5</v>
      </c>
      <c r="F332" s="117">
        <v>494.12200000000001</v>
      </c>
      <c r="G332" s="115">
        <v>2025</v>
      </c>
      <c r="H332" s="115">
        <v>5</v>
      </c>
      <c r="I332" s="117">
        <v>1137.3489999999999</v>
      </c>
      <c r="J332" s="112">
        <v>4.7404462687749227</v>
      </c>
    </row>
    <row r="333" spans="1:10">
      <c r="A333" s="111" t="s">
        <v>503</v>
      </c>
      <c r="B333" s="111" t="s">
        <v>520</v>
      </c>
      <c r="C333" s="111" t="s">
        <v>466</v>
      </c>
      <c r="D333" s="115">
        <v>2008</v>
      </c>
      <c r="E333" s="115">
        <v>5</v>
      </c>
      <c r="F333" s="117">
        <v>531.02200000000005</v>
      </c>
      <c r="G333" s="115">
        <v>2025</v>
      </c>
      <c r="H333" s="115">
        <v>5</v>
      </c>
      <c r="I333" s="117">
        <v>1137.3489999999999</v>
      </c>
      <c r="J333" s="112">
        <v>4.5821870736069581</v>
      </c>
    </row>
    <row r="334" spans="1:10">
      <c r="A334" s="111" t="s">
        <v>503</v>
      </c>
      <c r="B334" s="111" t="s">
        <v>520</v>
      </c>
      <c r="C334" s="111" t="s">
        <v>466</v>
      </c>
      <c r="D334" s="115">
        <v>2009</v>
      </c>
      <c r="E334" s="115">
        <v>5</v>
      </c>
      <c r="F334" s="117">
        <v>564.11199999999997</v>
      </c>
      <c r="G334" s="115">
        <v>2025</v>
      </c>
      <c r="H334" s="115">
        <v>5</v>
      </c>
      <c r="I334" s="117">
        <v>1137.3489999999999</v>
      </c>
      <c r="J334" s="112">
        <v>4.4799667543161892</v>
      </c>
    </row>
    <row r="335" spans="1:10">
      <c r="A335" s="111" t="s">
        <v>503</v>
      </c>
      <c r="B335" s="111" t="s">
        <v>520</v>
      </c>
      <c r="C335" s="111" t="s">
        <v>466</v>
      </c>
      <c r="D335" s="115">
        <v>2010</v>
      </c>
      <c r="E335" s="115">
        <v>5</v>
      </c>
      <c r="F335" s="117">
        <v>605.31299999999999</v>
      </c>
      <c r="G335" s="115">
        <v>2025</v>
      </c>
      <c r="H335" s="115">
        <v>5</v>
      </c>
      <c r="I335" s="117">
        <v>1137.3489999999999</v>
      </c>
      <c r="J335" s="112">
        <v>4.2943823784855617</v>
      </c>
    </row>
    <row r="336" spans="1:10">
      <c r="A336" s="111" t="s">
        <v>503</v>
      </c>
      <c r="B336" s="111" t="s">
        <v>520</v>
      </c>
      <c r="C336" s="111" t="s">
        <v>466</v>
      </c>
      <c r="D336" s="115">
        <v>2011</v>
      </c>
      <c r="E336" s="115">
        <v>5</v>
      </c>
      <c r="F336" s="117">
        <v>639.45600000000002</v>
      </c>
      <c r="G336" s="115">
        <v>2025</v>
      </c>
      <c r="H336" s="115">
        <v>5</v>
      </c>
      <c r="I336" s="117">
        <v>1137.3489999999999</v>
      </c>
      <c r="J336" s="112">
        <v>4.1988863552425038</v>
      </c>
    </row>
    <row r="337" spans="1:10">
      <c r="A337" s="111" t="s">
        <v>503</v>
      </c>
      <c r="B337" s="111" t="s">
        <v>520</v>
      </c>
      <c r="C337" s="111" t="s">
        <v>466</v>
      </c>
      <c r="D337" s="115">
        <v>2012</v>
      </c>
      <c r="E337" s="115">
        <v>5</v>
      </c>
      <c r="F337" s="117">
        <v>669.47500000000002</v>
      </c>
      <c r="G337" s="115">
        <v>2025</v>
      </c>
      <c r="H337" s="115">
        <v>5</v>
      </c>
      <c r="I337" s="117">
        <v>1137.3489999999999</v>
      </c>
      <c r="J337" s="112">
        <v>4.1608626846388894</v>
      </c>
    </row>
    <row r="338" spans="1:10">
      <c r="A338" s="111" t="s">
        <v>503</v>
      </c>
      <c r="B338" s="111" t="s">
        <v>520</v>
      </c>
      <c r="C338" s="111" t="s">
        <v>466</v>
      </c>
      <c r="D338" s="115">
        <v>2013</v>
      </c>
      <c r="E338" s="115">
        <v>5</v>
      </c>
      <c r="F338" s="117">
        <v>693.46699999999998</v>
      </c>
      <c r="G338" s="115">
        <v>2025</v>
      </c>
      <c r="H338" s="115">
        <v>5</v>
      </c>
      <c r="I338" s="117">
        <v>1137.3489999999999</v>
      </c>
      <c r="J338" s="112">
        <v>4.2091041856699318</v>
      </c>
    </row>
    <row r="339" spans="1:10">
      <c r="A339" s="111" t="s">
        <v>503</v>
      </c>
      <c r="B339" s="111" t="s">
        <v>520</v>
      </c>
      <c r="C339" s="111" t="s">
        <v>466</v>
      </c>
      <c r="D339" s="115">
        <v>2014</v>
      </c>
      <c r="E339" s="115">
        <v>5</v>
      </c>
      <c r="F339" s="117">
        <v>733.37800000000004</v>
      </c>
      <c r="G339" s="115">
        <v>2025</v>
      </c>
      <c r="H339" s="115">
        <v>5</v>
      </c>
      <c r="I339" s="117">
        <v>1137.3489999999999</v>
      </c>
      <c r="J339" s="112">
        <v>4.0696682685851471</v>
      </c>
    </row>
    <row r="340" spans="1:10">
      <c r="A340" s="111" t="s">
        <v>503</v>
      </c>
      <c r="B340" s="111" t="s">
        <v>520</v>
      </c>
      <c r="C340" s="111" t="s">
        <v>466</v>
      </c>
      <c r="D340" s="115">
        <v>2015</v>
      </c>
      <c r="E340" s="115">
        <v>5</v>
      </c>
      <c r="F340" s="117">
        <v>766.48599999999999</v>
      </c>
      <c r="G340" s="115">
        <v>2025</v>
      </c>
      <c r="H340" s="115">
        <v>5</v>
      </c>
      <c r="I340" s="117">
        <v>1137.3489999999999</v>
      </c>
      <c r="J340" s="112">
        <v>4.0252941066224679</v>
      </c>
    </row>
    <row r="341" spans="1:10">
      <c r="A341" s="111" t="s">
        <v>503</v>
      </c>
      <c r="B341" s="111" t="s">
        <v>520</v>
      </c>
      <c r="C341" s="111" t="s">
        <v>466</v>
      </c>
      <c r="D341" s="115">
        <v>2016</v>
      </c>
      <c r="E341" s="115">
        <v>5</v>
      </c>
      <c r="F341" s="117">
        <v>791.41700000000003</v>
      </c>
      <c r="G341" s="115">
        <v>2025</v>
      </c>
      <c r="H341" s="115">
        <v>5</v>
      </c>
      <c r="I341" s="117">
        <v>1137.3489999999999</v>
      </c>
      <c r="J341" s="112">
        <v>4.1115011223957998</v>
      </c>
    </row>
    <row r="342" spans="1:10">
      <c r="A342" s="111" t="s">
        <v>503</v>
      </c>
      <c r="B342" s="111" t="s">
        <v>520</v>
      </c>
      <c r="C342" s="111" t="s">
        <v>466</v>
      </c>
      <c r="D342" s="115">
        <v>2017</v>
      </c>
      <c r="E342" s="115">
        <v>5</v>
      </c>
      <c r="F342" s="117">
        <v>827.94299999999998</v>
      </c>
      <c r="G342" s="115">
        <v>2025</v>
      </c>
      <c r="H342" s="115">
        <v>5</v>
      </c>
      <c r="I342" s="117">
        <v>1137.3489999999999</v>
      </c>
      <c r="J342" s="112">
        <v>4.0487013146930817</v>
      </c>
    </row>
    <row r="343" spans="1:10">
      <c r="A343" s="111" t="s">
        <v>503</v>
      </c>
      <c r="B343" s="111" t="s">
        <v>520</v>
      </c>
      <c r="C343" s="111" t="s">
        <v>466</v>
      </c>
      <c r="D343" s="115">
        <v>2018</v>
      </c>
      <c r="E343" s="115">
        <v>5</v>
      </c>
      <c r="F343" s="117">
        <v>865.06799999999998</v>
      </c>
      <c r="G343" s="115">
        <v>2025</v>
      </c>
      <c r="H343" s="115">
        <v>5</v>
      </c>
      <c r="I343" s="117">
        <v>1137.3489999999999</v>
      </c>
      <c r="J343" s="112">
        <v>3.9866633919656058</v>
      </c>
    </row>
    <row r="344" spans="1:10">
      <c r="A344" s="111" t="s">
        <v>503</v>
      </c>
      <c r="B344" s="111" t="s">
        <v>520</v>
      </c>
      <c r="C344" s="111" t="s">
        <v>466</v>
      </c>
      <c r="D344" s="115">
        <v>2019</v>
      </c>
      <c r="E344" s="115">
        <v>5</v>
      </c>
      <c r="F344" s="117">
        <v>878.41899999999998</v>
      </c>
      <c r="G344" s="115">
        <v>2025</v>
      </c>
      <c r="H344" s="115">
        <v>5</v>
      </c>
      <c r="I344" s="117">
        <v>1137.3489999999999</v>
      </c>
      <c r="J344" s="112">
        <v>4.3995607768973164</v>
      </c>
    </row>
    <row r="345" spans="1:10">
      <c r="A345" s="111" t="s">
        <v>503</v>
      </c>
      <c r="B345" s="111" t="s">
        <v>520</v>
      </c>
      <c r="C345" s="111" t="s">
        <v>466</v>
      </c>
      <c r="D345" s="115">
        <v>2020</v>
      </c>
      <c r="E345" s="115">
        <v>5</v>
      </c>
      <c r="F345" s="117">
        <v>919.07500000000005</v>
      </c>
      <c r="G345" s="115">
        <v>2025</v>
      </c>
      <c r="H345" s="115">
        <v>5</v>
      </c>
      <c r="I345" s="117">
        <v>1137.3489999999999</v>
      </c>
      <c r="J345" s="112">
        <v>4.3538699460464514</v>
      </c>
    </row>
    <row r="346" spans="1:10">
      <c r="A346" s="111" t="s">
        <v>503</v>
      </c>
      <c r="B346" s="111" t="s">
        <v>520</v>
      </c>
      <c r="C346" s="111" t="s">
        <v>466</v>
      </c>
      <c r="D346" s="115">
        <v>2021</v>
      </c>
      <c r="E346" s="115">
        <v>5</v>
      </c>
      <c r="F346" s="117">
        <v>944.68</v>
      </c>
      <c r="G346" s="115">
        <v>2025</v>
      </c>
      <c r="H346" s="115">
        <v>5</v>
      </c>
      <c r="I346" s="117">
        <v>1137.3489999999999</v>
      </c>
      <c r="J346" s="112">
        <v>4.7495720367643601</v>
      </c>
    </row>
    <row r="347" spans="1:10">
      <c r="A347" s="111" t="s">
        <v>503</v>
      </c>
      <c r="B347" s="111" t="s">
        <v>520</v>
      </c>
      <c r="C347" s="111" t="s">
        <v>466</v>
      </c>
      <c r="D347" s="115">
        <v>2022</v>
      </c>
      <c r="E347" s="115">
        <v>5</v>
      </c>
      <c r="F347" s="117">
        <v>980.97500000000002</v>
      </c>
      <c r="G347" s="115">
        <v>2025</v>
      </c>
      <c r="H347" s="115">
        <v>5</v>
      </c>
      <c r="I347" s="117">
        <v>1137.3489999999999</v>
      </c>
      <c r="J347" s="112">
        <v>5.0538412518786879</v>
      </c>
    </row>
    <row r="348" spans="1:10">
      <c r="A348" s="111" t="s">
        <v>503</v>
      </c>
      <c r="B348" s="111" t="s">
        <v>520</v>
      </c>
      <c r="C348" s="111" t="s">
        <v>466</v>
      </c>
      <c r="D348" s="115">
        <v>2023</v>
      </c>
      <c r="E348" s="115">
        <v>5</v>
      </c>
      <c r="F348" s="117">
        <v>1019.5839999999999</v>
      </c>
      <c r="G348" s="115">
        <v>2025</v>
      </c>
      <c r="H348" s="115">
        <v>5</v>
      </c>
      <c r="I348" s="117">
        <v>1137.3489999999999</v>
      </c>
      <c r="J348" s="112">
        <v>5.6173749652263627</v>
      </c>
    </row>
    <row r="349" spans="1:10">
      <c r="A349" s="111" t="s">
        <v>503</v>
      </c>
      <c r="B349" s="111" t="s">
        <v>520</v>
      </c>
      <c r="C349" s="111" t="s">
        <v>466</v>
      </c>
      <c r="D349" s="115">
        <v>2024</v>
      </c>
      <c r="E349" s="115">
        <v>5</v>
      </c>
      <c r="F349" s="117">
        <v>1094.52</v>
      </c>
      <c r="G349" s="115">
        <v>2025</v>
      </c>
      <c r="H349" s="115">
        <v>5</v>
      </c>
      <c r="I349" s="117">
        <v>1137.3489999999999</v>
      </c>
      <c r="J349" s="112">
        <v>3.9130395059021161</v>
      </c>
    </row>
    <row r="350" spans="1:10">
      <c r="A350" s="113" t="s">
        <v>215</v>
      </c>
      <c r="B350" s="113" t="s">
        <v>521</v>
      </c>
      <c r="C350" s="113" t="s">
        <v>468</v>
      </c>
      <c r="D350" s="116">
        <v>1967</v>
      </c>
      <c r="E350" s="116">
        <v>5</v>
      </c>
      <c r="F350" s="119">
        <v>44.8</v>
      </c>
      <c r="G350" s="116">
        <v>2025</v>
      </c>
      <c r="H350" s="116">
        <v>5</v>
      </c>
      <c r="I350" s="119">
        <v>417.149</v>
      </c>
      <c r="J350" s="114">
        <v>3.9219109325692392</v>
      </c>
    </row>
    <row r="351" spans="1:10">
      <c r="A351" s="113" t="s">
        <v>215</v>
      </c>
      <c r="B351" s="113" t="s">
        <v>521</v>
      </c>
      <c r="C351" s="113" t="s">
        <v>468</v>
      </c>
      <c r="D351" s="116">
        <v>1968</v>
      </c>
      <c r="E351" s="116">
        <v>5</v>
      </c>
      <c r="F351" s="119">
        <v>44.9</v>
      </c>
      <c r="G351" s="116">
        <v>2025</v>
      </c>
      <c r="H351" s="116">
        <v>5</v>
      </c>
      <c r="I351" s="119">
        <v>417.149</v>
      </c>
      <c r="J351" s="114">
        <v>3.9880042510746398</v>
      </c>
    </row>
    <row r="352" spans="1:10">
      <c r="A352" s="113" t="s">
        <v>215</v>
      </c>
      <c r="B352" s="113" t="s">
        <v>521</v>
      </c>
      <c r="C352" s="113" t="s">
        <v>468</v>
      </c>
      <c r="D352" s="116">
        <v>1969</v>
      </c>
      <c r="E352" s="116">
        <v>5</v>
      </c>
      <c r="F352" s="119">
        <v>45.4</v>
      </c>
      <c r="G352" s="116">
        <v>2025</v>
      </c>
      <c r="H352" s="116">
        <v>5</v>
      </c>
      <c r="I352" s="119">
        <v>417.149</v>
      </c>
      <c r="J352" s="114">
        <v>4.0400689449278104</v>
      </c>
    </row>
    <row r="353" spans="1:10">
      <c r="A353" s="113" t="s">
        <v>215</v>
      </c>
      <c r="B353" s="113" t="s">
        <v>521</v>
      </c>
      <c r="C353" s="113" t="s">
        <v>468</v>
      </c>
      <c r="D353" s="116">
        <v>1970</v>
      </c>
      <c r="E353" s="116">
        <v>5</v>
      </c>
      <c r="F353" s="119">
        <v>46.4</v>
      </c>
      <c r="G353" s="116">
        <v>2025</v>
      </c>
      <c r="H353" s="116">
        <v>5</v>
      </c>
      <c r="I353" s="119">
        <v>417.149</v>
      </c>
      <c r="J353" s="114">
        <v>4.0737806697064496</v>
      </c>
    </row>
    <row r="354" spans="1:10">
      <c r="A354" s="113" t="s">
        <v>215</v>
      </c>
      <c r="B354" s="113" t="s">
        <v>521</v>
      </c>
      <c r="C354" s="113" t="s">
        <v>468</v>
      </c>
      <c r="D354" s="116">
        <v>1971</v>
      </c>
      <c r="E354" s="116">
        <v>5</v>
      </c>
      <c r="F354" s="119">
        <v>47.2</v>
      </c>
      <c r="G354" s="116">
        <v>2025</v>
      </c>
      <c r="H354" s="116">
        <v>5</v>
      </c>
      <c r="I354" s="119">
        <v>417.149</v>
      </c>
      <c r="J354" s="114">
        <v>4.1178005770559301</v>
      </c>
    </row>
    <row r="355" spans="1:10">
      <c r="A355" s="113" t="s">
        <v>215</v>
      </c>
      <c r="B355" s="113" t="s">
        <v>521</v>
      </c>
      <c r="C355" s="113" t="s">
        <v>468</v>
      </c>
      <c r="D355" s="116">
        <v>1972</v>
      </c>
      <c r="E355" s="116">
        <v>5</v>
      </c>
      <c r="F355" s="119">
        <v>47.3</v>
      </c>
      <c r="G355" s="116">
        <v>2025</v>
      </c>
      <c r="H355" s="116">
        <v>5</v>
      </c>
      <c r="I355" s="119">
        <v>417.149</v>
      </c>
      <c r="J355" s="114">
        <v>4.1929425175771362</v>
      </c>
    </row>
    <row r="356" spans="1:10">
      <c r="A356" s="113" t="s">
        <v>215</v>
      </c>
      <c r="B356" s="113" t="s">
        <v>521</v>
      </c>
      <c r="C356" s="113" t="s">
        <v>468</v>
      </c>
      <c r="D356" s="116">
        <v>1973</v>
      </c>
      <c r="E356" s="116">
        <v>5</v>
      </c>
      <c r="F356" s="119">
        <v>47.5</v>
      </c>
      <c r="G356" s="116">
        <v>2025</v>
      </c>
      <c r="H356" s="116">
        <v>5</v>
      </c>
      <c r="I356" s="119">
        <v>417.149</v>
      </c>
      <c r="J356" s="114">
        <v>4.2668150308354136</v>
      </c>
    </row>
    <row r="357" spans="1:10">
      <c r="A357" s="113" t="s">
        <v>215</v>
      </c>
      <c r="B357" s="113" t="s">
        <v>521</v>
      </c>
      <c r="C357" s="113" t="s">
        <v>468</v>
      </c>
      <c r="D357" s="116">
        <v>1974</v>
      </c>
      <c r="E357" s="116">
        <v>5</v>
      </c>
      <c r="F357" s="119">
        <v>48.4</v>
      </c>
      <c r="G357" s="116">
        <v>2025</v>
      </c>
      <c r="H357" s="116">
        <v>5</v>
      </c>
      <c r="I357" s="119">
        <v>417.149</v>
      </c>
      <c r="J357" s="114">
        <v>4.3138742163458144</v>
      </c>
    </row>
    <row r="358" spans="1:10">
      <c r="A358" s="113" t="s">
        <v>215</v>
      </c>
      <c r="B358" s="113" t="s">
        <v>521</v>
      </c>
      <c r="C358" s="113" t="s">
        <v>468</v>
      </c>
      <c r="D358" s="116">
        <v>1975</v>
      </c>
      <c r="E358" s="116">
        <v>5</v>
      </c>
      <c r="F358" s="119">
        <v>52.9</v>
      </c>
      <c r="G358" s="116">
        <v>2025</v>
      </c>
      <c r="H358" s="116">
        <v>5</v>
      </c>
      <c r="I358" s="119">
        <v>417.149</v>
      </c>
      <c r="J358" s="114">
        <v>4.21655445748923</v>
      </c>
    </row>
    <row r="359" spans="1:10">
      <c r="A359" s="113" t="s">
        <v>215</v>
      </c>
      <c r="B359" s="113" t="s">
        <v>521</v>
      </c>
      <c r="C359" s="113" t="s">
        <v>468</v>
      </c>
      <c r="D359" s="116">
        <v>1976</v>
      </c>
      <c r="E359" s="116">
        <v>5</v>
      </c>
      <c r="F359" s="119">
        <v>56.2</v>
      </c>
      <c r="G359" s="116">
        <v>2025</v>
      </c>
      <c r="H359" s="116">
        <v>5</v>
      </c>
      <c r="I359" s="119">
        <v>417.149</v>
      </c>
      <c r="J359" s="114">
        <v>4.1756997618245251</v>
      </c>
    </row>
    <row r="360" spans="1:10">
      <c r="A360" s="113" t="s">
        <v>215</v>
      </c>
      <c r="B360" s="113" t="s">
        <v>521</v>
      </c>
      <c r="C360" s="113" t="s">
        <v>468</v>
      </c>
      <c r="D360" s="116">
        <v>1977</v>
      </c>
      <c r="E360" s="116">
        <v>5</v>
      </c>
      <c r="F360" s="119">
        <v>59.6</v>
      </c>
      <c r="G360" s="116">
        <v>2025</v>
      </c>
      <c r="H360" s="116">
        <v>5</v>
      </c>
      <c r="I360" s="119">
        <v>417.149</v>
      </c>
      <c r="J360" s="114">
        <v>4.1370097804543926</v>
      </c>
    </row>
    <row r="361" spans="1:10">
      <c r="A361" s="113" t="s">
        <v>215</v>
      </c>
      <c r="B361" s="113" t="s">
        <v>521</v>
      </c>
      <c r="C361" s="113" t="s">
        <v>468</v>
      </c>
      <c r="D361" s="116">
        <v>1978</v>
      </c>
      <c r="E361" s="116">
        <v>5</v>
      </c>
      <c r="F361" s="119">
        <v>63.8</v>
      </c>
      <c r="G361" s="116">
        <v>2025</v>
      </c>
      <c r="H361" s="116">
        <v>5</v>
      </c>
      <c r="I361" s="119">
        <v>417.149</v>
      </c>
      <c r="J361" s="114">
        <v>4.0759626946742964</v>
      </c>
    </row>
    <row r="362" spans="1:10">
      <c r="A362" s="113" t="s">
        <v>215</v>
      </c>
      <c r="B362" s="113" t="s">
        <v>521</v>
      </c>
      <c r="C362" s="113" t="s">
        <v>468</v>
      </c>
      <c r="D362" s="116">
        <v>1979</v>
      </c>
      <c r="E362" s="116">
        <v>5</v>
      </c>
      <c r="F362" s="119">
        <v>68.2</v>
      </c>
      <c r="G362" s="116">
        <v>2025</v>
      </c>
      <c r="H362" s="116">
        <v>5</v>
      </c>
      <c r="I362" s="119">
        <v>417.149</v>
      </c>
      <c r="J362" s="114">
        <v>4.0154792960124484</v>
      </c>
    </row>
    <row r="363" spans="1:10">
      <c r="A363" s="113" t="s">
        <v>215</v>
      </c>
      <c r="B363" s="113" t="s">
        <v>521</v>
      </c>
      <c r="C363" s="113" t="s">
        <v>468</v>
      </c>
      <c r="D363" s="116">
        <v>1980</v>
      </c>
      <c r="E363" s="116">
        <v>5</v>
      </c>
      <c r="F363" s="119">
        <v>74.5</v>
      </c>
      <c r="G363" s="116">
        <v>2025</v>
      </c>
      <c r="H363" s="116">
        <v>5</v>
      </c>
      <c r="I363" s="119">
        <v>417.149</v>
      </c>
      <c r="J363" s="114">
        <v>3.9023142285033789</v>
      </c>
    </row>
    <row r="364" spans="1:10">
      <c r="A364" s="113" t="s">
        <v>215</v>
      </c>
      <c r="B364" s="113" t="s">
        <v>521</v>
      </c>
      <c r="C364" s="113" t="s">
        <v>468</v>
      </c>
      <c r="D364" s="116">
        <v>1981</v>
      </c>
      <c r="E364" s="116">
        <v>5</v>
      </c>
      <c r="F364" s="119">
        <v>82.6</v>
      </c>
      <c r="G364" s="116">
        <v>2025</v>
      </c>
      <c r="H364" s="116">
        <v>5</v>
      </c>
      <c r="I364" s="119">
        <v>417.149</v>
      </c>
      <c r="J364" s="114">
        <v>3.7491015623719588</v>
      </c>
    </row>
    <row r="365" spans="1:10">
      <c r="A365" s="113" t="s">
        <v>215</v>
      </c>
      <c r="B365" s="113" t="s">
        <v>521</v>
      </c>
      <c r="C365" s="113" t="s">
        <v>468</v>
      </c>
      <c r="D365" s="116">
        <v>1982</v>
      </c>
      <c r="E365" s="116">
        <v>5</v>
      </c>
      <c r="F365" s="119">
        <v>91.2</v>
      </c>
      <c r="G365" s="116">
        <v>2025</v>
      </c>
      <c r="H365" s="116">
        <v>5</v>
      </c>
      <c r="I365" s="119">
        <v>417.149</v>
      </c>
      <c r="J365" s="114">
        <v>3.599039632552925</v>
      </c>
    </row>
    <row r="366" spans="1:10">
      <c r="A366" s="113" t="s">
        <v>215</v>
      </c>
      <c r="B366" s="113" t="s">
        <v>521</v>
      </c>
      <c r="C366" s="113" t="s">
        <v>468</v>
      </c>
      <c r="D366" s="116">
        <v>1983</v>
      </c>
      <c r="E366" s="116">
        <v>5</v>
      </c>
      <c r="F366" s="119">
        <v>99.4</v>
      </c>
      <c r="G366" s="116">
        <v>2025</v>
      </c>
      <c r="H366" s="116">
        <v>5</v>
      </c>
      <c r="I366" s="119">
        <v>417.149</v>
      </c>
      <c r="J366" s="114">
        <v>3.4739593160192368</v>
      </c>
    </row>
    <row r="367" spans="1:10">
      <c r="A367" s="113" t="s">
        <v>215</v>
      </c>
      <c r="B367" s="113" t="s">
        <v>521</v>
      </c>
      <c r="C367" s="113" t="s">
        <v>468</v>
      </c>
      <c r="D367" s="116">
        <v>1984</v>
      </c>
      <c r="E367" s="116">
        <v>5</v>
      </c>
      <c r="F367" s="119">
        <v>106.7</v>
      </c>
      <c r="G367" s="116">
        <v>2025</v>
      </c>
      <c r="H367" s="116">
        <v>5</v>
      </c>
      <c r="I367" s="119">
        <v>417.149</v>
      </c>
      <c r="J367" s="114">
        <v>3.3813304053931681</v>
      </c>
    </row>
    <row r="368" spans="1:10">
      <c r="A368" s="113" t="s">
        <v>215</v>
      </c>
      <c r="B368" s="113" t="s">
        <v>521</v>
      </c>
      <c r="C368" s="113" t="s">
        <v>468</v>
      </c>
      <c r="D368" s="116">
        <v>1985</v>
      </c>
      <c r="E368" s="116">
        <v>5</v>
      </c>
      <c r="F368" s="119">
        <v>114.1</v>
      </c>
      <c r="G368" s="116">
        <v>2025</v>
      </c>
      <c r="H368" s="116">
        <v>5</v>
      </c>
      <c r="I368" s="119">
        <v>417.149</v>
      </c>
      <c r="J368" s="114">
        <v>3.29401034835568</v>
      </c>
    </row>
    <row r="369" spans="1:10">
      <c r="A369" s="113" t="s">
        <v>215</v>
      </c>
      <c r="B369" s="113" t="s">
        <v>521</v>
      </c>
      <c r="C369" s="113" t="s">
        <v>468</v>
      </c>
      <c r="D369" s="116">
        <v>1986</v>
      </c>
      <c r="E369" s="116">
        <v>5</v>
      </c>
      <c r="F369" s="119">
        <v>121.8</v>
      </c>
      <c r="G369" s="116">
        <v>2025</v>
      </c>
      <c r="H369" s="116">
        <v>5</v>
      </c>
      <c r="I369" s="119">
        <v>417.149</v>
      </c>
      <c r="J369" s="114">
        <v>3.2069201929945121</v>
      </c>
    </row>
    <row r="370" spans="1:10">
      <c r="A370" s="113" t="s">
        <v>215</v>
      </c>
      <c r="B370" s="113" t="s">
        <v>521</v>
      </c>
      <c r="C370" s="113" t="s">
        <v>468</v>
      </c>
      <c r="D370" s="116">
        <v>1987</v>
      </c>
      <c r="E370" s="116">
        <v>5</v>
      </c>
      <c r="F370" s="119">
        <v>129.6</v>
      </c>
      <c r="G370" s="116">
        <v>2025</v>
      </c>
      <c r="H370" s="116">
        <v>5</v>
      </c>
      <c r="I370" s="119">
        <v>417.149</v>
      </c>
      <c r="J370" s="114">
        <v>3.124098091341065</v>
      </c>
    </row>
    <row r="371" spans="1:10">
      <c r="A371" s="113" t="s">
        <v>215</v>
      </c>
      <c r="B371" s="113" t="s">
        <v>521</v>
      </c>
      <c r="C371" s="113" t="s">
        <v>468</v>
      </c>
      <c r="D371" s="116">
        <v>1988</v>
      </c>
      <c r="E371" s="116">
        <v>5</v>
      </c>
      <c r="F371" s="119">
        <v>138.69999999999999</v>
      </c>
      <c r="G371" s="116">
        <v>2025</v>
      </c>
      <c r="H371" s="116">
        <v>5</v>
      </c>
      <c r="I371" s="119">
        <v>417.149</v>
      </c>
      <c r="J371" s="114">
        <v>3.0207537006391232</v>
      </c>
    </row>
    <row r="372" spans="1:10">
      <c r="A372" s="113" t="s">
        <v>215</v>
      </c>
      <c r="B372" s="113" t="s">
        <v>521</v>
      </c>
      <c r="C372" s="113" t="s">
        <v>468</v>
      </c>
      <c r="D372" s="116">
        <v>1989</v>
      </c>
      <c r="E372" s="116">
        <v>5</v>
      </c>
      <c r="F372" s="119">
        <v>149.6</v>
      </c>
      <c r="G372" s="116">
        <v>2025</v>
      </c>
      <c r="H372" s="116">
        <v>5</v>
      </c>
      <c r="I372" s="119">
        <v>417.149</v>
      </c>
      <c r="J372" s="114">
        <v>2.8895103367917669</v>
      </c>
    </row>
    <row r="373" spans="1:10">
      <c r="A373" s="113" t="s">
        <v>215</v>
      </c>
      <c r="B373" s="113" t="s">
        <v>521</v>
      </c>
      <c r="C373" s="113" t="s">
        <v>468</v>
      </c>
      <c r="D373" s="116">
        <v>1990</v>
      </c>
      <c r="E373" s="116">
        <v>5</v>
      </c>
      <c r="F373" s="119">
        <v>161.80000000000001</v>
      </c>
      <c r="G373" s="116">
        <v>2025</v>
      </c>
      <c r="H373" s="116">
        <v>5</v>
      </c>
      <c r="I373" s="119">
        <v>417.149</v>
      </c>
      <c r="J373" s="114">
        <v>2.7428932012364848</v>
      </c>
    </row>
    <row r="374" spans="1:10">
      <c r="A374" s="113" t="s">
        <v>215</v>
      </c>
      <c r="B374" s="113" t="s">
        <v>521</v>
      </c>
      <c r="C374" s="113" t="s">
        <v>468</v>
      </c>
      <c r="D374" s="116">
        <v>1991</v>
      </c>
      <c r="E374" s="116">
        <v>5</v>
      </c>
      <c r="F374" s="119">
        <v>175.1</v>
      </c>
      <c r="G374" s="116">
        <v>2025</v>
      </c>
      <c r="H374" s="116">
        <v>5</v>
      </c>
      <c r="I374" s="119">
        <v>417.149</v>
      </c>
      <c r="J374" s="114">
        <v>2.586067996908703</v>
      </c>
    </row>
    <row r="375" spans="1:10">
      <c r="A375" s="113" t="s">
        <v>215</v>
      </c>
      <c r="B375" s="113" t="s">
        <v>521</v>
      </c>
      <c r="C375" s="113" t="s">
        <v>468</v>
      </c>
      <c r="D375" s="116">
        <v>1992</v>
      </c>
      <c r="E375" s="116">
        <v>5</v>
      </c>
      <c r="F375" s="119">
        <v>187.4</v>
      </c>
      <c r="G375" s="116">
        <v>2025</v>
      </c>
      <c r="H375" s="116">
        <v>5</v>
      </c>
      <c r="I375" s="119">
        <v>417.149</v>
      </c>
      <c r="J375" s="114">
        <v>2.4544811223080609</v>
      </c>
    </row>
    <row r="376" spans="1:10">
      <c r="A376" s="113" t="s">
        <v>215</v>
      </c>
      <c r="B376" s="113" t="s">
        <v>521</v>
      </c>
      <c r="C376" s="113" t="s">
        <v>468</v>
      </c>
      <c r="D376" s="116">
        <v>1993</v>
      </c>
      <c r="E376" s="116">
        <v>5</v>
      </c>
      <c r="F376" s="119">
        <v>194.1</v>
      </c>
      <c r="G376" s="116">
        <v>2025</v>
      </c>
      <c r="H376" s="116">
        <v>5</v>
      </c>
      <c r="I376" s="119">
        <v>417.149</v>
      </c>
      <c r="J376" s="114">
        <v>2.4196535024247461</v>
      </c>
    </row>
    <row r="377" spans="1:10">
      <c r="A377" s="113" t="s">
        <v>215</v>
      </c>
      <c r="B377" s="113" t="s">
        <v>521</v>
      </c>
      <c r="C377" s="113" t="s">
        <v>468</v>
      </c>
      <c r="D377" s="116">
        <v>1994</v>
      </c>
      <c r="E377" s="116">
        <v>5</v>
      </c>
      <c r="F377" s="119">
        <v>200</v>
      </c>
      <c r="G377" s="116">
        <v>2025</v>
      </c>
      <c r="H377" s="116">
        <v>5</v>
      </c>
      <c r="I377" s="119">
        <v>417.149</v>
      </c>
      <c r="J377" s="114">
        <v>2.3997151977242388</v>
      </c>
    </row>
    <row r="378" spans="1:10">
      <c r="A378" s="113" t="s">
        <v>215</v>
      </c>
      <c r="B378" s="113" t="s">
        <v>521</v>
      </c>
      <c r="C378" s="113" t="s">
        <v>468</v>
      </c>
      <c r="D378" s="116">
        <v>1995</v>
      </c>
      <c r="E378" s="116">
        <v>5</v>
      </c>
      <c r="F378" s="119">
        <v>203.4</v>
      </c>
      <c r="G378" s="116">
        <v>2025</v>
      </c>
      <c r="H378" s="116">
        <v>5</v>
      </c>
      <c r="I378" s="119">
        <v>417.149</v>
      </c>
      <c r="J378" s="114">
        <v>2.4231217652097792</v>
      </c>
    </row>
    <row r="379" spans="1:10">
      <c r="A379" s="113" t="s">
        <v>215</v>
      </c>
      <c r="B379" s="113" t="s">
        <v>521</v>
      </c>
      <c r="C379" s="113" t="s">
        <v>468</v>
      </c>
      <c r="D379" s="116">
        <v>1996</v>
      </c>
      <c r="E379" s="116">
        <v>5</v>
      </c>
      <c r="F379" s="119">
        <v>209.7</v>
      </c>
      <c r="G379" s="116">
        <v>2025</v>
      </c>
      <c r="H379" s="116">
        <v>5</v>
      </c>
      <c r="I379" s="119">
        <v>417.149</v>
      </c>
      <c r="J379" s="114">
        <v>2.3999514917753868</v>
      </c>
    </row>
    <row r="380" spans="1:10">
      <c r="A380" s="113" t="s">
        <v>215</v>
      </c>
      <c r="B380" s="113" t="s">
        <v>521</v>
      </c>
      <c r="C380" s="113" t="s">
        <v>468</v>
      </c>
      <c r="D380" s="116">
        <v>1997</v>
      </c>
      <c r="E380" s="116">
        <v>5</v>
      </c>
      <c r="F380" s="119">
        <v>215.5</v>
      </c>
      <c r="G380" s="116">
        <v>2025</v>
      </c>
      <c r="H380" s="116">
        <v>5</v>
      </c>
      <c r="I380" s="119">
        <v>417.149</v>
      </c>
      <c r="J380" s="114">
        <v>2.3869075974408238</v>
      </c>
    </row>
    <row r="381" spans="1:10">
      <c r="A381" s="113" t="s">
        <v>215</v>
      </c>
      <c r="B381" s="113" t="s">
        <v>521</v>
      </c>
      <c r="C381" s="113" t="s">
        <v>468</v>
      </c>
      <c r="D381" s="116">
        <v>1998</v>
      </c>
      <c r="E381" s="116">
        <v>5</v>
      </c>
      <c r="F381" s="119">
        <v>221.2</v>
      </c>
      <c r="G381" s="116">
        <v>2025</v>
      </c>
      <c r="H381" s="116">
        <v>5</v>
      </c>
      <c r="I381" s="119">
        <v>417.149</v>
      </c>
      <c r="J381" s="114">
        <v>2.3773606638245899</v>
      </c>
    </row>
    <row r="382" spans="1:10">
      <c r="A382" s="113" t="s">
        <v>215</v>
      </c>
      <c r="B382" s="113" t="s">
        <v>521</v>
      </c>
      <c r="C382" s="113" t="s">
        <v>468</v>
      </c>
      <c r="D382" s="116">
        <v>1999</v>
      </c>
      <c r="E382" s="116">
        <v>5</v>
      </c>
      <c r="F382" s="119">
        <v>229.2</v>
      </c>
      <c r="G382" s="116">
        <v>2025</v>
      </c>
      <c r="H382" s="116">
        <v>5</v>
      </c>
      <c r="I382" s="119">
        <v>417.149</v>
      </c>
      <c r="J382" s="114">
        <v>2.329993350165882</v>
      </c>
    </row>
    <row r="383" spans="1:10">
      <c r="A383" s="113" t="s">
        <v>215</v>
      </c>
      <c r="B383" s="113" t="s">
        <v>521</v>
      </c>
      <c r="C383" s="113" t="s">
        <v>468</v>
      </c>
      <c r="D383" s="116">
        <v>2000</v>
      </c>
      <c r="E383" s="116">
        <v>5</v>
      </c>
      <c r="F383" s="119">
        <v>237.4</v>
      </c>
      <c r="G383" s="116">
        <v>2025</v>
      </c>
      <c r="H383" s="116">
        <v>5</v>
      </c>
      <c r="I383" s="119">
        <v>417.149</v>
      </c>
      <c r="J383" s="114">
        <v>2.2804004436680398</v>
      </c>
    </row>
    <row r="384" spans="1:10">
      <c r="A384" s="113" t="s">
        <v>215</v>
      </c>
      <c r="B384" s="113" t="s">
        <v>521</v>
      </c>
      <c r="C384" s="113" t="s">
        <v>468</v>
      </c>
      <c r="D384" s="116">
        <v>2001</v>
      </c>
      <c r="E384" s="116">
        <v>5</v>
      </c>
      <c r="F384" s="119">
        <v>246.5</v>
      </c>
      <c r="G384" s="116">
        <v>2025</v>
      </c>
      <c r="H384" s="116">
        <v>5</v>
      </c>
      <c r="I384" s="119">
        <v>417.149</v>
      </c>
      <c r="J384" s="114">
        <v>2.2162071214314678</v>
      </c>
    </row>
    <row r="385" spans="1:10">
      <c r="A385" s="113" t="s">
        <v>215</v>
      </c>
      <c r="B385" s="113" t="s">
        <v>521</v>
      </c>
      <c r="C385" s="113" t="s">
        <v>468</v>
      </c>
      <c r="D385" s="116">
        <v>2002</v>
      </c>
      <c r="E385" s="116">
        <v>5</v>
      </c>
      <c r="F385" s="119">
        <v>255.3</v>
      </c>
      <c r="G385" s="116">
        <v>2025</v>
      </c>
      <c r="H385" s="116">
        <v>5</v>
      </c>
      <c r="I385" s="119">
        <v>417.149</v>
      </c>
      <c r="J385" s="114">
        <v>2.1577505323944419</v>
      </c>
    </row>
    <row r="386" spans="1:10">
      <c r="A386" s="113" t="s">
        <v>215</v>
      </c>
      <c r="B386" s="113" t="s">
        <v>521</v>
      </c>
      <c r="C386" s="113" t="s">
        <v>468</v>
      </c>
      <c r="D386" s="116">
        <v>2003</v>
      </c>
      <c r="E386" s="116">
        <v>5</v>
      </c>
      <c r="F386" s="119">
        <v>261.7</v>
      </c>
      <c r="G386" s="116">
        <v>2025</v>
      </c>
      <c r="H386" s="116">
        <v>5</v>
      </c>
      <c r="I386" s="119">
        <v>417.149</v>
      </c>
      <c r="J386" s="114">
        <v>2.141910442100103</v>
      </c>
    </row>
    <row r="387" spans="1:10">
      <c r="A387" s="113" t="s">
        <v>215</v>
      </c>
      <c r="B387" s="113" t="s">
        <v>521</v>
      </c>
      <c r="C387" s="113" t="s">
        <v>468</v>
      </c>
      <c r="D387" s="116">
        <v>2004</v>
      </c>
      <c r="E387" s="116">
        <v>5</v>
      </c>
      <c r="F387" s="119">
        <v>269</v>
      </c>
      <c r="G387" s="116">
        <v>2025</v>
      </c>
      <c r="H387" s="116">
        <v>5</v>
      </c>
      <c r="I387" s="119">
        <v>417.149</v>
      </c>
      <c r="J387" s="114">
        <v>2.1111770110432642</v>
      </c>
    </row>
    <row r="388" spans="1:10">
      <c r="A388" s="113" t="s">
        <v>215</v>
      </c>
      <c r="B388" s="113" t="s">
        <v>521</v>
      </c>
      <c r="C388" s="113" t="s">
        <v>468</v>
      </c>
      <c r="D388" s="116">
        <v>2005</v>
      </c>
      <c r="E388" s="116">
        <v>5</v>
      </c>
      <c r="F388" s="119">
        <v>274.60000000000002</v>
      </c>
      <c r="G388" s="116">
        <v>2025</v>
      </c>
      <c r="H388" s="116">
        <v>5</v>
      </c>
      <c r="I388" s="119">
        <v>417.149</v>
      </c>
      <c r="J388" s="114">
        <v>2.112646864400181</v>
      </c>
    </row>
    <row r="389" spans="1:10">
      <c r="A389" s="113" t="s">
        <v>215</v>
      </c>
      <c r="B389" s="113" t="s">
        <v>521</v>
      </c>
      <c r="C389" s="113" t="s">
        <v>468</v>
      </c>
      <c r="D389" s="116">
        <v>2006</v>
      </c>
      <c r="E389" s="116">
        <v>5</v>
      </c>
      <c r="F389" s="119">
        <v>286.3</v>
      </c>
      <c r="G389" s="116">
        <v>2025</v>
      </c>
      <c r="H389" s="116">
        <v>5</v>
      </c>
      <c r="I389" s="119">
        <v>417.149</v>
      </c>
      <c r="J389" s="114">
        <v>2.000823204492352</v>
      </c>
    </row>
    <row r="390" spans="1:10">
      <c r="A390" s="113" t="s">
        <v>215</v>
      </c>
      <c r="B390" s="113" t="s">
        <v>521</v>
      </c>
      <c r="C390" s="113" t="s">
        <v>468</v>
      </c>
      <c r="D390" s="116">
        <v>2007</v>
      </c>
      <c r="E390" s="116">
        <v>5</v>
      </c>
      <c r="F390" s="119">
        <v>288.661</v>
      </c>
      <c r="G390" s="116">
        <v>2025</v>
      </c>
      <c r="H390" s="116">
        <v>5</v>
      </c>
      <c r="I390" s="119">
        <v>417.149</v>
      </c>
      <c r="J390" s="114">
        <v>2.0665664638797709</v>
      </c>
    </row>
    <row r="391" spans="1:10">
      <c r="A391" s="113" t="s">
        <v>215</v>
      </c>
      <c r="B391" s="113" t="s">
        <v>521</v>
      </c>
      <c r="C391" s="113" t="s">
        <v>468</v>
      </c>
      <c r="D391" s="116">
        <v>2008</v>
      </c>
      <c r="E391" s="116">
        <v>5</v>
      </c>
      <c r="F391" s="119">
        <v>294.24700000000001</v>
      </c>
      <c r="G391" s="116">
        <v>2025</v>
      </c>
      <c r="H391" s="116">
        <v>5</v>
      </c>
      <c r="I391" s="119">
        <v>417.149</v>
      </c>
      <c r="J391" s="114">
        <v>2.074302594467214</v>
      </c>
    </row>
    <row r="392" spans="1:10">
      <c r="A392" s="113" t="s">
        <v>215</v>
      </c>
      <c r="B392" s="113" t="s">
        <v>521</v>
      </c>
      <c r="C392" s="113" t="s">
        <v>468</v>
      </c>
      <c r="D392" s="116">
        <v>2009</v>
      </c>
      <c r="E392" s="116">
        <v>5</v>
      </c>
      <c r="F392" s="119">
        <v>304.02800000000002</v>
      </c>
      <c r="G392" s="116">
        <v>2025</v>
      </c>
      <c r="H392" s="116">
        <v>5</v>
      </c>
      <c r="I392" s="119">
        <v>417.149</v>
      </c>
      <c r="J392" s="114">
        <v>1.9966954636450041</v>
      </c>
    </row>
    <row r="393" spans="1:10">
      <c r="A393" s="113" t="s">
        <v>215</v>
      </c>
      <c r="B393" s="113" t="s">
        <v>521</v>
      </c>
      <c r="C393" s="113" t="s">
        <v>468</v>
      </c>
      <c r="D393" s="116">
        <v>2010</v>
      </c>
      <c r="E393" s="116">
        <v>5</v>
      </c>
      <c r="F393" s="119">
        <v>314.19200000000001</v>
      </c>
      <c r="G393" s="116">
        <v>2025</v>
      </c>
      <c r="H393" s="116">
        <v>5</v>
      </c>
      <c r="I393" s="119">
        <v>417.149</v>
      </c>
      <c r="J393" s="114">
        <v>1.9075605438325871</v>
      </c>
    </row>
    <row r="394" spans="1:10">
      <c r="A394" s="113" t="s">
        <v>215</v>
      </c>
      <c r="B394" s="113" t="s">
        <v>521</v>
      </c>
      <c r="C394" s="113" t="s">
        <v>468</v>
      </c>
      <c r="D394" s="116">
        <v>2011</v>
      </c>
      <c r="E394" s="116">
        <v>5</v>
      </c>
      <c r="F394" s="119">
        <v>323.76600000000002</v>
      </c>
      <c r="G394" s="116">
        <v>2025</v>
      </c>
      <c r="H394" s="116">
        <v>5</v>
      </c>
      <c r="I394" s="119">
        <v>417.149</v>
      </c>
      <c r="J394" s="114">
        <v>1.826642987519844</v>
      </c>
    </row>
    <row r="395" spans="1:10">
      <c r="A395" s="113" t="s">
        <v>215</v>
      </c>
      <c r="B395" s="113" t="s">
        <v>521</v>
      </c>
      <c r="C395" s="113" t="s">
        <v>468</v>
      </c>
      <c r="D395" s="116">
        <v>2012</v>
      </c>
      <c r="E395" s="116">
        <v>5</v>
      </c>
      <c r="F395" s="119">
        <v>332.69099999999997</v>
      </c>
      <c r="G395" s="116">
        <v>2025</v>
      </c>
      <c r="H395" s="116">
        <v>5</v>
      </c>
      <c r="I395" s="119">
        <v>417.149</v>
      </c>
      <c r="J395" s="114">
        <v>1.7554558444135231</v>
      </c>
    </row>
    <row r="396" spans="1:10">
      <c r="A396" s="113" t="s">
        <v>215</v>
      </c>
      <c r="B396" s="113" t="s">
        <v>521</v>
      </c>
      <c r="C396" s="113" t="s">
        <v>468</v>
      </c>
      <c r="D396" s="116">
        <v>2013</v>
      </c>
      <c r="E396" s="116">
        <v>5</v>
      </c>
      <c r="F396" s="119">
        <v>333.238</v>
      </c>
      <c r="G396" s="116">
        <v>2025</v>
      </c>
      <c r="H396" s="116">
        <v>5</v>
      </c>
      <c r="I396" s="119">
        <v>417.149</v>
      </c>
      <c r="J396" s="114">
        <v>1.8891777063608119</v>
      </c>
    </row>
    <row r="397" spans="1:10">
      <c r="A397" s="113" t="s">
        <v>215</v>
      </c>
      <c r="B397" s="113" t="s">
        <v>521</v>
      </c>
      <c r="C397" s="113" t="s">
        <v>468</v>
      </c>
      <c r="D397" s="116">
        <v>2014</v>
      </c>
      <c r="E397" s="116">
        <v>5</v>
      </c>
      <c r="F397" s="119">
        <v>341.48</v>
      </c>
      <c r="G397" s="116">
        <v>2025</v>
      </c>
      <c r="H397" s="116">
        <v>5</v>
      </c>
      <c r="I397" s="119">
        <v>417.149</v>
      </c>
      <c r="J397" s="114">
        <v>1.8362404061238009</v>
      </c>
    </row>
    <row r="398" spans="1:10">
      <c r="A398" s="113" t="s">
        <v>215</v>
      </c>
      <c r="B398" s="113" t="s">
        <v>521</v>
      </c>
      <c r="C398" s="113" t="s">
        <v>468</v>
      </c>
      <c r="D398" s="116">
        <v>2015</v>
      </c>
      <c r="E398" s="116">
        <v>5</v>
      </c>
      <c r="F398" s="119">
        <v>355.06099999999998</v>
      </c>
      <c r="G398" s="116">
        <v>2025</v>
      </c>
      <c r="H398" s="116">
        <v>5</v>
      </c>
      <c r="I398" s="119">
        <v>417.149</v>
      </c>
      <c r="J398" s="114">
        <v>1.624593984821199</v>
      </c>
    </row>
    <row r="399" spans="1:10">
      <c r="A399" s="113" t="s">
        <v>215</v>
      </c>
      <c r="B399" s="113" t="s">
        <v>521</v>
      </c>
      <c r="C399" s="113" t="s">
        <v>468</v>
      </c>
      <c r="D399" s="116">
        <v>2016</v>
      </c>
      <c r="E399" s="116">
        <v>5</v>
      </c>
      <c r="F399" s="119">
        <v>361.86599999999999</v>
      </c>
      <c r="G399" s="116">
        <v>2025</v>
      </c>
      <c r="H399" s="116">
        <v>5</v>
      </c>
      <c r="I399" s="119">
        <v>417.149</v>
      </c>
      <c r="J399" s="114">
        <v>1.592203652504343</v>
      </c>
    </row>
    <row r="400" spans="1:10">
      <c r="A400" s="113" t="s">
        <v>215</v>
      </c>
      <c r="B400" s="113" t="s">
        <v>521</v>
      </c>
      <c r="C400" s="113" t="s">
        <v>468</v>
      </c>
      <c r="D400" s="116">
        <v>2017</v>
      </c>
      <c r="E400" s="116">
        <v>5</v>
      </c>
      <c r="F400" s="119">
        <v>373.63099999999997</v>
      </c>
      <c r="G400" s="116">
        <v>2025</v>
      </c>
      <c r="H400" s="116">
        <v>5</v>
      </c>
      <c r="I400" s="119">
        <v>417.149</v>
      </c>
      <c r="J400" s="114">
        <v>1.386711784971562</v>
      </c>
    </row>
    <row r="401" spans="1:10">
      <c r="A401" s="113" t="s">
        <v>215</v>
      </c>
      <c r="B401" s="113" t="s">
        <v>521</v>
      </c>
      <c r="C401" s="113" t="s">
        <v>468</v>
      </c>
      <c r="D401" s="116">
        <v>2018</v>
      </c>
      <c r="E401" s="116">
        <v>5</v>
      </c>
      <c r="F401" s="119">
        <v>383.73399999999998</v>
      </c>
      <c r="G401" s="116">
        <v>2025</v>
      </c>
      <c r="H401" s="116">
        <v>5</v>
      </c>
      <c r="I401" s="119">
        <v>417.149</v>
      </c>
      <c r="J401" s="114">
        <v>1.1999114044691119</v>
      </c>
    </row>
    <row r="402" spans="1:10">
      <c r="A402" s="113" t="s">
        <v>215</v>
      </c>
      <c r="B402" s="113" t="s">
        <v>521</v>
      </c>
      <c r="C402" s="113" t="s">
        <v>468</v>
      </c>
      <c r="D402" s="116">
        <v>2019</v>
      </c>
      <c r="E402" s="116">
        <v>5</v>
      </c>
      <c r="F402" s="119">
        <v>381.06599999999997</v>
      </c>
      <c r="G402" s="116">
        <v>2025</v>
      </c>
      <c r="H402" s="116">
        <v>5</v>
      </c>
      <c r="I402" s="119">
        <v>417.149</v>
      </c>
      <c r="J402" s="114">
        <v>1.5192734433651101</v>
      </c>
    </row>
    <row r="403" spans="1:10">
      <c r="A403" s="113" t="s">
        <v>215</v>
      </c>
      <c r="B403" s="113" t="s">
        <v>521</v>
      </c>
      <c r="C403" s="113" t="s">
        <v>468</v>
      </c>
      <c r="D403" s="116">
        <v>2020</v>
      </c>
      <c r="E403" s="116">
        <v>5</v>
      </c>
      <c r="F403" s="119">
        <v>384.30399999999997</v>
      </c>
      <c r="G403" s="116">
        <v>2025</v>
      </c>
      <c r="H403" s="116">
        <v>5</v>
      </c>
      <c r="I403" s="119">
        <v>417.149</v>
      </c>
      <c r="J403" s="114">
        <v>1.6537163033548909</v>
      </c>
    </row>
    <row r="404" spans="1:10">
      <c r="A404" s="113" t="s">
        <v>215</v>
      </c>
      <c r="B404" s="113" t="s">
        <v>521</v>
      </c>
      <c r="C404" s="113" t="s">
        <v>468</v>
      </c>
      <c r="D404" s="116">
        <v>2021</v>
      </c>
      <c r="E404" s="116">
        <v>5</v>
      </c>
      <c r="F404" s="119">
        <v>377.19099999999997</v>
      </c>
      <c r="G404" s="116">
        <v>2025</v>
      </c>
      <c r="H404" s="116">
        <v>5</v>
      </c>
      <c r="I404" s="119">
        <v>417.149</v>
      </c>
      <c r="J404" s="114">
        <v>2.54924594112016</v>
      </c>
    </row>
    <row r="405" spans="1:10">
      <c r="A405" s="113" t="s">
        <v>215</v>
      </c>
      <c r="B405" s="113" t="s">
        <v>521</v>
      </c>
      <c r="C405" s="113" t="s">
        <v>468</v>
      </c>
      <c r="D405" s="116">
        <v>2022</v>
      </c>
      <c r="E405" s="116">
        <v>5</v>
      </c>
      <c r="F405" s="119">
        <v>386.27300000000002</v>
      </c>
      <c r="G405" s="116">
        <v>2025</v>
      </c>
      <c r="H405" s="116">
        <v>5</v>
      </c>
      <c r="I405" s="119">
        <v>417.149</v>
      </c>
      <c r="J405" s="114">
        <v>2.596438423051084</v>
      </c>
    </row>
    <row r="406" spans="1:10">
      <c r="A406" s="113" t="s">
        <v>215</v>
      </c>
      <c r="B406" s="113" t="s">
        <v>521</v>
      </c>
      <c r="C406" s="113" t="s">
        <v>468</v>
      </c>
      <c r="D406" s="116">
        <v>2023</v>
      </c>
      <c r="E406" s="116">
        <v>5</v>
      </c>
      <c r="F406" s="119">
        <v>403.358</v>
      </c>
      <c r="G406" s="116">
        <v>2025</v>
      </c>
      <c r="H406" s="116">
        <v>5</v>
      </c>
      <c r="I406" s="119">
        <v>417.149</v>
      </c>
      <c r="J406" s="114">
        <v>1.69515578413697</v>
      </c>
    </row>
    <row r="407" spans="1:10">
      <c r="A407" s="113" t="s">
        <v>215</v>
      </c>
      <c r="B407" s="113" t="s">
        <v>521</v>
      </c>
      <c r="C407" s="113" t="s">
        <v>468</v>
      </c>
      <c r="D407" s="116">
        <v>2024</v>
      </c>
      <c r="E407" s="116">
        <v>5</v>
      </c>
      <c r="F407" s="119">
        <v>416.00099999999998</v>
      </c>
      <c r="G407" s="116">
        <v>2025</v>
      </c>
      <c r="H407" s="116">
        <v>5</v>
      </c>
      <c r="I407" s="119">
        <v>417.149</v>
      </c>
      <c r="J407" s="114">
        <v>0.2759608750940501</v>
      </c>
    </row>
    <row r="408" spans="1:10">
      <c r="A408" s="113" t="s">
        <v>213</v>
      </c>
      <c r="B408" s="113" t="s">
        <v>522</v>
      </c>
      <c r="C408" s="113" t="s">
        <v>468</v>
      </c>
      <c r="D408" s="116">
        <v>1956</v>
      </c>
      <c r="E408" s="116">
        <v>5</v>
      </c>
      <c r="F408" s="119">
        <v>16.2</v>
      </c>
      <c r="G408" s="116">
        <v>2025</v>
      </c>
      <c r="H408" s="116">
        <v>5</v>
      </c>
      <c r="I408" s="119">
        <v>630.14300000000003</v>
      </c>
      <c r="J408" s="114">
        <v>5.4489788071022893</v>
      </c>
    </row>
    <row r="409" spans="1:10">
      <c r="A409" s="113" t="s">
        <v>213</v>
      </c>
      <c r="B409" s="113" t="s">
        <v>522</v>
      </c>
      <c r="C409" s="113" t="s">
        <v>468</v>
      </c>
      <c r="D409" s="116">
        <v>1957</v>
      </c>
      <c r="E409" s="116">
        <v>5</v>
      </c>
      <c r="F409" s="119">
        <v>16.899999999999999</v>
      </c>
      <c r="G409" s="116">
        <v>2025</v>
      </c>
      <c r="H409" s="116">
        <v>5</v>
      </c>
      <c r="I409" s="119">
        <v>630.14300000000003</v>
      </c>
      <c r="J409" s="114">
        <v>5.4656575907626292</v>
      </c>
    </row>
    <row r="410" spans="1:10">
      <c r="A410" s="113" t="s">
        <v>213</v>
      </c>
      <c r="B410" s="113" t="s">
        <v>522</v>
      </c>
      <c r="C410" s="113" t="s">
        <v>468</v>
      </c>
      <c r="D410" s="116">
        <v>1958</v>
      </c>
      <c r="E410" s="116">
        <v>5</v>
      </c>
      <c r="F410" s="119">
        <v>17.7</v>
      </c>
      <c r="G410" s="116">
        <v>2025</v>
      </c>
      <c r="H410" s="116">
        <v>5</v>
      </c>
      <c r="I410" s="119">
        <v>630.14300000000003</v>
      </c>
      <c r="J410" s="114">
        <v>5.4766205692035497</v>
      </c>
    </row>
    <row r="411" spans="1:10">
      <c r="A411" s="113" t="s">
        <v>213</v>
      </c>
      <c r="B411" s="113" t="s">
        <v>522</v>
      </c>
      <c r="C411" s="113" t="s">
        <v>468</v>
      </c>
      <c r="D411" s="116">
        <v>1959</v>
      </c>
      <c r="E411" s="116">
        <v>5</v>
      </c>
      <c r="F411" s="119">
        <v>18.600000000000001</v>
      </c>
      <c r="G411" s="116">
        <v>2025</v>
      </c>
      <c r="H411" s="116">
        <v>5</v>
      </c>
      <c r="I411" s="119">
        <v>630.14300000000003</v>
      </c>
      <c r="J411" s="114">
        <v>5.4825692911316448</v>
      </c>
    </row>
    <row r="412" spans="1:10">
      <c r="A412" s="113" t="s">
        <v>213</v>
      </c>
      <c r="B412" s="113" t="s">
        <v>522</v>
      </c>
      <c r="C412" s="113" t="s">
        <v>468</v>
      </c>
      <c r="D412" s="116">
        <v>1960</v>
      </c>
      <c r="E412" s="116">
        <v>5</v>
      </c>
      <c r="F412" s="119">
        <v>19.399999999999999</v>
      </c>
      <c r="G412" s="116">
        <v>2025</v>
      </c>
      <c r="H412" s="116">
        <v>5</v>
      </c>
      <c r="I412" s="119">
        <v>630.14300000000003</v>
      </c>
      <c r="J412" s="114">
        <v>5.5008502707176943</v>
      </c>
    </row>
    <row r="413" spans="1:10">
      <c r="A413" s="113" t="s">
        <v>213</v>
      </c>
      <c r="B413" s="113" t="s">
        <v>522</v>
      </c>
      <c r="C413" s="113" t="s">
        <v>468</v>
      </c>
      <c r="D413" s="116">
        <v>1961</v>
      </c>
      <c r="E413" s="116">
        <v>5</v>
      </c>
      <c r="F413" s="119">
        <v>20.100000000000001</v>
      </c>
      <c r="G413" s="116">
        <v>2025</v>
      </c>
      <c r="H413" s="116">
        <v>5</v>
      </c>
      <c r="I413" s="119">
        <v>630.14300000000003</v>
      </c>
      <c r="J413" s="114">
        <v>5.5306948748230944</v>
      </c>
    </row>
    <row r="414" spans="1:10">
      <c r="A414" s="113" t="s">
        <v>213</v>
      </c>
      <c r="B414" s="113" t="s">
        <v>522</v>
      </c>
      <c r="C414" s="113" t="s">
        <v>468</v>
      </c>
      <c r="D414" s="116">
        <v>1962</v>
      </c>
      <c r="E414" s="116">
        <v>5</v>
      </c>
      <c r="F414" s="119">
        <v>20.8</v>
      </c>
      <c r="G414" s="116">
        <v>2025</v>
      </c>
      <c r="H414" s="116">
        <v>5</v>
      </c>
      <c r="I414" s="119">
        <v>630.14300000000003</v>
      </c>
      <c r="J414" s="114">
        <v>5.5635292402518974</v>
      </c>
    </row>
    <row r="415" spans="1:10">
      <c r="A415" s="113" t="s">
        <v>213</v>
      </c>
      <c r="B415" s="113" t="s">
        <v>522</v>
      </c>
      <c r="C415" s="113" t="s">
        <v>468</v>
      </c>
      <c r="D415" s="116">
        <v>1963</v>
      </c>
      <c r="E415" s="116">
        <v>5</v>
      </c>
      <c r="F415" s="119">
        <v>21.4</v>
      </c>
      <c r="G415" s="116">
        <v>2025</v>
      </c>
      <c r="H415" s="116">
        <v>5</v>
      </c>
      <c r="I415" s="119">
        <v>630.14300000000003</v>
      </c>
      <c r="J415" s="114">
        <v>5.607304311848349</v>
      </c>
    </row>
    <row r="416" spans="1:10">
      <c r="A416" s="113" t="s">
        <v>213</v>
      </c>
      <c r="B416" s="113" t="s">
        <v>522</v>
      </c>
      <c r="C416" s="113" t="s">
        <v>468</v>
      </c>
      <c r="D416" s="116">
        <v>1964</v>
      </c>
      <c r="E416" s="116">
        <v>5</v>
      </c>
      <c r="F416" s="119">
        <v>22</v>
      </c>
      <c r="G416" s="116">
        <v>2025</v>
      </c>
      <c r="H416" s="116">
        <v>5</v>
      </c>
      <c r="I416" s="119">
        <v>630.14300000000003</v>
      </c>
      <c r="J416" s="114">
        <v>5.6538957543021073</v>
      </c>
    </row>
    <row r="417" spans="1:10">
      <c r="A417" s="113" t="s">
        <v>213</v>
      </c>
      <c r="B417" s="113" t="s">
        <v>522</v>
      </c>
      <c r="C417" s="113" t="s">
        <v>468</v>
      </c>
      <c r="D417" s="116">
        <v>1965</v>
      </c>
      <c r="E417" s="116">
        <v>5</v>
      </c>
      <c r="F417" s="119">
        <v>22.6</v>
      </c>
      <c r="G417" s="116">
        <v>2025</v>
      </c>
      <c r="H417" s="116">
        <v>5</v>
      </c>
      <c r="I417" s="119">
        <v>630.14300000000003</v>
      </c>
      <c r="J417" s="114">
        <v>5.7033726909873286</v>
      </c>
    </row>
    <row r="418" spans="1:10">
      <c r="A418" s="113" t="s">
        <v>213</v>
      </c>
      <c r="B418" s="113" t="s">
        <v>522</v>
      </c>
      <c r="C418" s="113" t="s">
        <v>468</v>
      </c>
      <c r="D418" s="116">
        <v>1966</v>
      </c>
      <c r="E418" s="116">
        <v>5</v>
      </c>
      <c r="F418" s="119">
        <v>23.6</v>
      </c>
      <c r="G418" s="116">
        <v>2025</v>
      </c>
      <c r="H418" s="116">
        <v>5</v>
      </c>
      <c r="I418" s="119">
        <v>630.14300000000003</v>
      </c>
      <c r="J418" s="114">
        <v>5.7251781572881244</v>
      </c>
    </row>
    <row r="419" spans="1:10">
      <c r="A419" s="113" t="s">
        <v>213</v>
      </c>
      <c r="B419" s="113" t="s">
        <v>522</v>
      </c>
      <c r="C419" s="113" t="s">
        <v>468</v>
      </c>
      <c r="D419" s="116">
        <v>1967</v>
      </c>
      <c r="E419" s="116">
        <v>5</v>
      </c>
      <c r="F419" s="119">
        <v>25.8</v>
      </c>
      <c r="G419" s="116">
        <v>2025</v>
      </c>
      <c r="H419" s="116">
        <v>5</v>
      </c>
      <c r="I419" s="119">
        <v>630.14300000000003</v>
      </c>
      <c r="J419" s="114">
        <v>5.6642125522271103</v>
      </c>
    </row>
    <row r="420" spans="1:10">
      <c r="A420" s="113" t="s">
        <v>213</v>
      </c>
      <c r="B420" s="113" t="s">
        <v>522</v>
      </c>
      <c r="C420" s="113" t="s">
        <v>468</v>
      </c>
      <c r="D420" s="116">
        <v>1968</v>
      </c>
      <c r="E420" s="116">
        <v>5</v>
      </c>
      <c r="F420" s="119">
        <v>27.7</v>
      </c>
      <c r="G420" s="116">
        <v>2025</v>
      </c>
      <c r="H420" s="116">
        <v>5</v>
      </c>
      <c r="I420" s="119">
        <v>630.14300000000003</v>
      </c>
      <c r="J420" s="114">
        <v>5.6346272907407569</v>
      </c>
    </row>
    <row r="421" spans="1:10">
      <c r="A421" s="113" t="s">
        <v>213</v>
      </c>
      <c r="B421" s="113" t="s">
        <v>522</v>
      </c>
      <c r="C421" s="113" t="s">
        <v>468</v>
      </c>
      <c r="D421" s="116">
        <v>1969</v>
      </c>
      <c r="E421" s="116">
        <v>5</v>
      </c>
      <c r="F421" s="119">
        <v>30</v>
      </c>
      <c r="G421" s="116">
        <v>2025</v>
      </c>
      <c r="H421" s="116">
        <v>5</v>
      </c>
      <c r="I421" s="119">
        <v>630.14300000000003</v>
      </c>
      <c r="J421" s="114">
        <v>5.5875757975678786</v>
      </c>
    </row>
    <row r="422" spans="1:10">
      <c r="A422" s="113" t="s">
        <v>213</v>
      </c>
      <c r="B422" s="113" t="s">
        <v>522</v>
      </c>
      <c r="C422" s="113" t="s">
        <v>468</v>
      </c>
      <c r="D422" s="116">
        <v>1970</v>
      </c>
      <c r="E422" s="116">
        <v>5</v>
      </c>
      <c r="F422" s="119">
        <v>32</v>
      </c>
      <c r="G422" s="116">
        <v>2025</v>
      </c>
      <c r="H422" s="116">
        <v>5</v>
      </c>
      <c r="I422" s="119">
        <v>630.14300000000003</v>
      </c>
      <c r="J422" s="114">
        <v>5.568057346014732</v>
      </c>
    </row>
    <row r="423" spans="1:10">
      <c r="A423" s="113" t="s">
        <v>213</v>
      </c>
      <c r="B423" s="113" t="s">
        <v>522</v>
      </c>
      <c r="C423" s="113" t="s">
        <v>468</v>
      </c>
      <c r="D423" s="116">
        <v>1971</v>
      </c>
      <c r="E423" s="116">
        <v>5</v>
      </c>
      <c r="F423" s="119">
        <v>34.5</v>
      </c>
      <c r="G423" s="116">
        <v>2025</v>
      </c>
      <c r="H423" s="116">
        <v>5</v>
      </c>
      <c r="I423" s="119">
        <v>630.14300000000003</v>
      </c>
      <c r="J423" s="114">
        <v>5.5269372749918277</v>
      </c>
    </row>
    <row r="424" spans="1:10">
      <c r="A424" s="113" t="s">
        <v>213</v>
      </c>
      <c r="B424" s="113" t="s">
        <v>522</v>
      </c>
      <c r="C424" s="113" t="s">
        <v>468</v>
      </c>
      <c r="D424" s="116">
        <v>1972</v>
      </c>
      <c r="E424" s="116">
        <v>5</v>
      </c>
      <c r="F424" s="119">
        <v>35.799999999999997</v>
      </c>
      <c r="G424" s="116">
        <v>2025</v>
      </c>
      <c r="H424" s="116">
        <v>5</v>
      </c>
      <c r="I424" s="119">
        <v>630.14300000000003</v>
      </c>
      <c r="J424" s="114">
        <v>5.5604075521251239</v>
      </c>
    </row>
    <row r="425" spans="1:10">
      <c r="A425" s="113" t="s">
        <v>213</v>
      </c>
      <c r="B425" s="113" t="s">
        <v>522</v>
      </c>
      <c r="C425" s="113" t="s">
        <v>468</v>
      </c>
      <c r="D425" s="116">
        <v>1973</v>
      </c>
      <c r="E425" s="116">
        <v>5</v>
      </c>
      <c r="F425" s="119">
        <v>37.299999999999997</v>
      </c>
      <c r="G425" s="116">
        <v>2025</v>
      </c>
      <c r="H425" s="116">
        <v>5</v>
      </c>
      <c r="I425" s="119">
        <v>630.14300000000003</v>
      </c>
      <c r="J425" s="114">
        <v>5.5869385271663408</v>
      </c>
    </row>
    <row r="426" spans="1:10">
      <c r="A426" s="113" t="s">
        <v>213</v>
      </c>
      <c r="B426" s="113" t="s">
        <v>522</v>
      </c>
      <c r="C426" s="113" t="s">
        <v>468</v>
      </c>
      <c r="D426" s="116">
        <v>1974</v>
      </c>
      <c r="E426" s="116">
        <v>5</v>
      </c>
      <c r="F426" s="119">
        <v>40.4</v>
      </c>
      <c r="G426" s="116">
        <v>2025</v>
      </c>
      <c r="H426" s="116">
        <v>5</v>
      </c>
      <c r="I426" s="119">
        <v>630.14300000000003</v>
      </c>
      <c r="J426" s="114">
        <v>5.5342162588197796</v>
      </c>
    </row>
    <row r="427" spans="1:10">
      <c r="A427" s="113" t="s">
        <v>213</v>
      </c>
      <c r="B427" s="113" t="s">
        <v>522</v>
      </c>
      <c r="C427" s="113" t="s">
        <v>468</v>
      </c>
      <c r="D427" s="116">
        <v>1975</v>
      </c>
      <c r="E427" s="116">
        <v>5</v>
      </c>
      <c r="F427" s="119">
        <v>46.1</v>
      </c>
      <c r="G427" s="116">
        <v>2025</v>
      </c>
      <c r="H427" s="116">
        <v>5</v>
      </c>
      <c r="I427" s="119">
        <v>630.14300000000003</v>
      </c>
      <c r="J427" s="114">
        <v>5.3694622910667178</v>
      </c>
    </row>
    <row r="428" spans="1:10">
      <c r="A428" s="113" t="s">
        <v>213</v>
      </c>
      <c r="B428" s="113" t="s">
        <v>522</v>
      </c>
      <c r="C428" s="113" t="s">
        <v>468</v>
      </c>
      <c r="D428" s="116">
        <v>1976</v>
      </c>
      <c r="E428" s="116">
        <v>5</v>
      </c>
      <c r="F428" s="119">
        <v>50.6</v>
      </c>
      <c r="G428" s="116">
        <v>2025</v>
      </c>
      <c r="H428" s="116">
        <v>5</v>
      </c>
      <c r="I428" s="119">
        <v>630.14300000000003</v>
      </c>
      <c r="J428" s="114">
        <v>5.2816853606645564</v>
      </c>
    </row>
    <row r="429" spans="1:10">
      <c r="A429" s="113" t="s">
        <v>213</v>
      </c>
      <c r="B429" s="113" t="s">
        <v>522</v>
      </c>
      <c r="C429" s="113" t="s">
        <v>468</v>
      </c>
      <c r="D429" s="116">
        <v>1977</v>
      </c>
      <c r="E429" s="116">
        <v>5</v>
      </c>
      <c r="F429" s="119">
        <v>55.9</v>
      </c>
      <c r="G429" s="116">
        <v>2025</v>
      </c>
      <c r="H429" s="116">
        <v>5</v>
      </c>
      <c r="I429" s="119">
        <v>630.14300000000003</v>
      </c>
      <c r="J429" s="114">
        <v>5.1761418345250831</v>
      </c>
    </row>
    <row r="430" spans="1:10">
      <c r="A430" s="113" t="s">
        <v>213</v>
      </c>
      <c r="B430" s="113" t="s">
        <v>522</v>
      </c>
      <c r="C430" s="113" t="s">
        <v>468</v>
      </c>
      <c r="D430" s="116">
        <v>1978</v>
      </c>
      <c r="E430" s="116">
        <v>5</v>
      </c>
      <c r="F430" s="119">
        <v>60.6</v>
      </c>
      <c r="G430" s="116">
        <v>2025</v>
      </c>
      <c r="H430" s="116">
        <v>5</v>
      </c>
      <c r="I430" s="119">
        <v>630.14300000000003</v>
      </c>
      <c r="J430" s="114">
        <v>5.1084386738046383</v>
      </c>
    </row>
    <row r="431" spans="1:10">
      <c r="A431" s="113" t="s">
        <v>213</v>
      </c>
      <c r="B431" s="113" t="s">
        <v>522</v>
      </c>
      <c r="C431" s="113" t="s">
        <v>468</v>
      </c>
      <c r="D431" s="116">
        <v>1979</v>
      </c>
      <c r="E431" s="116">
        <v>5</v>
      </c>
      <c r="F431" s="119">
        <v>66.3</v>
      </c>
      <c r="G431" s="116">
        <v>2025</v>
      </c>
      <c r="H431" s="116">
        <v>5</v>
      </c>
      <c r="I431" s="119">
        <v>630.14300000000003</v>
      </c>
      <c r="J431" s="114">
        <v>5.0169139604282931</v>
      </c>
    </row>
    <row r="432" spans="1:10">
      <c r="A432" s="113" t="s">
        <v>213</v>
      </c>
      <c r="B432" s="113" t="s">
        <v>522</v>
      </c>
      <c r="C432" s="113" t="s">
        <v>468</v>
      </c>
      <c r="D432" s="116">
        <v>1980</v>
      </c>
      <c r="E432" s="116">
        <v>5</v>
      </c>
      <c r="F432" s="119">
        <v>74.099999999999994</v>
      </c>
      <c r="G432" s="116">
        <v>2025</v>
      </c>
      <c r="H432" s="116">
        <v>5</v>
      </c>
      <c r="I432" s="119">
        <v>630.14300000000003</v>
      </c>
      <c r="J432" s="114">
        <v>4.8716841367779873</v>
      </c>
    </row>
    <row r="433" spans="1:10">
      <c r="A433" s="113" t="s">
        <v>213</v>
      </c>
      <c r="B433" s="113" t="s">
        <v>522</v>
      </c>
      <c r="C433" s="113" t="s">
        <v>468</v>
      </c>
      <c r="D433" s="116">
        <v>1981</v>
      </c>
      <c r="E433" s="116">
        <v>5</v>
      </c>
      <c r="F433" s="119">
        <v>81.2</v>
      </c>
      <c r="G433" s="116">
        <v>2025</v>
      </c>
      <c r="H433" s="116">
        <v>5</v>
      </c>
      <c r="I433" s="119">
        <v>630.14300000000003</v>
      </c>
      <c r="J433" s="114">
        <v>4.7670259410073754</v>
      </c>
    </row>
    <row r="434" spans="1:10">
      <c r="A434" s="113" t="s">
        <v>213</v>
      </c>
      <c r="B434" s="113" t="s">
        <v>522</v>
      </c>
      <c r="C434" s="113" t="s">
        <v>468</v>
      </c>
      <c r="D434" s="116">
        <v>1982</v>
      </c>
      <c r="E434" s="116">
        <v>5</v>
      </c>
      <c r="F434" s="119">
        <v>91.3</v>
      </c>
      <c r="G434" s="116">
        <v>2025</v>
      </c>
      <c r="H434" s="116">
        <v>5</v>
      </c>
      <c r="I434" s="119">
        <v>630.14300000000003</v>
      </c>
      <c r="J434" s="114">
        <v>4.5949921334248689</v>
      </c>
    </row>
    <row r="435" spans="1:10">
      <c r="A435" s="113" t="s">
        <v>213</v>
      </c>
      <c r="B435" s="113" t="s">
        <v>522</v>
      </c>
      <c r="C435" s="113" t="s">
        <v>468</v>
      </c>
      <c r="D435" s="116">
        <v>1983</v>
      </c>
      <c r="E435" s="116">
        <v>5</v>
      </c>
      <c r="F435" s="119">
        <v>99.9</v>
      </c>
      <c r="G435" s="116">
        <v>2025</v>
      </c>
      <c r="H435" s="116">
        <v>5</v>
      </c>
      <c r="I435" s="119">
        <v>630.14300000000003</v>
      </c>
      <c r="J435" s="114">
        <v>4.4827537097249293</v>
      </c>
    </row>
    <row r="436" spans="1:10">
      <c r="A436" s="113" t="s">
        <v>213</v>
      </c>
      <c r="B436" s="113" t="s">
        <v>522</v>
      </c>
      <c r="C436" s="113" t="s">
        <v>468</v>
      </c>
      <c r="D436" s="116">
        <v>1984</v>
      </c>
      <c r="E436" s="116">
        <v>5</v>
      </c>
      <c r="F436" s="119">
        <v>106</v>
      </c>
      <c r="G436" s="116">
        <v>2025</v>
      </c>
      <c r="H436" s="116">
        <v>5</v>
      </c>
      <c r="I436" s="119">
        <v>630.14300000000003</v>
      </c>
      <c r="J436" s="114">
        <v>4.4434715721932472</v>
      </c>
    </row>
    <row r="437" spans="1:10">
      <c r="A437" s="113" t="s">
        <v>213</v>
      </c>
      <c r="B437" s="113" t="s">
        <v>522</v>
      </c>
      <c r="C437" s="113" t="s">
        <v>468</v>
      </c>
      <c r="D437" s="116">
        <v>1985</v>
      </c>
      <c r="E437" s="116">
        <v>5</v>
      </c>
      <c r="F437" s="119">
        <v>112.2</v>
      </c>
      <c r="G437" s="116">
        <v>2025</v>
      </c>
      <c r="H437" s="116">
        <v>5</v>
      </c>
      <c r="I437" s="119">
        <v>630.14300000000003</v>
      </c>
      <c r="J437" s="114">
        <v>4.4085721302133507</v>
      </c>
    </row>
    <row r="438" spans="1:10">
      <c r="A438" s="113" t="s">
        <v>213</v>
      </c>
      <c r="B438" s="113" t="s">
        <v>522</v>
      </c>
      <c r="C438" s="113" t="s">
        <v>468</v>
      </c>
      <c r="D438" s="116">
        <v>1986</v>
      </c>
      <c r="E438" s="116">
        <v>5</v>
      </c>
      <c r="F438" s="119">
        <v>120.9</v>
      </c>
      <c r="G438" s="116">
        <v>2025</v>
      </c>
      <c r="H438" s="116">
        <v>5</v>
      </c>
      <c r="I438" s="119">
        <v>630.14300000000003</v>
      </c>
      <c r="J438" s="114">
        <v>4.3241713980815444</v>
      </c>
    </row>
    <row r="439" spans="1:10">
      <c r="A439" s="113" t="s">
        <v>213</v>
      </c>
      <c r="B439" s="113" t="s">
        <v>522</v>
      </c>
      <c r="C439" s="113" t="s">
        <v>468</v>
      </c>
      <c r="D439" s="116">
        <v>1987</v>
      </c>
      <c r="E439" s="116">
        <v>5</v>
      </c>
      <c r="F439" s="119">
        <v>129.1</v>
      </c>
      <c r="G439" s="116">
        <v>2025</v>
      </c>
      <c r="H439" s="116">
        <v>5</v>
      </c>
      <c r="I439" s="119">
        <v>630.14300000000003</v>
      </c>
      <c r="J439" s="114">
        <v>4.2602494904506738</v>
      </c>
    </row>
    <row r="440" spans="1:10">
      <c r="A440" s="113" t="s">
        <v>213</v>
      </c>
      <c r="B440" s="113" t="s">
        <v>522</v>
      </c>
      <c r="C440" s="113" t="s">
        <v>468</v>
      </c>
      <c r="D440" s="116">
        <v>1988</v>
      </c>
      <c r="E440" s="116">
        <v>5</v>
      </c>
      <c r="F440" s="119">
        <v>137.30000000000001</v>
      </c>
      <c r="G440" s="116">
        <v>2025</v>
      </c>
      <c r="H440" s="116">
        <v>5</v>
      </c>
      <c r="I440" s="119">
        <v>630.14300000000003</v>
      </c>
      <c r="J440" s="114">
        <v>4.2042992165827409</v>
      </c>
    </row>
    <row r="441" spans="1:10">
      <c r="A441" s="113" t="s">
        <v>213</v>
      </c>
      <c r="B441" s="113" t="s">
        <v>522</v>
      </c>
      <c r="C441" s="113" t="s">
        <v>468</v>
      </c>
      <c r="D441" s="116">
        <v>1989</v>
      </c>
      <c r="E441" s="116">
        <v>5</v>
      </c>
      <c r="F441" s="119">
        <v>147</v>
      </c>
      <c r="G441" s="116">
        <v>2025</v>
      </c>
      <c r="H441" s="116">
        <v>5</v>
      </c>
      <c r="I441" s="119">
        <v>630.14300000000003</v>
      </c>
      <c r="J441" s="114">
        <v>4.1259407997023434</v>
      </c>
    </row>
    <row r="442" spans="1:10">
      <c r="A442" s="113" t="s">
        <v>213</v>
      </c>
      <c r="B442" s="113" t="s">
        <v>522</v>
      </c>
      <c r="C442" s="113" t="s">
        <v>468</v>
      </c>
      <c r="D442" s="116">
        <v>1990</v>
      </c>
      <c r="E442" s="116">
        <v>5</v>
      </c>
      <c r="F442" s="119">
        <v>160.6</v>
      </c>
      <c r="G442" s="116">
        <v>2025</v>
      </c>
      <c r="H442" s="116">
        <v>5</v>
      </c>
      <c r="I442" s="119">
        <v>630.14300000000003</v>
      </c>
      <c r="J442" s="114">
        <v>3.9830791381326951</v>
      </c>
    </row>
    <row r="443" spans="1:10">
      <c r="A443" s="113" t="s">
        <v>213</v>
      </c>
      <c r="B443" s="113" t="s">
        <v>522</v>
      </c>
      <c r="C443" s="113" t="s">
        <v>468</v>
      </c>
      <c r="D443" s="116">
        <v>1991</v>
      </c>
      <c r="E443" s="116">
        <v>5</v>
      </c>
      <c r="F443" s="119">
        <v>175.2</v>
      </c>
      <c r="G443" s="116">
        <v>2025</v>
      </c>
      <c r="H443" s="116">
        <v>5</v>
      </c>
      <c r="I443" s="119">
        <v>630.14300000000003</v>
      </c>
      <c r="J443" s="114">
        <v>3.8365254567495062</v>
      </c>
    </row>
    <row r="444" spans="1:10">
      <c r="A444" s="113" t="s">
        <v>213</v>
      </c>
      <c r="B444" s="113" t="s">
        <v>522</v>
      </c>
      <c r="C444" s="113" t="s">
        <v>468</v>
      </c>
      <c r="D444" s="116">
        <v>1992</v>
      </c>
      <c r="E444" s="116">
        <v>5</v>
      </c>
      <c r="F444" s="119">
        <v>189</v>
      </c>
      <c r="G444" s="116">
        <v>2025</v>
      </c>
      <c r="H444" s="116">
        <v>5</v>
      </c>
      <c r="I444" s="119">
        <v>630.14300000000003</v>
      </c>
      <c r="J444" s="114">
        <v>3.716486774501226</v>
      </c>
    </row>
    <row r="445" spans="1:10">
      <c r="A445" s="113" t="s">
        <v>213</v>
      </c>
      <c r="B445" s="113" t="s">
        <v>522</v>
      </c>
      <c r="C445" s="113" t="s">
        <v>468</v>
      </c>
      <c r="D445" s="116">
        <v>1993</v>
      </c>
      <c r="E445" s="116">
        <v>5</v>
      </c>
      <c r="F445" s="119">
        <v>202</v>
      </c>
      <c r="G445" s="116">
        <v>2025</v>
      </c>
      <c r="H445" s="116">
        <v>5</v>
      </c>
      <c r="I445" s="119">
        <v>630.14300000000003</v>
      </c>
      <c r="J445" s="114">
        <v>3.6192017003497279</v>
      </c>
    </row>
    <row r="446" spans="1:10">
      <c r="A446" s="113" t="s">
        <v>213</v>
      </c>
      <c r="B446" s="113" t="s">
        <v>522</v>
      </c>
      <c r="C446" s="113" t="s">
        <v>468</v>
      </c>
      <c r="D446" s="116">
        <v>1994</v>
      </c>
      <c r="E446" s="116">
        <v>5</v>
      </c>
      <c r="F446" s="119">
        <v>212</v>
      </c>
      <c r="G446" s="116">
        <v>2025</v>
      </c>
      <c r="H446" s="116">
        <v>5</v>
      </c>
      <c r="I446" s="119">
        <v>630.14300000000003</v>
      </c>
      <c r="J446" s="114">
        <v>3.5765390752831689</v>
      </c>
    </row>
    <row r="447" spans="1:10">
      <c r="A447" s="113" t="s">
        <v>213</v>
      </c>
      <c r="B447" s="113" t="s">
        <v>522</v>
      </c>
      <c r="C447" s="113" t="s">
        <v>468</v>
      </c>
      <c r="D447" s="116">
        <v>1995</v>
      </c>
      <c r="E447" s="116">
        <v>5</v>
      </c>
      <c r="F447" s="119">
        <v>222.9</v>
      </c>
      <c r="G447" s="116">
        <v>2025</v>
      </c>
      <c r="H447" s="116">
        <v>5</v>
      </c>
      <c r="I447" s="119">
        <v>630.14300000000003</v>
      </c>
      <c r="J447" s="114">
        <v>3.52477650376819</v>
      </c>
    </row>
    <row r="448" spans="1:10">
      <c r="A448" s="113" t="s">
        <v>213</v>
      </c>
      <c r="B448" s="113" t="s">
        <v>522</v>
      </c>
      <c r="C448" s="113" t="s">
        <v>468</v>
      </c>
      <c r="D448" s="116">
        <v>1996</v>
      </c>
      <c r="E448" s="116">
        <v>5</v>
      </c>
      <c r="F448" s="119">
        <v>231.5</v>
      </c>
      <c r="G448" s="116">
        <v>2025</v>
      </c>
      <c r="H448" s="116">
        <v>5</v>
      </c>
      <c r="I448" s="119">
        <v>630.14300000000003</v>
      </c>
      <c r="J448" s="114">
        <v>3.513297140157579</v>
      </c>
    </row>
    <row r="449" spans="1:10">
      <c r="A449" s="113" t="s">
        <v>213</v>
      </c>
      <c r="B449" s="113" t="s">
        <v>522</v>
      </c>
      <c r="C449" s="113" t="s">
        <v>468</v>
      </c>
      <c r="D449" s="116">
        <v>1997</v>
      </c>
      <c r="E449" s="116">
        <v>5</v>
      </c>
      <c r="F449" s="119">
        <v>238.4</v>
      </c>
      <c r="G449" s="116">
        <v>2025</v>
      </c>
      <c r="H449" s="116">
        <v>5</v>
      </c>
      <c r="I449" s="119">
        <v>630.14300000000003</v>
      </c>
      <c r="J449" s="114">
        <v>3.532374297155227</v>
      </c>
    </row>
    <row r="450" spans="1:10">
      <c r="A450" s="113" t="s">
        <v>213</v>
      </c>
      <c r="B450" s="113" t="s">
        <v>522</v>
      </c>
      <c r="C450" s="113" t="s">
        <v>468</v>
      </c>
      <c r="D450" s="116">
        <v>1998</v>
      </c>
      <c r="E450" s="116">
        <v>5</v>
      </c>
      <c r="F450" s="119">
        <v>245.8</v>
      </c>
      <c r="G450" s="116">
        <v>2025</v>
      </c>
      <c r="H450" s="116">
        <v>5</v>
      </c>
      <c r="I450" s="119">
        <v>630.14300000000003</v>
      </c>
      <c r="J450" s="114">
        <v>3.5482731477866292</v>
      </c>
    </row>
    <row r="451" spans="1:10">
      <c r="A451" s="113" t="s">
        <v>213</v>
      </c>
      <c r="B451" s="113" t="s">
        <v>522</v>
      </c>
      <c r="C451" s="113" t="s">
        <v>468</v>
      </c>
      <c r="D451" s="116">
        <v>1999</v>
      </c>
      <c r="E451" s="116">
        <v>5</v>
      </c>
      <c r="F451" s="119">
        <v>253.9</v>
      </c>
      <c r="G451" s="116">
        <v>2025</v>
      </c>
      <c r="H451" s="116">
        <v>5</v>
      </c>
      <c r="I451" s="119">
        <v>630.14300000000003</v>
      </c>
      <c r="J451" s="114">
        <v>3.5580128531003119</v>
      </c>
    </row>
    <row r="452" spans="1:10">
      <c r="A452" s="113" t="s">
        <v>213</v>
      </c>
      <c r="B452" s="113" t="s">
        <v>522</v>
      </c>
      <c r="C452" s="113" t="s">
        <v>468</v>
      </c>
      <c r="D452" s="116">
        <v>2000</v>
      </c>
      <c r="E452" s="116">
        <v>5</v>
      </c>
      <c r="F452" s="119">
        <v>264.3</v>
      </c>
      <c r="G452" s="116">
        <v>2025</v>
      </c>
      <c r="H452" s="116">
        <v>5</v>
      </c>
      <c r="I452" s="119">
        <v>630.14300000000003</v>
      </c>
      <c r="J452" s="114">
        <v>3.5365472843553958</v>
      </c>
    </row>
    <row r="453" spans="1:10">
      <c r="A453" s="113" t="s">
        <v>213</v>
      </c>
      <c r="B453" s="113" t="s">
        <v>522</v>
      </c>
      <c r="C453" s="113" t="s">
        <v>468</v>
      </c>
      <c r="D453" s="116">
        <v>2001</v>
      </c>
      <c r="E453" s="116">
        <v>5</v>
      </c>
      <c r="F453" s="119">
        <v>277.2</v>
      </c>
      <c r="G453" s="116">
        <v>2025</v>
      </c>
      <c r="H453" s="116">
        <v>5</v>
      </c>
      <c r="I453" s="119">
        <v>630.14300000000003</v>
      </c>
      <c r="J453" s="114">
        <v>3.4809114839927662</v>
      </c>
    </row>
    <row r="454" spans="1:10">
      <c r="A454" s="113" t="s">
        <v>213</v>
      </c>
      <c r="B454" s="113" t="s">
        <v>522</v>
      </c>
      <c r="C454" s="113" t="s">
        <v>468</v>
      </c>
      <c r="D454" s="116">
        <v>2002</v>
      </c>
      <c r="E454" s="116">
        <v>5</v>
      </c>
      <c r="F454" s="119">
        <v>291</v>
      </c>
      <c r="G454" s="116">
        <v>2025</v>
      </c>
      <c r="H454" s="116">
        <v>5</v>
      </c>
      <c r="I454" s="119">
        <v>630.14300000000003</v>
      </c>
      <c r="J454" s="114">
        <v>3.416292001029086</v>
      </c>
    </row>
    <row r="455" spans="1:10">
      <c r="A455" s="113" t="s">
        <v>213</v>
      </c>
      <c r="B455" s="113" t="s">
        <v>522</v>
      </c>
      <c r="C455" s="113" t="s">
        <v>468</v>
      </c>
      <c r="D455" s="116">
        <v>2003</v>
      </c>
      <c r="E455" s="116">
        <v>5</v>
      </c>
      <c r="F455" s="119">
        <v>303.89999999999998</v>
      </c>
      <c r="G455" s="116">
        <v>2025</v>
      </c>
      <c r="H455" s="116">
        <v>5</v>
      </c>
      <c r="I455" s="119">
        <v>630.14300000000003</v>
      </c>
      <c r="J455" s="114">
        <v>3.3703143806089959</v>
      </c>
    </row>
    <row r="456" spans="1:10">
      <c r="A456" s="113" t="s">
        <v>213</v>
      </c>
      <c r="B456" s="113" t="s">
        <v>522</v>
      </c>
      <c r="C456" s="113" t="s">
        <v>468</v>
      </c>
      <c r="D456" s="116">
        <v>2004</v>
      </c>
      <c r="E456" s="116">
        <v>5</v>
      </c>
      <c r="F456" s="119">
        <v>319.39999999999998</v>
      </c>
      <c r="G456" s="116">
        <v>2025</v>
      </c>
      <c r="H456" s="116">
        <v>5</v>
      </c>
      <c r="I456" s="119">
        <v>630.14300000000003</v>
      </c>
      <c r="J456" s="114">
        <v>3.288645244137522</v>
      </c>
    </row>
    <row r="457" spans="1:10">
      <c r="A457" s="113" t="s">
        <v>213</v>
      </c>
      <c r="B457" s="113" t="s">
        <v>522</v>
      </c>
      <c r="C457" s="113" t="s">
        <v>468</v>
      </c>
      <c r="D457" s="116">
        <v>2005</v>
      </c>
      <c r="E457" s="116">
        <v>5</v>
      </c>
      <c r="F457" s="119">
        <v>335.3</v>
      </c>
      <c r="G457" s="116">
        <v>2025</v>
      </c>
      <c r="H457" s="116">
        <v>5</v>
      </c>
      <c r="I457" s="119">
        <v>630.14300000000003</v>
      </c>
      <c r="J457" s="114">
        <v>3.204890676656746</v>
      </c>
    </row>
    <row r="458" spans="1:10">
      <c r="A458" s="113" t="s">
        <v>213</v>
      </c>
      <c r="B458" s="113" t="s">
        <v>522</v>
      </c>
      <c r="C458" s="113" t="s">
        <v>468</v>
      </c>
      <c r="D458" s="116">
        <v>2006</v>
      </c>
      <c r="E458" s="116">
        <v>5</v>
      </c>
      <c r="F458" s="119">
        <v>348.9</v>
      </c>
      <c r="G458" s="116">
        <v>2025</v>
      </c>
      <c r="H458" s="116">
        <v>5</v>
      </c>
      <c r="I458" s="119">
        <v>630.14300000000003</v>
      </c>
      <c r="J458" s="114">
        <v>3.1602851785414332</v>
      </c>
    </row>
    <row r="459" spans="1:10">
      <c r="A459" s="113" t="s">
        <v>213</v>
      </c>
      <c r="B459" s="113" t="s">
        <v>522</v>
      </c>
      <c r="C459" s="113" t="s">
        <v>468</v>
      </c>
      <c r="D459" s="116">
        <v>2007</v>
      </c>
      <c r="E459" s="116">
        <v>5</v>
      </c>
      <c r="F459" s="119">
        <v>366.31599999999997</v>
      </c>
      <c r="G459" s="116">
        <v>2025</v>
      </c>
      <c r="H459" s="116">
        <v>5</v>
      </c>
      <c r="I459" s="119">
        <v>630.14300000000003</v>
      </c>
      <c r="J459" s="114">
        <v>3.0594824366436679</v>
      </c>
    </row>
    <row r="460" spans="1:10">
      <c r="A460" s="113" t="s">
        <v>213</v>
      </c>
      <c r="B460" s="113" t="s">
        <v>522</v>
      </c>
      <c r="C460" s="113" t="s">
        <v>468</v>
      </c>
      <c r="D460" s="116">
        <v>2008</v>
      </c>
      <c r="E460" s="116">
        <v>5</v>
      </c>
      <c r="F460" s="119">
        <v>383.745</v>
      </c>
      <c r="G460" s="116">
        <v>2025</v>
      </c>
      <c r="H460" s="116">
        <v>5</v>
      </c>
      <c r="I460" s="119">
        <v>630.14300000000003</v>
      </c>
      <c r="J460" s="114">
        <v>2.9604366370778572</v>
      </c>
    </row>
    <row r="461" spans="1:10">
      <c r="A461" s="113" t="s">
        <v>213</v>
      </c>
      <c r="B461" s="113" t="s">
        <v>522</v>
      </c>
      <c r="C461" s="113" t="s">
        <v>468</v>
      </c>
      <c r="D461" s="116">
        <v>2009</v>
      </c>
      <c r="E461" s="116">
        <v>5</v>
      </c>
      <c r="F461" s="119">
        <v>395.99900000000002</v>
      </c>
      <c r="G461" s="116">
        <v>2025</v>
      </c>
      <c r="H461" s="116">
        <v>5</v>
      </c>
      <c r="I461" s="119">
        <v>630.14300000000003</v>
      </c>
      <c r="J461" s="114">
        <v>2.945902233923881</v>
      </c>
    </row>
    <row r="462" spans="1:10">
      <c r="A462" s="113" t="s">
        <v>213</v>
      </c>
      <c r="B462" s="113" t="s">
        <v>522</v>
      </c>
      <c r="C462" s="113" t="s">
        <v>468</v>
      </c>
      <c r="D462" s="116">
        <v>2010</v>
      </c>
      <c r="E462" s="116">
        <v>5</v>
      </c>
      <c r="F462" s="119">
        <v>409.54700000000003</v>
      </c>
      <c r="G462" s="116">
        <v>2025</v>
      </c>
      <c r="H462" s="116">
        <v>5</v>
      </c>
      <c r="I462" s="119">
        <v>630.14300000000003</v>
      </c>
      <c r="J462" s="114">
        <v>2.9142921159508011</v>
      </c>
    </row>
    <row r="463" spans="1:10">
      <c r="A463" s="113" t="s">
        <v>213</v>
      </c>
      <c r="B463" s="113" t="s">
        <v>522</v>
      </c>
      <c r="C463" s="113" t="s">
        <v>468</v>
      </c>
      <c r="D463" s="116">
        <v>2011</v>
      </c>
      <c r="E463" s="116">
        <v>5</v>
      </c>
      <c r="F463" s="119">
        <v>421.78899999999999</v>
      </c>
      <c r="G463" s="116">
        <v>2025</v>
      </c>
      <c r="H463" s="116">
        <v>5</v>
      </c>
      <c r="I463" s="119">
        <v>630.14300000000003</v>
      </c>
      <c r="J463" s="114">
        <v>2.908946756253616</v>
      </c>
    </row>
    <row r="464" spans="1:10">
      <c r="A464" s="113" t="s">
        <v>213</v>
      </c>
      <c r="B464" s="113" t="s">
        <v>522</v>
      </c>
      <c r="C464" s="113" t="s">
        <v>468</v>
      </c>
      <c r="D464" s="116">
        <v>2012</v>
      </c>
      <c r="E464" s="116">
        <v>5</v>
      </c>
      <c r="F464" s="119">
        <v>437.84399999999999</v>
      </c>
      <c r="G464" s="116">
        <v>2025</v>
      </c>
      <c r="H464" s="116">
        <v>5</v>
      </c>
      <c r="I464" s="119">
        <v>630.14300000000003</v>
      </c>
      <c r="J464" s="114">
        <v>2.8402336992569892</v>
      </c>
    </row>
    <row r="465" spans="1:10">
      <c r="A465" s="113" t="s">
        <v>213</v>
      </c>
      <c r="B465" s="113" t="s">
        <v>522</v>
      </c>
      <c r="C465" s="113" t="s">
        <v>468</v>
      </c>
      <c r="D465" s="116">
        <v>2013</v>
      </c>
      <c r="E465" s="116">
        <v>5</v>
      </c>
      <c r="F465" s="119">
        <v>450.85</v>
      </c>
      <c r="G465" s="116">
        <v>2025</v>
      </c>
      <c r="H465" s="116">
        <v>5</v>
      </c>
      <c r="I465" s="119">
        <v>630.14300000000003</v>
      </c>
      <c r="J465" s="114">
        <v>2.8293885812664228</v>
      </c>
    </row>
    <row r="466" spans="1:10">
      <c r="A466" s="113" t="s">
        <v>213</v>
      </c>
      <c r="B466" s="113" t="s">
        <v>522</v>
      </c>
      <c r="C466" s="113" t="s">
        <v>468</v>
      </c>
      <c r="D466" s="116">
        <v>2014</v>
      </c>
      <c r="E466" s="116">
        <v>5</v>
      </c>
      <c r="F466" s="119">
        <v>464.149</v>
      </c>
      <c r="G466" s="116">
        <v>2025</v>
      </c>
      <c r="H466" s="116">
        <v>5</v>
      </c>
      <c r="I466" s="119">
        <v>630.14300000000003</v>
      </c>
      <c r="J466" s="114">
        <v>2.818452564624208</v>
      </c>
    </row>
    <row r="467" spans="1:10">
      <c r="A467" s="113" t="s">
        <v>213</v>
      </c>
      <c r="B467" s="113" t="s">
        <v>522</v>
      </c>
      <c r="C467" s="113" t="s">
        <v>468</v>
      </c>
      <c r="D467" s="116">
        <v>2015</v>
      </c>
      <c r="E467" s="116">
        <v>5</v>
      </c>
      <c r="F467" s="119">
        <v>475.98399999999998</v>
      </c>
      <c r="G467" s="116">
        <v>2025</v>
      </c>
      <c r="H467" s="116">
        <v>5</v>
      </c>
      <c r="I467" s="119">
        <v>630.14300000000003</v>
      </c>
      <c r="J467" s="114">
        <v>2.8453537165903819</v>
      </c>
    </row>
    <row r="468" spans="1:10">
      <c r="A468" s="113" t="s">
        <v>213</v>
      </c>
      <c r="B468" s="113" t="s">
        <v>522</v>
      </c>
      <c r="C468" s="113" t="s">
        <v>468</v>
      </c>
      <c r="D468" s="116">
        <v>2016</v>
      </c>
      <c r="E468" s="116">
        <v>5</v>
      </c>
      <c r="F468" s="119">
        <v>492.25799999999998</v>
      </c>
      <c r="G468" s="116">
        <v>2025</v>
      </c>
      <c r="H468" s="116">
        <v>5</v>
      </c>
      <c r="I468" s="119">
        <v>630.14300000000003</v>
      </c>
      <c r="J468" s="114">
        <v>2.7818094952852812</v>
      </c>
    </row>
    <row r="469" spans="1:10">
      <c r="A469" s="113" t="s">
        <v>213</v>
      </c>
      <c r="B469" s="113" t="s">
        <v>522</v>
      </c>
      <c r="C469" s="113" t="s">
        <v>468</v>
      </c>
      <c r="D469" s="116">
        <v>2017</v>
      </c>
      <c r="E469" s="116">
        <v>5</v>
      </c>
      <c r="F469" s="119">
        <v>504.887</v>
      </c>
      <c r="G469" s="116">
        <v>2025</v>
      </c>
      <c r="H469" s="116">
        <v>5</v>
      </c>
      <c r="I469" s="119">
        <v>630.14300000000003</v>
      </c>
      <c r="J469" s="114">
        <v>2.808877158526379</v>
      </c>
    </row>
    <row r="470" spans="1:10">
      <c r="A470" s="113" t="s">
        <v>213</v>
      </c>
      <c r="B470" s="113" t="s">
        <v>522</v>
      </c>
      <c r="C470" s="113" t="s">
        <v>468</v>
      </c>
      <c r="D470" s="116">
        <v>2018</v>
      </c>
      <c r="E470" s="116">
        <v>5</v>
      </c>
      <c r="F470" s="119">
        <v>516.80700000000002</v>
      </c>
      <c r="G470" s="116">
        <v>2025</v>
      </c>
      <c r="H470" s="116">
        <v>5</v>
      </c>
      <c r="I470" s="119">
        <v>630.14300000000003</v>
      </c>
      <c r="J470" s="114">
        <v>2.8730302480603158</v>
      </c>
    </row>
    <row r="471" spans="1:10">
      <c r="A471" s="113" t="s">
        <v>213</v>
      </c>
      <c r="B471" s="113" t="s">
        <v>522</v>
      </c>
      <c r="C471" s="113" t="s">
        <v>468</v>
      </c>
      <c r="D471" s="116">
        <v>2019</v>
      </c>
      <c r="E471" s="116">
        <v>5</v>
      </c>
      <c r="F471" s="119">
        <v>531.47400000000005</v>
      </c>
      <c r="G471" s="116">
        <v>2025</v>
      </c>
      <c r="H471" s="116">
        <v>5</v>
      </c>
      <c r="I471" s="119">
        <v>630.14300000000003</v>
      </c>
      <c r="J471" s="114">
        <v>2.8788692233098878</v>
      </c>
    </row>
    <row r="472" spans="1:10">
      <c r="A472" s="113" t="s">
        <v>213</v>
      </c>
      <c r="B472" s="113" t="s">
        <v>522</v>
      </c>
      <c r="C472" s="113" t="s">
        <v>468</v>
      </c>
      <c r="D472" s="116">
        <v>2020</v>
      </c>
      <c r="E472" s="116">
        <v>5</v>
      </c>
      <c r="F472" s="119">
        <v>562.64499999999998</v>
      </c>
      <c r="G472" s="116">
        <v>2025</v>
      </c>
      <c r="H472" s="116">
        <v>5</v>
      </c>
      <c r="I472" s="119">
        <v>630.14300000000003</v>
      </c>
      <c r="J472" s="114">
        <v>2.2918258255712809</v>
      </c>
    </row>
    <row r="473" spans="1:10">
      <c r="A473" s="113" t="s">
        <v>213</v>
      </c>
      <c r="B473" s="113" t="s">
        <v>522</v>
      </c>
      <c r="C473" s="113" t="s">
        <v>468</v>
      </c>
      <c r="D473" s="116">
        <v>2021</v>
      </c>
      <c r="E473" s="116">
        <v>5</v>
      </c>
      <c r="F473" s="119">
        <v>571.27800000000002</v>
      </c>
      <c r="G473" s="116">
        <v>2025</v>
      </c>
      <c r="H473" s="116">
        <v>5</v>
      </c>
      <c r="I473" s="119">
        <v>630.14300000000003</v>
      </c>
      <c r="J473" s="114">
        <v>2.4820735764344399</v>
      </c>
    </row>
    <row r="474" spans="1:10">
      <c r="A474" s="113" t="s">
        <v>213</v>
      </c>
      <c r="B474" s="113" t="s">
        <v>522</v>
      </c>
      <c r="C474" s="113" t="s">
        <v>468</v>
      </c>
      <c r="D474" s="116">
        <v>2022</v>
      </c>
      <c r="E474" s="116">
        <v>5</v>
      </c>
      <c r="F474" s="119">
        <v>594.28700000000003</v>
      </c>
      <c r="G474" s="116">
        <v>2025</v>
      </c>
      <c r="H474" s="116">
        <v>5</v>
      </c>
      <c r="I474" s="119">
        <v>630.14300000000003</v>
      </c>
      <c r="J474" s="114">
        <v>1.9720058013141579</v>
      </c>
    </row>
    <row r="475" spans="1:10">
      <c r="A475" s="113" t="s">
        <v>213</v>
      </c>
      <c r="B475" s="113" t="s">
        <v>522</v>
      </c>
      <c r="C475" s="113" t="s">
        <v>468</v>
      </c>
      <c r="D475" s="116">
        <v>2023</v>
      </c>
      <c r="E475" s="116">
        <v>5</v>
      </c>
      <c r="F475" s="119">
        <v>593.78200000000004</v>
      </c>
      <c r="G475" s="116">
        <v>2025</v>
      </c>
      <c r="H475" s="116">
        <v>5</v>
      </c>
      <c r="I475" s="119">
        <v>630.14300000000003</v>
      </c>
      <c r="J475" s="114">
        <v>3.016322912160208</v>
      </c>
    </row>
    <row r="476" spans="1:10">
      <c r="A476" s="113" t="s">
        <v>213</v>
      </c>
      <c r="B476" s="113" t="s">
        <v>522</v>
      </c>
      <c r="C476" s="113" t="s">
        <v>468</v>
      </c>
      <c r="D476" s="116">
        <v>2024</v>
      </c>
      <c r="E476" s="116">
        <v>5</v>
      </c>
      <c r="F476" s="119">
        <v>611.88599999999997</v>
      </c>
      <c r="G476" s="116">
        <v>2025</v>
      </c>
      <c r="H476" s="116">
        <v>5</v>
      </c>
      <c r="I476" s="119">
        <v>630.14300000000003</v>
      </c>
      <c r="J476" s="114">
        <v>2.9837257266876578</v>
      </c>
    </row>
    <row r="477" spans="1:10">
      <c r="A477" s="113" t="s">
        <v>223</v>
      </c>
      <c r="B477" s="113" t="s">
        <v>523</v>
      </c>
      <c r="C477" s="113" t="s">
        <v>468</v>
      </c>
      <c r="D477" s="116">
        <v>1980</v>
      </c>
      <c r="E477" s="116">
        <v>5</v>
      </c>
      <c r="F477" s="119">
        <v>77.3</v>
      </c>
      <c r="G477" s="116">
        <v>2025</v>
      </c>
      <c r="H477" s="116">
        <v>5</v>
      </c>
      <c r="I477" s="119">
        <v>437.35</v>
      </c>
      <c r="J477" s="114">
        <v>3.926319561411717</v>
      </c>
    </row>
    <row r="478" spans="1:10">
      <c r="A478" s="113" t="s">
        <v>223</v>
      </c>
      <c r="B478" s="113" t="s">
        <v>523</v>
      </c>
      <c r="C478" s="113" t="s">
        <v>468</v>
      </c>
      <c r="D478" s="116">
        <v>1981</v>
      </c>
      <c r="E478" s="116">
        <v>5</v>
      </c>
      <c r="F478" s="119">
        <v>84.6</v>
      </c>
      <c r="G478" s="116">
        <v>2025</v>
      </c>
      <c r="H478" s="116">
        <v>5</v>
      </c>
      <c r="I478" s="119">
        <v>437.35</v>
      </c>
      <c r="J478" s="114">
        <v>3.8042110497873871</v>
      </c>
    </row>
    <row r="479" spans="1:10">
      <c r="A479" s="113" t="s">
        <v>223</v>
      </c>
      <c r="B479" s="113" t="s">
        <v>523</v>
      </c>
      <c r="C479" s="113" t="s">
        <v>468</v>
      </c>
      <c r="D479" s="116">
        <v>1982</v>
      </c>
      <c r="E479" s="116">
        <v>5</v>
      </c>
      <c r="F479" s="119">
        <v>92.5</v>
      </c>
      <c r="G479" s="116">
        <v>2025</v>
      </c>
      <c r="H479" s="116">
        <v>5</v>
      </c>
      <c r="I479" s="119">
        <v>437.35</v>
      </c>
      <c r="J479" s="114">
        <v>3.6789056775165419</v>
      </c>
    </row>
    <row r="480" spans="1:10">
      <c r="A480" s="113" t="s">
        <v>223</v>
      </c>
      <c r="B480" s="113" t="s">
        <v>523</v>
      </c>
      <c r="C480" s="113" t="s">
        <v>468</v>
      </c>
      <c r="D480" s="116">
        <v>1983</v>
      </c>
      <c r="E480" s="116">
        <v>5</v>
      </c>
      <c r="F480" s="119">
        <v>98.8</v>
      </c>
      <c r="G480" s="116">
        <v>2025</v>
      </c>
      <c r="H480" s="116">
        <v>5</v>
      </c>
      <c r="I480" s="119">
        <v>437.35</v>
      </c>
      <c r="J480" s="114">
        <v>3.605466632622734</v>
      </c>
    </row>
    <row r="481" spans="1:10">
      <c r="A481" s="113" t="s">
        <v>223</v>
      </c>
      <c r="B481" s="113" t="s">
        <v>523</v>
      </c>
      <c r="C481" s="113" t="s">
        <v>468</v>
      </c>
      <c r="D481" s="116">
        <v>1984</v>
      </c>
      <c r="E481" s="116">
        <v>5</v>
      </c>
      <c r="F481" s="119">
        <v>106.3</v>
      </c>
      <c r="G481" s="116">
        <v>2025</v>
      </c>
      <c r="H481" s="116">
        <v>5</v>
      </c>
      <c r="I481" s="119">
        <v>437.35</v>
      </c>
      <c r="J481" s="114">
        <v>3.5101233229167579</v>
      </c>
    </row>
    <row r="482" spans="1:10">
      <c r="A482" s="113" t="s">
        <v>223</v>
      </c>
      <c r="B482" s="113" t="s">
        <v>523</v>
      </c>
      <c r="C482" s="113" t="s">
        <v>468</v>
      </c>
      <c r="D482" s="116">
        <v>1985</v>
      </c>
      <c r="E482" s="116">
        <v>5</v>
      </c>
      <c r="F482" s="119">
        <v>112.7</v>
      </c>
      <c r="G482" s="116">
        <v>2025</v>
      </c>
      <c r="H482" s="116">
        <v>5</v>
      </c>
      <c r="I482" s="119">
        <v>437.35</v>
      </c>
      <c r="J482" s="114">
        <v>3.4481266426754198</v>
      </c>
    </row>
    <row r="483" spans="1:10">
      <c r="A483" s="113" t="s">
        <v>223</v>
      </c>
      <c r="B483" s="113" t="s">
        <v>523</v>
      </c>
      <c r="C483" s="113" t="s">
        <v>468</v>
      </c>
      <c r="D483" s="116">
        <v>1986</v>
      </c>
      <c r="E483" s="116">
        <v>5</v>
      </c>
      <c r="F483" s="119">
        <v>119.9</v>
      </c>
      <c r="G483" s="116">
        <v>2025</v>
      </c>
      <c r="H483" s="116">
        <v>5</v>
      </c>
      <c r="I483" s="119">
        <v>437.35</v>
      </c>
      <c r="J483" s="114">
        <v>3.3738072209581249</v>
      </c>
    </row>
    <row r="484" spans="1:10">
      <c r="A484" s="113" t="s">
        <v>223</v>
      </c>
      <c r="B484" s="113" t="s">
        <v>523</v>
      </c>
      <c r="C484" s="113" t="s">
        <v>468</v>
      </c>
      <c r="D484" s="116">
        <v>1987</v>
      </c>
      <c r="E484" s="116">
        <v>5</v>
      </c>
      <c r="F484" s="119">
        <v>127.8</v>
      </c>
      <c r="G484" s="116">
        <v>2025</v>
      </c>
      <c r="H484" s="116">
        <v>5</v>
      </c>
      <c r="I484" s="119">
        <v>437.35</v>
      </c>
      <c r="J484" s="114">
        <v>3.29052408056083</v>
      </c>
    </row>
    <row r="485" spans="1:10">
      <c r="A485" s="113" t="s">
        <v>223</v>
      </c>
      <c r="B485" s="113" t="s">
        <v>523</v>
      </c>
      <c r="C485" s="113" t="s">
        <v>468</v>
      </c>
      <c r="D485" s="116">
        <v>1988</v>
      </c>
      <c r="E485" s="116">
        <v>5</v>
      </c>
      <c r="F485" s="119">
        <v>136.4</v>
      </c>
      <c r="G485" s="116">
        <v>2025</v>
      </c>
      <c r="H485" s="116">
        <v>5</v>
      </c>
      <c r="I485" s="119">
        <v>437.35</v>
      </c>
      <c r="J485" s="114">
        <v>3.1991391573311661</v>
      </c>
    </row>
    <row r="486" spans="1:10">
      <c r="A486" s="113" t="s">
        <v>223</v>
      </c>
      <c r="B486" s="113" t="s">
        <v>523</v>
      </c>
      <c r="C486" s="113" t="s">
        <v>468</v>
      </c>
      <c r="D486" s="116">
        <v>1989</v>
      </c>
      <c r="E486" s="116">
        <v>5</v>
      </c>
      <c r="F486" s="119">
        <v>145.19999999999999</v>
      </c>
      <c r="G486" s="116">
        <v>2025</v>
      </c>
      <c r="H486" s="116">
        <v>5</v>
      </c>
      <c r="I486" s="119">
        <v>437.35</v>
      </c>
      <c r="J486" s="114">
        <v>3.1102254673656802</v>
      </c>
    </row>
    <row r="487" spans="1:10">
      <c r="A487" s="113" t="s">
        <v>223</v>
      </c>
      <c r="B487" s="113" t="s">
        <v>523</v>
      </c>
      <c r="C487" s="113" t="s">
        <v>468</v>
      </c>
      <c r="D487" s="116">
        <v>1990</v>
      </c>
      <c r="E487" s="116">
        <v>5</v>
      </c>
      <c r="F487" s="119">
        <v>155.1</v>
      </c>
      <c r="G487" s="116">
        <v>2025</v>
      </c>
      <c r="H487" s="116">
        <v>5</v>
      </c>
      <c r="I487" s="119">
        <v>437.35</v>
      </c>
      <c r="J487" s="114">
        <v>3.0061967877331508</v>
      </c>
    </row>
    <row r="488" spans="1:10">
      <c r="A488" s="113" t="s">
        <v>223</v>
      </c>
      <c r="B488" s="113" t="s">
        <v>523</v>
      </c>
      <c r="C488" s="113" t="s">
        <v>468</v>
      </c>
      <c r="D488" s="116">
        <v>1991</v>
      </c>
      <c r="E488" s="116">
        <v>5</v>
      </c>
      <c r="F488" s="119">
        <v>164.4</v>
      </c>
      <c r="G488" s="116">
        <v>2025</v>
      </c>
      <c r="H488" s="116">
        <v>5</v>
      </c>
      <c r="I488" s="119">
        <v>437.35</v>
      </c>
      <c r="J488" s="114">
        <v>2.919546120103012</v>
      </c>
    </row>
    <row r="489" spans="1:10">
      <c r="A489" s="113" t="s">
        <v>223</v>
      </c>
      <c r="B489" s="113" t="s">
        <v>523</v>
      </c>
      <c r="C489" s="113" t="s">
        <v>468</v>
      </c>
      <c r="D489" s="116">
        <v>1992</v>
      </c>
      <c r="E489" s="116">
        <v>5</v>
      </c>
      <c r="F489" s="119">
        <v>174.6</v>
      </c>
      <c r="G489" s="116">
        <v>2025</v>
      </c>
      <c r="H489" s="116">
        <v>5</v>
      </c>
      <c r="I489" s="119">
        <v>437.35</v>
      </c>
      <c r="J489" s="114">
        <v>2.8216078225096859</v>
      </c>
    </row>
    <row r="490" spans="1:10">
      <c r="A490" s="113" t="s">
        <v>223</v>
      </c>
      <c r="B490" s="113" t="s">
        <v>523</v>
      </c>
      <c r="C490" s="113" t="s">
        <v>468</v>
      </c>
      <c r="D490" s="116">
        <v>1993</v>
      </c>
      <c r="E490" s="116">
        <v>5</v>
      </c>
      <c r="F490" s="119">
        <v>184.2</v>
      </c>
      <c r="G490" s="116">
        <v>2025</v>
      </c>
      <c r="H490" s="116">
        <v>5</v>
      </c>
      <c r="I490" s="119">
        <v>437.35</v>
      </c>
      <c r="J490" s="114">
        <v>2.7390651229452172</v>
      </c>
    </row>
    <row r="491" spans="1:10">
      <c r="A491" s="113" t="s">
        <v>223</v>
      </c>
      <c r="B491" s="113" t="s">
        <v>523</v>
      </c>
      <c r="C491" s="113" t="s">
        <v>468</v>
      </c>
      <c r="D491" s="116">
        <v>1994</v>
      </c>
      <c r="E491" s="116">
        <v>5</v>
      </c>
      <c r="F491" s="119">
        <v>191.4</v>
      </c>
      <c r="G491" s="116">
        <v>2025</v>
      </c>
      <c r="H491" s="116">
        <v>5</v>
      </c>
      <c r="I491" s="119">
        <v>437.35</v>
      </c>
      <c r="J491" s="114">
        <v>2.7015519462378008</v>
      </c>
    </row>
    <row r="492" spans="1:10">
      <c r="A492" s="113" t="s">
        <v>223</v>
      </c>
      <c r="B492" s="113" t="s">
        <v>523</v>
      </c>
      <c r="C492" s="113" t="s">
        <v>468</v>
      </c>
      <c r="D492" s="116">
        <v>1995</v>
      </c>
      <c r="E492" s="116">
        <v>5</v>
      </c>
      <c r="F492" s="119">
        <v>199.9</v>
      </c>
      <c r="G492" s="116">
        <v>2025</v>
      </c>
      <c r="H492" s="116">
        <v>5</v>
      </c>
      <c r="I492" s="119">
        <v>437.35</v>
      </c>
      <c r="J492" s="114">
        <v>2.64407324240945</v>
      </c>
    </row>
    <row r="493" spans="1:10">
      <c r="A493" s="113" t="s">
        <v>223</v>
      </c>
      <c r="B493" s="113" t="s">
        <v>523</v>
      </c>
      <c r="C493" s="113" t="s">
        <v>468</v>
      </c>
      <c r="D493" s="116">
        <v>1996</v>
      </c>
      <c r="E493" s="116">
        <v>5</v>
      </c>
      <c r="F493" s="119">
        <v>207.4</v>
      </c>
      <c r="G493" s="116">
        <v>2025</v>
      </c>
      <c r="H493" s="116">
        <v>5</v>
      </c>
      <c r="I493" s="119">
        <v>437.35</v>
      </c>
      <c r="J493" s="114">
        <v>2.6060848499426248</v>
      </c>
    </row>
    <row r="494" spans="1:10">
      <c r="A494" s="113" t="s">
        <v>223</v>
      </c>
      <c r="B494" s="113" t="s">
        <v>523</v>
      </c>
      <c r="C494" s="113" t="s">
        <v>468</v>
      </c>
      <c r="D494" s="116">
        <v>1997</v>
      </c>
      <c r="E494" s="116">
        <v>5</v>
      </c>
      <c r="F494" s="119">
        <v>214.8</v>
      </c>
      <c r="G494" s="116">
        <v>2025</v>
      </c>
      <c r="H494" s="116">
        <v>5</v>
      </c>
      <c r="I494" s="119">
        <v>437.35</v>
      </c>
      <c r="J494" s="114">
        <v>2.5718970129017031</v>
      </c>
    </row>
    <row r="495" spans="1:10">
      <c r="A495" s="113" t="s">
        <v>223</v>
      </c>
      <c r="B495" s="113" t="s">
        <v>523</v>
      </c>
      <c r="C495" s="113" t="s">
        <v>468</v>
      </c>
      <c r="D495" s="116">
        <v>1998</v>
      </c>
      <c r="E495" s="116">
        <v>5</v>
      </c>
      <c r="F495" s="119">
        <v>221.3</v>
      </c>
      <c r="G495" s="116">
        <v>2025</v>
      </c>
      <c r="H495" s="116">
        <v>5</v>
      </c>
      <c r="I495" s="119">
        <v>437.35</v>
      </c>
      <c r="J495" s="114">
        <v>2.5551142675014571</v>
      </c>
    </row>
    <row r="496" spans="1:10">
      <c r="A496" s="113" t="s">
        <v>223</v>
      </c>
      <c r="B496" s="113" t="s">
        <v>523</v>
      </c>
      <c r="C496" s="113" t="s">
        <v>468</v>
      </c>
      <c r="D496" s="116">
        <v>1999</v>
      </c>
      <c r="E496" s="116">
        <v>5</v>
      </c>
      <c r="F496" s="119">
        <v>228.2</v>
      </c>
      <c r="G496" s="116">
        <v>2025</v>
      </c>
      <c r="H496" s="116">
        <v>5</v>
      </c>
      <c r="I496" s="119">
        <v>437.35</v>
      </c>
      <c r="J496" s="114">
        <v>2.5335286006825002</v>
      </c>
    </row>
    <row r="497" spans="1:10">
      <c r="A497" s="113" t="s">
        <v>223</v>
      </c>
      <c r="B497" s="113" t="s">
        <v>523</v>
      </c>
      <c r="C497" s="113" t="s">
        <v>468</v>
      </c>
      <c r="D497" s="116">
        <v>2000</v>
      </c>
      <c r="E497" s="116">
        <v>5</v>
      </c>
      <c r="F497" s="119">
        <v>236.7</v>
      </c>
      <c r="G497" s="116">
        <v>2025</v>
      </c>
      <c r="H497" s="116">
        <v>5</v>
      </c>
      <c r="I497" s="119">
        <v>437.35</v>
      </c>
      <c r="J497" s="114">
        <v>2.4861632642173559</v>
      </c>
    </row>
    <row r="498" spans="1:10">
      <c r="A498" s="113" t="s">
        <v>223</v>
      </c>
      <c r="B498" s="113" t="s">
        <v>523</v>
      </c>
      <c r="C498" s="113" t="s">
        <v>468</v>
      </c>
      <c r="D498" s="116">
        <v>2001</v>
      </c>
      <c r="E498" s="116">
        <v>5</v>
      </c>
      <c r="F498" s="119">
        <v>245.4</v>
      </c>
      <c r="G498" s="116">
        <v>2025</v>
      </c>
      <c r="H498" s="116">
        <v>5</v>
      </c>
      <c r="I498" s="119">
        <v>437.35</v>
      </c>
      <c r="J498" s="114">
        <v>2.436903154792835</v>
      </c>
    </row>
    <row r="499" spans="1:10">
      <c r="A499" s="113" t="s">
        <v>223</v>
      </c>
      <c r="B499" s="113" t="s">
        <v>523</v>
      </c>
      <c r="C499" s="113" t="s">
        <v>468</v>
      </c>
      <c r="D499" s="116">
        <v>2002</v>
      </c>
      <c r="E499" s="116">
        <v>5</v>
      </c>
      <c r="F499" s="119">
        <v>252.5</v>
      </c>
      <c r="G499" s="116">
        <v>2025</v>
      </c>
      <c r="H499" s="116">
        <v>5</v>
      </c>
      <c r="I499" s="119">
        <v>437.35</v>
      </c>
      <c r="J499" s="114">
        <v>2.4171085910026369</v>
      </c>
    </row>
    <row r="500" spans="1:10">
      <c r="A500" s="113" t="s">
        <v>223</v>
      </c>
      <c r="B500" s="113" t="s">
        <v>523</v>
      </c>
      <c r="C500" s="113" t="s">
        <v>468</v>
      </c>
      <c r="D500" s="116">
        <v>2003</v>
      </c>
      <c r="E500" s="116">
        <v>5</v>
      </c>
      <c r="F500" s="119">
        <v>260.60000000000002</v>
      </c>
      <c r="G500" s="116">
        <v>2025</v>
      </c>
      <c r="H500" s="116">
        <v>5</v>
      </c>
      <c r="I500" s="119">
        <v>437.35</v>
      </c>
      <c r="J500" s="114">
        <v>2.381306908891601</v>
      </c>
    </row>
    <row r="501" spans="1:10">
      <c r="A501" s="113" t="s">
        <v>223</v>
      </c>
      <c r="B501" s="113" t="s">
        <v>523</v>
      </c>
      <c r="C501" s="113" t="s">
        <v>468</v>
      </c>
      <c r="D501" s="116">
        <v>2004</v>
      </c>
      <c r="E501" s="116">
        <v>5</v>
      </c>
      <c r="F501" s="119">
        <v>270.3</v>
      </c>
      <c r="G501" s="116">
        <v>2025</v>
      </c>
      <c r="H501" s="116">
        <v>5</v>
      </c>
      <c r="I501" s="119">
        <v>437.35</v>
      </c>
      <c r="J501" s="114">
        <v>2.3178899867608802</v>
      </c>
    </row>
    <row r="502" spans="1:10">
      <c r="A502" s="113" t="s">
        <v>223</v>
      </c>
      <c r="B502" s="113" t="s">
        <v>523</v>
      </c>
      <c r="C502" s="113" t="s">
        <v>468</v>
      </c>
      <c r="D502" s="116">
        <v>2005</v>
      </c>
      <c r="E502" s="116">
        <v>5</v>
      </c>
      <c r="F502" s="119">
        <v>280.8</v>
      </c>
      <c r="G502" s="116">
        <v>2025</v>
      </c>
      <c r="H502" s="116">
        <v>5</v>
      </c>
      <c r="I502" s="119">
        <v>437.35</v>
      </c>
      <c r="J502" s="114">
        <v>2.240179047402346</v>
      </c>
    </row>
    <row r="503" spans="1:10">
      <c r="A503" s="113" t="s">
        <v>223</v>
      </c>
      <c r="B503" s="113" t="s">
        <v>523</v>
      </c>
      <c r="C503" s="113" t="s">
        <v>468</v>
      </c>
      <c r="D503" s="116">
        <v>2006</v>
      </c>
      <c r="E503" s="116">
        <v>5</v>
      </c>
      <c r="F503" s="119">
        <v>288.2</v>
      </c>
      <c r="G503" s="116">
        <v>2025</v>
      </c>
      <c r="H503" s="116">
        <v>5</v>
      </c>
      <c r="I503" s="119">
        <v>437.35</v>
      </c>
      <c r="J503" s="114">
        <v>2.2194239467937971</v>
      </c>
    </row>
    <row r="504" spans="1:10">
      <c r="A504" s="113" t="s">
        <v>223</v>
      </c>
      <c r="B504" s="113" t="s">
        <v>523</v>
      </c>
      <c r="C504" s="113" t="s">
        <v>468</v>
      </c>
      <c r="D504" s="116">
        <v>2007</v>
      </c>
      <c r="E504" s="116">
        <v>5</v>
      </c>
      <c r="F504" s="119">
        <v>298.97300000000001</v>
      </c>
      <c r="G504" s="116">
        <v>2025</v>
      </c>
      <c r="H504" s="116">
        <v>5</v>
      </c>
      <c r="I504" s="119">
        <v>437.35</v>
      </c>
      <c r="J504" s="114">
        <v>2.1357118407996589</v>
      </c>
    </row>
    <row r="505" spans="1:10">
      <c r="A505" s="113" t="s">
        <v>223</v>
      </c>
      <c r="B505" s="113" t="s">
        <v>523</v>
      </c>
      <c r="C505" s="113" t="s">
        <v>468</v>
      </c>
      <c r="D505" s="116">
        <v>2008</v>
      </c>
      <c r="E505" s="116">
        <v>5</v>
      </c>
      <c r="F505" s="119">
        <v>310.52300000000002</v>
      </c>
      <c r="G505" s="116">
        <v>2025</v>
      </c>
      <c r="H505" s="116">
        <v>5</v>
      </c>
      <c r="I505" s="119">
        <v>437.35</v>
      </c>
      <c r="J505" s="114">
        <v>2.0349929198595569</v>
      </c>
    </row>
    <row r="506" spans="1:10">
      <c r="A506" s="113" t="s">
        <v>223</v>
      </c>
      <c r="B506" s="113" t="s">
        <v>523</v>
      </c>
      <c r="C506" s="113" t="s">
        <v>468</v>
      </c>
      <c r="D506" s="116">
        <v>2009</v>
      </c>
      <c r="E506" s="116">
        <v>5</v>
      </c>
      <c r="F506" s="119">
        <v>319.01900000000001</v>
      </c>
      <c r="G506" s="116">
        <v>2025</v>
      </c>
      <c r="H506" s="116">
        <v>5</v>
      </c>
      <c r="I506" s="119">
        <v>437.35</v>
      </c>
      <c r="J506" s="114">
        <v>1.9913373229177409</v>
      </c>
    </row>
    <row r="507" spans="1:10">
      <c r="A507" s="113" t="s">
        <v>223</v>
      </c>
      <c r="B507" s="113" t="s">
        <v>523</v>
      </c>
      <c r="C507" s="113" t="s">
        <v>468</v>
      </c>
      <c r="D507" s="116">
        <v>2010</v>
      </c>
      <c r="E507" s="116">
        <v>5</v>
      </c>
      <c r="F507" s="119">
        <v>326.89499999999998</v>
      </c>
      <c r="G507" s="116">
        <v>2025</v>
      </c>
      <c r="H507" s="116">
        <v>5</v>
      </c>
      <c r="I507" s="119">
        <v>437.35</v>
      </c>
      <c r="J507" s="114">
        <v>1.959584470701548</v>
      </c>
    </row>
    <row r="508" spans="1:10">
      <c r="A508" s="113" t="s">
        <v>223</v>
      </c>
      <c r="B508" s="113" t="s">
        <v>523</v>
      </c>
      <c r="C508" s="113" t="s">
        <v>468</v>
      </c>
      <c r="D508" s="116">
        <v>2011</v>
      </c>
      <c r="E508" s="116">
        <v>5</v>
      </c>
      <c r="F508" s="119">
        <v>334.97699999999998</v>
      </c>
      <c r="G508" s="116">
        <v>2025</v>
      </c>
      <c r="H508" s="116">
        <v>5</v>
      </c>
      <c r="I508" s="119">
        <v>437.35</v>
      </c>
      <c r="J508" s="114">
        <v>1.923056447639016</v>
      </c>
    </row>
    <row r="509" spans="1:10">
      <c r="A509" s="113" t="s">
        <v>223</v>
      </c>
      <c r="B509" s="113" t="s">
        <v>523</v>
      </c>
      <c r="C509" s="113" t="s">
        <v>468</v>
      </c>
      <c r="D509" s="116">
        <v>2012</v>
      </c>
      <c r="E509" s="116">
        <v>5</v>
      </c>
      <c r="F509" s="119">
        <v>340.88900000000001</v>
      </c>
      <c r="G509" s="116">
        <v>2025</v>
      </c>
      <c r="H509" s="116">
        <v>5</v>
      </c>
      <c r="I509" s="119">
        <v>437.35</v>
      </c>
      <c r="J509" s="114">
        <v>1.935232712982526</v>
      </c>
    </row>
    <row r="510" spans="1:10">
      <c r="A510" s="113" t="s">
        <v>223</v>
      </c>
      <c r="B510" s="113" t="s">
        <v>523</v>
      </c>
      <c r="C510" s="113" t="s">
        <v>468</v>
      </c>
      <c r="D510" s="116">
        <v>2013</v>
      </c>
      <c r="E510" s="116">
        <v>5</v>
      </c>
      <c r="F510" s="119">
        <v>348.59199999999998</v>
      </c>
      <c r="G510" s="116">
        <v>2025</v>
      </c>
      <c r="H510" s="116">
        <v>5</v>
      </c>
      <c r="I510" s="119">
        <v>437.35</v>
      </c>
      <c r="J510" s="114">
        <v>1.908241963645785</v>
      </c>
    </row>
    <row r="511" spans="1:10">
      <c r="A511" s="113" t="s">
        <v>223</v>
      </c>
      <c r="B511" s="113" t="s">
        <v>523</v>
      </c>
      <c r="C511" s="113" t="s">
        <v>468</v>
      </c>
      <c r="D511" s="116">
        <v>2014</v>
      </c>
      <c r="E511" s="116">
        <v>5</v>
      </c>
      <c r="F511" s="119">
        <v>354.82900000000001</v>
      </c>
      <c r="G511" s="116">
        <v>2025</v>
      </c>
      <c r="H511" s="116">
        <v>5</v>
      </c>
      <c r="I511" s="119">
        <v>437.35</v>
      </c>
      <c r="J511" s="114">
        <v>1.9190710718853139</v>
      </c>
    </row>
    <row r="512" spans="1:10">
      <c r="A512" s="113" t="s">
        <v>223</v>
      </c>
      <c r="B512" s="113" t="s">
        <v>523</v>
      </c>
      <c r="C512" s="113" t="s">
        <v>468</v>
      </c>
      <c r="D512" s="116">
        <v>2015</v>
      </c>
      <c r="E512" s="116">
        <v>5</v>
      </c>
      <c r="F512" s="119">
        <v>360.42500000000001</v>
      </c>
      <c r="G512" s="116">
        <v>2025</v>
      </c>
      <c r="H512" s="116">
        <v>5</v>
      </c>
      <c r="I512" s="119">
        <v>437.35</v>
      </c>
      <c r="J512" s="114">
        <v>1.9533316667035729</v>
      </c>
    </row>
    <row r="513" spans="1:10">
      <c r="A513" s="113" t="s">
        <v>223</v>
      </c>
      <c r="B513" s="113" t="s">
        <v>523</v>
      </c>
      <c r="C513" s="113" t="s">
        <v>468</v>
      </c>
      <c r="D513" s="116">
        <v>2016</v>
      </c>
      <c r="E513" s="116">
        <v>5</v>
      </c>
      <c r="F513" s="119">
        <v>370.64100000000002</v>
      </c>
      <c r="G513" s="116">
        <v>2025</v>
      </c>
      <c r="H513" s="116">
        <v>5</v>
      </c>
      <c r="I513" s="119">
        <v>437.35</v>
      </c>
      <c r="J513" s="114">
        <v>1.8558988765188911</v>
      </c>
    </row>
    <row r="514" spans="1:10">
      <c r="A514" s="113" t="s">
        <v>223</v>
      </c>
      <c r="B514" s="113" t="s">
        <v>523</v>
      </c>
      <c r="C514" s="113" t="s">
        <v>468</v>
      </c>
      <c r="D514" s="116">
        <v>2017</v>
      </c>
      <c r="E514" s="116">
        <v>5</v>
      </c>
      <c r="F514" s="119">
        <v>374.142</v>
      </c>
      <c r="G514" s="116">
        <v>2025</v>
      </c>
      <c r="H514" s="116">
        <v>5</v>
      </c>
      <c r="I514" s="119">
        <v>437.35</v>
      </c>
      <c r="J514" s="114">
        <v>1.9703907276418691</v>
      </c>
    </row>
    <row r="515" spans="1:10">
      <c r="A515" s="113" t="s">
        <v>223</v>
      </c>
      <c r="B515" s="113" t="s">
        <v>523</v>
      </c>
      <c r="C515" s="113" t="s">
        <v>468</v>
      </c>
      <c r="D515" s="116">
        <v>2018</v>
      </c>
      <c r="E515" s="116">
        <v>5</v>
      </c>
      <c r="F515" s="119">
        <v>378.625</v>
      </c>
      <c r="G515" s="116">
        <v>2025</v>
      </c>
      <c r="H515" s="116">
        <v>5</v>
      </c>
      <c r="I515" s="119">
        <v>437.35</v>
      </c>
      <c r="J515" s="114">
        <v>2.0811824616078001</v>
      </c>
    </row>
    <row r="516" spans="1:10">
      <c r="A516" s="113" t="s">
        <v>223</v>
      </c>
      <c r="B516" s="113" t="s">
        <v>523</v>
      </c>
      <c r="C516" s="113" t="s">
        <v>468</v>
      </c>
      <c r="D516" s="116">
        <v>2019</v>
      </c>
      <c r="E516" s="116">
        <v>5</v>
      </c>
      <c r="F516" s="119">
        <v>381.166</v>
      </c>
      <c r="G516" s="116">
        <v>2025</v>
      </c>
      <c r="H516" s="116">
        <v>5</v>
      </c>
      <c r="I516" s="119">
        <v>437.35</v>
      </c>
      <c r="J516" s="114">
        <v>2.3181068654838382</v>
      </c>
    </row>
    <row r="517" spans="1:10">
      <c r="A517" s="113" t="s">
        <v>223</v>
      </c>
      <c r="B517" s="113" t="s">
        <v>523</v>
      </c>
      <c r="C517" s="113" t="s">
        <v>468</v>
      </c>
      <c r="D517" s="116">
        <v>2020</v>
      </c>
      <c r="E517" s="116">
        <v>5</v>
      </c>
      <c r="F517" s="119">
        <v>389.60700000000003</v>
      </c>
      <c r="G517" s="116">
        <v>2025</v>
      </c>
      <c r="H517" s="116">
        <v>5</v>
      </c>
      <c r="I517" s="119">
        <v>437.35</v>
      </c>
      <c r="J517" s="114">
        <v>2.338836690819357</v>
      </c>
    </row>
    <row r="518" spans="1:10">
      <c r="A518" s="113" t="s">
        <v>223</v>
      </c>
      <c r="B518" s="113" t="s">
        <v>523</v>
      </c>
      <c r="C518" s="113" t="s">
        <v>468</v>
      </c>
      <c r="D518" s="116">
        <v>2021</v>
      </c>
      <c r="E518" s="116">
        <v>5</v>
      </c>
      <c r="F518" s="119">
        <v>401.18</v>
      </c>
      <c r="G518" s="116">
        <v>2025</v>
      </c>
      <c r="H518" s="116">
        <v>5</v>
      </c>
      <c r="I518" s="119">
        <v>437.35</v>
      </c>
      <c r="J518" s="114">
        <v>2.1815448151813799</v>
      </c>
    </row>
    <row r="519" spans="1:10">
      <c r="A519" s="113" t="s">
        <v>223</v>
      </c>
      <c r="B519" s="113" t="s">
        <v>523</v>
      </c>
      <c r="C519" s="113" t="s">
        <v>468</v>
      </c>
      <c r="D519" s="116">
        <v>2022</v>
      </c>
      <c r="E519" s="116">
        <v>5</v>
      </c>
      <c r="F519" s="119">
        <v>409.20299999999997</v>
      </c>
      <c r="G519" s="116">
        <v>2025</v>
      </c>
      <c r="H519" s="116">
        <v>5</v>
      </c>
      <c r="I519" s="119">
        <v>437.35</v>
      </c>
      <c r="J519" s="114">
        <v>2.2421815015754909</v>
      </c>
    </row>
    <row r="520" spans="1:10">
      <c r="A520" s="113" t="s">
        <v>223</v>
      </c>
      <c r="B520" s="113" t="s">
        <v>523</v>
      </c>
      <c r="C520" s="113" t="s">
        <v>468</v>
      </c>
      <c r="D520" s="116">
        <v>2023</v>
      </c>
      <c r="E520" s="116">
        <v>5</v>
      </c>
      <c r="F520" s="119">
        <v>417.572</v>
      </c>
      <c r="G520" s="116">
        <v>2025</v>
      </c>
      <c r="H520" s="116">
        <v>5</v>
      </c>
      <c r="I520" s="119">
        <v>437.35</v>
      </c>
      <c r="J520" s="114">
        <v>2.3408172176415891</v>
      </c>
    </row>
    <row r="521" spans="1:10">
      <c r="A521" s="113" t="s">
        <v>223</v>
      </c>
      <c r="B521" s="113" t="s">
        <v>523</v>
      </c>
      <c r="C521" s="113" t="s">
        <v>468</v>
      </c>
      <c r="D521" s="116">
        <v>2024</v>
      </c>
      <c r="E521" s="116">
        <v>5</v>
      </c>
      <c r="F521" s="119">
        <v>426.99400000000003</v>
      </c>
      <c r="G521" s="116">
        <v>2025</v>
      </c>
      <c r="H521" s="116">
        <v>5</v>
      </c>
      <c r="I521" s="119">
        <v>437.35</v>
      </c>
      <c r="J521" s="114">
        <v>2.4253268195806088</v>
      </c>
    </row>
    <row r="522" spans="1:10">
      <c r="A522" s="113" t="s">
        <v>501</v>
      </c>
      <c r="B522" s="113" t="s">
        <v>524</v>
      </c>
      <c r="C522" s="113" t="s">
        <v>468</v>
      </c>
      <c r="D522" s="116">
        <v>1989</v>
      </c>
      <c r="E522" s="116">
        <v>5</v>
      </c>
      <c r="F522" s="119">
        <v>113</v>
      </c>
      <c r="G522" s="116">
        <v>2025</v>
      </c>
      <c r="H522" s="116">
        <v>5</v>
      </c>
      <c r="I522" s="119">
        <v>265.738</v>
      </c>
      <c r="J522" s="114">
        <v>2.4037777309677821</v>
      </c>
    </row>
    <row r="523" spans="1:10">
      <c r="A523" s="113" t="s">
        <v>501</v>
      </c>
      <c r="B523" s="113" t="s">
        <v>524</v>
      </c>
      <c r="C523" s="113" t="s">
        <v>468</v>
      </c>
      <c r="D523" s="116">
        <v>1990</v>
      </c>
      <c r="E523" s="116">
        <v>5</v>
      </c>
      <c r="F523" s="119">
        <v>119.2</v>
      </c>
      <c r="G523" s="116">
        <v>2025</v>
      </c>
      <c r="H523" s="116">
        <v>5</v>
      </c>
      <c r="I523" s="119">
        <v>265.738</v>
      </c>
      <c r="J523" s="114">
        <v>2.3170301655256238</v>
      </c>
    </row>
    <row r="524" spans="1:10">
      <c r="A524" s="113" t="s">
        <v>501</v>
      </c>
      <c r="B524" s="113" t="s">
        <v>524</v>
      </c>
      <c r="C524" s="113" t="s">
        <v>468</v>
      </c>
      <c r="D524" s="116">
        <v>1991</v>
      </c>
      <c r="E524" s="116">
        <v>5</v>
      </c>
      <c r="F524" s="119">
        <v>126.2</v>
      </c>
      <c r="G524" s="116">
        <v>2025</v>
      </c>
      <c r="H524" s="116">
        <v>5</v>
      </c>
      <c r="I524" s="119">
        <v>265.738</v>
      </c>
      <c r="J524" s="114">
        <v>2.2142855232920371</v>
      </c>
    </row>
    <row r="525" spans="1:10">
      <c r="A525" s="113" t="s">
        <v>501</v>
      </c>
      <c r="B525" s="113" t="s">
        <v>524</v>
      </c>
      <c r="C525" s="113" t="s">
        <v>468</v>
      </c>
      <c r="D525" s="116">
        <v>1992</v>
      </c>
      <c r="E525" s="116">
        <v>5</v>
      </c>
      <c r="F525" s="119">
        <v>131.1</v>
      </c>
      <c r="G525" s="116">
        <v>2025</v>
      </c>
      <c r="H525" s="116">
        <v>5</v>
      </c>
      <c r="I525" s="119">
        <v>265.738</v>
      </c>
      <c r="J525" s="114">
        <v>2.1641472257807099</v>
      </c>
    </row>
    <row r="526" spans="1:10">
      <c r="A526" s="113" t="s">
        <v>501</v>
      </c>
      <c r="B526" s="113" t="s">
        <v>524</v>
      </c>
      <c r="C526" s="113" t="s">
        <v>468</v>
      </c>
      <c r="D526" s="116">
        <v>1993</v>
      </c>
      <c r="E526" s="116">
        <v>5</v>
      </c>
      <c r="F526" s="119">
        <v>135.4</v>
      </c>
      <c r="G526" s="116">
        <v>2025</v>
      </c>
      <c r="H526" s="116">
        <v>5</v>
      </c>
      <c r="I526" s="119">
        <v>265.738</v>
      </c>
      <c r="J526" s="114">
        <v>2.1294736528326248</v>
      </c>
    </row>
    <row r="527" spans="1:10">
      <c r="A527" s="113" t="s">
        <v>501</v>
      </c>
      <c r="B527" s="113" t="s">
        <v>524</v>
      </c>
      <c r="C527" s="113" t="s">
        <v>468</v>
      </c>
      <c r="D527" s="116">
        <v>1994</v>
      </c>
      <c r="E527" s="116">
        <v>5</v>
      </c>
      <c r="F527" s="119">
        <v>140.6</v>
      </c>
      <c r="G527" s="116">
        <v>2025</v>
      </c>
      <c r="H527" s="116">
        <v>5</v>
      </c>
      <c r="I527" s="119">
        <v>265.738</v>
      </c>
      <c r="J527" s="114">
        <v>2.074752036618976</v>
      </c>
    </row>
    <row r="528" spans="1:10">
      <c r="A528" s="113" t="s">
        <v>501</v>
      </c>
      <c r="B528" s="113" t="s">
        <v>524</v>
      </c>
      <c r="C528" s="113" t="s">
        <v>468</v>
      </c>
      <c r="D528" s="116">
        <v>1995</v>
      </c>
      <c r="E528" s="116">
        <v>5</v>
      </c>
      <c r="F528" s="119">
        <v>144</v>
      </c>
      <c r="G528" s="116">
        <v>2025</v>
      </c>
      <c r="H528" s="116">
        <v>5</v>
      </c>
      <c r="I528" s="119">
        <v>265.738</v>
      </c>
      <c r="J528" s="114">
        <v>2.0633233725618321</v>
      </c>
    </row>
    <row r="529" spans="1:10">
      <c r="A529" s="113" t="s">
        <v>501</v>
      </c>
      <c r="B529" s="113" t="s">
        <v>524</v>
      </c>
      <c r="C529" s="113" t="s">
        <v>468</v>
      </c>
      <c r="D529" s="116">
        <v>1996</v>
      </c>
      <c r="E529" s="116">
        <v>5</v>
      </c>
      <c r="F529" s="119">
        <v>145.69999999999999</v>
      </c>
      <c r="G529" s="116">
        <v>2025</v>
      </c>
      <c r="H529" s="116">
        <v>5</v>
      </c>
      <c r="I529" s="119">
        <v>265.738</v>
      </c>
      <c r="J529" s="114">
        <v>2.0939006278075429</v>
      </c>
    </row>
    <row r="530" spans="1:10">
      <c r="A530" s="113" t="s">
        <v>501</v>
      </c>
      <c r="B530" s="113" t="s">
        <v>524</v>
      </c>
      <c r="C530" s="113" t="s">
        <v>468</v>
      </c>
      <c r="D530" s="116">
        <v>1997</v>
      </c>
      <c r="E530" s="116">
        <v>5</v>
      </c>
      <c r="F530" s="119">
        <v>151.5</v>
      </c>
      <c r="G530" s="116">
        <v>2025</v>
      </c>
      <c r="H530" s="116">
        <v>5</v>
      </c>
      <c r="I530" s="119">
        <v>265.738</v>
      </c>
      <c r="J530" s="114">
        <v>2.0271489880558931</v>
      </c>
    </row>
    <row r="531" spans="1:10">
      <c r="A531" s="113" t="s">
        <v>501</v>
      </c>
      <c r="B531" s="113" t="s">
        <v>524</v>
      </c>
      <c r="C531" s="113" t="s">
        <v>468</v>
      </c>
      <c r="D531" s="116">
        <v>1998</v>
      </c>
      <c r="E531" s="116">
        <v>5</v>
      </c>
      <c r="F531" s="119">
        <v>155.30000000000001</v>
      </c>
      <c r="G531" s="116">
        <v>2025</v>
      </c>
      <c r="H531" s="116">
        <v>5</v>
      </c>
      <c r="I531" s="119">
        <v>265.738</v>
      </c>
      <c r="J531" s="114">
        <v>2.0093738296156349</v>
      </c>
    </row>
    <row r="532" spans="1:10">
      <c r="A532" s="113" t="s">
        <v>501</v>
      </c>
      <c r="B532" s="113" t="s">
        <v>524</v>
      </c>
      <c r="C532" s="113" t="s">
        <v>468</v>
      </c>
      <c r="D532" s="116">
        <v>1999</v>
      </c>
      <c r="E532" s="116">
        <v>5</v>
      </c>
      <c r="F532" s="119">
        <v>158.19999999999999</v>
      </c>
      <c r="G532" s="116">
        <v>2025</v>
      </c>
      <c r="H532" s="116">
        <v>5</v>
      </c>
      <c r="I532" s="119">
        <v>265.738</v>
      </c>
      <c r="J532" s="114">
        <v>2.0148401020096069</v>
      </c>
    </row>
    <row r="533" spans="1:10">
      <c r="A533" s="113" t="s">
        <v>501</v>
      </c>
      <c r="B533" s="113" t="s">
        <v>524</v>
      </c>
      <c r="C533" s="113" t="s">
        <v>468</v>
      </c>
      <c r="D533" s="116">
        <v>2000</v>
      </c>
      <c r="E533" s="116">
        <v>5</v>
      </c>
      <c r="F533" s="119">
        <v>161.1</v>
      </c>
      <c r="G533" s="116">
        <v>2025</v>
      </c>
      <c r="H533" s="116">
        <v>5</v>
      </c>
      <c r="I533" s="119">
        <v>265.738</v>
      </c>
      <c r="J533" s="114">
        <v>2.0221155418364218</v>
      </c>
    </row>
    <row r="534" spans="1:10">
      <c r="A534" s="113" t="s">
        <v>501</v>
      </c>
      <c r="B534" s="113" t="s">
        <v>524</v>
      </c>
      <c r="C534" s="113" t="s">
        <v>468</v>
      </c>
      <c r="D534" s="116">
        <v>2001</v>
      </c>
      <c r="E534" s="116">
        <v>5</v>
      </c>
      <c r="F534" s="119">
        <v>166.6</v>
      </c>
      <c r="G534" s="116">
        <v>2025</v>
      </c>
      <c r="H534" s="116">
        <v>5</v>
      </c>
      <c r="I534" s="119">
        <v>265.738</v>
      </c>
      <c r="J534" s="114">
        <v>1.9645274931582299</v>
      </c>
    </row>
    <row r="535" spans="1:10">
      <c r="A535" s="113" t="s">
        <v>501</v>
      </c>
      <c r="B535" s="113" t="s">
        <v>524</v>
      </c>
      <c r="C535" s="113" t="s">
        <v>468</v>
      </c>
      <c r="D535" s="116">
        <v>2002</v>
      </c>
      <c r="E535" s="116">
        <v>5</v>
      </c>
      <c r="F535" s="119">
        <v>171.2</v>
      </c>
      <c r="G535" s="116">
        <v>2025</v>
      </c>
      <c r="H535" s="116">
        <v>5</v>
      </c>
      <c r="I535" s="119">
        <v>265.738</v>
      </c>
      <c r="J535" s="114">
        <v>1.9300341326069279</v>
      </c>
    </row>
    <row r="536" spans="1:10">
      <c r="A536" s="113" t="s">
        <v>501</v>
      </c>
      <c r="B536" s="113" t="s">
        <v>524</v>
      </c>
      <c r="C536" s="113" t="s">
        <v>468</v>
      </c>
      <c r="D536" s="116">
        <v>2003</v>
      </c>
      <c r="E536" s="116">
        <v>5</v>
      </c>
      <c r="F536" s="119">
        <v>176.1</v>
      </c>
      <c r="G536" s="116">
        <v>2025</v>
      </c>
      <c r="H536" s="116">
        <v>5</v>
      </c>
      <c r="I536" s="119">
        <v>265.738</v>
      </c>
      <c r="J536" s="114">
        <v>1.8878665268829971</v>
      </c>
    </row>
    <row r="537" spans="1:10">
      <c r="A537" s="113" t="s">
        <v>501</v>
      </c>
      <c r="B537" s="113" t="s">
        <v>524</v>
      </c>
      <c r="C537" s="113" t="s">
        <v>468</v>
      </c>
      <c r="D537" s="116">
        <v>2004</v>
      </c>
      <c r="E537" s="116">
        <v>5</v>
      </c>
      <c r="F537" s="119">
        <v>181.8</v>
      </c>
      <c r="G537" s="116">
        <v>2025</v>
      </c>
      <c r="H537" s="116">
        <v>5</v>
      </c>
      <c r="I537" s="119">
        <v>265.738</v>
      </c>
      <c r="J537" s="114">
        <v>1.8240732064698679</v>
      </c>
    </row>
    <row r="538" spans="1:10">
      <c r="A538" s="113" t="s">
        <v>501</v>
      </c>
      <c r="B538" s="113" t="s">
        <v>524</v>
      </c>
      <c r="C538" s="113" t="s">
        <v>468</v>
      </c>
      <c r="D538" s="116">
        <v>2005</v>
      </c>
      <c r="E538" s="116">
        <v>5</v>
      </c>
      <c r="F538" s="119">
        <v>186.7</v>
      </c>
      <c r="G538" s="116">
        <v>2025</v>
      </c>
      <c r="H538" s="116">
        <v>5</v>
      </c>
      <c r="I538" s="119">
        <v>265.738</v>
      </c>
      <c r="J538" s="114">
        <v>1.7807079178926659</v>
      </c>
    </row>
    <row r="539" spans="1:10">
      <c r="A539" s="113" t="s">
        <v>501</v>
      </c>
      <c r="B539" s="113" t="s">
        <v>524</v>
      </c>
      <c r="C539" s="113" t="s">
        <v>468</v>
      </c>
      <c r="D539" s="116">
        <v>2006</v>
      </c>
      <c r="E539" s="116">
        <v>5</v>
      </c>
      <c r="F539" s="119">
        <v>191.4</v>
      </c>
      <c r="G539" s="116">
        <v>2025</v>
      </c>
      <c r="H539" s="116">
        <v>5</v>
      </c>
      <c r="I539" s="119">
        <v>265.738</v>
      </c>
      <c r="J539" s="114">
        <v>1.7420812320686929</v>
      </c>
    </row>
    <row r="540" spans="1:10">
      <c r="A540" s="113" t="s">
        <v>501</v>
      </c>
      <c r="B540" s="113" t="s">
        <v>524</v>
      </c>
      <c r="C540" s="113" t="s">
        <v>468</v>
      </c>
      <c r="D540" s="116">
        <v>2007</v>
      </c>
      <c r="E540" s="116">
        <v>5</v>
      </c>
      <c r="F540" s="119">
        <v>196.96</v>
      </c>
      <c r="G540" s="116">
        <v>2025</v>
      </c>
      <c r="H540" s="116">
        <v>5</v>
      </c>
      <c r="I540" s="119">
        <v>265.738</v>
      </c>
      <c r="J540" s="114">
        <v>1.6778662250495511</v>
      </c>
    </row>
    <row r="541" spans="1:10">
      <c r="A541" s="113" t="s">
        <v>501</v>
      </c>
      <c r="B541" s="113" t="s">
        <v>524</v>
      </c>
      <c r="C541" s="113" t="s">
        <v>468</v>
      </c>
      <c r="D541" s="116">
        <v>2008</v>
      </c>
      <c r="E541" s="116">
        <v>5</v>
      </c>
      <c r="F541" s="119">
        <v>204.58699999999999</v>
      </c>
      <c r="G541" s="116">
        <v>2025</v>
      </c>
      <c r="H541" s="116">
        <v>5</v>
      </c>
      <c r="I541" s="119">
        <v>265.738</v>
      </c>
      <c r="J541" s="114">
        <v>1.550231853510287</v>
      </c>
    </row>
    <row r="542" spans="1:10">
      <c r="A542" s="113" t="s">
        <v>501</v>
      </c>
      <c r="B542" s="113" t="s">
        <v>524</v>
      </c>
      <c r="C542" s="113" t="s">
        <v>468</v>
      </c>
      <c r="D542" s="116">
        <v>2009</v>
      </c>
      <c r="E542" s="116">
        <v>5</v>
      </c>
      <c r="F542" s="119">
        <v>208.97800000000001</v>
      </c>
      <c r="G542" s="116">
        <v>2025</v>
      </c>
      <c r="H542" s="116">
        <v>5</v>
      </c>
      <c r="I542" s="119">
        <v>265.738</v>
      </c>
      <c r="J542" s="114">
        <v>1.513094838270201</v>
      </c>
    </row>
    <row r="543" spans="1:10">
      <c r="A543" s="113" t="s">
        <v>501</v>
      </c>
      <c r="B543" s="113" t="s">
        <v>524</v>
      </c>
      <c r="C543" s="113" t="s">
        <v>468</v>
      </c>
      <c r="D543" s="116">
        <v>2010</v>
      </c>
      <c r="E543" s="116">
        <v>5</v>
      </c>
      <c r="F543" s="119">
        <v>213.75399999999999</v>
      </c>
      <c r="G543" s="116">
        <v>2025</v>
      </c>
      <c r="H543" s="116">
        <v>5</v>
      </c>
      <c r="I543" s="119">
        <v>265.738</v>
      </c>
      <c r="J543" s="114">
        <v>1.4618151196229781</v>
      </c>
    </row>
    <row r="544" spans="1:10">
      <c r="A544" s="113" t="s">
        <v>501</v>
      </c>
      <c r="B544" s="113" t="s">
        <v>524</v>
      </c>
      <c r="C544" s="113" t="s">
        <v>468</v>
      </c>
      <c r="D544" s="116">
        <v>2011</v>
      </c>
      <c r="E544" s="116">
        <v>5</v>
      </c>
      <c r="F544" s="119">
        <v>217.43799999999999</v>
      </c>
      <c r="G544" s="116">
        <v>2025</v>
      </c>
      <c r="H544" s="116">
        <v>5</v>
      </c>
      <c r="I544" s="119">
        <v>265.738</v>
      </c>
      <c r="J544" s="114">
        <v>1.443150795250703</v>
      </c>
    </row>
    <row r="545" spans="1:10">
      <c r="A545" s="113" t="s">
        <v>501</v>
      </c>
      <c r="B545" s="113" t="s">
        <v>524</v>
      </c>
      <c r="C545" s="113" t="s">
        <v>468</v>
      </c>
      <c r="D545" s="116">
        <v>2012</v>
      </c>
      <c r="E545" s="116">
        <v>5</v>
      </c>
      <c r="F545" s="119">
        <v>219.65299999999999</v>
      </c>
      <c r="G545" s="116">
        <v>2025</v>
      </c>
      <c r="H545" s="116">
        <v>5</v>
      </c>
      <c r="I545" s="119">
        <v>265.738</v>
      </c>
      <c r="J545" s="114">
        <v>1.4758760841447449</v>
      </c>
    </row>
    <row r="546" spans="1:10">
      <c r="A546" s="113" t="s">
        <v>501</v>
      </c>
      <c r="B546" s="113" t="s">
        <v>524</v>
      </c>
      <c r="C546" s="113" t="s">
        <v>468</v>
      </c>
      <c r="D546" s="116">
        <v>2013</v>
      </c>
      <c r="E546" s="116">
        <v>5</v>
      </c>
      <c r="F546" s="119">
        <v>222.518</v>
      </c>
      <c r="G546" s="116">
        <v>2025</v>
      </c>
      <c r="H546" s="116">
        <v>5</v>
      </c>
      <c r="I546" s="119">
        <v>265.738</v>
      </c>
      <c r="J546" s="114">
        <v>1.4901846958926379</v>
      </c>
    </row>
    <row r="547" spans="1:10">
      <c r="A547" s="113" t="s">
        <v>501</v>
      </c>
      <c r="B547" s="113" t="s">
        <v>524</v>
      </c>
      <c r="C547" s="113" t="s">
        <v>468</v>
      </c>
      <c r="D547" s="116">
        <v>2014</v>
      </c>
      <c r="E547" s="116">
        <v>5</v>
      </c>
      <c r="F547" s="119">
        <v>225.29499999999999</v>
      </c>
      <c r="G547" s="116">
        <v>2025</v>
      </c>
      <c r="H547" s="116">
        <v>5</v>
      </c>
      <c r="I547" s="119">
        <v>265.738</v>
      </c>
      <c r="J547" s="114">
        <v>1.5122312007629151</v>
      </c>
    </row>
    <row r="548" spans="1:10">
      <c r="A548" s="113" t="s">
        <v>501</v>
      </c>
      <c r="B548" s="113" t="s">
        <v>524</v>
      </c>
      <c r="C548" s="113" t="s">
        <v>468</v>
      </c>
      <c r="D548" s="116">
        <v>2015</v>
      </c>
      <c r="E548" s="116">
        <v>5</v>
      </c>
      <c r="F548" s="119">
        <v>228.02699999999999</v>
      </c>
      <c r="G548" s="116">
        <v>2025</v>
      </c>
      <c r="H548" s="116">
        <v>5</v>
      </c>
      <c r="I548" s="119">
        <v>265.738</v>
      </c>
      <c r="J548" s="114">
        <v>1.5422398211753401</v>
      </c>
    </row>
    <row r="549" spans="1:10">
      <c r="A549" s="113" t="s">
        <v>501</v>
      </c>
      <c r="B549" s="113" t="s">
        <v>524</v>
      </c>
      <c r="C549" s="113" t="s">
        <v>468</v>
      </c>
      <c r="D549" s="116">
        <v>2016</v>
      </c>
      <c r="E549" s="116">
        <v>5</v>
      </c>
      <c r="F549" s="119">
        <v>231.20599999999999</v>
      </c>
      <c r="G549" s="116">
        <v>2025</v>
      </c>
      <c r="H549" s="116">
        <v>5</v>
      </c>
      <c r="I549" s="119">
        <v>265.738</v>
      </c>
      <c r="J549" s="114">
        <v>1.558709466405195</v>
      </c>
    </row>
    <row r="550" spans="1:10">
      <c r="A550" s="113" t="s">
        <v>501</v>
      </c>
      <c r="B550" s="113" t="s">
        <v>524</v>
      </c>
      <c r="C550" s="113" t="s">
        <v>468</v>
      </c>
      <c r="D550" s="116">
        <v>2017</v>
      </c>
      <c r="E550" s="116">
        <v>5</v>
      </c>
      <c r="F550" s="119">
        <v>236.29300000000001</v>
      </c>
      <c r="G550" s="116">
        <v>2025</v>
      </c>
      <c r="H550" s="116">
        <v>5</v>
      </c>
      <c r="I550" s="119">
        <v>265.738</v>
      </c>
      <c r="J550" s="114">
        <v>1.4788064835325581</v>
      </c>
    </row>
    <row r="551" spans="1:10">
      <c r="A551" s="113" t="s">
        <v>501</v>
      </c>
      <c r="B551" s="113" t="s">
        <v>524</v>
      </c>
      <c r="C551" s="113" t="s">
        <v>468</v>
      </c>
      <c r="D551" s="116">
        <v>2018</v>
      </c>
      <c r="E551" s="116">
        <v>5</v>
      </c>
      <c r="F551" s="119">
        <v>237.66300000000001</v>
      </c>
      <c r="G551" s="116">
        <v>2025</v>
      </c>
      <c r="H551" s="116">
        <v>5</v>
      </c>
      <c r="I551" s="119">
        <v>265.738</v>
      </c>
      <c r="J551" s="114">
        <v>1.607891912758852</v>
      </c>
    </row>
    <row r="552" spans="1:10">
      <c r="A552" s="113" t="s">
        <v>501</v>
      </c>
      <c r="B552" s="113" t="s">
        <v>524</v>
      </c>
      <c r="C552" s="113" t="s">
        <v>468</v>
      </c>
      <c r="D552" s="116">
        <v>2019</v>
      </c>
      <c r="E552" s="116">
        <v>5</v>
      </c>
      <c r="F552" s="119">
        <v>238.94200000000001</v>
      </c>
      <c r="G552" s="116">
        <v>2025</v>
      </c>
      <c r="H552" s="116">
        <v>5</v>
      </c>
      <c r="I552" s="119">
        <v>265.738</v>
      </c>
      <c r="J552" s="114">
        <v>1.787284405724199</v>
      </c>
    </row>
    <row r="553" spans="1:10">
      <c r="A553" s="113" t="s">
        <v>501</v>
      </c>
      <c r="B553" s="113" t="s">
        <v>524</v>
      </c>
      <c r="C553" s="113" t="s">
        <v>468</v>
      </c>
      <c r="D553" s="116">
        <v>2020</v>
      </c>
      <c r="E553" s="116">
        <v>5</v>
      </c>
      <c r="F553" s="119">
        <v>241.41900000000001</v>
      </c>
      <c r="G553" s="116">
        <v>2025</v>
      </c>
      <c r="H553" s="116">
        <v>5</v>
      </c>
      <c r="I553" s="119">
        <v>265.738</v>
      </c>
      <c r="J553" s="114">
        <v>1.9380785155116429</v>
      </c>
    </row>
    <row r="554" spans="1:10">
      <c r="A554" s="113" t="s">
        <v>501</v>
      </c>
      <c r="B554" s="113" t="s">
        <v>524</v>
      </c>
      <c r="C554" s="113" t="s">
        <v>468</v>
      </c>
      <c r="D554" s="116">
        <v>2021</v>
      </c>
      <c r="E554" s="116">
        <v>5</v>
      </c>
      <c r="F554" s="119">
        <v>247.78399999999999</v>
      </c>
      <c r="G554" s="116">
        <v>2025</v>
      </c>
      <c r="H554" s="116">
        <v>5</v>
      </c>
      <c r="I554" s="119">
        <v>265.738</v>
      </c>
      <c r="J554" s="114">
        <v>1.764218234202853</v>
      </c>
    </row>
    <row r="555" spans="1:10">
      <c r="A555" s="113" t="s">
        <v>501</v>
      </c>
      <c r="B555" s="113" t="s">
        <v>524</v>
      </c>
      <c r="C555" s="113" t="s">
        <v>468</v>
      </c>
      <c r="D555" s="116">
        <v>2022</v>
      </c>
      <c r="E555" s="116">
        <v>5</v>
      </c>
      <c r="F555" s="119">
        <v>259.02600000000001</v>
      </c>
      <c r="G555" s="116">
        <v>2025</v>
      </c>
      <c r="H555" s="116">
        <v>5</v>
      </c>
      <c r="I555" s="119">
        <v>265.738</v>
      </c>
      <c r="J555" s="114">
        <v>0.85639352061606111</v>
      </c>
    </row>
    <row r="556" spans="1:10">
      <c r="A556" s="113" t="s">
        <v>501</v>
      </c>
      <c r="B556" s="113" t="s">
        <v>524</v>
      </c>
      <c r="C556" s="113" t="s">
        <v>468</v>
      </c>
      <c r="D556" s="116">
        <v>2023</v>
      </c>
      <c r="E556" s="116">
        <v>5</v>
      </c>
      <c r="F556" s="119">
        <v>261.04899999999998</v>
      </c>
      <c r="G556" s="116">
        <v>2025</v>
      </c>
      <c r="H556" s="116">
        <v>5</v>
      </c>
      <c r="I556" s="119">
        <v>265.738</v>
      </c>
      <c r="J556" s="114">
        <v>0.89411008765103439</v>
      </c>
    </row>
    <row r="557" spans="1:10">
      <c r="A557" s="113" t="s">
        <v>501</v>
      </c>
      <c r="B557" s="113" t="s">
        <v>524</v>
      </c>
      <c r="C557" s="113" t="s">
        <v>468</v>
      </c>
      <c r="D557" s="116">
        <v>2024</v>
      </c>
      <c r="E557" s="116">
        <v>5</v>
      </c>
      <c r="F557" s="119">
        <v>259.58699999999999</v>
      </c>
      <c r="G557" s="116">
        <v>2025</v>
      </c>
      <c r="H557" s="116">
        <v>5</v>
      </c>
      <c r="I557" s="119">
        <v>265.738</v>
      </c>
      <c r="J557" s="114">
        <v>2.3695331430310551</v>
      </c>
    </row>
    <row r="558" spans="1:10">
      <c r="A558" s="113" t="s">
        <v>225</v>
      </c>
      <c r="B558" s="113" t="s">
        <v>525</v>
      </c>
      <c r="C558" s="113" t="s">
        <v>468</v>
      </c>
      <c r="D558" s="116">
        <v>1978</v>
      </c>
      <c r="E558" s="116">
        <v>5</v>
      </c>
      <c r="F558" s="119">
        <v>54.6</v>
      </c>
      <c r="G558" s="116">
        <v>2025</v>
      </c>
      <c r="H558" s="116">
        <v>5</v>
      </c>
      <c r="I558" s="119">
        <v>1137.3489999999999</v>
      </c>
      <c r="J558" s="114">
        <v>6.6737273679621456</v>
      </c>
    </row>
    <row r="559" spans="1:10">
      <c r="A559" s="113" t="s">
        <v>225</v>
      </c>
      <c r="B559" s="113" t="s">
        <v>525</v>
      </c>
      <c r="C559" s="113" t="s">
        <v>468</v>
      </c>
      <c r="D559" s="116">
        <v>1979</v>
      </c>
      <c r="E559" s="116">
        <v>5</v>
      </c>
      <c r="F559" s="119">
        <v>60.2</v>
      </c>
      <c r="G559" s="116">
        <v>2025</v>
      </c>
      <c r="H559" s="116">
        <v>5</v>
      </c>
      <c r="I559" s="119">
        <v>1137.3489999999999</v>
      </c>
      <c r="J559" s="114">
        <v>6.5971497817600921</v>
      </c>
    </row>
    <row r="560" spans="1:10">
      <c r="A560" s="113" t="s">
        <v>225</v>
      </c>
      <c r="B560" s="113" t="s">
        <v>525</v>
      </c>
      <c r="C560" s="113" t="s">
        <v>468</v>
      </c>
      <c r="D560" s="116">
        <v>1980</v>
      </c>
      <c r="E560" s="116">
        <v>5</v>
      </c>
      <c r="F560" s="119">
        <v>68</v>
      </c>
      <c r="G560" s="116">
        <v>2025</v>
      </c>
      <c r="H560" s="116">
        <v>5</v>
      </c>
      <c r="I560" s="119">
        <v>1137.3489999999999</v>
      </c>
      <c r="J560" s="114">
        <v>6.4599676137873994</v>
      </c>
    </row>
    <row r="561" spans="1:10">
      <c r="A561" s="113" t="s">
        <v>225</v>
      </c>
      <c r="B561" s="113" t="s">
        <v>525</v>
      </c>
      <c r="C561" s="113" t="s">
        <v>468</v>
      </c>
      <c r="D561" s="116">
        <v>1981</v>
      </c>
      <c r="E561" s="116">
        <v>5</v>
      </c>
      <c r="F561" s="119">
        <v>77.3</v>
      </c>
      <c r="G561" s="116">
        <v>2025</v>
      </c>
      <c r="H561" s="116">
        <v>5</v>
      </c>
      <c r="I561" s="119">
        <v>1137.3489999999999</v>
      </c>
      <c r="J561" s="114">
        <v>6.3013941513644154</v>
      </c>
    </row>
    <row r="562" spans="1:10">
      <c r="A562" s="113" t="s">
        <v>225</v>
      </c>
      <c r="B562" s="113" t="s">
        <v>525</v>
      </c>
      <c r="C562" s="113" t="s">
        <v>468</v>
      </c>
      <c r="D562" s="116">
        <v>1982</v>
      </c>
      <c r="E562" s="116">
        <v>5</v>
      </c>
      <c r="F562" s="119">
        <v>88.9</v>
      </c>
      <c r="G562" s="116">
        <v>2025</v>
      </c>
      <c r="H562" s="116">
        <v>5</v>
      </c>
      <c r="I562" s="119">
        <v>1137.3489999999999</v>
      </c>
      <c r="J562" s="114">
        <v>6.1069912039143359</v>
      </c>
    </row>
    <row r="563" spans="1:10">
      <c r="A563" s="113" t="s">
        <v>225</v>
      </c>
      <c r="B563" s="113" t="s">
        <v>525</v>
      </c>
      <c r="C563" s="113" t="s">
        <v>468</v>
      </c>
      <c r="D563" s="116">
        <v>1983</v>
      </c>
      <c r="E563" s="116">
        <v>5</v>
      </c>
      <c r="F563" s="119">
        <v>99.4</v>
      </c>
      <c r="G563" s="116">
        <v>2025</v>
      </c>
      <c r="H563" s="116">
        <v>5</v>
      </c>
      <c r="I563" s="119">
        <v>1137.3489999999999</v>
      </c>
      <c r="J563" s="114">
        <v>5.9747879709138862</v>
      </c>
    </row>
    <row r="564" spans="1:10">
      <c r="A564" s="113" t="s">
        <v>225</v>
      </c>
      <c r="B564" s="113" t="s">
        <v>525</v>
      </c>
      <c r="C564" s="113" t="s">
        <v>468</v>
      </c>
      <c r="D564" s="116">
        <v>1984</v>
      </c>
      <c r="E564" s="116">
        <v>5</v>
      </c>
      <c r="F564" s="119">
        <v>108.2</v>
      </c>
      <c r="G564" s="116">
        <v>2025</v>
      </c>
      <c r="H564" s="116">
        <v>5</v>
      </c>
      <c r="I564" s="119">
        <v>1137.3489999999999</v>
      </c>
      <c r="J564" s="114">
        <v>5.9055438731030252</v>
      </c>
    </row>
    <row r="565" spans="1:10">
      <c r="A565" s="113" t="s">
        <v>225</v>
      </c>
      <c r="B565" s="113" t="s">
        <v>525</v>
      </c>
      <c r="C565" s="113" t="s">
        <v>468</v>
      </c>
      <c r="D565" s="116">
        <v>1985</v>
      </c>
      <c r="E565" s="116">
        <v>5</v>
      </c>
      <c r="F565" s="119">
        <v>115.7</v>
      </c>
      <c r="G565" s="116">
        <v>2025</v>
      </c>
      <c r="H565" s="116">
        <v>5</v>
      </c>
      <c r="I565" s="119">
        <v>1137.3489999999999</v>
      </c>
      <c r="J565" s="114">
        <v>5.8800188088654393</v>
      </c>
    </row>
    <row r="566" spans="1:10">
      <c r="A566" s="113" t="s">
        <v>225</v>
      </c>
      <c r="B566" s="113" t="s">
        <v>525</v>
      </c>
      <c r="C566" s="113" t="s">
        <v>468</v>
      </c>
      <c r="D566" s="116">
        <v>1986</v>
      </c>
      <c r="E566" s="116">
        <v>5</v>
      </c>
      <c r="F566" s="119">
        <v>121.9</v>
      </c>
      <c r="G566" s="116">
        <v>2025</v>
      </c>
      <c r="H566" s="116">
        <v>5</v>
      </c>
      <c r="I566" s="119">
        <v>1137.3489999999999</v>
      </c>
      <c r="J566" s="114">
        <v>5.8934201761343674</v>
      </c>
    </row>
    <row r="567" spans="1:10">
      <c r="A567" s="113" t="s">
        <v>225</v>
      </c>
      <c r="B567" s="113" t="s">
        <v>525</v>
      </c>
      <c r="C567" s="113" t="s">
        <v>468</v>
      </c>
      <c r="D567" s="116">
        <v>1987</v>
      </c>
      <c r="E567" s="116">
        <v>5</v>
      </c>
      <c r="F567" s="119">
        <v>130.6</v>
      </c>
      <c r="G567" s="116">
        <v>2025</v>
      </c>
      <c r="H567" s="116">
        <v>5</v>
      </c>
      <c r="I567" s="119">
        <v>1137.3489999999999</v>
      </c>
      <c r="J567" s="114">
        <v>5.8608901223479393</v>
      </c>
    </row>
    <row r="568" spans="1:10">
      <c r="A568" s="113" t="s">
        <v>225</v>
      </c>
      <c r="B568" s="113" t="s">
        <v>525</v>
      </c>
      <c r="C568" s="113" t="s">
        <v>468</v>
      </c>
      <c r="D568" s="116">
        <v>1988</v>
      </c>
      <c r="E568" s="116">
        <v>5</v>
      </c>
      <c r="F568" s="119">
        <v>142.30000000000001</v>
      </c>
      <c r="G568" s="116">
        <v>2025</v>
      </c>
      <c r="H568" s="116">
        <v>5</v>
      </c>
      <c r="I568" s="119">
        <v>1137.3489999999999</v>
      </c>
      <c r="J568" s="114">
        <v>5.7784005688166218</v>
      </c>
    </row>
    <row r="569" spans="1:10">
      <c r="A569" s="113" t="s">
        <v>225</v>
      </c>
      <c r="B569" s="113" t="s">
        <v>525</v>
      </c>
      <c r="C569" s="113" t="s">
        <v>468</v>
      </c>
      <c r="D569" s="116">
        <v>1989</v>
      </c>
      <c r="E569" s="116">
        <v>5</v>
      </c>
      <c r="F569" s="119">
        <v>158</v>
      </c>
      <c r="G569" s="116">
        <v>2025</v>
      </c>
      <c r="H569" s="116">
        <v>5</v>
      </c>
      <c r="I569" s="119">
        <v>1137.3489999999999</v>
      </c>
      <c r="J569" s="114">
        <v>5.6360441784553794</v>
      </c>
    </row>
    <row r="570" spans="1:10">
      <c r="A570" s="113" t="s">
        <v>225</v>
      </c>
      <c r="B570" s="113" t="s">
        <v>525</v>
      </c>
      <c r="C570" s="113" t="s">
        <v>468</v>
      </c>
      <c r="D570" s="116">
        <v>1990</v>
      </c>
      <c r="E570" s="116">
        <v>5</v>
      </c>
      <c r="F570" s="119">
        <v>175.1</v>
      </c>
      <c r="G570" s="116">
        <v>2025</v>
      </c>
      <c r="H570" s="116">
        <v>5</v>
      </c>
      <c r="I570" s="119">
        <v>1137.3489999999999</v>
      </c>
      <c r="J570" s="114">
        <v>5.4914738736927982</v>
      </c>
    </row>
    <row r="571" spans="1:10">
      <c r="A571" s="113" t="s">
        <v>225</v>
      </c>
      <c r="B571" s="113" t="s">
        <v>525</v>
      </c>
      <c r="C571" s="113" t="s">
        <v>468</v>
      </c>
      <c r="D571" s="116">
        <v>1991</v>
      </c>
      <c r="E571" s="116">
        <v>5</v>
      </c>
      <c r="F571" s="119">
        <v>193.9</v>
      </c>
      <c r="G571" s="116">
        <v>2025</v>
      </c>
      <c r="H571" s="116">
        <v>5</v>
      </c>
      <c r="I571" s="119">
        <v>1137.3489999999999</v>
      </c>
      <c r="J571" s="114">
        <v>5.341022045329602</v>
      </c>
    </row>
    <row r="572" spans="1:10">
      <c r="A572" s="113" t="s">
        <v>225</v>
      </c>
      <c r="B572" s="113" t="s">
        <v>525</v>
      </c>
      <c r="C572" s="113" t="s">
        <v>468</v>
      </c>
      <c r="D572" s="116">
        <v>1992</v>
      </c>
      <c r="E572" s="116">
        <v>5</v>
      </c>
      <c r="F572" s="119">
        <v>212.1</v>
      </c>
      <c r="G572" s="116">
        <v>2025</v>
      </c>
      <c r="H572" s="116">
        <v>5</v>
      </c>
      <c r="I572" s="119">
        <v>1137.3489999999999</v>
      </c>
      <c r="J572" s="114">
        <v>5.2208022029181844</v>
      </c>
    </row>
    <row r="573" spans="1:10">
      <c r="A573" s="113" t="s">
        <v>225</v>
      </c>
      <c r="B573" s="113" t="s">
        <v>525</v>
      </c>
      <c r="C573" s="113" t="s">
        <v>468</v>
      </c>
      <c r="D573" s="116">
        <v>1993</v>
      </c>
      <c r="E573" s="116">
        <v>5</v>
      </c>
      <c r="F573" s="119">
        <v>230.5</v>
      </c>
      <c r="G573" s="116">
        <v>2025</v>
      </c>
      <c r="H573" s="116">
        <v>5</v>
      </c>
      <c r="I573" s="119">
        <v>1137.3489999999999</v>
      </c>
      <c r="J573" s="114">
        <v>5.1146414224560344</v>
      </c>
    </row>
    <row r="574" spans="1:10">
      <c r="A574" s="113" t="s">
        <v>225</v>
      </c>
      <c r="B574" s="113" t="s">
        <v>525</v>
      </c>
      <c r="C574" s="113" t="s">
        <v>468</v>
      </c>
      <c r="D574" s="116">
        <v>1994</v>
      </c>
      <c r="E574" s="116">
        <v>5</v>
      </c>
      <c r="F574" s="119">
        <v>243.9</v>
      </c>
      <c r="G574" s="116">
        <v>2025</v>
      </c>
      <c r="H574" s="116">
        <v>5</v>
      </c>
      <c r="I574" s="119">
        <v>1137.3489999999999</v>
      </c>
      <c r="J574" s="114">
        <v>5.0921762430909068</v>
      </c>
    </row>
    <row r="575" spans="1:10">
      <c r="A575" s="113" t="s">
        <v>225</v>
      </c>
      <c r="B575" s="113" t="s">
        <v>525</v>
      </c>
      <c r="C575" s="113" t="s">
        <v>468</v>
      </c>
      <c r="D575" s="116">
        <v>1995</v>
      </c>
      <c r="E575" s="116">
        <v>5</v>
      </c>
      <c r="F575" s="119">
        <v>256</v>
      </c>
      <c r="G575" s="116">
        <v>2025</v>
      </c>
      <c r="H575" s="116">
        <v>5</v>
      </c>
      <c r="I575" s="119">
        <v>1137.3489999999999</v>
      </c>
      <c r="J575" s="114">
        <v>5.0965499509673107</v>
      </c>
    </row>
    <row r="576" spans="1:10">
      <c r="A576" s="113" t="s">
        <v>225</v>
      </c>
      <c r="B576" s="113" t="s">
        <v>525</v>
      </c>
      <c r="C576" s="113" t="s">
        <v>468</v>
      </c>
      <c r="D576" s="116">
        <v>1996</v>
      </c>
      <c r="E576" s="116">
        <v>5</v>
      </c>
      <c r="F576" s="119">
        <v>268.10000000000002</v>
      </c>
      <c r="G576" s="116">
        <v>2025</v>
      </c>
      <c r="H576" s="116">
        <v>5</v>
      </c>
      <c r="I576" s="119">
        <v>1137.3489999999999</v>
      </c>
      <c r="J576" s="114">
        <v>5.1093314262337319</v>
      </c>
    </row>
    <row r="577" spans="1:10">
      <c r="A577" s="113" t="s">
        <v>225</v>
      </c>
      <c r="B577" s="113" t="s">
        <v>525</v>
      </c>
      <c r="C577" s="113" t="s">
        <v>468</v>
      </c>
      <c r="D577" s="116">
        <v>1997</v>
      </c>
      <c r="E577" s="116">
        <v>5</v>
      </c>
      <c r="F577" s="119">
        <v>277.8</v>
      </c>
      <c r="G577" s="116">
        <v>2025</v>
      </c>
      <c r="H577" s="116">
        <v>5</v>
      </c>
      <c r="I577" s="119">
        <v>1137.3489999999999</v>
      </c>
      <c r="J577" s="114">
        <v>5.1629864961942218</v>
      </c>
    </row>
    <row r="578" spans="1:10">
      <c r="A578" s="113" t="s">
        <v>225</v>
      </c>
      <c r="B578" s="113" t="s">
        <v>525</v>
      </c>
      <c r="C578" s="113" t="s">
        <v>468</v>
      </c>
      <c r="D578" s="116">
        <v>1998</v>
      </c>
      <c r="E578" s="116">
        <v>5</v>
      </c>
      <c r="F578" s="119">
        <v>286.10000000000002</v>
      </c>
      <c r="G578" s="116">
        <v>2025</v>
      </c>
      <c r="H578" s="116">
        <v>5</v>
      </c>
      <c r="I578" s="119">
        <v>1137.3489999999999</v>
      </c>
      <c r="J578" s="114">
        <v>5.2444267982969306</v>
      </c>
    </row>
    <row r="579" spans="1:10">
      <c r="A579" s="113" t="s">
        <v>225</v>
      </c>
      <c r="B579" s="113" t="s">
        <v>525</v>
      </c>
      <c r="C579" s="113" t="s">
        <v>468</v>
      </c>
      <c r="D579" s="116">
        <v>1999</v>
      </c>
      <c r="E579" s="116">
        <v>5</v>
      </c>
      <c r="F579" s="119">
        <v>297.60000000000002</v>
      </c>
      <c r="G579" s="116">
        <v>2025</v>
      </c>
      <c r="H579" s="116">
        <v>5</v>
      </c>
      <c r="I579" s="119">
        <v>1137.3489999999999</v>
      </c>
      <c r="J579" s="114">
        <v>5.2918234883766013</v>
      </c>
    </row>
    <row r="580" spans="1:10">
      <c r="A580" s="113" t="s">
        <v>225</v>
      </c>
      <c r="B580" s="113" t="s">
        <v>525</v>
      </c>
      <c r="C580" s="113" t="s">
        <v>468</v>
      </c>
      <c r="D580" s="116">
        <v>2000</v>
      </c>
      <c r="E580" s="116">
        <v>5</v>
      </c>
      <c r="F580" s="119">
        <v>314.2</v>
      </c>
      <c r="G580" s="116">
        <v>2025</v>
      </c>
      <c r="H580" s="116">
        <v>5</v>
      </c>
      <c r="I580" s="119">
        <v>1137.3489999999999</v>
      </c>
      <c r="J580" s="114">
        <v>5.2803942920938152</v>
      </c>
    </row>
    <row r="581" spans="1:10">
      <c r="A581" s="113" t="s">
        <v>225</v>
      </c>
      <c r="B581" s="113" t="s">
        <v>525</v>
      </c>
      <c r="C581" s="113" t="s">
        <v>468</v>
      </c>
      <c r="D581" s="116">
        <v>2001</v>
      </c>
      <c r="E581" s="116">
        <v>5</v>
      </c>
      <c r="F581" s="119">
        <v>335.7</v>
      </c>
      <c r="G581" s="116">
        <v>2025</v>
      </c>
      <c r="H581" s="116">
        <v>5</v>
      </c>
      <c r="I581" s="119">
        <v>1137.3489999999999</v>
      </c>
      <c r="J581" s="114">
        <v>5.2157932272694394</v>
      </c>
    </row>
    <row r="582" spans="1:10">
      <c r="A582" s="113" t="s">
        <v>225</v>
      </c>
      <c r="B582" s="113" t="s">
        <v>525</v>
      </c>
      <c r="C582" s="113" t="s">
        <v>468</v>
      </c>
      <c r="D582" s="116">
        <v>2002</v>
      </c>
      <c r="E582" s="116">
        <v>5</v>
      </c>
      <c r="F582" s="119">
        <v>364.8</v>
      </c>
      <c r="G582" s="116">
        <v>2025</v>
      </c>
      <c r="H582" s="116">
        <v>5</v>
      </c>
      <c r="I582" s="119">
        <v>1137.3489999999999</v>
      </c>
      <c r="J582" s="114">
        <v>5.0681916063222587</v>
      </c>
    </row>
    <row r="583" spans="1:10">
      <c r="A583" s="113" t="s">
        <v>225</v>
      </c>
      <c r="B583" s="113" t="s">
        <v>525</v>
      </c>
      <c r="C583" s="113" t="s">
        <v>468</v>
      </c>
      <c r="D583" s="116">
        <v>2003</v>
      </c>
      <c r="E583" s="116">
        <v>5</v>
      </c>
      <c r="F583" s="119">
        <v>389.2</v>
      </c>
      <c r="G583" s="116">
        <v>2025</v>
      </c>
      <c r="H583" s="116">
        <v>5</v>
      </c>
      <c r="I583" s="119">
        <v>1137.3489999999999</v>
      </c>
      <c r="J583" s="114">
        <v>4.9951244511866832</v>
      </c>
    </row>
    <row r="584" spans="1:10">
      <c r="A584" s="113" t="s">
        <v>225</v>
      </c>
      <c r="B584" s="113" t="s">
        <v>525</v>
      </c>
      <c r="C584" s="113" t="s">
        <v>468</v>
      </c>
      <c r="D584" s="116">
        <v>2004</v>
      </c>
      <c r="E584" s="116">
        <v>5</v>
      </c>
      <c r="F584" s="119">
        <v>414.8</v>
      </c>
      <c r="G584" s="116">
        <v>2025</v>
      </c>
      <c r="H584" s="116">
        <v>5</v>
      </c>
      <c r="I584" s="119">
        <v>1137.3489999999999</v>
      </c>
      <c r="J584" s="114">
        <v>4.9203575738801852</v>
      </c>
    </row>
    <row r="585" spans="1:10">
      <c r="A585" s="113" t="s">
        <v>225</v>
      </c>
      <c r="B585" s="113" t="s">
        <v>525</v>
      </c>
      <c r="C585" s="113" t="s">
        <v>468</v>
      </c>
      <c r="D585" s="116">
        <v>2005</v>
      </c>
      <c r="E585" s="116">
        <v>5</v>
      </c>
      <c r="F585" s="119">
        <v>437.4</v>
      </c>
      <c r="G585" s="116">
        <v>2025</v>
      </c>
      <c r="H585" s="116">
        <v>5</v>
      </c>
      <c r="I585" s="119">
        <v>1137.3489999999999</v>
      </c>
      <c r="J585" s="114">
        <v>4.8940245324396114</v>
      </c>
    </row>
    <row r="586" spans="1:10">
      <c r="A586" s="113" t="s">
        <v>225</v>
      </c>
      <c r="B586" s="113" t="s">
        <v>525</v>
      </c>
      <c r="C586" s="113" t="s">
        <v>468</v>
      </c>
      <c r="D586" s="116">
        <v>2006</v>
      </c>
      <c r="E586" s="116">
        <v>5</v>
      </c>
      <c r="F586" s="119">
        <v>465.6</v>
      </c>
      <c r="G586" s="116">
        <v>2025</v>
      </c>
      <c r="H586" s="116">
        <v>5</v>
      </c>
      <c r="I586" s="119">
        <v>1137.3489999999999</v>
      </c>
      <c r="J586" s="114">
        <v>4.8129097626882889</v>
      </c>
    </row>
    <row r="587" spans="1:10">
      <c r="A587" s="113" t="s">
        <v>225</v>
      </c>
      <c r="B587" s="113" t="s">
        <v>525</v>
      </c>
      <c r="C587" s="113" t="s">
        <v>468</v>
      </c>
      <c r="D587" s="116">
        <v>2007</v>
      </c>
      <c r="E587" s="116">
        <v>5</v>
      </c>
      <c r="F587" s="119">
        <v>493.25</v>
      </c>
      <c r="G587" s="116">
        <v>2025</v>
      </c>
      <c r="H587" s="116">
        <v>5</v>
      </c>
      <c r="I587" s="119">
        <v>1137.3489999999999</v>
      </c>
      <c r="J587" s="114">
        <v>4.7507247514810169</v>
      </c>
    </row>
    <row r="588" spans="1:10">
      <c r="A588" s="113" t="s">
        <v>225</v>
      </c>
      <c r="B588" s="113" t="s">
        <v>525</v>
      </c>
      <c r="C588" s="113" t="s">
        <v>468</v>
      </c>
      <c r="D588" s="116">
        <v>2008</v>
      </c>
      <c r="E588" s="116">
        <v>5</v>
      </c>
      <c r="F588" s="119">
        <v>529.91899999999998</v>
      </c>
      <c r="G588" s="116">
        <v>2025</v>
      </c>
      <c r="H588" s="116">
        <v>5</v>
      </c>
      <c r="I588" s="119">
        <v>1137.3489999999999</v>
      </c>
      <c r="J588" s="114">
        <v>4.5949794075970107</v>
      </c>
    </row>
    <row r="589" spans="1:10">
      <c r="A589" s="113" t="s">
        <v>225</v>
      </c>
      <c r="B589" s="113" t="s">
        <v>525</v>
      </c>
      <c r="C589" s="113" t="s">
        <v>468</v>
      </c>
      <c r="D589" s="116">
        <v>2009</v>
      </c>
      <c r="E589" s="116">
        <v>5</v>
      </c>
      <c r="F589" s="119">
        <v>563.44200000000001</v>
      </c>
      <c r="G589" s="116">
        <v>2025</v>
      </c>
      <c r="H589" s="116">
        <v>5</v>
      </c>
      <c r="I589" s="119">
        <v>1137.3489999999999</v>
      </c>
      <c r="J589" s="114">
        <v>4.4877273788341174</v>
      </c>
    </row>
    <row r="590" spans="1:10">
      <c r="A590" s="113" t="s">
        <v>225</v>
      </c>
      <c r="B590" s="113" t="s">
        <v>525</v>
      </c>
      <c r="C590" s="113" t="s">
        <v>468</v>
      </c>
      <c r="D590" s="116">
        <v>2010</v>
      </c>
      <c r="E590" s="116">
        <v>5</v>
      </c>
      <c r="F590" s="119">
        <v>604.18100000000004</v>
      </c>
      <c r="G590" s="116">
        <v>2025</v>
      </c>
      <c r="H590" s="116">
        <v>5</v>
      </c>
      <c r="I590" s="119">
        <v>1137.3489999999999</v>
      </c>
      <c r="J590" s="114">
        <v>4.307398140128571</v>
      </c>
    </row>
    <row r="591" spans="1:10">
      <c r="A591" s="113" t="s">
        <v>225</v>
      </c>
      <c r="B591" s="113" t="s">
        <v>525</v>
      </c>
      <c r="C591" s="113" t="s">
        <v>468</v>
      </c>
      <c r="D591" s="116">
        <v>2011</v>
      </c>
      <c r="E591" s="116">
        <v>5</v>
      </c>
      <c r="F591" s="119">
        <v>638.03800000000001</v>
      </c>
      <c r="G591" s="116">
        <v>2025</v>
      </c>
      <c r="H591" s="116">
        <v>5</v>
      </c>
      <c r="I591" s="119">
        <v>1137.3489999999999</v>
      </c>
      <c r="J591" s="114">
        <v>4.2154104246642676</v>
      </c>
    </row>
    <row r="592" spans="1:10">
      <c r="A592" s="113" t="s">
        <v>225</v>
      </c>
      <c r="B592" s="113" t="s">
        <v>525</v>
      </c>
      <c r="C592" s="113" t="s">
        <v>468</v>
      </c>
      <c r="D592" s="116">
        <v>2012</v>
      </c>
      <c r="E592" s="116">
        <v>5</v>
      </c>
      <c r="F592" s="119">
        <v>667.99300000000005</v>
      </c>
      <c r="G592" s="116">
        <v>2025</v>
      </c>
      <c r="H592" s="116">
        <v>5</v>
      </c>
      <c r="I592" s="119">
        <v>1137.3489999999999</v>
      </c>
      <c r="J592" s="114">
        <v>4.1786206502598233</v>
      </c>
    </row>
    <row r="593" spans="1:10">
      <c r="A593" s="113" t="s">
        <v>225</v>
      </c>
      <c r="B593" s="113" t="s">
        <v>525</v>
      </c>
      <c r="C593" s="113" t="s">
        <v>468</v>
      </c>
      <c r="D593" s="116">
        <v>2013</v>
      </c>
      <c r="E593" s="116">
        <v>5</v>
      </c>
      <c r="F593" s="119">
        <v>692.42200000000003</v>
      </c>
      <c r="G593" s="116">
        <v>2025</v>
      </c>
      <c r="H593" s="116">
        <v>5</v>
      </c>
      <c r="I593" s="119">
        <v>1137.3489999999999</v>
      </c>
      <c r="J593" s="114">
        <v>4.2222011193010056</v>
      </c>
    </row>
    <row r="594" spans="1:10">
      <c r="A594" s="113" t="s">
        <v>225</v>
      </c>
      <c r="B594" s="113" t="s">
        <v>525</v>
      </c>
      <c r="C594" s="113" t="s">
        <v>468</v>
      </c>
      <c r="D594" s="116">
        <v>2014</v>
      </c>
      <c r="E594" s="116">
        <v>5</v>
      </c>
      <c r="F594" s="119">
        <v>732.38400000000001</v>
      </c>
      <c r="G594" s="116">
        <v>2025</v>
      </c>
      <c r="H594" s="116">
        <v>5</v>
      </c>
      <c r="I594" s="119">
        <v>1137.3489999999999</v>
      </c>
      <c r="J594" s="114">
        <v>4.0825007678385372</v>
      </c>
    </row>
    <row r="595" spans="1:10">
      <c r="A595" s="113" t="s">
        <v>225</v>
      </c>
      <c r="B595" s="113" t="s">
        <v>525</v>
      </c>
      <c r="C595" s="113" t="s">
        <v>468</v>
      </c>
      <c r="D595" s="116">
        <v>2015</v>
      </c>
      <c r="E595" s="116">
        <v>5</v>
      </c>
      <c r="F595" s="119">
        <v>765.35299999999995</v>
      </c>
      <c r="G595" s="116">
        <v>2025</v>
      </c>
      <c r="H595" s="116">
        <v>5</v>
      </c>
      <c r="I595" s="119">
        <v>1137.3489999999999</v>
      </c>
      <c r="J595" s="114">
        <v>4.0406833737088199</v>
      </c>
    </row>
    <row r="596" spans="1:10">
      <c r="A596" s="113" t="s">
        <v>225</v>
      </c>
      <c r="B596" s="113" t="s">
        <v>525</v>
      </c>
      <c r="C596" s="113" t="s">
        <v>468</v>
      </c>
      <c r="D596" s="116">
        <v>2016</v>
      </c>
      <c r="E596" s="116">
        <v>5</v>
      </c>
      <c r="F596" s="119">
        <v>789.78899999999999</v>
      </c>
      <c r="G596" s="116">
        <v>2025</v>
      </c>
      <c r="H596" s="116">
        <v>5</v>
      </c>
      <c r="I596" s="119">
        <v>1137.3489999999999</v>
      </c>
      <c r="J596" s="114">
        <v>4.1353244256430832</v>
      </c>
    </row>
    <row r="597" spans="1:10">
      <c r="A597" s="113" t="s">
        <v>225</v>
      </c>
      <c r="B597" s="113" t="s">
        <v>525</v>
      </c>
      <c r="C597" s="113" t="s">
        <v>468</v>
      </c>
      <c r="D597" s="116">
        <v>2017</v>
      </c>
      <c r="E597" s="116">
        <v>5</v>
      </c>
      <c r="F597" s="119">
        <v>826.89099999999996</v>
      </c>
      <c r="G597" s="116">
        <v>2025</v>
      </c>
      <c r="H597" s="116">
        <v>5</v>
      </c>
      <c r="I597" s="119">
        <v>1137.3489999999999</v>
      </c>
      <c r="J597" s="114">
        <v>4.0652389171169423</v>
      </c>
    </row>
    <row r="598" spans="1:10">
      <c r="A598" s="113" t="s">
        <v>225</v>
      </c>
      <c r="B598" s="113" t="s">
        <v>525</v>
      </c>
      <c r="C598" s="113" t="s">
        <v>468</v>
      </c>
      <c r="D598" s="116">
        <v>2018</v>
      </c>
      <c r="E598" s="116">
        <v>5</v>
      </c>
      <c r="F598" s="119">
        <v>865.06799999999998</v>
      </c>
      <c r="G598" s="116">
        <v>2025</v>
      </c>
      <c r="H598" s="116">
        <v>5</v>
      </c>
      <c r="I598" s="119">
        <v>1137.3489999999999</v>
      </c>
      <c r="J598" s="114">
        <v>3.9866633919656058</v>
      </c>
    </row>
    <row r="599" spans="1:10">
      <c r="A599" s="113" t="s">
        <v>225</v>
      </c>
      <c r="B599" s="113" t="s">
        <v>525</v>
      </c>
      <c r="C599" s="113" t="s">
        <v>468</v>
      </c>
      <c r="D599" s="116">
        <v>2019</v>
      </c>
      <c r="E599" s="116">
        <v>5</v>
      </c>
      <c r="F599" s="119">
        <v>878.41899999999998</v>
      </c>
      <c r="G599" s="116">
        <v>2025</v>
      </c>
      <c r="H599" s="116">
        <v>5</v>
      </c>
      <c r="I599" s="119">
        <v>1137.3489999999999</v>
      </c>
      <c r="J599" s="114">
        <v>4.3995607768973164</v>
      </c>
    </row>
    <row r="600" spans="1:10">
      <c r="A600" s="113" t="s">
        <v>225</v>
      </c>
      <c r="B600" s="113" t="s">
        <v>525</v>
      </c>
      <c r="C600" s="113" t="s">
        <v>468</v>
      </c>
      <c r="D600" s="116">
        <v>2020</v>
      </c>
      <c r="E600" s="116">
        <v>5</v>
      </c>
      <c r="F600" s="119">
        <v>919.07500000000005</v>
      </c>
      <c r="G600" s="116">
        <v>2025</v>
      </c>
      <c r="H600" s="116">
        <v>5</v>
      </c>
      <c r="I600" s="119">
        <v>1137.3489999999999</v>
      </c>
      <c r="J600" s="114">
        <v>4.3538699460464514</v>
      </c>
    </row>
    <row r="601" spans="1:10">
      <c r="A601" s="113" t="s">
        <v>225</v>
      </c>
      <c r="B601" s="113" t="s">
        <v>525</v>
      </c>
      <c r="C601" s="113" t="s">
        <v>468</v>
      </c>
      <c r="D601" s="116">
        <v>2021</v>
      </c>
      <c r="E601" s="116">
        <v>5</v>
      </c>
      <c r="F601" s="119">
        <v>944.68</v>
      </c>
      <c r="G601" s="116">
        <v>2025</v>
      </c>
      <c r="H601" s="116">
        <v>5</v>
      </c>
      <c r="I601" s="119">
        <v>1137.3489999999999</v>
      </c>
      <c r="J601" s="114">
        <v>4.7495720367643601</v>
      </c>
    </row>
    <row r="602" spans="1:10">
      <c r="A602" s="113" t="s">
        <v>225</v>
      </c>
      <c r="B602" s="113" t="s">
        <v>525</v>
      </c>
      <c r="C602" s="113" t="s">
        <v>468</v>
      </c>
      <c r="D602" s="116">
        <v>2022</v>
      </c>
      <c r="E602" s="116">
        <v>5</v>
      </c>
      <c r="F602" s="119">
        <v>980.97500000000002</v>
      </c>
      <c r="G602" s="116">
        <v>2025</v>
      </c>
      <c r="H602" s="116">
        <v>5</v>
      </c>
      <c r="I602" s="119">
        <v>1137.3489999999999</v>
      </c>
      <c r="J602" s="114">
        <v>5.0538412518786879</v>
      </c>
    </row>
    <row r="603" spans="1:10">
      <c r="A603" s="113" t="s">
        <v>225</v>
      </c>
      <c r="B603" s="113" t="s">
        <v>525</v>
      </c>
      <c r="C603" s="113" t="s">
        <v>468</v>
      </c>
      <c r="D603" s="116">
        <v>2023</v>
      </c>
      <c r="E603" s="116">
        <v>5</v>
      </c>
      <c r="F603" s="119">
        <v>1019.5839999999999</v>
      </c>
      <c r="G603" s="116">
        <v>2025</v>
      </c>
      <c r="H603" s="116">
        <v>5</v>
      </c>
      <c r="I603" s="119">
        <v>1137.3489999999999</v>
      </c>
      <c r="J603" s="114">
        <v>5.6173749652263627</v>
      </c>
    </row>
    <row r="604" spans="1:10">
      <c r="A604" s="113" t="s">
        <v>225</v>
      </c>
      <c r="B604" s="113" t="s">
        <v>525</v>
      </c>
      <c r="C604" s="113" t="s">
        <v>468</v>
      </c>
      <c r="D604" s="116">
        <v>2024</v>
      </c>
      <c r="E604" s="116">
        <v>5</v>
      </c>
      <c r="F604" s="119">
        <v>1094.52</v>
      </c>
      <c r="G604" s="116">
        <v>2025</v>
      </c>
      <c r="H604" s="116">
        <v>5</v>
      </c>
      <c r="I604" s="119">
        <v>1137.3489999999999</v>
      </c>
      <c r="J604" s="114">
        <v>3.9130395059021161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32A1-2A4D-4101-8ADE-CA8697837DB9}">
  <dimension ref="A1:K12"/>
  <sheetViews>
    <sheetView workbookViewId="0"/>
  </sheetViews>
  <sheetFormatPr baseColWidth="10" defaultColWidth="8.83203125" defaultRowHeight="15"/>
  <cols>
    <col min="1" max="1" width="15" customWidth="1"/>
    <col min="2" max="2" width="40" customWidth="1"/>
    <col min="3" max="3" width="12" customWidth="1"/>
    <col min="4" max="6" width="15" customWidth="1"/>
    <col min="7" max="10" width="12" customWidth="1"/>
    <col min="11" max="11" width="15" customWidth="1"/>
  </cols>
  <sheetData>
    <row r="1" spans="1:11">
      <c r="A1" s="109" t="s">
        <v>207</v>
      </c>
      <c r="B1" s="109" t="s">
        <v>504</v>
      </c>
      <c r="C1" s="109" t="s">
        <v>505</v>
      </c>
      <c r="D1" s="109" t="s">
        <v>526</v>
      </c>
      <c r="E1" s="109" t="s">
        <v>450</v>
      </c>
      <c r="F1" s="109" t="s">
        <v>527</v>
      </c>
      <c r="G1" s="109" t="s">
        <v>528</v>
      </c>
      <c r="H1" s="109" t="s">
        <v>529</v>
      </c>
      <c r="I1" s="109" t="s">
        <v>530</v>
      </c>
      <c r="J1" s="109" t="s">
        <v>531</v>
      </c>
      <c r="K1" s="109" t="s">
        <v>532</v>
      </c>
    </row>
    <row r="2" spans="1:11">
      <c r="A2" s="111" t="s">
        <v>513</v>
      </c>
      <c r="B2" s="111" t="s">
        <v>514</v>
      </c>
      <c r="C2" s="111" t="s">
        <v>466</v>
      </c>
      <c r="D2" s="115">
        <v>78</v>
      </c>
      <c r="E2" s="111" t="s">
        <v>533</v>
      </c>
      <c r="F2" s="117">
        <v>578.25</v>
      </c>
      <c r="G2" s="112">
        <v>2.0881249755294369</v>
      </c>
      <c r="H2" s="112">
        <v>5.3981335541296138</v>
      </c>
      <c r="I2" s="112">
        <v>4.0230631923331197</v>
      </c>
      <c r="J2" s="112">
        <v>1.0835607151344819</v>
      </c>
      <c r="K2" s="112">
        <v>100</v>
      </c>
    </row>
    <row r="3" spans="1:11">
      <c r="A3" s="111" t="s">
        <v>495</v>
      </c>
      <c r="B3" s="111" t="s">
        <v>516</v>
      </c>
      <c r="C3" s="111" t="s">
        <v>466</v>
      </c>
      <c r="D3" s="115">
        <v>58</v>
      </c>
      <c r="E3" s="111" t="s">
        <v>534</v>
      </c>
      <c r="F3" s="117">
        <v>417.149</v>
      </c>
      <c r="G3" s="112">
        <v>0.2759608750940501</v>
      </c>
      <c r="H3" s="112">
        <v>4.309652690193122</v>
      </c>
      <c r="I3" s="112">
        <v>2.723040721980746</v>
      </c>
      <c r="J3" s="112">
        <v>0.9748791627069392</v>
      </c>
      <c r="K3" s="112">
        <v>100</v>
      </c>
    </row>
    <row r="4" spans="1:11">
      <c r="A4" s="111" t="s">
        <v>496</v>
      </c>
      <c r="B4" s="111" t="s">
        <v>517</v>
      </c>
      <c r="C4" s="111" t="s">
        <v>466</v>
      </c>
      <c r="D4" s="115">
        <v>69</v>
      </c>
      <c r="E4" s="111" t="s">
        <v>535</v>
      </c>
      <c r="F4" s="117">
        <v>630.16200000000003</v>
      </c>
      <c r="G4" s="112">
        <v>1.975547434667746</v>
      </c>
      <c r="H4" s="112">
        <v>5.7252321872252709</v>
      </c>
      <c r="I4" s="112">
        <v>4.1471382111134849</v>
      </c>
      <c r="J4" s="112">
        <v>1.128057424257642</v>
      </c>
      <c r="K4" s="112">
        <v>100</v>
      </c>
    </row>
    <row r="5" spans="1:11">
      <c r="A5" s="111" t="s">
        <v>498</v>
      </c>
      <c r="B5" s="111" t="s">
        <v>518</v>
      </c>
      <c r="C5" s="111" t="s">
        <v>466</v>
      </c>
      <c r="D5" s="115">
        <v>58</v>
      </c>
      <c r="E5" s="111" t="s">
        <v>534</v>
      </c>
      <c r="F5" s="117">
        <v>436.58100000000002</v>
      </c>
      <c r="G5" s="112">
        <v>1.8206091215202891</v>
      </c>
      <c r="H5" s="112">
        <v>4.6834536909324376</v>
      </c>
      <c r="I5" s="112">
        <v>2.989539162039204</v>
      </c>
      <c r="J5" s="112">
        <v>0.95192456411229742</v>
      </c>
      <c r="K5" s="112">
        <v>100</v>
      </c>
    </row>
    <row r="6" spans="1:11">
      <c r="A6" s="111" t="s">
        <v>500</v>
      </c>
      <c r="B6" s="111" t="s">
        <v>519</v>
      </c>
      <c r="C6" s="111" t="s">
        <v>466</v>
      </c>
      <c r="D6" s="115">
        <v>38</v>
      </c>
      <c r="E6" s="111" t="s">
        <v>536</v>
      </c>
      <c r="F6" s="117">
        <v>265.738</v>
      </c>
      <c r="G6" s="112">
        <v>0.85639352061606111</v>
      </c>
      <c r="H6" s="112">
        <v>2.5545003613894668</v>
      </c>
      <c r="I6" s="112">
        <v>1.827308934297325</v>
      </c>
      <c r="J6" s="112">
        <v>0.37735144476258992</v>
      </c>
      <c r="K6" s="112">
        <v>100</v>
      </c>
    </row>
    <row r="7" spans="1:11">
      <c r="A7" s="111" t="s">
        <v>503</v>
      </c>
      <c r="B7" s="111" t="s">
        <v>520</v>
      </c>
      <c r="C7" s="111" t="s">
        <v>466</v>
      </c>
      <c r="D7" s="115">
        <v>47</v>
      </c>
      <c r="E7" s="111" t="s">
        <v>537</v>
      </c>
      <c r="F7" s="117">
        <v>1137.3489999999999</v>
      </c>
      <c r="G7" s="112">
        <v>3.9130395059021161</v>
      </c>
      <c r="H7" s="112">
        <v>6.6862331120551177</v>
      </c>
      <c r="I7" s="112">
        <v>5.0990930574263018</v>
      </c>
      <c r="J7" s="112">
        <v>0.7455032464516792</v>
      </c>
      <c r="K7" s="112">
        <v>100</v>
      </c>
    </row>
    <row r="8" spans="1:11">
      <c r="A8" s="113" t="s">
        <v>215</v>
      </c>
      <c r="B8" s="113" t="s">
        <v>521</v>
      </c>
      <c r="C8" s="113" t="s">
        <v>468</v>
      </c>
      <c r="D8" s="116">
        <v>58</v>
      </c>
      <c r="E8" s="113" t="s">
        <v>534</v>
      </c>
      <c r="F8" s="119">
        <v>417.149</v>
      </c>
      <c r="G8" s="114">
        <v>0.2759608750940501</v>
      </c>
      <c r="H8" s="114">
        <v>4.3138742163458144</v>
      </c>
      <c r="I8" s="114">
        <v>2.7269630355377541</v>
      </c>
      <c r="J8" s="114">
        <v>0.97635969915183918</v>
      </c>
      <c r="K8" s="114">
        <v>100</v>
      </c>
    </row>
    <row r="9" spans="1:11">
      <c r="A9" s="113" t="s">
        <v>213</v>
      </c>
      <c r="B9" s="113" t="s">
        <v>522</v>
      </c>
      <c r="C9" s="113" t="s">
        <v>468</v>
      </c>
      <c r="D9" s="116">
        <v>69</v>
      </c>
      <c r="E9" s="113" t="s">
        <v>535</v>
      </c>
      <c r="F9" s="119">
        <v>630.14300000000003</v>
      </c>
      <c r="G9" s="114">
        <v>1.9720058013141579</v>
      </c>
      <c r="H9" s="114">
        <v>5.7251781572881244</v>
      </c>
      <c r="I9" s="114">
        <v>4.1497812732168731</v>
      </c>
      <c r="J9" s="114">
        <v>1.1248197694445849</v>
      </c>
      <c r="K9" s="114">
        <v>100</v>
      </c>
    </row>
    <row r="10" spans="1:11">
      <c r="A10" s="113" t="s">
        <v>223</v>
      </c>
      <c r="B10" s="113" t="s">
        <v>523</v>
      </c>
      <c r="C10" s="113" t="s">
        <v>468</v>
      </c>
      <c r="D10" s="116">
        <v>45</v>
      </c>
      <c r="E10" s="113" t="s">
        <v>538</v>
      </c>
      <c r="F10" s="119">
        <v>437.35</v>
      </c>
      <c r="G10" s="114">
        <v>1.8558988765188911</v>
      </c>
      <c r="H10" s="114">
        <v>3.926319561411717</v>
      </c>
      <c r="I10" s="114">
        <v>2.5790963528702209</v>
      </c>
      <c r="J10" s="114">
        <v>0.57311292819657278</v>
      </c>
      <c r="K10" s="114">
        <v>100</v>
      </c>
    </row>
    <row r="11" spans="1:11">
      <c r="A11" s="113" t="s">
        <v>501</v>
      </c>
      <c r="B11" s="113" t="s">
        <v>524</v>
      </c>
      <c r="C11" s="113" t="s">
        <v>468</v>
      </c>
      <c r="D11" s="116">
        <v>36</v>
      </c>
      <c r="E11" s="113" t="s">
        <v>539</v>
      </c>
      <c r="F11" s="119">
        <v>265.738</v>
      </c>
      <c r="G11" s="114">
        <v>0.85639352061606111</v>
      </c>
      <c r="H11" s="114">
        <v>2.4037777309677821</v>
      </c>
      <c r="I11" s="114">
        <v>1.794032658586024</v>
      </c>
      <c r="J11" s="114">
        <v>0.35462525500400388</v>
      </c>
      <c r="K11" s="114">
        <v>100</v>
      </c>
    </row>
    <row r="12" spans="1:11">
      <c r="A12" s="113" t="s">
        <v>225</v>
      </c>
      <c r="B12" s="113" t="s">
        <v>525</v>
      </c>
      <c r="C12" s="113" t="s">
        <v>468</v>
      </c>
      <c r="D12" s="116">
        <v>47</v>
      </c>
      <c r="E12" s="113" t="s">
        <v>537</v>
      </c>
      <c r="F12" s="119">
        <v>1137.3489999999999</v>
      </c>
      <c r="G12" s="114">
        <v>3.9130395059021161</v>
      </c>
      <c r="H12" s="114">
        <v>6.6737273679621456</v>
      </c>
      <c r="I12" s="114">
        <v>5.0973424774918241</v>
      </c>
      <c r="J12" s="114">
        <v>0.73709445918125416</v>
      </c>
      <c r="K12" s="114">
        <v>100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2822-CAE4-4B62-941A-5D59495E668A}">
  <dimension ref="A1:K356"/>
  <sheetViews>
    <sheetView topLeftCell="A19" workbookViewId="0"/>
  </sheetViews>
  <sheetFormatPr baseColWidth="10" defaultColWidth="8.83203125" defaultRowHeight="15"/>
  <cols>
    <col min="1" max="1" width="15" customWidth="1"/>
    <col min="2" max="2" width="40" customWidth="1"/>
    <col min="3" max="4" width="12" customWidth="1"/>
    <col min="5" max="5" width="18" customWidth="1"/>
    <col min="6" max="7" width="12" customWidth="1"/>
    <col min="8" max="8" width="18" customWidth="1"/>
    <col min="9" max="9" width="12" customWidth="1"/>
  </cols>
  <sheetData>
    <row r="1" spans="1:11">
      <c r="A1" s="109" t="s">
        <v>207</v>
      </c>
      <c r="B1" s="109" t="s">
        <v>504</v>
      </c>
      <c r="C1" s="109" t="s">
        <v>506</v>
      </c>
      <c r="D1" s="109" t="s">
        <v>507</v>
      </c>
      <c r="E1" s="109" t="s">
        <v>508</v>
      </c>
      <c r="F1" s="109" t="s">
        <v>509</v>
      </c>
      <c r="G1" s="109" t="s">
        <v>510</v>
      </c>
      <c r="H1" s="109" t="s">
        <v>511</v>
      </c>
      <c r="I1" s="109" t="s">
        <v>512</v>
      </c>
      <c r="J1" t="s">
        <v>104</v>
      </c>
      <c r="K1" t="s">
        <v>540</v>
      </c>
    </row>
    <row r="2" spans="1:11">
      <c r="A2" s="111" t="s">
        <v>513</v>
      </c>
      <c r="B2" s="111" t="s">
        <v>514</v>
      </c>
      <c r="C2" s="115">
        <v>1947</v>
      </c>
      <c r="D2" s="115">
        <v>5</v>
      </c>
      <c r="E2" s="117">
        <v>13.5</v>
      </c>
      <c r="F2" s="115">
        <v>2025</v>
      </c>
      <c r="G2" s="115">
        <v>5</v>
      </c>
      <c r="H2" s="117">
        <v>578.25</v>
      </c>
      <c r="I2" s="112">
        <v>4.9349791159006617</v>
      </c>
    </row>
    <row r="3" spans="1:11">
      <c r="A3" s="111" t="s">
        <v>513</v>
      </c>
      <c r="B3" s="111" t="s">
        <v>514</v>
      </c>
      <c r="C3" s="115">
        <v>1948</v>
      </c>
      <c r="D3" s="115">
        <v>5</v>
      </c>
      <c r="E3" s="117">
        <v>14.3</v>
      </c>
      <c r="F3" s="115">
        <v>2025</v>
      </c>
      <c r="G3" s="115">
        <v>5</v>
      </c>
      <c r="H3" s="117">
        <v>578.25</v>
      </c>
      <c r="I3" s="112">
        <v>4.9221708445516432</v>
      </c>
    </row>
    <row r="4" spans="1:11">
      <c r="A4" s="111" t="s">
        <v>513</v>
      </c>
      <c r="B4" s="111" t="s">
        <v>514</v>
      </c>
      <c r="C4" s="115">
        <v>1949</v>
      </c>
      <c r="D4" s="115">
        <v>5</v>
      </c>
      <c r="E4" s="117">
        <v>14.8</v>
      </c>
      <c r="F4" s="115">
        <v>2025</v>
      </c>
      <c r="G4" s="115">
        <v>5</v>
      </c>
      <c r="H4" s="117">
        <v>578.25</v>
      </c>
      <c r="I4" s="112">
        <v>4.9410599377186948</v>
      </c>
    </row>
    <row r="5" spans="1:11">
      <c r="A5" s="111" t="s">
        <v>513</v>
      </c>
      <c r="B5" s="111" t="s">
        <v>514</v>
      </c>
      <c r="C5" s="115">
        <v>1950</v>
      </c>
      <c r="D5" s="115">
        <v>5</v>
      </c>
      <c r="E5" s="117">
        <v>15</v>
      </c>
      <c r="F5" s="115">
        <v>2025</v>
      </c>
      <c r="G5" s="115">
        <v>5</v>
      </c>
      <c r="H5" s="117">
        <v>578.25</v>
      </c>
      <c r="I5" s="112">
        <v>4.9897718004268121</v>
      </c>
    </row>
    <row r="6" spans="1:11">
      <c r="A6" s="111" t="s">
        <v>513</v>
      </c>
      <c r="B6" s="111" t="s">
        <v>514</v>
      </c>
      <c r="C6" s="115">
        <v>1951</v>
      </c>
      <c r="D6" s="115">
        <v>5</v>
      </c>
      <c r="E6" s="117">
        <v>15.8</v>
      </c>
      <c r="F6" s="115">
        <v>2025</v>
      </c>
      <c r="G6" s="115">
        <v>5</v>
      </c>
      <c r="H6" s="117">
        <v>578.25</v>
      </c>
      <c r="I6" s="112">
        <v>4.9851367590632689</v>
      </c>
    </row>
    <row r="7" spans="1:11">
      <c r="A7" s="111" t="s">
        <v>513</v>
      </c>
      <c r="B7" s="111" t="s">
        <v>514</v>
      </c>
      <c r="C7" s="115">
        <v>1952</v>
      </c>
      <c r="D7" s="115">
        <v>5</v>
      </c>
      <c r="E7" s="117">
        <v>16.5</v>
      </c>
      <c r="F7" s="115">
        <v>2025</v>
      </c>
      <c r="G7" s="115">
        <v>5</v>
      </c>
      <c r="H7" s="117">
        <v>578.25</v>
      </c>
      <c r="I7" s="112">
        <v>4.9927565959200448</v>
      </c>
    </row>
    <row r="8" spans="1:11">
      <c r="A8" s="111" t="s">
        <v>513</v>
      </c>
      <c r="B8" s="111" t="s">
        <v>514</v>
      </c>
      <c r="C8" s="115">
        <v>1953</v>
      </c>
      <c r="D8" s="115">
        <v>5</v>
      </c>
      <c r="E8" s="117">
        <v>17.2</v>
      </c>
      <c r="F8" s="115">
        <v>2025</v>
      </c>
      <c r="G8" s="115">
        <v>5</v>
      </c>
      <c r="H8" s="117">
        <v>578.25</v>
      </c>
      <c r="I8" s="112">
        <v>5.0032158158381126</v>
      </c>
    </row>
    <row r="9" spans="1:11">
      <c r="A9" s="111" t="s">
        <v>513</v>
      </c>
      <c r="B9" s="111" t="s">
        <v>514</v>
      </c>
      <c r="C9" s="115">
        <v>1954</v>
      </c>
      <c r="D9" s="115">
        <v>5</v>
      </c>
      <c r="E9" s="117">
        <v>17.8</v>
      </c>
      <c r="F9" s="115">
        <v>2025</v>
      </c>
      <c r="G9" s="115">
        <v>5</v>
      </c>
      <c r="H9" s="117">
        <v>578.25</v>
      </c>
      <c r="I9" s="112">
        <v>5.0247092409551941</v>
      </c>
    </row>
    <row r="10" spans="1:11">
      <c r="A10" s="111" t="s">
        <v>513</v>
      </c>
      <c r="B10" s="111" t="s">
        <v>514</v>
      </c>
      <c r="C10" s="115">
        <v>1955</v>
      </c>
      <c r="D10" s="115">
        <v>5</v>
      </c>
      <c r="E10" s="117">
        <v>18.2</v>
      </c>
      <c r="F10" s="115">
        <v>2025</v>
      </c>
      <c r="G10" s="115">
        <v>5</v>
      </c>
      <c r="H10" s="117">
        <v>578.25</v>
      </c>
      <c r="I10" s="112">
        <v>5.064929890150105</v>
      </c>
    </row>
    <row r="11" spans="1:11">
      <c r="A11" s="111" t="s">
        <v>513</v>
      </c>
      <c r="B11" s="111" t="s">
        <v>514</v>
      </c>
      <c r="C11" s="115">
        <v>1956</v>
      </c>
      <c r="D11" s="115">
        <v>5</v>
      </c>
      <c r="E11" s="117">
        <v>18.8</v>
      </c>
      <c r="F11" s="115">
        <v>2025</v>
      </c>
      <c r="G11" s="115">
        <v>5</v>
      </c>
      <c r="H11" s="117">
        <v>578.25</v>
      </c>
      <c r="I11" s="112">
        <v>5.09077763675021</v>
      </c>
    </row>
    <row r="12" spans="1:11">
      <c r="A12" s="111" t="s">
        <v>513</v>
      </c>
      <c r="B12" s="111" t="s">
        <v>514</v>
      </c>
      <c r="C12" s="115">
        <v>1957</v>
      </c>
      <c r="D12" s="115">
        <v>5</v>
      </c>
      <c r="E12" s="117">
        <v>19.600000000000001</v>
      </c>
      <c r="F12" s="115">
        <v>2025</v>
      </c>
      <c r="G12" s="115">
        <v>5</v>
      </c>
      <c r="H12" s="117">
        <v>578.25</v>
      </c>
      <c r="I12" s="112">
        <v>5.1031136120244458</v>
      </c>
    </row>
    <row r="13" spans="1:11">
      <c r="A13" s="111" t="s">
        <v>513</v>
      </c>
      <c r="B13" s="111" t="s">
        <v>514</v>
      </c>
      <c r="C13" s="115">
        <v>1958</v>
      </c>
      <c r="D13" s="115">
        <v>5</v>
      </c>
      <c r="E13" s="117">
        <v>20.5</v>
      </c>
      <c r="F13" s="115">
        <v>2025</v>
      </c>
      <c r="G13" s="115">
        <v>5</v>
      </c>
      <c r="H13" s="117">
        <v>578.25</v>
      </c>
      <c r="I13" s="112">
        <v>5.1107635095868131</v>
      </c>
    </row>
    <row r="14" spans="1:11">
      <c r="A14" s="111" t="s">
        <v>513</v>
      </c>
      <c r="B14" s="111" t="s">
        <v>514</v>
      </c>
      <c r="C14" s="115">
        <v>1959</v>
      </c>
      <c r="D14" s="115">
        <v>5</v>
      </c>
      <c r="E14" s="117">
        <v>21.4</v>
      </c>
      <c r="F14" s="115">
        <v>2025</v>
      </c>
      <c r="G14" s="115">
        <v>5</v>
      </c>
      <c r="H14" s="117">
        <v>578.25</v>
      </c>
      <c r="I14" s="112">
        <v>5.1217186331961262</v>
      </c>
    </row>
    <row r="15" spans="1:11">
      <c r="A15" s="111" t="s">
        <v>513</v>
      </c>
      <c r="B15" s="111" t="s">
        <v>514</v>
      </c>
      <c r="C15" s="115">
        <v>1960</v>
      </c>
      <c r="D15" s="115">
        <v>5</v>
      </c>
      <c r="E15" s="117">
        <v>22.2</v>
      </c>
      <c r="F15" s="115">
        <v>2025</v>
      </c>
      <c r="G15" s="115">
        <v>5</v>
      </c>
      <c r="H15" s="117">
        <v>578.25</v>
      </c>
      <c r="I15" s="112">
        <v>5.1431451904841552</v>
      </c>
    </row>
    <row r="16" spans="1:11">
      <c r="A16" s="111" t="s">
        <v>513</v>
      </c>
      <c r="B16" s="111" t="s">
        <v>514</v>
      </c>
      <c r="C16" s="115">
        <v>1961</v>
      </c>
      <c r="D16" s="115">
        <v>5</v>
      </c>
      <c r="E16" s="117">
        <v>22.9</v>
      </c>
      <c r="F16" s="115">
        <v>2025</v>
      </c>
      <c r="G16" s="115">
        <v>5</v>
      </c>
      <c r="H16" s="117">
        <v>578.25</v>
      </c>
      <c r="I16" s="112">
        <v>5.1745415157101524</v>
      </c>
    </row>
    <row r="17" spans="1:9">
      <c r="A17" s="111" t="s">
        <v>513</v>
      </c>
      <c r="B17" s="111" t="s">
        <v>514</v>
      </c>
      <c r="C17" s="115">
        <v>1962</v>
      </c>
      <c r="D17" s="115">
        <v>5</v>
      </c>
      <c r="E17" s="117">
        <v>23.5</v>
      </c>
      <c r="F17" s="115">
        <v>2025</v>
      </c>
      <c r="G17" s="115">
        <v>5</v>
      </c>
      <c r="H17" s="117">
        <v>578.25</v>
      </c>
      <c r="I17" s="112">
        <v>5.215596935996758</v>
      </c>
    </row>
    <row r="18" spans="1:9">
      <c r="A18" s="111" t="s">
        <v>513</v>
      </c>
      <c r="B18" s="111" t="s">
        <v>514</v>
      </c>
      <c r="C18" s="115">
        <v>1963</v>
      </c>
      <c r="D18" s="115">
        <v>5</v>
      </c>
      <c r="E18" s="117">
        <v>24</v>
      </c>
      <c r="F18" s="115">
        <v>2025</v>
      </c>
      <c r="G18" s="115">
        <v>5</v>
      </c>
      <c r="H18" s="117">
        <v>578.25</v>
      </c>
      <c r="I18" s="112">
        <v>5.2661600067066328</v>
      </c>
    </row>
    <row r="19" spans="1:9">
      <c r="A19" s="111" t="s">
        <v>513</v>
      </c>
      <c r="B19" s="111" t="s">
        <v>514</v>
      </c>
      <c r="C19" s="115">
        <v>1964</v>
      </c>
      <c r="D19" s="115">
        <v>5</v>
      </c>
      <c r="E19" s="117">
        <v>24.5</v>
      </c>
      <c r="F19" s="115">
        <v>2025</v>
      </c>
      <c r="G19" s="115">
        <v>5</v>
      </c>
      <c r="H19" s="117">
        <v>578.25</v>
      </c>
      <c r="I19" s="112">
        <v>5.3191559180032044</v>
      </c>
    </row>
    <row r="20" spans="1:9">
      <c r="A20" s="111" t="s">
        <v>513</v>
      </c>
      <c r="B20" s="111" t="s">
        <v>514</v>
      </c>
      <c r="C20" s="115">
        <v>1965</v>
      </c>
      <c r="D20" s="115">
        <v>5</v>
      </c>
      <c r="E20" s="117">
        <v>25.1</v>
      </c>
      <c r="F20" s="115">
        <v>2025</v>
      </c>
      <c r="G20" s="115">
        <v>5</v>
      </c>
      <c r="H20" s="117">
        <v>578.25</v>
      </c>
      <c r="I20" s="112">
        <v>5.3676672702532402</v>
      </c>
    </row>
    <row r="21" spans="1:9">
      <c r="A21" s="111" t="s">
        <v>513</v>
      </c>
      <c r="B21" s="111" t="s">
        <v>514</v>
      </c>
      <c r="C21" s="115">
        <v>1966</v>
      </c>
      <c r="D21" s="115">
        <v>5</v>
      </c>
      <c r="E21" s="117">
        <v>26</v>
      </c>
      <c r="F21" s="115">
        <v>2025</v>
      </c>
      <c r="G21" s="115">
        <v>5</v>
      </c>
      <c r="H21" s="117">
        <v>578.25</v>
      </c>
      <c r="I21" s="112">
        <v>5.3981335541296138</v>
      </c>
    </row>
    <row r="22" spans="1:9">
      <c r="A22" s="111" t="s">
        <v>513</v>
      </c>
      <c r="B22" s="111" t="s">
        <v>514</v>
      </c>
      <c r="C22" s="115">
        <v>1967</v>
      </c>
      <c r="D22" s="115">
        <v>5</v>
      </c>
      <c r="E22" s="117">
        <v>28</v>
      </c>
      <c r="F22" s="115">
        <v>2025</v>
      </c>
      <c r="G22" s="115">
        <v>5</v>
      </c>
      <c r="H22" s="117">
        <v>578.25</v>
      </c>
      <c r="I22" s="112">
        <v>5.3590104326715071</v>
      </c>
    </row>
    <row r="23" spans="1:9">
      <c r="A23" s="111" t="s">
        <v>513</v>
      </c>
      <c r="B23" s="111" t="s">
        <v>514</v>
      </c>
      <c r="C23" s="115">
        <v>1968</v>
      </c>
      <c r="D23" s="115">
        <v>5</v>
      </c>
      <c r="E23" s="117">
        <v>29.6</v>
      </c>
      <c r="F23" s="115">
        <v>2025</v>
      </c>
      <c r="G23" s="115">
        <v>5</v>
      </c>
      <c r="H23" s="117">
        <v>578.25</v>
      </c>
      <c r="I23" s="112">
        <v>5.3527882019790196</v>
      </c>
    </row>
    <row r="24" spans="1:9">
      <c r="A24" s="111" t="s">
        <v>513</v>
      </c>
      <c r="B24" s="111" t="s">
        <v>514</v>
      </c>
      <c r="C24" s="115">
        <v>1969</v>
      </c>
      <c r="D24" s="115">
        <v>5</v>
      </c>
      <c r="E24" s="117">
        <v>31.8</v>
      </c>
      <c r="F24" s="115">
        <v>2025</v>
      </c>
      <c r="G24" s="115">
        <v>5</v>
      </c>
      <c r="H24" s="117">
        <v>578.25</v>
      </c>
      <c r="I24" s="112">
        <v>5.3160198960260807</v>
      </c>
    </row>
    <row r="25" spans="1:9">
      <c r="A25" s="111" t="s">
        <v>513</v>
      </c>
      <c r="B25" s="111" t="s">
        <v>514</v>
      </c>
      <c r="C25" s="115">
        <v>1970</v>
      </c>
      <c r="D25" s="115">
        <v>5</v>
      </c>
      <c r="E25" s="117">
        <v>33.700000000000003</v>
      </c>
      <c r="F25" s="115">
        <v>2025</v>
      </c>
      <c r="G25" s="115">
        <v>5</v>
      </c>
      <c r="H25" s="117">
        <v>578.25</v>
      </c>
      <c r="I25" s="112">
        <v>5.3040792869102127</v>
      </c>
    </row>
    <row r="26" spans="1:9">
      <c r="A26" s="111" t="s">
        <v>513</v>
      </c>
      <c r="B26" s="111" t="s">
        <v>514</v>
      </c>
      <c r="C26" s="115">
        <v>1971</v>
      </c>
      <c r="D26" s="115">
        <v>5</v>
      </c>
      <c r="E26" s="117">
        <v>36.1</v>
      </c>
      <c r="F26" s="115">
        <v>2025</v>
      </c>
      <c r="G26" s="115">
        <v>5</v>
      </c>
      <c r="H26" s="117">
        <v>578.25</v>
      </c>
      <c r="I26" s="112">
        <v>5.2707128224572131</v>
      </c>
    </row>
    <row r="27" spans="1:9">
      <c r="A27" s="111" t="s">
        <v>513</v>
      </c>
      <c r="B27" s="111" t="s">
        <v>514</v>
      </c>
      <c r="C27" s="115">
        <v>1972</v>
      </c>
      <c r="D27" s="115">
        <v>5</v>
      </c>
      <c r="E27" s="117">
        <v>37.200000000000003</v>
      </c>
      <c r="F27" s="115">
        <v>2025</v>
      </c>
      <c r="G27" s="115">
        <v>5</v>
      </c>
      <c r="H27" s="117">
        <v>578.25</v>
      </c>
      <c r="I27" s="112">
        <v>5.3131259321229196</v>
      </c>
    </row>
    <row r="28" spans="1:9">
      <c r="A28" s="111" t="s">
        <v>513</v>
      </c>
      <c r="B28" s="111" t="s">
        <v>514</v>
      </c>
      <c r="C28" s="115">
        <v>1973</v>
      </c>
      <c r="D28" s="115">
        <v>5</v>
      </c>
      <c r="E28" s="117">
        <v>38.5</v>
      </c>
      <c r="F28" s="115">
        <v>2025</v>
      </c>
      <c r="G28" s="115">
        <v>5</v>
      </c>
      <c r="H28" s="117">
        <v>578.25</v>
      </c>
      <c r="I28" s="112">
        <v>5.3484084940047749</v>
      </c>
    </row>
    <row r="29" spans="1:9">
      <c r="A29" s="111" t="s">
        <v>513</v>
      </c>
      <c r="B29" s="111" t="s">
        <v>514</v>
      </c>
      <c r="C29" s="115">
        <v>1974</v>
      </c>
      <c r="D29" s="115">
        <v>5</v>
      </c>
      <c r="E29" s="117">
        <v>41.4</v>
      </c>
      <c r="F29" s="115">
        <v>2025</v>
      </c>
      <c r="G29" s="115">
        <v>5</v>
      </c>
      <c r="H29" s="117">
        <v>578.25</v>
      </c>
      <c r="I29" s="112">
        <v>5.3060302071727516</v>
      </c>
    </row>
    <row r="30" spans="1:9">
      <c r="A30" s="111" t="s">
        <v>513</v>
      </c>
      <c r="B30" s="111" t="s">
        <v>514</v>
      </c>
      <c r="C30" s="115">
        <v>1975</v>
      </c>
      <c r="D30" s="115">
        <v>5</v>
      </c>
      <c r="E30" s="117">
        <v>47</v>
      </c>
      <c r="F30" s="115">
        <v>2025</v>
      </c>
      <c r="G30" s="115">
        <v>5</v>
      </c>
      <c r="H30" s="117">
        <v>578.25</v>
      </c>
      <c r="I30" s="112">
        <v>5.147840012737892</v>
      </c>
    </row>
    <row r="31" spans="1:9">
      <c r="A31" s="111" t="s">
        <v>513</v>
      </c>
      <c r="B31" s="111" t="s">
        <v>514</v>
      </c>
      <c r="C31" s="115">
        <v>1976</v>
      </c>
      <c r="D31" s="115">
        <v>5</v>
      </c>
      <c r="E31" s="117">
        <v>51.4</v>
      </c>
      <c r="F31" s="115">
        <v>2025</v>
      </c>
      <c r="G31" s="115">
        <v>5</v>
      </c>
      <c r="H31" s="117">
        <v>578.25</v>
      </c>
      <c r="I31" s="112">
        <v>5.0635551218144226</v>
      </c>
    </row>
    <row r="32" spans="1:9">
      <c r="A32" s="111" t="s">
        <v>513</v>
      </c>
      <c r="B32" s="111" t="s">
        <v>514</v>
      </c>
      <c r="C32" s="115">
        <v>1977</v>
      </c>
      <c r="D32" s="115">
        <v>5</v>
      </c>
      <c r="E32" s="117">
        <v>56.4</v>
      </c>
      <c r="F32" s="115">
        <v>2025</v>
      </c>
      <c r="G32" s="115">
        <v>5</v>
      </c>
      <c r="H32" s="117">
        <v>578.25</v>
      </c>
      <c r="I32" s="112">
        <v>4.9685249801155296</v>
      </c>
    </row>
    <row r="33" spans="1:9">
      <c r="A33" s="111" t="s">
        <v>513</v>
      </c>
      <c r="B33" s="111" t="s">
        <v>514</v>
      </c>
      <c r="C33" s="115">
        <v>1978</v>
      </c>
      <c r="D33" s="115">
        <v>5</v>
      </c>
      <c r="E33" s="117">
        <v>61.1</v>
      </c>
      <c r="F33" s="115">
        <v>2025</v>
      </c>
      <c r="G33" s="115">
        <v>5</v>
      </c>
      <c r="H33" s="117">
        <v>578.25</v>
      </c>
      <c r="I33" s="112">
        <v>4.8980804646678866</v>
      </c>
    </row>
    <row r="34" spans="1:9">
      <c r="A34" s="111" t="s">
        <v>513</v>
      </c>
      <c r="B34" s="111" t="s">
        <v>514</v>
      </c>
      <c r="C34" s="115">
        <v>1979</v>
      </c>
      <c r="D34" s="115">
        <v>5</v>
      </c>
      <c r="E34" s="117">
        <v>66.5</v>
      </c>
      <c r="F34" s="115">
        <v>2025</v>
      </c>
      <c r="G34" s="115">
        <v>5</v>
      </c>
      <c r="H34" s="117">
        <v>578.25</v>
      </c>
      <c r="I34" s="112">
        <v>4.8140336643234916</v>
      </c>
    </row>
    <row r="35" spans="1:9">
      <c r="A35" s="111" t="s">
        <v>513</v>
      </c>
      <c r="B35" s="111" t="s">
        <v>514</v>
      </c>
      <c r="C35" s="115">
        <v>1980</v>
      </c>
      <c r="D35" s="115">
        <v>5</v>
      </c>
      <c r="E35" s="117">
        <v>74.2</v>
      </c>
      <c r="F35" s="115">
        <v>2025</v>
      </c>
      <c r="G35" s="115">
        <v>5</v>
      </c>
      <c r="H35" s="117">
        <v>578.25</v>
      </c>
      <c r="I35" s="112">
        <v>4.6684556553117096</v>
      </c>
    </row>
    <row r="36" spans="1:9">
      <c r="A36" s="111" t="s">
        <v>513</v>
      </c>
      <c r="B36" s="111" t="s">
        <v>514</v>
      </c>
      <c r="C36" s="115">
        <v>1981</v>
      </c>
      <c r="D36" s="115">
        <v>5</v>
      </c>
      <c r="E36" s="117">
        <v>81.400000000000006</v>
      </c>
      <c r="F36" s="115">
        <v>2025</v>
      </c>
      <c r="G36" s="115">
        <v>5</v>
      </c>
      <c r="H36" s="117">
        <v>578.25</v>
      </c>
      <c r="I36" s="112">
        <v>4.5567495692714344</v>
      </c>
    </row>
    <row r="37" spans="1:9">
      <c r="A37" s="111" t="s">
        <v>513</v>
      </c>
      <c r="B37" s="111" t="s">
        <v>514</v>
      </c>
      <c r="C37" s="115">
        <v>1982</v>
      </c>
      <c r="D37" s="115">
        <v>5</v>
      </c>
      <c r="E37" s="117">
        <v>91.2</v>
      </c>
      <c r="F37" s="115">
        <v>2025</v>
      </c>
      <c r="G37" s="115">
        <v>5</v>
      </c>
      <c r="H37" s="117">
        <v>578.25</v>
      </c>
      <c r="I37" s="112">
        <v>4.3888160989675304</v>
      </c>
    </row>
    <row r="38" spans="1:9">
      <c r="A38" s="111" t="s">
        <v>513</v>
      </c>
      <c r="B38" s="111" t="s">
        <v>514</v>
      </c>
      <c r="C38" s="115">
        <v>1983</v>
      </c>
      <c r="D38" s="115">
        <v>5</v>
      </c>
      <c r="E38" s="117">
        <v>99.7</v>
      </c>
      <c r="F38" s="115">
        <v>2025</v>
      </c>
      <c r="G38" s="115">
        <v>5</v>
      </c>
      <c r="H38" s="117">
        <v>578.25</v>
      </c>
      <c r="I38" s="112">
        <v>4.2741547605970043</v>
      </c>
    </row>
    <row r="39" spans="1:9">
      <c r="A39" s="111" t="s">
        <v>513</v>
      </c>
      <c r="B39" s="111" t="s">
        <v>514</v>
      </c>
      <c r="C39" s="115">
        <v>1984</v>
      </c>
      <c r="D39" s="115">
        <v>5</v>
      </c>
      <c r="E39" s="117">
        <v>106.1</v>
      </c>
      <c r="F39" s="115">
        <v>2025</v>
      </c>
      <c r="G39" s="115">
        <v>5</v>
      </c>
      <c r="H39" s="117">
        <v>578.25</v>
      </c>
      <c r="I39" s="112">
        <v>4.2223789179933746</v>
      </c>
    </row>
    <row r="40" spans="1:9">
      <c r="A40" s="111" t="s">
        <v>513</v>
      </c>
      <c r="B40" s="111" t="s">
        <v>514</v>
      </c>
      <c r="C40" s="115">
        <v>1985</v>
      </c>
      <c r="D40" s="115">
        <v>5</v>
      </c>
      <c r="E40" s="117">
        <v>112.5</v>
      </c>
      <c r="F40" s="115">
        <v>2025</v>
      </c>
      <c r="G40" s="115">
        <v>5</v>
      </c>
      <c r="H40" s="117">
        <v>578.25</v>
      </c>
      <c r="I40" s="112">
        <v>4.1775351988794451</v>
      </c>
    </row>
    <row r="41" spans="1:9">
      <c r="A41" s="111" t="s">
        <v>513</v>
      </c>
      <c r="B41" s="111" t="s">
        <v>514</v>
      </c>
      <c r="C41" s="115">
        <v>1986</v>
      </c>
      <c r="D41" s="115">
        <v>5</v>
      </c>
      <c r="E41" s="117">
        <v>121</v>
      </c>
      <c r="F41" s="115">
        <v>2025</v>
      </c>
      <c r="G41" s="115">
        <v>5</v>
      </c>
      <c r="H41" s="117">
        <v>578.25</v>
      </c>
      <c r="I41" s="112">
        <v>4.0923288062193031</v>
      </c>
    </row>
    <row r="42" spans="1:9">
      <c r="A42" s="111" t="s">
        <v>513</v>
      </c>
      <c r="B42" s="111" t="s">
        <v>514</v>
      </c>
      <c r="C42" s="115">
        <v>1987</v>
      </c>
      <c r="D42" s="115">
        <v>5</v>
      </c>
      <c r="E42" s="117">
        <v>129.19999999999999</v>
      </c>
      <c r="F42" s="115">
        <v>2025</v>
      </c>
      <c r="G42" s="115">
        <v>5</v>
      </c>
      <c r="H42" s="117">
        <v>578.25</v>
      </c>
      <c r="I42" s="112">
        <v>4.0226022302739528</v>
      </c>
    </row>
    <row r="43" spans="1:9">
      <c r="A43" s="111" t="s">
        <v>513</v>
      </c>
      <c r="B43" s="111" t="s">
        <v>514</v>
      </c>
      <c r="C43" s="115">
        <v>1988</v>
      </c>
      <c r="D43" s="115">
        <v>5</v>
      </c>
      <c r="E43" s="117">
        <v>137.5</v>
      </c>
      <c r="F43" s="115">
        <v>2025</v>
      </c>
      <c r="G43" s="115">
        <v>5</v>
      </c>
      <c r="H43" s="117">
        <v>578.25</v>
      </c>
      <c r="I43" s="112">
        <v>3.9584532663958778</v>
      </c>
    </row>
    <row r="44" spans="1:9">
      <c r="A44" s="111" t="s">
        <v>513</v>
      </c>
      <c r="B44" s="111" t="s">
        <v>514</v>
      </c>
      <c r="C44" s="115">
        <v>1989</v>
      </c>
      <c r="D44" s="115">
        <v>5</v>
      </c>
      <c r="E44" s="117">
        <v>147.5</v>
      </c>
      <c r="F44" s="115">
        <v>2025</v>
      </c>
      <c r="G44" s="115">
        <v>5</v>
      </c>
      <c r="H44" s="117">
        <v>578.25</v>
      </c>
      <c r="I44" s="112">
        <v>3.867866648307317</v>
      </c>
    </row>
    <row r="45" spans="1:9">
      <c r="A45" s="111" t="s">
        <v>513</v>
      </c>
      <c r="B45" s="111" t="s">
        <v>514</v>
      </c>
      <c r="C45" s="115">
        <v>1990</v>
      </c>
      <c r="D45" s="115">
        <v>5</v>
      </c>
      <c r="E45" s="117">
        <v>160.80000000000001</v>
      </c>
      <c r="F45" s="115">
        <v>2025</v>
      </c>
      <c r="G45" s="115">
        <v>5</v>
      </c>
      <c r="H45" s="117">
        <v>578.25</v>
      </c>
      <c r="I45" s="112">
        <v>3.7243795375385469</v>
      </c>
    </row>
    <row r="46" spans="1:9">
      <c r="A46" s="111" t="s">
        <v>513</v>
      </c>
      <c r="B46" s="111" t="s">
        <v>514</v>
      </c>
      <c r="C46" s="115">
        <v>1991</v>
      </c>
      <c r="D46" s="115">
        <v>5</v>
      </c>
      <c r="E46" s="117">
        <v>175.2</v>
      </c>
      <c r="F46" s="115">
        <v>2025</v>
      </c>
      <c r="G46" s="115">
        <v>5</v>
      </c>
      <c r="H46" s="117">
        <v>578.25</v>
      </c>
      <c r="I46" s="112">
        <v>3.5743933430376851</v>
      </c>
    </row>
    <row r="47" spans="1:9">
      <c r="A47" s="111" t="s">
        <v>513</v>
      </c>
      <c r="B47" s="111" t="s">
        <v>514</v>
      </c>
      <c r="C47" s="115">
        <v>1992</v>
      </c>
      <c r="D47" s="115">
        <v>5</v>
      </c>
      <c r="E47" s="117">
        <v>188.7</v>
      </c>
      <c r="F47" s="115">
        <v>2025</v>
      </c>
      <c r="G47" s="115">
        <v>5</v>
      </c>
      <c r="H47" s="117">
        <v>578.25</v>
      </c>
      <c r="I47" s="112">
        <v>3.4517136729196758</v>
      </c>
    </row>
    <row r="48" spans="1:9">
      <c r="A48" s="111" t="s">
        <v>513</v>
      </c>
      <c r="B48" s="111" t="s">
        <v>514</v>
      </c>
      <c r="C48" s="115">
        <v>1993</v>
      </c>
      <c r="D48" s="115">
        <v>5</v>
      </c>
      <c r="E48" s="117">
        <v>200.5</v>
      </c>
      <c r="F48" s="115">
        <v>2025</v>
      </c>
      <c r="G48" s="115">
        <v>5</v>
      </c>
      <c r="H48" s="117">
        <v>578.25</v>
      </c>
      <c r="I48" s="112">
        <v>3.365364280579008</v>
      </c>
    </row>
    <row r="49" spans="1:9">
      <c r="A49" s="111" t="s">
        <v>513</v>
      </c>
      <c r="B49" s="111" t="s">
        <v>514</v>
      </c>
      <c r="C49" s="115">
        <v>1994</v>
      </c>
      <c r="D49" s="115">
        <v>5</v>
      </c>
      <c r="E49" s="117">
        <v>209.7</v>
      </c>
      <c r="F49" s="115">
        <v>2025</v>
      </c>
      <c r="G49" s="115">
        <v>5</v>
      </c>
      <c r="H49" s="117">
        <v>578.25</v>
      </c>
      <c r="I49" s="112">
        <v>3.3261464355747168</v>
      </c>
    </row>
    <row r="50" spans="1:9">
      <c r="A50" s="111" t="s">
        <v>513</v>
      </c>
      <c r="B50" s="111" t="s">
        <v>514</v>
      </c>
      <c r="C50" s="115">
        <v>1995</v>
      </c>
      <c r="D50" s="115">
        <v>5</v>
      </c>
      <c r="E50" s="117">
        <v>219.3</v>
      </c>
      <c r="F50" s="115">
        <v>2025</v>
      </c>
      <c r="G50" s="115">
        <v>5</v>
      </c>
      <c r="H50" s="117">
        <v>578.25</v>
      </c>
      <c r="I50" s="112">
        <v>3.2846781018645692</v>
      </c>
    </row>
    <row r="51" spans="1:9">
      <c r="A51" s="111" t="s">
        <v>513</v>
      </c>
      <c r="B51" s="111" t="s">
        <v>514</v>
      </c>
      <c r="C51" s="115">
        <v>1996</v>
      </c>
      <c r="D51" s="115">
        <v>5</v>
      </c>
      <c r="E51" s="117">
        <v>227.4</v>
      </c>
      <c r="F51" s="115">
        <v>2025</v>
      </c>
      <c r="G51" s="115">
        <v>5</v>
      </c>
      <c r="H51" s="117">
        <v>578.25</v>
      </c>
      <c r="I51" s="112">
        <v>3.2706071604207798</v>
      </c>
    </row>
    <row r="52" spans="1:9">
      <c r="A52" s="111" t="s">
        <v>513</v>
      </c>
      <c r="B52" s="111" t="s">
        <v>514</v>
      </c>
      <c r="C52" s="115">
        <v>1997</v>
      </c>
      <c r="D52" s="115">
        <v>5</v>
      </c>
      <c r="E52" s="117">
        <v>234.2</v>
      </c>
      <c r="F52" s="115">
        <v>2025</v>
      </c>
      <c r="G52" s="115">
        <v>5</v>
      </c>
      <c r="H52" s="117">
        <v>578.25</v>
      </c>
      <c r="I52" s="112">
        <v>3.280631317674354</v>
      </c>
    </row>
    <row r="53" spans="1:9">
      <c r="A53" s="111" t="s">
        <v>513</v>
      </c>
      <c r="B53" s="111" t="s">
        <v>514</v>
      </c>
      <c r="C53" s="115">
        <v>1998</v>
      </c>
      <c r="D53" s="115">
        <v>5</v>
      </c>
      <c r="E53" s="117">
        <v>241.4</v>
      </c>
      <c r="F53" s="115">
        <v>2025</v>
      </c>
      <c r="G53" s="115">
        <v>5</v>
      </c>
      <c r="H53" s="117">
        <v>578.25</v>
      </c>
      <c r="I53" s="112">
        <v>3.2882813131748461</v>
      </c>
    </row>
    <row r="54" spans="1:9">
      <c r="A54" s="111" t="s">
        <v>513</v>
      </c>
      <c r="B54" s="111" t="s">
        <v>514</v>
      </c>
      <c r="C54" s="115">
        <v>1999</v>
      </c>
      <c r="D54" s="115">
        <v>5</v>
      </c>
      <c r="E54" s="117">
        <v>249.5</v>
      </c>
      <c r="F54" s="115">
        <v>2025</v>
      </c>
      <c r="G54" s="115">
        <v>5</v>
      </c>
      <c r="H54" s="117">
        <v>578.25</v>
      </c>
      <c r="I54" s="112">
        <v>3.285699670471387</v>
      </c>
    </row>
    <row r="55" spans="1:9">
      <c r="A55" s="111" t="s">
        <v>513</v>
      </c>
      <c r="B55" s="111" t="s">
        <v>514</v>
      </c>
      <c r="C55" s="115">
        <v>2000</v>
      </c>
      <c r="D55" s="115">
        <v>5</v>
      </c>
      <c r="E55" s="117">
        <v>259.39999999999998</v>
      </c>
      <c r="F55" s="115">
        <v>2025</v>
      </c>
      <c r="G55" s="115">
        <v>5</v>
      </c>
      <c r="H55" s="117">
        <v>578.25</v>
      </c>
      <c r="I55" s="112">
        <v>3.2585035365400472</v>
      </c>
    </row>
    <row r="56" spans="1:9">
      <c r="A56" s="111" t="s">
        <v>513</v>
      </c>
      <c r="B56" s="111" t="s">
        <v>514</v>
      </c>
      <c r="C56" s="115">
        <v>2001</v>
      </c>
      <c r="D56" s="115">
        <v>5</v>
      </c>
      <c r="E56" s="117">
        <v>271.39999999999998</v>
      </c>
      <c r="F56" s="115">
        <v>2025</v>
      </c>
      <c r="G56" s="115">
        <v>5</v>
      </c>
      <c r="H56" s="117">
        <v>578.25</v>
      </c>
      <c r="I56" s="112">
        <v>3.2019115581328079</v>
      </c>
    </row>
    <row r="57" spans="1:9">
      <c r="A57" s="111" t="s">
        <v>513</v>
      </c>
      <c r="B57" s="111" t="s">
        <v>514</v>
      </c>
      <c r="C57" s="115">
        <v>2002</v>
      </c>
      <c r="D57" s="115">
        <v>5</v>
      </c>
      <c r="E57" s="117">
        <v>284.10000000000002</v>
      </c>
      <c r="F57" s="115">
        <v>2025</v>
      </c>
      <c r="G57" s="115">
        <v>5</v>
      </c>
      <c r="H57" s="117">
        <v>578.25</v>
      </c>
      <c r="I57" s="112">
        <v>3.138146418893895</v>
      </c>
    </row>
    <row r="58" spans="1:9">
      <c r="A58" s="111" t="s">
        <v>513</v>
      </c>
      <c r="B58" s="111" t="s">
        <v>514</v>
      </c>
      <c r="C58" s="115">
        <v>2003</v>
      </c>
      <c r="D58" s="115">
        <v>5</v>
      </c>
      <c r="E58" s="117">
        <v>295.5</v>
      </c>
      <c r="F58" s="115">
        <v>2025</v>
      </c>
      <c r="G58" s="115">
        <v>5</v>
      </c>
      <c r="H58" s="117">
        <v>578.25</v>
      </c>
      <c r="I58" s="112">
        <v>3.098570451082594</v>
      </c>
    </row>
    <row r="59" spans="1:9">
      <c r="A59" s="111" t="s">
        <v>513</v>
      </c>
      <c r="B59" s="111" t="s">
        <v>514</v>
      </c>
      <c r="C59" s="115">
        <v>2004</v>
      </c>
      <c r="D59" s="115">
        <v>5</v>
      </c>
      <c r="E59" s="117">
        <v>309</v>
      </c>
      <c r="F59" s="115">
        <v>2025</v>
      </c>
      <c r="G59" s="115">
        <v>5</v>
      </c>
      <c r="H59" s="117">
        <v>578.25</v>
      </c>
      <c r="I59" s="112">
        <v>3.0290902141220539</v>
      </c>
    </row>
    <row r="60" spans="1:9">
      <c r="A60" s="111" t="s">
        <v>513</v>
      </c>
      <c r="B60" s="111" t="s">
        <v>514</v>
      </c>
      <c r="C60" s="115">
        <v>2005</v>
      </c>
      <c r="D60" s="115">
        <v>5</v>
      </c>
      <c r="E60" s="117">
        <v>322.2</v>
      </c>
      <c r="F60" s="115">
        <v>2025</v>
      </c>
      <c r="G60" s="115">
        <v>5</v>
      </c>
      <c r="H60" s="117">
        <v>578.25</v>
      </c>
      <c r="I60" s="112">
        <v>2.9673427737715752</v>
      </c>
    </row>
    <row r="61" spans="1:9">
      <c r="A61" s="111" t="s">
        <v>513</v>
      </c>
      <c r="B61" s="111" t="s">
        <v>514</v>
      </c>
      <c r="C61" s="115">
        <v>2006</v>
      </c>
      <c r="D61" s="115">
        <v>5</v>
      </c>
      <c r="E61" s="117">
        <v>335.6</v>
      </c>
      <c r="F61" s="115">
        <v>2025</v>
      </c>
      <c r="G61" s="115">
        <v>5</v>
      </c>
      <c r="H61" s="117">
        <v>578.25</v>
      </c>
      <c r="I61" s="112">
        <v>2.9050078117256679</v>
      </c>
    </row>
    <row r="62" spans="1:9">
      <c r="A62" s="111" t="s">
        <v>513</v>
      </c>
      <c r="B62" s="111" t="s">
        <v>514</v>
      </c>
      <c r="C62" s="115">
        <v>2007</v>
      </c>
      <c r="D62" s="115">
        <v>5</v>
      </c>
      <c r="E62" s="117">
        <v>349.08699999999999</v>
      </c>
      <c r="F62" s="115">
        <v>2025</v>
      </c>
      <c r="G62" s="115">
        <v>5</v>
      </c>
      <c r="H62" s="117">
        <v>578.25</v>
      </c>
      <c r="I62" s="112">
        <v>2.8434828551823892</v>
      </c>
    </row>
    <row r="63" spans="1:9">
      <c r="A63" s="111" t="s">
        <v>513</v>
      </c>
      <c r="B63" s="111" t="s">
        <v>514</v>
      </c>
      <c r="C63" s="115">
        <v>2008</v>
      </c>
      <c r="D63" s="115">
        <v>5</v>
      </c>
      <c r="E63" s="117">
        <v>363.39600000000002</v>
      </c>
      <c r="F63" s="115">
        <v>2025</v>
      </c>
      <c r="G63" s="115">
        <v>5</v>
      </c>
      <c r="H63" s="117">
        <v>578.25</v>
      </c>
      <c r="I63" s="112">
        <v>2.7701035337757358</v>
      </c>
    </row>
    <row r="64" spans="1:9">
      <c r="A64" s="111" t="s">
        <v>513</v>
      </c>
      <c r="B64" s="111" t="s">
        <v>514</v>
      </c>
      <c r="C64" s="115">
        <v>2009</v>
      </c>
      <c r="D64" s="115">
        <v>5</v>
      </c>
      <c r="E64" s="117">
        <v>375.02600000000001</v>
      </c>
      <c r="F64" s="115">
        <v>2025</v>
      </c>
      <c r="G64" s="115">
        <v>5</v>
      </c>
      <c r="H64" s="117">
        <v>578.25</v>
      </c>
      <c r="I64" s="112">
        <v>2.743271803508573</v>
      </c>
    </row>
    <row r="65" spans="1:9">
      <c r="A65" s="111" t="s">
        <v>513</v>
      </c>
      <c r="B65" s="111" t="s">
        <v>514</v>
      </c>
      <c r="C65" s="115">
        <v>2010</v>
      </c>
      <c r="D65" s="115">
        <v>5</v>
      </c>
      <c r="E65" s="117">
        <v>387.762</v>
      </c>
      <c r="F65" s="115">
        <v>2025</v>
      </c>
      <c r="G65" s="115">
        <v>5</v>
      </c>
      <c r="H65" s="117">
        <v>578.25</v>
      </c>
      <c r="I65" s="112">
        <v>2.6999013228873769</v>
      </c>
    </row>
    <row r="66" spans="1:9">
      <c r="A66" s="111" t="s">
        <v>513</v>
      </c>
      <c r="B66" s="111" t="s">
        <v>514</v>
      </c>
      <c r="C66" s="115">
        <v>2011</v>
      </c>
      <c r="D66" s="115">
        <v>5</v>
      </c>
      <c r="E66" s="117">
        <v>399.375</v>
      </c>
      <c r="F66" s="115">
        <v>2025</v>
      </c>
      <c r="G66" s="115">
        <v>5</v>
      </c>
      <c r="H66" s="117">
        <v>578.25</v>
      </c>
      <c r="I66" s="112">
        <v>2.6788638944178489</v>
      </c>
    </row>
    <row r="67" spans="1:9">
      <c r="A67" s="111" t="s">
        <v>513</v>
      </c>
      <c r="B67" s="111" t="s">
        <v>514</v>
      </c>
      <c r="C67" s="115">
        <v>2012</v>
      </c>
      <c r="D67" s="115">
        <v>5</v>
      </c>
      <c r="E67" s="117">
        <v>413.65499999999997</v>
      </c>
      <c r="F67" s="115">
        <v>2025</v>
      </c>
      <c r="G67" s="115">
        <v>5</v>
      </c>
      <c r="H67" s="117">
        <v>578.25</v>
      </c>
      <c r="I67" s="112">
        <v>2.610207631675054</v>
      </c>
    </row>
    <row r="68" spans="1:9">
      <c r="A68" s="111" t="s">
        <v>513</v>
      </c>
      <c r="B68" s="111" t="s">
        <v>514</v>
      </c>
      <c r="C68" s="115">
        <v>2013</v>
      </c>
      <c r="D68" s="115">
        <v>5</v>
      </c>
      <c r="E68" s="117">
        <v>422.834</v>
      </c>
      <c r="F68" s="115">
        <v>2025</v>
      </c>
      <c r="G68" s="115">
        <v>5</v>
      </c>
      <c r="H68" s="117">
        <v>578.25</v>
      </c>
      <c r="I68" s="112">
        <v>2.6428758612218051</v>
      </c>
    </row>
    <row r="69" spans="1:9">
      <c r="A69" s="111" t="s">
        <v>513</v>
      </c>
      <c r="B69" s="111" t="s">
        <v>514</v>
      </c>
      <c r="C69" s="115">
        <v>2014</v>
      </c>
      <c r="D69" s="115">
        <v>5</v>
      </c>
      <c r="E69" s="117">
        <v>434.87400000000002</v>
      </c>
      <c r="F69" s="115">
        <v>2025</v>
      </c>
      <c r="G69" s="115">
        <v>5</v>
      </c>
      <c r="H69" s="117">
        <v>578.25</v>
      </c>
      <c r="I69" s="112">
        <v>2.624298117595036</v>
      </c>
    </row>
    <row r="70" spans="1:9">
      <c r="A70" s="111" t="s">
        <v>513</v>
      </c>
      <c r="B70" s="111" t="s">
        <v>514</v>
      </c>
      <c r="C70" s="115">
        <v>2015</v>
      </c>
      <c r="D70" s="115">
        <v>5</v>
      </c>
      <c r="E70" s="117">
        <v>447.21300000000002</v>
      </c>
      <c r="F70" s="115">
        <v>2025</v>
      </c>
      <c r="G70" s="115">
        <v>5</v>
      </c>
      <c r="H70" s="117">
        <v>578.25</v>
      </c>
      <c r="I70" s="112">
        <v>2.603014867728537</v>
      </c>
    </row>
    <row r="71" spans="1:9">
      <c r="A71" s="111" t="s">
        <v>513</v>
      </c>
      <c r="B71" s="111" t="s">
        <v>514</v>
      </c>
      <c r="C71" s="115">
        <v>2016</v>
      </c>
      <c r="D71" s="115">
        <v>5</v>
      </c>
      <c r="E71" s="117">
        <v>461.23</v>
      </c>
      <c r="F71" s="115">
        <v>2025</v>
      </c>
      <c r="G71" s="115">
        <v>5</v>
      </c>
      <c r="H71" s="117">
        <v>578.25</v>
      </c>
      <c r="I71" s="112">
        <v>2.5441523140314</v>
      </c>
    </row>
    <row r="72" spans="1:9">
      <c r="A72" s="111" t="s">
        <v>513</v>
      </c>
      <c r="B72" s="111" t="s">
        <v>514</v>
      </c>
      <c r="C72" s="115">
        <v>2017</v>
      </c>
      <c r="D72" s="115">
        <v>5</v>
      </c>
      <c r="E72" s="117">
        <v>473.512</v>
      </c>
      <c r="F72" s="115">
        <v>2025</v>
      </c>
      <c r="G72" s="115">
        <v>5</v>
      </c>
      <c r="H72" s="117">
        <v>578.25</v>
      </c>
      <c r="I72" s="112">
        <v>2.5293210494372391</v>
      </c>
    </row>
    <row r="73" spans="1:9">
      <c r="A73" s="111" t="s">
        <v>513</v>
      </c>
      <c r="B73" s="111" t="s">
        <v>514</v>
      </c>
      <c r="C73" s="115">
        <v>2018</v>
      </c>
      <c r="D73" s="115">
        <v>5</v>
      </c>
      <c r="E73" s="117">
        <v>484.85300000000001</v>
      </c>
      <c r="F73" s="115">
        <v>2025</v>
      </c>
      <c r="G73" s="115">
        <v>5</v>
      </c>
      <c r="H73" s="117">
        <v>578.25</v>
      </c>
      <c r="I73" s="112">
        <v>2.5485124378843649</v>
      </c>
    </row>
    <row r="74" spans="1:9">
      <c r="A74" s="111" t="s">
        <v>513</v>
      </c>
      <c r="B74" s="111" t="s">
        <v>514</v>
      </c>
      <c r="C74" s="115">
        <v>2019</v>
      </c>
      <c r="D74" s="115">
        <v>5</v>
      </c>
      <c r="E74" s="117">
        <v>494.928</v>
      </c>
      <c r="F74" s="115">
        <v>2025</v>
      </c>
      <c r="G74" s="115">
        <v>5</v>
      </c>
      <c r="H74" s="117">
        <v>578.25</v>
      </c>
      <c r="I74" s="112">
        <v>2.6271502379604521</v>
      </c>
    </row>
    <row r="75" spans="1:9">
      <c r="A75" s="111" t="s">
        <v>513</v>
      </c>
      <c r="B75" s="111" t="s">
        <v>514</v>
      </c>
      <c r="C75" s="115">
        <v>2020</v>
      </c>
      <c r="D75" s="115">
        <v>5</v>
      </c>
      <c r="E75" s="117">
        <v>519.19399999999996</v>
      </c>
      <c r="F75" s="115">
        <v>2025</v>
      </c>
      <c r="G75" s="115">
        <v>5</v>
      </c>
      <c r="H75" s="117">
        <v>578.25</v>
      </c>
      <c r="I75" s="112">
        <v>2.1779523835076859</v>
      </c>
    </row>
    <row r="76" spans="1:9">
      <c r="A76" s="111" t="s">
        <v>513</v>
      </c>
      <c r="B76" s="111" t="s">
        <v>514</v>
      </c>
      <c r="C76" s="115">
        <v>2021</v>
      </c>
      <c r="D76" s="115">
        <v>5</v>
      </c>
      <c r="E76" s="117">
        <v>523.91800000000001</v>
      </c>
      <c r="F76" s="115">
        <v>2025</v>
      </c>
      <c r="G76" s="115">
        <v>5</v>
      </c>
      <c r="H76" s="117">
        <v>578.25</v>
      </c>
      <c r="I76" s="112">
        <v>2.49745462922637</v>
      </c>
    </row>
    <row r="77" spans="1:9">
      <c r="A77" s="111" t="s">
        <v>513</v>
      </c>
      <c r="B77" s="111" t="s">
        <v>514</v>
      </c>
      <c r="C77" s="115">
        <v>2022</v>
      </c>
      <c r="D77" s="115">
        <v>5</v>
      </c>
      <c r="E77" s="117">
        <v>543.48800000000006</v>
      </c>
      <c r="F77" s="115">
        <v>2025</v>
      </c>
      <c r="G77" s="115">
        <v>5</v>
      </c>
      <c r="H77" s="117">
        <v>578.25</v>
      </c>
      <c r="I77" s="112">
        <v>2.0881249755294369</v>
      </c>
    </row>
    <row r="78" spans="1:9">
      <c r="A78" s="111" t="s">
        <v>513</v>
      </c>
      <c r="B78" s="111" t="s">
        <v>514</v>
      </c>
      <c r="C78" s="115">
        <v>2023</v>
      </c>
      <c r="D78" s="115">
        <v>5</v>
      </c>
      <c r="E78" s="117">
        <v>547.41999999999996</v>
      </c>
      <c r="F78" s="115">
        <v>2025</v>
      </c>
      <c r="G78" s="115">
        <v>5</v>
      </c>
      <c r="H78" s="117">
        <v>578.25</v>
      </c>
      <c r="I78" s="112">
        <v>2.7773677180023442</v>
      </c>
    </row>
    <row r="79" spans="1:9">
      <c r="A79" s="111" t="s">
        <v>513</v>
      </c>
      <c r="B79" s="111" t="s">
        <v>514</v>
      </c>
      <c r="C79" s="115">
        <v>2024</v>
      </c>
      <c r="D79" s="115">
        <v>5</v>
      </c>
      <c r="E79" s="117">
        <v>564.24900000000002</v>
      </c>
      <c r="F79" s="115">
        <v>2025</v>
      </c>
      <c r="G79" s="115">
        <v>5</v>
      </c>
      <c r="H79" s="117">
        <v>578.25</v>
      </c>
      <c r="I79" s="112">
        <v>2.4813513183009621</v>
      </c>
    </row>
    <row r="80" spans="1:9">
      <c r="A80" s="111" t="s">
        <v>495</v>
      </c>
      <c r="B80" s="111" t="s">
        <v>516</v>
      </c>
      <c r="C80" s="115">
        <v>1967</v>
      </c>
      <c r="D80" s="115">
        <v>5</v>
      </c>
      <c r="E80" s="117">
        <v>44.9</v>
      </c>
      <c r="F80" s="115">
        <v>2025</v>
      </c>
      <c r="G80" s="115">
        <v>5</v>
      </c>
      <c r="H80" s="117">
        <v>417.149</v>
      </c>
      <c r="I80" s="112">
        <v>3.9179160086269871</v>
      </c>
    </row>
    <row r="81" spans="1:9">
      <c r="A81" s="111" t="s">
        <v>495</v>
      </c>
      <c r="B81" s="111" t="s">
        <v>516</v>
      </c>
      <c r="C81" s="115">
        <v>1968</v>
      </c>
      <c r="D81" s="115">
        <v>5</v>
      </c>
      <c r="E81" s="117">
        <v>45</v>
      </c>
      <c r="F81" s="115">
        <v>2025</v>
      </c>
      <c r="G81" s="115">
        <v>5</v>
      </c>
      <c r="H81" s="117">
        <v>417.149</v>
      </c>
      <c r="I81" s="112">
        <v>3.983945705796144</v>
      </c>
    </row>
    <row r="82" spans="1:9">
      <c r="A82" s="111" t="s">
        <v>495</v>
      </c>
      <c r="B82" s="111" t="s">
        <v>516</v>
      </c>
      <c r="C82" s="115">
        <v>1969</v>
      </c>
      <c r="D82" s="115">
        <v>5</v>
      </c>
      <c r="E82" s="117">
        <v>45.5</v>
      </c>
      <c r="F82" s="115">
        <v>2025</v>
      </c>
      <c r="G82" s="115">
        <v>5</v>
      </c>
      <c r="H82" s="117">
        <v>417.149</v>
      </c>
      <c r="I82" s="112">
        <v>4.0359813263873168</v>
      </c>
    </row>
    <row r="83" spans="1:9">
      <c r="A83" s="111" t="s">
        <v>495</v>
      </c>
      <c r="B83" s="111" t="s">
        <v>516</v>
      </c>
      <c r="C83" s="115">
        <v>1970</v>
      </c>
      <c r="D83" s="115">
        <v>5</v>
      </c>
      <c r="E83" s="117">
        <v>46.5</v>
      </c>
      <c r="F83" s="115">
        <v>2025</v>
      </c>
      <c r="G83" s="115">
        <v>5</v>
      </c>
      <c r="H83" s="117">
        <v>417.149</v>
      </c>
      <c r="I83" s="112">
        <v>4.0697070114610989</v>
      </c>
    </row>
    <row r="84" spans="1:9">
      <c r="A84" s="111" t="s">
        <v>495</v>
      </c>
      <c r="B84" s="111" t="s">
        <v>516</v>
      </c>
      <c r="C84" s="115">
        <v>1971</v>
      </c>
      <c r="D84" s="115">
        <v>5</v>
      </c>
      <c r="E84" s="117">
        <v>47.3</v>
      </c>
      <c r="F84" s="115">
        <v>2025</v>
      </c>
      <c r="G84" s="115">
        <v>5</v>
      </c>
      <c r="H84" s="117">
        <v>417.149</v>
      </c>
      <c r="I84" s="112">
        <v>4.1137200048771971</v>
      </c>
    </row>
    <row r="85" spans="1:9">
      <c r="A85" s="111" t="s">
        <v>495</v>
      </c>
      <c r="B85" s="111" t="s">
        <v>516</v>
      </c>
      <c r="C85" s="115">
        <v>1972</v>
      </c>
      <c r="D85" s="115">
        <v>5</v>
      </c>
      <c r="E85" s="117">
        <v>47.4</v>
      </c>
      <c r="F85" s="115">
        <v>2025</v>
      </c>
      <c r="G85" s="115">
        <v>5</v>
      </c>
      <c r="H85" s="117">
        <v>417.149</v>
      </c>
      <c r="I85" s="112">
        <v>4.1887907411493952</v>
      </c>
    </row>
    <row r="86" spans="1:9">
      <c r="A86" s="111" t="s">
        <v>495</v>
      </c>
      <c r="B86" s="111" t="s">
        <v>516</v>
      </c>
      <c r="C86" s="115">
        <v>1973</v>
      </c>
      <c r="D86" s="115">
        <v>5</v>
      </c>
      <c r="E86" s="117">
        <v>47.5</v>
      </c>
      <c r="F86" s="115">
        <v>2025</v>
      </c>
      <c r="G86" s="115">
        <v>5</v>
      </c>
      <c r="H86" s="117">
        <v>417.149</v>
      </c>
      <c r="I86" s="112">
        <v>4.2668150308354136</v>
      </c>
    </row>
    <row r="87" spans="1:9">
      <c r="A87" s="111" t="s">
        <v>495</v>
      </c>
      <c r="B87" s="111" t="s">
        <v>516</v>
      </c>
      <c r="C87" s="115">
        <v>1974</v>
      </c>
      <c r="D87" s="115">
        <v>5</v>
      </c>
      <c r="E87" s="117">
        <v>48.5</v>
      </c>
      <c r="F87" s="115">
        <v>2025</v>
      </c>
      <c r="G87" s="115">
        <v>5</v>
      </c>
      <c r="H87" s="117">
        <v>417.149</v>
      </c>
      <c r="I87" s="112">
        <v>4.309652690193122</v>
      </c>
    </row>
    <row r="88" spans="1:9">
      <c r="A88" s="111" t="s">
        <v>495</v>
      </c>
      <c r="B88" s="111" t="s">
        <v>516</v>
      </c>
      <c r="C88" s="115">
        <v>1975</v>
      </c>
      <c r="D88" s="115">
        <v>5</v>
      </c>
      <c r="E88" s="117">
        <v>53</v>
      </c>
      <c r="F88" s="115">
        <v>2025</v>
      </c>
      <c r="G88" s="115">
        <v>5</v>
      </c>
      <c r="H88" s="117">
        <v>417.149</v>
      </c>
      <c r="I88" s="112">
        <v>4.2126181168943289</v>
      </c>
    </row>
    <row r="89" spans="1:9">
      <c r="A89" s="111" t="s">
        <v>495</v>
      </c>
      <c r="B89" s="111" t="s">
        <v>516</v>
      </c>
      <c r="C89" s="115">
        <v>1976</v>
      </c>
      <c r="D89" s="115">
        <v>5</v>
      </c>
      <c r="E89" s="117">
        <v>56.3</v>
      </c>
      <c r="F89" s="115">
        <v>2025</v>
      </c>
      <c r="G89" s="115">
        <v>5</v>
      </c>
      <c r="H89" s="117">
        <v>417.149</v>
      </c>
      <c r="I89" s="112">
        <v>4.1719202121678336</v>
      </c>
    </row>
    <row r="90" spans="1:9">
      <c r="A90" s="111" t="s">
        <v>495</v>
      </c>
      <c r="B90" s="111" t="s">
        <v>516</v>
      </c>
      <c r="C90" s="115">
        <v>1977</v>
      </c>
      <c r="D90" s="115">
        <v>5</v>
      </c>
      <c r="E90" s="117">
        <v>59.8</v>
      </c>
      <c r="F90" s="115">
        <v>2025</v>
      </c>
      <c r="G90" s="115">
        <v>5</v>
      </c>
      <c r="H90" s="117">
        <v>417.149</v>
      </c>
      <c r="I90" s="112">
        <v>4.1297419501072019</v>
      </c>
    </row>
    <row r="91" spans="1:9">
      <c r="A91" s="111" t="s">
        <v>495</v>
      </c>
      <c r="B91" s="111" t="s">
        <v>516</v>
      </c>
      <c r="C91" s="115">
        <v>1978</v>
      </c>
      <c r="D91" s="115">
        <v>5</v>
      </c>
      <c r="E91" s="117">
        <v>64</v>
      </c>
      <c r="F91" s="115">
        <v>2025</v>
      </c>
      <c r="G91" s="115">
        <v>5</v>
      </c>
      <c r="H91" s="117">
        <v>417.149</v>
      </c>
      <c r="I91" s="112">
        <v>4.0690321461215762</v>
      </c>
    </row>
    <row r="92" spans="1:9">
      <c r="A92" s="111" t="s">
        <v>495</v>
      </c>
      <c r="B92" s="111" t="s">
        <v>516</v>
      </c>
      <c r="C92" s="115">
        <v>1979</v>
      </c>
      <c r="D92" s="115">
        <v>5</v>
      </c>
      <c r="E92" s="117">
        <v>68.400000000000006</v>
      </c>
      <c r="F92" s="115">
        <v>2025</v>
      </c>
      <c r="G92" s="115">
        <v>5</v>
      </c>
      <c r="H92" s="117">
        <v>417.149</v>
      </c>
      <c r="I92" s="112">
        <v>4.0088581079680274</v>
      </c>
    </row>
    <row r="93" spans="1:9">
      <c r="A93" s="111" t="s">
        <v>495</v>
      </c>
      <c r="B93" s="111" t="s">
        <v>516</v>
      </c>
      <c r="C93" s="115">
        <v>1980</v>
      </c>
      <c r="D93" s="115">
        <v>5</v>
      </c>
      <c r="E93" s="117">
        <v>74.7</v>
      </c>
      <c r="F93" s="115">
        <v>2025</v>
      </c>
      <c r="G93" s="115">
        <v>5</v>
      </c>
      <c r="H93" s="117">
        <v>417.149</v>
      </c>
      <c r="I93" s="112">
        <v>3.8961242206734248</v>
      </c>
    </row>
    <row r="94" spans="1:9">
      <c r="A94" s="111" t="s">
        <v>495</v>
      </c>
      <c r="B94" s="111" t="s">
        <v>516</v>
      </c>
      <c r="C94" s="115">
        <v>1981</v>
      </c>
      <c r="D94" s="115">
        <v>5</v>
      </c>
      <c r="E94" s="117">
        <v>82.9</v>
      </c>
      <c r="F94" s="115">
        <v>2025</v>
      </c>
      <c r="G94" s="115">
        <v>5</v>
      </c>
      <c r="H94" s="117">
        <v>417.149</v>
      </c>
      <c r="I94" s="112">
        <v>3.7405535035059061</v>
      </c>
    </row>
    <row r="95" spans="1:9">
      <c r="A95" s="111" t="s">
        <v>495</v>
      </c>
      <c r="B95" s="111" t="s">
        <v>516</v>
      </c>
      <c r="C95" s="115">
        <v>1982</v>
      </c>
      <c r="D95" s="115">
        <v>5</v>
      </c>
      <c r="E95" s="117">
        <v>91.6</v>
      </c>
      <c r="F95" s="115">
        <v>2025</v>
      </c>
      <c r="G95" s="115">
        <v>5</v>
      </c>
      <c r="H95" s="117">
        <v>417.149</v>
      </c>
      <c r="I95" s="112">
        <v>3.5884962573357049</v>
      </c>
    </row>
    <row r="96" spans="1:9">
      <c r="A96" s="111" t="s">
        <v>495</v>
      </c>
      <c r="B96" s="111" t="s">
        <v>516</v>
      </c>
      <c r="C96" s="115">
        <v>1983</v>
      </c>
      <c r="D96" s="115">
        <v>5</v>
      </c>
      <c r="E96" s="117">
        <v>99.8</v>
      </c>
      <c r="F96" s="115">
        <v>2025</v>
      </c>
      <c r="G96" s="115">
        <v>5</v>
      </c>
      <c r="H96" s="117">
        <v>417.149</v>
      </c>
      <c r="I96" s="112">
        <v>3.4640655360023591</v>
      </c>
    </row>
    <row r="97" spans="1:9">
      <c r="A97" s="111" t="s">
        <v>495</v>
      </c>
      <c r="B97" s="111" t="s">
        <v>516</v>
      </c>
      <c r="C97" s="115">
        <v>1984</v>
      </c>
      <c r="D97" s="115">
        <v>5</v>
      </c>
      <c r="E97" s="117">
        <v>107.1</v>
      </c>
      <c r="F97" s="115">
        <v>2025</v>
      </c>
      <c r="G97" s="115">
        <v>5</v>
      </c>
      <c r="H97" s="117">
        <v>417.149</v>
      </c>
      <c r="I97" s="112">
        <v>3.371895854417839</v>
      </c>
    </row>
    <row r="98" spans="1:9">
      <c r="A98" s="111" t="s">
        <v>495</v>
      </c>
      <c r="B98" s="111" t="s">
        <v>516</v>
      </c>
      <c r="C98" s="115">
        <v>1985</v>
      </c>
      <c r="D98" s="115">
        <v>5</v>
      </c>
      <c r="E98" s="117">
        <v>114.5</v>
      </c>
      <c r="F98" s="115">
        <v>2025</v>
      </c>
      <c r="G98" s="115">
        <v>5</v>
      </c>
      <c r="H98" s="117">
        <v>417.149</v>
      </c>
      <c r="I98" s="112">
        <v>3.2849736381769912</v>
      </c>
    </row>
    <row r="99" spans="1:9">
      <c r="A99" s="111" t="s">
        <v>495</v>
      </c>
      <c r="B99" s="111" t="s">
        <v>516</v>
      </c>
      <c r="C99" s="115">
        <v>1986</v>
      </c>
      <c r="D99" s="115">
        <v>5</v>
      </c>
      <c r="E99" s="117">
        <v>122.2</v>
      </c>
      <c r="F99" s="115">
        <v>2025</v>
      </c>
      <c r="G99" s="115">
        <v>5</v>
      </c>
      <c r="H99" s="117">
        <v>417.149</v>
      </c>
      <c r="I99" s="112">
        <v>3.1982440539013219</v>
      </c>
    </row>
    <row r="100" spans="1:9">
      <c r="A100" s="111" t="s">
        <v>495</v>
      </c>
      <c r="B100" s="111" t="s">
        <v>516</v>
      </c>
      <c r="C100" s="115">
        <v>1987</v>
      </c>
      <c r="D100" s="115">
        <v>5</v>
      </c>
      <c r="E100" s="117">
        <v>129.9</v>
      </c>
      <c r="F100" s="115">
        <v>2025</v>
      </c>
      <c r="G100" s="115">
        <v>5</v>
      </c>
      <c r="H100" s="117">
        <v>417.149</v>
      </c>
      <c r="I100" s="112">
        <v>3.1178236157242578</v>
      </c>
    </row>
    <row r="101" spans="1:9">
      <c r="A101" s="111" t="s">
        <v>495</v>
      </c>
      <c r="B101" s="111" t="s">
        <v>516</v>
      </c>
      <c r="C101" s="115">
        <v>1988</v>
      </c>
      <c r="D101" s="115">
        <v>5</v>
      </c>
      <c r="E101" s="117">
        <v>139</v>
      </c>
      <c r="F101" s="115">
        <v>2025</v>
      </c>
      <c r="G101" s="115">
        <v>5</v>
      </c>
      <c r="H101" s="117">
        <v>417.149</v>
      </c>
      <c r="I101" s="112">
        <v>3.0147380049593941</v>
      </c>
    </row>
    <row r="102" spans="1:9">
      <c r="A102" s="111" t="s">
        <v>495</v>
      </c>
      <c r="B102" s="111" t="s">
        <v>516</v>
      </c>
      <c r="C102" s="115">
        <v>1989</v>
      </c>
      <c r="D102" s="115">
        <v>5</v>
      </c>
      <c r="E102" s="117">
        <v>150</v>
      </c>
      <c r="F102" s="115">
        <v>2025</v>
      </c>
      <c r="G102" s="115">
        <v>5</v>
      </c>
      <c r="H102" s="117">
        <v>417.149</v>
      </c>
      <c r="I102" s="112">
        <v>2.881878994576148</v>
      </c>
    </row>
    <row r="103" spans="1:9">
      <c r="A103" s="111" t="s">
        <v>495</v>
      </c>
      <c r="B103" s="111" t="s">
        <v>516</v>
      </c>
      <c r="C103" s="115">
        <v>1990</v>
      </c>
      <c r="D103" s="115">
        <v>5</v>
      </c>
      <c r="E103" s="117">
        <v>162.19999999999999</v>
      </c>
      <c r="F103" s="115">
        <v>2025</v>
      </c>
      <c r="G103" s="115">
        <v>5</v>
      </c>
      <c r="H103" s="117">
        <v>417.149</v>
      </c>
      <c r="I103" s="112">
        <v>2.7356452773286581</v>
      </c>
    </row>
    <row r="104" spans="1:9">
      <c r="A104" s="111" t="s">
        <v>495</v>
      </c>
      <c r="B104" s="111" t="s">
        <v>516</v>
      </c>
      <c r="C104" s="115">
        <v>1991</v>
      </c>
      <c r="D104" s="115">
        <v>5</v>
      </c>
      <c r="E104" s="117">
        <v>175.4</v>
      </c>
      <c r="F104" s="115">
        <v>2025</v>
      </c>
      <c r="G104" s="115">
        <v>5</v>
      </c>
      <c r="H104" s="117">
        <v>417.149</v>
      </c>
      <c r="I104" s="112">
        <v>2.5809030974922602</v>
      </c>
    </row>
    <row r="105" spans="1:9">
      <c r="A105" s="111" t="s">
        <v>495</v>
      </c>
      <c r="B105" s="111" t="s">
        <v>516</v>
      </c>
      <c r="C105" s="115">
        <v>1992</v>
      </c>
      <c r="D105" s="115">
        <v>5</v>
      </c>
      <c r="E105" s="117">
        <v>187.6</v>
      </c>
      <c r="F105" s="115">
        <v>2025</v>
      </c>
      <c r="G105" s="115">
        <v>5</v>
      </c>
      <c r="H105" s="117">
        <v>417.149</v>
      </c>
      <c r="I105" s="112">
        <v>2.4511695155194251</v>
      </c>
    </row>
    <row r="106" spans="1:9">
      <c r="A106" s="111" t="s">
        <v>495</v>
      </c>
      <c r="B106" s="111" t="s">
        <v>516</v>
      </c>
      <c r="C106" s="115">
        <v>1993</v>
      </c>
      <c r="D106" s="115">
        <v>5</v>
      </c>
      <c r="E106" s="117">
        <v>194.2</v>
      </c>
      <c r="F106" s="115">
        <v>2025</v>
      </c>
      <c r="G106" s="115">
        <v>5</v>
      </c>
      <c r="H106" s="117">
        <v>417.149</v>
      </c>
      <c r="I106" s="112">
        <v>2.4180049891697091</v>
      </c>
    </row>
    <row r="107" spans="1:9">
      <c r="A107" s="111" t="s">
        <v>495</v>
      </c>
      <c r="B107" s="111" t="s">
        <v>516</v>
      </c>
      <c r="C107" s="115">
        <v>1994</v>
      </c>
      <c r="D107" s="115">
        <v>5</v>
      </c>
      <c r="E107" s="117">
        <v>200.1</v>
      </c>
      <c r="F107" s="115">
        <v>2025</v>
      </c>
      <c r="G107" s="115">
        <v>5</v>
      </c>
      <c r="H107" s="117">
        <v>417.149</v>
      </c>
      <c r="I107" s="112">
        <v>2.3980640154917849</v>
      </c>
    </row>
    <row r="108" spans="1:9">
      <c r="A108" s="111" t="s">
        <v>495</v>
      </c>
      <c r="B108" s="111" t="s">
        <v>516</v>
      </c>
      <c r="C108" s="115">
        <v>1995</v>
      </c>
      <c r="D108" s="115">
        <v>5</v>
      </c>
      <c r="E108" s="117">
        <v>203.4</v>
      </c>
      <c r="F108" s="115">
        <v>2025</v>
      </c>
      <c r="G108" s="115">
        <v>5</v>
      </c>
      <c r="H108" s="117">
        <v>417.149</v>
      </c>
      <c r="I108" s="112">
        <v>2.4231217652097792</v>
      </c>
    </row>
    <row r="109" spans="1:9">
      <c r="A109" s="111" t="s">
        <v>495</v>
      </c>
      <c r="B109" s="111" t="s">
        <v>516</v>
      </c>
      <c r="C109" s="115">
        <v>1996</v>
      </c>
      <c r="D109" s="115">
        <v>5</v>
      </c>
      <c r="E109" s="117">
        <v>209.7</v>
      </c>
      <c r="F109" s="115">
        <v>2025</v>
      </c>
      <c r="G109" s="115">
        <v>5</v>
      </c>
      <c r="H109" s="117">
        <v>417.149</v>
      </c>
      <c r="I109" s="112">
        <v>2.3999514917753868</v>
      </c>
    </row>
    <row r="110" spans="1:9">
      <c r="A110" s="111" t="s">
        <v>495</v>
      </c>
      <c r="B110" s="111" t="s">
        <v>516</v>
      </c>
      <c r="C110" s="115">
        <v>1997</v>
      </c>
      <c r="D110" s="115">
        <v>5</v>
      </c>
      <c r="E110" s="117">
        <v>215.6</v>
      </c>
      <c r="F110" s="115">
        <v>2025</v>
      </c>
      <c r="G110" s="115">
        <v>5</v>
      </c>
      <c r="H110" s="117">
        <v>417.149</v>
      </c>
      <c r="I110" s="112">
        <v>2.3852111719972808</v>
      </c>
    </row>
    <row r="111" spans="1:9">
      <c r="A111" s="111" t="s">
        <v>495</v>
      </c>
      <c r="B111" s="111" t="s">
        <v>516</v>
      </c>
      <c r="C111" s="115">
        <v>1998</v>
      </c>
      <c r="D111" s="115">
        <v>5</v>
      </c>
      <c r="E111" s="117">
        <v>221.5</v>
      </c>
      <c r="F111" s="115">
        <v>2025</v>
      </c>
      <c r="G111" s="115">
        <v>5</v>
      </c>
      <c r="H111" s="117">
        <v>417.149</v>
      </c>
      <c r="I111" s="112">
        <v>2.3722217532577079</v>
      </c>
    </row>
    <row r="112" spans="1:9">
      <c r="A112" s="111" t="s">
        <v>495</v>
      </c>
      <c r="B112" s="111" t="s">
        <v>516</v>
      </c>
      <c r="C112" s="115">
        <v>1999</v>
      </c>
      <c r="D112" s="115">
        <v>5</v>
      </c>
      <c r="E112" s="117">
        <v>229.4</v>
      </c>
      <c r="F112" s="115">
        <v>2025</v>
      </c>
      <c r="G112" s="115">
        <v>5</v>
      </c>
      <c r="H112" s="117">
        <v>417.149</v>
      </c>
      <c r="I112" s="112">
        <v>2.3265605519026571</v>
      </c>
    </row>
    <row r="113" spans="1:9">
      <c r="A113" s="111" t="s">
        <v>495</v>
      </c>
      <c r="B113" s="111" t="s">
        <v>516</v>
      </c>
      <c r="C113" s="115">
        <v>2000</v>
      </c>
      <c r="D113" s="115">
        <v>5</v>
      </c>
      <c r="E113" s="117">
        <v>237.5</v>
      </c>
      <c r="F113" s="115">
        <v>2025</v>
      </c>
      <c r="G113" s="115">
        <v>5</v>
      </c>
      <c r="H113" s="117">
        <v>417.149</v>
      </c>
      <c r="I113" s="112">
        <v>2.2786774781515811</v>
      </c>
    </row>
    <row r="114" spans="1:9">
      <c r="A114" s="111" t="s">
        <v>495</v>
      </c>
      <c r="B114" s="111" t="s">
        <v>516</v>
      </c>
      <c r="C114" s="115">
        <v>2001</v>
      </c>
      <c r="D114" s="115">
        <v>5</v>
      </c>
      <c r="E114" s="117">
        <v>246.6</v>
      </c>
      <c r="F114" s="115">
        <v>2025</v>
      </c>
      <c r="G114" s="115">
        <v>5</v>
      </c>
      <c r="H114" s="117">
        <v>417.149</v>
      </c>
      <c r="I114" s="112">
        <v>2.2144796938507572</v>
      </c>
    </row>
    <row r="115" spans="1:9">
      <c r="A115" s="111" t="s">
        <v>495</v>
      </c>
      <c r="B115" s="111" t="s">
        <v>516</v>
      </c>
      <c r="C115" s="115">
        <v>2002</v>
      </c>
      <c r="D115" s="115">
        <v>5</v>
      </c>
      <c r="E115" s="117">
        <v>255.4</v>
      </c>
      <c r="F115" s="115">
        <v>2025</v>
      </c>
      <c r="G115" s="115">
        <v>5</v>
      </c>
      <c r="H115" s="117">
        <v>417.149</v>
      </c>
      <c r="I115" s="112">
        <v>2.156011114508916</v>
      </c>
    </row>
    <row r="116" spans="1:9">
      <c r="A116" s="111" t="s">
        <v>495</v>
      </c>
      <c r="B116" s="111" t="s">
        <v>516</v>
      </c>
      <c r="C116" s="115">
        <v>2003</v>
      </c>
      <c r="D116" s="115">
        <v>5</v>
      </c>
      <c r="E116" s="117">
        <v>261.8</v>
      </c>
      <c r="F116" s="115">
        <v>2025</v>
      </c>
      <c r="G116" s="115">
        <v>5</v>
      </c>
      <c r="H116" s="117">
        <v>417.149</v>
      </c>
      <c r="I116" s="112">
        <v>2.140136698506967</v>
      </c>
    </row>
    <row r="117" spans="1:9">
      <c r="A117" s="111" t="s">
        <v>495</v>
      </c>
      <c r="B117" s="111" t="s">
        <v>516</v>
      </c>
      <c r="C117" s="115">
        <v>2004</v>
      </c>
      <c r="D117" s="115">
        <v>5</v>
      </c>
      <c r="E117" s="117">
        <v>269.10000000000002</v>
      </c>
      <c r="F117" s="115">
        <v>2025</v>
      </c>
      <c r="G117" s="115">
        <v>5</v>
      </c>
      <c r="H117" s="117">
        <v>417.149</v>
      </c>
      <c r="I117" s="112">
        <v>2.1093697655399262</v>
      </c>
    </row>
    <row r="118" spans="1:9">
      <c r="A118" s="111" t="s">
        <v>495</v>
      </c>
      <c r="B118" s="111" t="s">
        <v>516</v>
      </c>
      <c r="C118" s="115">
        <v>2005</v>
      </c>
      <c r="D118" s="115">
        <v>5</v>
      </c>
      <c r="E118" s="117">
        <v>274.60000000000002</v>
      </c>
      <c r="F118" s="115">
        <v>2025</v>
      </c>
      <c r="G118" s="115">
        <v>5</v>
      </c>
      <c r="H118" s="117">
        <v>417.149</v>
      </c>
      <c r="I118" s="112">
        <v>2.112646864400181</v>
      </c>
    </row>
    <row r="119" spans="1:9">
      <c r="A119" s="111" t="s">
        <v>495</v>
      </c>
      <c r="B119" s="111" t="s">
        <v>516</v>
      </c>
      <c r="C119" s="115">
        <v>2006</v>
      </c>
      <c r="D119" s="115">
        <v>5</v>
      </c>
      <c r="E119" s="117">
        <v>286.3</v>
      </c>
      <c r="F119" s="115">
        <v>2025</v>
      </c>
      <c r="G119" s="115">
        <v>5</v>
      </c>
      <c r="H119" s="117">
        <v>417.149</v>
      </c>
      <c r="I119" s="112">
        <v>2.000823204492352</v>
      </c>
    </row>
    <row r="120" spans="1:9">
      <c r="A120" s="111" t="s">
        <v>495</v>
      </c>
      <c r="B120" s="111" t="s">
        <v>516</v>
      </c>
      <c r="C120" s="115">
        <v>2007</v>
      </c>
      <c r="D120" s="115">
        <v>5</v>
      </c>
      <c r="E120" s="117">
        <v>288.661</v>
      </c>
      <c r="F120" s="115">
        <v>2025</v>
      </c>
      <c r="G120" s="115">
        <v>5</v>
      </c>
      <c r="H120" s="117">
        <v>417.149</v>
      </c>
      <c r="I120" s="112">
        <v>2.0665664638797709</v>
      </c>
    </row>
    <row r="121" spans="1:9">
      <c r="A121" s="111" t="s">
        <v>495</v>
      </c>
      <c r="B121" s="111" t="s">
        <v>516</v>
      </c>
      <c r="C121" s="115">
        <v>2008</v>
      </c>
      <c r="D121" s="115">
        <v>5</v>
      </c>
      <c r="E121" s="117">
        <v>294.89600000000002</v>
      </c>
      <c r="F121" s="115">
        <v>2025</v>
      </c>
      <c r="G121" s="115">
        <v>5</v>
      </c>
      <c r="H121" s="117">
        <v>417.149</v>
      </c>
      <c r="I121" s="112">
        <v>2.0610746152404991</v>
      </c>
    </row>
    <row r="122" spans="1:9">
      <c r="A122" s="111" t="s">
        <v>495</v>
      </c>
      <c r="B122" s="111" t="s">
        <v>516</v>
      </c>
      <c r="C122" s="115">
        <v>2009</v>
      </c>
      <c r="D122" s="115">
        <v>5</v>
      </c>
      <c r="E122" s="117">
        <v>304.697</v>
      </c>
      <c r="F122" s="115">
        <v>2025</v>
      </c>
      <c r="G122" s="115">
        <v>5</v>
      </c>
      <c r="H122" s="117">
        <v>417.149</v>
      </c>
      <c r="I122" s="112">
        <v>1.982684389283796</v>
      </c>
    </row>
    <row r="123" spans="1:9">
      <c r="A123" s="111" t="s">
        <v>495</v>
      </c>
      <c r="B123" s="111" t="s">
        <v>516</v>
      </c>
      <c r="C123" s="115">
        <v>2010</v>
      </c>
      <c r="D123" s="115">
        <v>5</v>
      </c>
      <c r="E123" s="117">
        <v>314.923</v>
      </c>
      <c r="F123" s="115">
        <v>2025</v>
      </c>
      <c r="G123" s="115">
        <v>5</v>
      </c>
      <c r="H123" s="117">
        <v>417.149</v>
      </c>
      <c r="I123" s="112">
        <v>1.8917735647713709</v>
      </c>
    </row>
    <row r="124" spans="1:9">
      <c r="A124" s="111" t="s">
        <v>495</v>
      </c>
      <c r="B124" s="111" t="s">
        <v>516</v>
      </c>
      <c r="C124" s="115">
        <v>2011</v>
      </c>
      <c r="D124" s="115">
        <v>5</v>
      </c>
      <c r="E124" s="117">
        <v>324.399</v>
      </c>
      <c r="F124" s="115">
        <v>2025</v>
      </c>
      <c r="G124" s="115">
        <v>5</v>
      </c>
      <c r="H124" s="117">
        <v>417.149</v>
      </c>
      <c r="I124" s="112">
        <v>1.81243765633552</v>
      </c>
    </row>
    <row r="125" spans="1:9">
      <c r="A125" s="111" t="s">
        <v>495</v>
      </c>
      <c r="B125" s="111" t="s">
        <v>516</v>
      </c>
      <c r="C125" s="115">
        <v>2012</v>
      </c>
      <c r="D125" s="115">
        <v>5</v>
      </c>
      <c r="E125" s="117">
        <v>333.13099999999997</v>
      </c>
      <c r="F125" s="115">
        <v>2025</v>
      </c>
      <c r="G125" s="115">
        <v>5</v>
      </c>
      <c r="H125" s="117">
        <v>417.149</v>
      </c>
      <c r="I125" s="112">
        <v>1.7451111689663179</v>
      </c>
    </row>
    <row r="126" spans="1:9">
      <c r="A126" s="111" t="s">
        <v>495</v>
      </c>
      <c r="B126" s="111" t="s">
        <v>516</v>
      </c>
      <c r="C126" s="115">
        <v>2013</v>
      </c>
      <c r="D126" s="115">
        <v>5</v>
      </c>
      <c r="E126" s="117">
        <v>333.06400000000002</v>
      </c>
      <c r="F126" s="115">
        <v>2025</v>
      </c>
      <c r="G126" s="115">
        <v>5</v>
      </c>
      <c r="H126" s="117">
        <v>417.149</v>
      </c>
      <c r="I126" s="112">
        <v>1.8936124079276251</v>
      </c>
    </row>
    <row r="127" spans="1:9">
      <c r="A127" s="111" t="s">
        <v>495</v>
      </c>
      <c r="B127" s="111" t="s">
        <v>516</v>
      </c>
      <c r="C127" s="115">
        <v>2014</v>
      </c>
      <c r="D127" s="115">
        <v>5</v>
      </c>
      <c r="E127" s="117">
        <v>341.43200000000002</v>
      </c>
      <c r="F127" s="115">
        <v>2025</v>
      </c>
      <c r="G127" s="115">
        <v>5</v>
      </c>
      <c r="H127" s="117">
        <v>417.149</v>
      </c>
      <c r="I127" s="112">
        <v>1.8375418305004889</v>
      </c>
    </row>
    <row r="128" spans="1:9">
      <c r="A128" s="111" t="s">
        <v>495</v>
      </c>
      <c r="B128" s="111" t="s">
        <v>516</v>
      </c>
      <c r="C128" s="115">
        <v>2015</v>
      </c>
      <c r="D128" s="115">
        <v>5</v>
      </c>
      <c r="E128" s="117">
        <v>354.64699999999999</v>
      </c>
      <c r="F128" s="115">
        <v>2025</v>
      </c>
      <c r="G128" s="115">
        <v>5</v>
      </c>
      <c r="H128" s="117">
        <v>417.149</v>
      </c>
      <c r="I128" s="112">
        <v>1.6364509854562841</v>
      </c>
    </row>
    <row r="129" spans="1:9">
      <c r="A129" s="111" t="s">
        <v>495</v>
      </c>
      <c r="B129" s="111" t="s">
        <v>516</v>
      </c>
      <c r="C129" s="115">
        <v>2016</v>
      </c>
      <c r="D129" s="115">
        <v>5</v>
      </c>
      <c r="E129" s="117">
        <v>361.86599999999999</v>
      </c>
      <c r="F129" s="115">
        <v>2025</v>
      </c>
      <c r="G129" s="115">
        <v>5</v>
      </c>
      <c r="H129" s="117">
        <v>417.149</v>
      </c>
      <c r="I129" s="112">
        <v>1.592203652504343</v>
      </c>
    </row>
    <row r="130" spans="1:9">
      <c r="A130" s="111" t="s">
        <v>495</v>
      </c>
      <c r="B130" s="111" t="s">
        <v>516</v>
      </c>
      <c r="C130" s="115">
        <v>2017</v>
      </c>
      <c r="D130" s="115">
        <v>5</v>
      </c>
      <c r="E130" s="117">
        <v>373.63099999999997</v>
      </c>
      <c r="F130" s="115">
        <v>2025</v>
      </c>
      <c r="G130" s="115">
        <v>5</v>
      </c>
      <c r="H130" s="117">
        <v>417.149</v>
      </c>
      <c r="I130" s="112">
        <v>1.386711784971562</v>
      </c>
    </row>
    <row r="131" spans="1:9">
      <c r="A131" s="111" t="s">
        <v>495</v>
      </c>
      <c r="B131" s="111" t="s">
        <v>516</v>
      </c>
      <c r="C131" s="115">
        <v>2018</v>
      </c>
      <c r="D131" s="115">
        <v>5</v>
      </c>
      <c r="E131" s="117">
        <v>383.73399999999998</v>
      </c>
      <c r="F131" s="115">
        <v>2025</v>
      </c>
      <c r="G131" s="115">
        <v>5</v>
      </c>
      <c r="H131" s="117">
        <v>417.149</v>
      </c>
      <c r="I131" s="112">
        <v>1.1999114044691119</v>
      </c>
    </row>
    <row r="132" spans="1:9">
      <c r="A132" s="111" t="s">
        <v>495</v>
      </c>
      <c r="B132" s="111" t="s">
        <v>516</v>
      </c>
      <c r="C132" s="115">
        <v>2019</v>
      </c>
      <c r="D132" s="115">
        <v>5</v>
      </c>
      <c r="E132" s="117">
        <v>381.06599999999997</v>
      </c>
      <c r="F132" s="115">
        <v>2025</v>
      </c>
      <c r="G132" s="115">
        <v>5</v>
      </c>
      <c r="H132" s="117">
        <v>417.149</v>
      </c>
      <c r="I132" s="112">
        <v>1.5192734433651101</v>
      </c>
    </row>
    <row r="133" spans="1:9">
      <c r="A133" s="111" t="s">
        <v>495</v>
      </c>
      <c r="B133" s="111" t="s">
        <v>516</v>
      </c>
      <c r="C133" s="115">
        <v>2020</v>
      </c>
      <c r="D133" s="115">
        <v>5</v>
      </c>
      <c r="E133" s="117">
        <v>384.30399999999997</v>
      </c>
      <c r="F133" s="115">
        <v>2025</v>
      </c>
      <c r="G133" s="115">
        <v>5</v>
      </c>
      <c r="H133" s="117">
        <v>417.149</v>
      </c>
      <c r="I133" s="112">
        <v>1.6537163033548909</v>
      </c>
    </row>
    <row r="134" spans="1:9">
      <c r="A134" s="111" t="s">
        <v>495</v>
      </c>
      <c r="B134" s="111" t="s">
        <v>516</v>
      </c>
      <c r="C134" s="115">
        <v>2021</v>
      </c>
      <c r="D134" s="115">
        <v>5</v>
      </c>
      <c r="E134" s="117">
        <v>377.19099999999997</v>
      </c>
      <c r="F134" s="115">
        <v>2025</v>
      </c>
      <c r="G134" s="115">
        <v>5</v>
      </c>
      <c r="H134" s="117">
        <v>417.149</v>
      </c>
      <c r="I134" s="112">
        <v>2.54924594112016</v>
      </c>
    </row>
    <row r="135" spans="1:9">
      <c r="A135" s="111" t="s">
        <v>495</v>
      </c>
      <c r="B135" s="111" t="s">
        <v>516</v>
      </c>
      <c r="C135" s="115">
        <v>2022</v>
      </c>
      <c r="D135" s="115">
        <v>5</v>
      </c>
      <c r="E135" s="117">
        <v>386.27300000000002</v>
      </c>
      <c r="F135" s="115">
        <v>2025</v>
      </c>
      <c r="G135" s="115">
        <v>5</v>
      </c>
      <c r="H135" s="117">
        <v>417.149</v>
      </c>
      <c r="I135" s="112">
        <v>2.596438423051084</v>
      </c>
    </row>
    <row r="136" spans="1:9">
      <c r="A136" s="111" t="s">
        <v>495</v>
      </c>
      <c r="B136" s="111" t="s">
        <v>516</v>
      </c>
      <c r="C136" s="115">
        <v>2023</v>
      </c>
      <c r="D136" s="115">
        <v>5</v>
      </c>
      <c r="E136" s="117">
        <v>403.358</v>
      </c>
      <c r="F136" s="115">
        <v>2025</v>
      </c>
      <c r="G136" s="115">
        <v>5</v>
      </c>
      <c r="H136" s="117">
        <v>417.149</v>
      </c>
      <c r="I136" s="112">
        <v>1.69515578413697</v>
      </c>
    </row>
    <row r="137" spans="1:9">
      <c r="A137" s="111" t="s">
        <v>495</v>
      </c>
      <c r="B137" s="111" t="s">
        <v>516</v>
      </c>
      <c r="C137" s="115">
        <v>2024</v>
      </c>
      <c r="D137" s="115">
        <v>5</v>
      </c>
      <c r="E137" s="117">
        <v>416.00099999999998</v>
      </c>
      <c r="F137" s="115">
        <v>2025</v>
      </c>
      <c r="G137" s="115">
        <v>5</v>
      </c>
      <c r="H137" s="117">
        <v>417.149</v>
      </c>
      <c r="I137" s="112">
        <v>0.2759608750940501</v>
      </c>
    </row>
    <row r="138" spans="1:9">
      <c r="A138" s="111" t="s">
        <v>496</v>
      </c>
      <c r="B138" s="111" t="s">
        <v>517</v>
      </c>
      <c r="C138" s="115">
        <v>1956</v>
      </c>
      <c r="D138" s="115">
        <v>5</v>
      </c>
      <c r="E138" s="117">
        <v>16.2</v>
      </c>
      <c r="F138" s="115">
        <v>2025</v>
      </c>
      <c r="G138" s="115">
        <v>5</v>
      </c>
      <c r="H138" s="117">
        <v>630.16200000000003</v>
      </c>
      <c r="I138" s="112">
        <v>5.4490248859191848</v>
      </c>
    </row>
    <row r="139" spans="1:9">
      <c r="A139" s="111" t="s">
        <v>496</v>
      </c>
      <c r="B139" s="111" t="s">
        <v>517</v>
      </c>
      <c r="C139" s="115">
        <v>1957</v>
      </c>
      <c r="D139" s="115">
        <v>5</v>
      </c>
      <c r="E139" s="117">
        <v>16.899999999999999</v>
      </c>
      <c r="F139" s="115">
        <v>2025</v>
      </c>
      <c r="G139" s="115">
        <v>5</v>
      </c>
      <c r="H139" s="117">
        <v>630.16200000000003</v>
      </c>
      <c r="I139" s="112">
        <v>5.4657043546047834</v>
      </c>
    </row>
    <row r="140" spans="1:9">
      <c r="A140" s="111" t="s">
        <v>496</v>
      </c>
      <c r="B140" s="111" t="s">
        <v>517</v>
      </c>
      <c r="C140" s="115">
        <v>1958</v>
      </c>
      <c r="D140" s="115">
        <v>5</v>
      </c>
      <c r="E140" s="117">
        <v>17.8</v>
      </c>
      <c r="F140" s="115">
        <v>2025</v>
      </c>
      <c r="G140" s="115">
        <v>5</v>
      </c>
      <c r="H140" s="117">
        <v>630.16200000000003</v>
      </c>
      <c r="I140" s="112">
        <v>5.4677992100036432</v>
      </c>
    </row>
    <row r="141" spans="1:9">
      <c r="A141" s="111" t="s">
        <v>496</v>
      </c>
      <c r="B141" s="111" t="s">
        <v>517</v>
      </c>
      <c r="C141" s="115">
        <v>1959</v>
      </c>
      <c r="D141" s="115">
        <v>5</v>
      </c>
      <c r="E141" s="117">
        <v>18.7</v>
      </c>
      <c r="F141" s="115">
        <v>2025</v>
      </c>
      <c r="G141" s="115">
        <v>5</v>
      </c>
      <c r="H141" s="117">
        <v>630.16200000000003</v>
      </c>
      <c r="I141" s="112">
        <v>5.474048255192665</v>
      </c>
    </row>
    <row r="142" spans="1:9">
      <c r="A142" s="111" t="s">
        <v>496</v>
      </c>
      <c r="B142" s="111" t="s">
        <v>517</v>
      </c>
      <c r="C142" s="115">
        <v>1960</v>
      </c>
      <c r="D142" s="115">
        <v>5</v>
      </c>
      <c r="E142" s="117">
        <v>19.399999999999999</v>
      </c>
      <c r="F142" s="115">
        <v>2025</v>
      </c>
      <c r="G142" s="115">
        <v>5</v>
      </c>
      <c r="H142" s="117">
        <v>630.16200000000003</v>
      </c>
      <c r="I142" s="112">
        <v>5.5008992092162812</v>
      </c>
    </row>
    <row r="143" spans="1:9">
      <c r="A143" s="111" t="s">
        <v>496</v>
      </c>
      <c r="B143" s="111" t="s">
        <v>517</v>
      </c>
      <c r="C143" s="115">
        <v>1961</v>
      </c>
      <c r="D143" s="115">
        <v>5</v>
      </c>
      <c r="E143" s="117">
        <v>20.100000000000001</v>
      </c>
      <c r="F143" s="115">
        <v>2025</v>
      </c>
      <c r="G143" s="115">
        <v>5</v>
      </c>
      <c r="H143" s="117">
        <v>630.16200000000003</v>
      </c>
      <c r="I143" s="112">
        <v>5.5307445920461662</v>
      </c>
    </row>
    <row r="144" spans="1:9">
      <c r="A144" s="111" t="s">
        <v>496</v>
      </c>
      <c r="B144" s="111" t="s">
        <v>517</v>
      </c>
      <c r="C144" s="115">
        <v>1962</v>
      </c>
      <c r="D144" s="115">
        <v>5</v>
      </c>
      <c r="E144" s="117">
        <v>20.8</v>
      </c>
      <c r="F144" s="115">
        <v>2025</v>
      </c>
      <c r="G144" s="115">
        <v>5</v>
      </c>
      <c r="H144" s="117">
        <v>630.16200000000003</v>
      </c>
      <c r="I144" s="112">
        <v>5.563579762351778</v>
      </c>
    </row>
    <row r="145" spans="1:9">
      <c r="A145" s="111" t="s">
        <v>496</v>
      </c>
      <c r="B145" s="111" t="s">
        <v>517</v>
      </c>
      <c r="C145" s="115">
        <v>1963</v>
      </c>
      <c r="D145" s="115">
        <v>5</v>
      </c>
      <c r="E145" s="117">
        <v>21.4</v>
      </c>
      <c r="F145" s="115">
        <v>2025</v>
      </c>
      <c r="G145" s="115">
        <v>5</v>
      </c>
      <c r="H145" s="117">
        <v>630.16200000000003</v>
      </c>
      <c r="I145" s="112">
        <v>5.6073556701094374</v>
      </c>
    </row>
    <row r="146" spans="1:9">
      <c r="A146" s="111" t="s">
        <v>496</v>
      </c>
      <c r="B146" s="111" t="s">
        <v>517</v>
      </c>
      <c r="C146" s="115">
        <v>1964</v>
      </c>
      <c r="D146" s="115">
        <v>5</v>
      </c>
      <c r="E146" s="117">
        <v>22</v>
      </c>
      <c r="F146" s="115">
        <v>2025</v>
      </c>
      <c r="G146" s="115">
        <v>5</v>
      </c>
      <c r="H146" s="117">
        <v>630.16200000000003</v>
      </c>
      <c r="I146" s="112">
        <v>5.6539479775315824</v>
      </c>
    </row>
    <row r="147" spans="1:9">
      <c r="A147" s="111" t="s">
        <v>496</v>
      </c>
      <c r="B147" s="111" t="s">
        <v>517</v>
      </c>
      <c r="C147" s="115">
        <v>1965</v>
      </c>
      <c r="D147" s="115">
        <v>5</v>
      </c>
      <c r="E147" s="117">
        <v>22.6</v>
      </c>
      <c r="F147" s="115">
        <v>2025</v>
      </c>
      <c r="G147" s="115">
        <v>5</v>
      </c>
      <c r="H147" s="117">
        <v>630.16200000000003</v>
      </c>
      <c r="I147" s="112">
        <v>5.7034258094675438</v>
      </c>
    </row>
    <row r="148" spans="1:9">
      <c r="A148" s="111" t="s">
        <v>496</v>
      </c>
      <c r="B148" s="111" t="s">
        <v>517</v>
      </c>
      <c r="C148" s="115">
        <v>1966</v>
      </c>
      <c r="D148" s="115">
        <v>5</v>
      </c>
      <c r="E148" s="117">
        <v>23.6</v>
      </c>
      <c r="F148" s="115">
        <v>2025</v>
      </c>
      <c r="G148" s="115">
        <v>5</v>
      </c>
      <c r="H148" s="117">
        <v>630.16200000000003</v>
      </c>
      <c r="I148" s="112">
        <v>5.7252321872252709</v>
      </c>
    </row>
    <row r="149" spans="1:9">
      <c r="A149" s="111" t="s">
        <v>496</v>
      </c>
      <c r="B149" s="111" t="s">
        <v>517</v>
      </c>
      <c r="C149" s="115">
        <v>1967</v>
      </c>
      <c r="D149" s="115">
        <v>5</v>
      </c>
      <c r="E149" s="117">
        <v>25.8</v>
      </c>
      <c r="F149" s="115">
        <v>2025</v>
      </c>
      <c r="G149" s="115">
        <v>5</v>
      </c>
      <c r="H149" s="117">
        <v>630.16200000000003</v>
      </c>
      <c r="I149" s="112">
        <v>5.6642674820220229</v>
      </c>
    </row>
    <row r="150" spans="1:9">
      <c r="A150" s="111" t="s">
        <v>496</v>
      </c>
      <c r="B150" s="111" t="s">
        <v>517</v>
      </c>
      <c r="C150" s="115">
        <v>1968</v>
      </c>
      <c r="D150" s="115">
        <v>5</v>
      </c>
      <c r="E150" s="117">
        <v>27.7</v>
      </c>
      <c r="F150" s="115">
        <v>2025</v>
      </c>
      <c r="G150" s="115">
        <v>5</v>
      </c>
      <c r="H150" s="117">
        <v>630.16200000000003</v>
      </c>
      <c r="I150" s="112">
        <v>5.6346831685667684</v>
      </c>
    </row>
    <row r="151" spans="1:9">
      <c r="A151" s="111" t="s">
        <v>496</v>
      </c>
      <c r="B151" s="111" t="s">
        <v>517</v>
      </c>
      <c r="C151" s="115">
        <v>1969</v>
      </c>
      <c r="D151" s="115">
        <v>5</v>
      </c>
      <c r="E151" s="117">
        <v>30</v>
      </c>
      <c r="F151" s="115">
        <v>2025</v>
      </c>
      <c r="G151" s="115">
        <v>5</v>
      </c>
      <c r="H151" s="117">
        <v>630.16200000000003</v>
      </c>
      <c r="I151" s="112">
        <v>5.5876326478790714</v>
      </c>
    </row>
    <row r="152" spans="1:9">
      <c r="A152" s="111" t="s">
        <v>496</v>
      </c>
      <c r="B152" s="111" t="s">
        <v>517</v>
      </c>
      <c r="C152" s="115">
        <v>1970</v>
      </c>
      <c r="D152" s="115">
        <v>5</v>
      </c>
      <c r="E152" s="117">
        <v>32</v>
      </c>
      <c r="F152" s="115">
        <v>2025</v>
      </c>
      <c r="G152" s="115">
        <v>5</v>
      </c>
      <c r="H152" s="117">
        <v>630.16200000000003</v>
      </c>
      <c r="I152" s="112">
        <v>5.568115219268055</v>
      </c>
    </row>
    <row r="153" spans="1:9">
      <c r="A153" s="111" t="s">
        <v>496</v>
      </c>
      <c r="B153" s="111" t="s">
        <v>517</v>
      </c>
      <c r="C153" s="115">
        <v>1971</v>
      </c>
      <c r="D153" s="115">
        <v>5</v>
      </c>
      <c r="E153" s="117">
        <v>34.6</v>
      </c>
      <c r="F153" s="115">
        <v>2025</v>
      </c>
      <c r="G153" s="115">
        <v>5</v>
      </c>
      <c r="H153" s="117">
        <v>630.16200000000003</v>
      </c>
      <c r="I153" s="112">
        <v>5.5213401836217368</v>
      </c>
    </row>
    <row r="154" spans="1:9">
      <c r="A154" s="111" t="s">
        <v>496</v>
      </c>
      <c r="B154" s="111" t="s">
        <v>517</v>
      </c>
      <c r="C154" s="115">
        <v>1972</v>
      </c>
      <c r="D154" s="115">
        <v>5</v>
      </c>
      <c r="E154" s="117">
        <v>35.799999999999997</v>
      </c>
      <c r="F154" s="115">
        <v>2025</v>
      </c>
      <c r="G154" s="115">
        <v>5</v>
      </c>
      <c r="H154" s="117">
        <v>630.16200000000003</v>
      </c>
      <c r="I154" s="112">
        <v>5.5604676049235016</v>
      </c>
    </row>
    <row r="155" spans="1:9">
      <c r="A155" s="111" t="s">
        <v>496</v>
      </c>
      <c r="B155" s="111" t="s">
        <v>517</v>
      </c>
      <c r="C155" s="115">
        <v>1973</v>
      </c>
      <c r="D155" s="115">
        <v>5</v>
      </c>
      <c r="E155" s="117">
        <v>37.200000000000003</v>
      </c>
      <c r="F155" s="115">
        <v>2025</v>
      </c>
      <c r="G155" s="115">
        <v>5</v>
      </c>
      <c r="H155" s="117">
        <v>630.16200000000003</v>
      </c>
      <c r="I155" s="112">
        <v>5.5924509525200339</v>
      </c>
    </row>
    <row r="156" spans="1:9">
      <c r="A156" s="111" t="s">
        <v>496</v>
      </c>
      <c r="B156" s="111" t="s">
        <v>517</v>
      </c>
      <c r="C156" s="115">
        <v>1974</v>
      </c>
      <c r="D156" s="115">
        <v>5</v>
      </c>
      <c r="E156" s="117">
        <v>40.4</v>
      </c>
      <c r="F156" s="115">
        <v>2025</v>
      </c>
      <c r="G156" s="115">
        <v>5</v>
      </c>
      <c r="H156" s="117">
        <v>630.16200000000003</v>
      </c>
      <c r="I156" s="112">
        <v>5.5342786511461286</v>
      </c>
    </row>
    <row r="157" spans="1:9">
      <c r="A157" s="111" t="s">
        <v>496</v>
      </c>
      <c r="B157" s="111" t="s">
        <v>517</v>
      </c>
      <c r="C157" s="115">
        <v>1975</v>
      </c>
      <c r="D157" s="115">
        <v>5</v>
      </c>
      <c r="E157" s="117">
        <v>46</v>
      </c>
      <c r="F157" s="115">
        <v>2025</v>
      </c>
      <c r="G157" s="115">
        <v>5</v>
      </c>
      <c r="H157" s="117">
        <v>630.16200000000003</v>
      </c>
      <c r="I157" s="112">
        <v>5.374102242547818</v>
      </c>
    </row>
    <row r="158" spans="1:9">
      <c r="A158" s="111" t="s">
        <v>496</v>
      </c>
      <c r="B158" s="111" t="s">
        <v>517</v>
      </c>
      <c r="C158" s="115">
        <v>1976</v>
      </c>
      <c r="D158" s="115">
        <v>5</v>
      </c>
      <c r="E158" s="117">
        <v>50.6</v>
      </c>
      <c r="F158" s="115">
        <v>2025</v>
      </c>
      <c r="G158" s="115">
        <v>5</v>
      </c>
      <c r="H158" s="117">
        <v>630.16200000000003</v>
      </c>
      <c r="I158" s="112">
        <v>5.2817501442260051</v>
      </c>
    </row>
    <row r="159" spans="1:9">
      <c r="A159" s="111" t="s">
        <v>496</v>
      </c>
      <c r="B159" s="111" t="s">
        <v>517</v>
      </c>
      <c r="C159" s="115">
        <v>1977</v>
      </c>
      <c r="D159" s="115">
        <v>5</v>
      </c>
      <c r="E159" s="117">
        <v>55.8</v>
      </c>
      <c r="F159" s="115">
        <v>2025</v>
      </c>
      <c r="G159" s="115">
        <v>5</v>
      </c>
      <c r="H159" s="117">
        <v>630.16200000000003</v>
      </c>
      <c r="I159" s="112">
        <v>5.180131289901091</v>
      </c>
    </row>
    <row r="160" spans="1:9">
      <c r="A160" s="111" t="s">
        <v>496</v>
      </c>
      <c r="B160" s="111" t="s">
        <v>517</v>
      </c>
      <c r="C160" s="115">
        <v>1978</v>
      </c>
      <c r="D160" s="115">
        <v>5</v>
      </c>
      <c r="E160" s="117">
        <v>60.5</v>
      </c>
      <c r="F160" s="115">
        <v>2025</v>
      </c>
      <c r="G160" s="115">
        <v>5</v>
      </c>
      <c r="H160" s="117">
        <v>630.16200000000003</v>
      </c>
      <c r="I160" s="112">
        <v>5.1121995645649898</v>
      </c>
    </row>
    <row r="161" spans="1:9">
      <c r="A161" s="111" t="s">
        <v>496</v>
      </c>
      <c r="B161" s="111" t="s">
        <v>517</v>
      </c>
      <c r="C161" s="115">
        <v>1979</v>
      </c>
      <c r="D161" s="115">
        <v>5</v>
      </c>
      <c r="E161" s="117">
        <v>66.2</v>
      </c>
      <c r="F161" s="115">
        <v>2025</v>
      </c>
      <c r="G161" s="115">
        <v>5</v>
      </c>
      <c r="H161" s="117">
        <v>630.16200000000003</v>
      </c>
      <c r="I161" s="112">
        <v>5.0204288570079969</v>
      </c>
    </row>
    <row r="162" spans="1:9">
      <c r="A162" s="111" t="s">
        <v>496</v>
      </c>
      <c r="B162" s="111" t="s">
        <v>517</v>
      </c>
      <c r="C162" s="115">
        <v>1980</v>
      </c>
      <c r="D162" s="115">
        <v>5</v>
      </c>
      <c r="E162" s="117">
        <v>74.099999999999994</v>
      </c>
      <c r="F162" s="115">
        <v>2025</v>
      </c>
      <c r="G162" s="115">
        <v>5</v>
      </c>
      <c r="H162" s="117">
        <v>630.16200000000003</v>
      </c>
      <c r="I162" s="112">
        <v>4.8717544041662286</v>
      </c>
    </row>
    <row r="163" spans="1:9">
      <c r="A163" s="111" t="s">
        <v>496</v>
      </c>
      <c r="B163" s="111" t="s">
        <v>517</v>
      </c>
      <c r="C163" s="115">
        <v>1981</v>
      </c>
      <c r="D163" s="115">
        <v>5</v>
      </c>
      <c r="E163" s="117">
        <v>81.099999999999994</v>
      </c>
      <c r="F163" s="115">
        <v>2025</v>
      </c>
      <c r="G163" s="115">
        <v>5</v>
      </c>
      <c r="H163" s="117">
        <v>630.16200000000003</v>
      </c>
      <c r="I163" s="112">
        <v>4.7700319345851616</v>
      </c>
    </row>
    <row r="164" spans="1:9">
      <c r="A164" s="111" t="s">
        <v>496</v>
      </c>
      <c r="B164" s="111" t="s">
        <v>517</v>
      </c>
      <c r="C164" s="115">
        <v>1982</v>
      </c>
      <c r="D164" s="115">
        <v>5</v>
      </c>
      <c r="E164" s="117">
        <v>91.1</v>
      </c>
      <c r="F164" s="115">
        <v>2025</v>
      </c>
      <c r="G164" s="115">
        <v>5</v>
      </c>
      <c r="H164" s="117">
        <v>630.16200000000003</v>
      </c>
      <c r="I164" s="112">
        <v>4.6003999188781508</v>
      </c>
    </row>
    <row r="165" spans="1:9">
      <c r="A165" s="111" t="s">
        <v>496</v>
      </c>
      <c r="B165" s="111" t="s">
        <v>517</v>
      </c>
      <c r="C165" s="115">
        <v>1983</v>
      </c>
      <c r="D165" s="115">
        <v>5</v>
      </c>
      <c r="E165" s="117">
        <v>99.8</v>
      </c>
      <c r="F165" s="115">
        <v>2025</v>
      </c>
      <c r="G165" s="115">
        <v>5</v>
      </c>
      <c r="H165" s="117">
        <v>630.16200000000003</v>
      </c>
      <c r="I165" s="112">
        <v>4.4853201704504464</v>
      </c>
    </row>
    <row r="166" spans="1:9">
      <c r="A166" s="111" t="s">
        <v>496</v>
      </c>
      <c r="B166" s="111" t="s">
        <v>517</v>
      </c>
      <c r="C166" s="115">
        <v>1984</v>
      </c>
      <c r="D166" s="115">
        <v>5</v>
      </c>
      <c r="E166" s="117">
        <v>105.9</v>
      </c>
      <c r="F166" s="115">
        <v>2025</v>
      </c>
      <c r="G166" s="115">
        <v>5</v>
      </c>
      <c r="H166" s="117">
        <v>630.16200000000003</v>
      </c>
      <c r="I166" s="112">
        <v>4.4459527529707277</v>
      </c>
    </row>
    <row r="167" spans="1:9">
      <c r="A167" s="111" t="s">
        <v>496</v>
      </c>
      <c r="B167" s="111" t="s">
        <v>517</v>
      </c>
      <c r="C167" s="115">
        <v>1985</v>
      </c>
      <c r="D167" s="115">
        <v>5</v>
      </c>
      <c r="E167" s="117">
        <v>112.1</v>
      </c>
      <c r="F167" s="115">
        <v>2025</v>
      </c>
      <c r="G167" s="115">
        <v>5</v>
      </c>
      <c r="H167" s="117">
        <v>630.16200000000003</v>
      </c>
      <c r="I167" s="112">
        <v>4.4109782911803341</v>
      </c>
    </row>
    <row r="168" spans="1:9">
      <c r="A168" s="111" t="s">
        <v>496</v>
      </c>
      <c r="B168" s="111" t="s">
        <v>517</v>
      </c>
      <c r="C168" s="115">
        <v>1986</v>
      </c>
      <c r="D168" s="115">
        <v>5</v>
      </c>
      <c r="E168" s="117">
        <v>120.8</v>
      </c>
      <c r="F168" s="115">
        <v>2025</v>
      </c>
      <c r="G168" s="115">
        <v>5</v>
      </c>
      <c r="H168" s="117">
        <v>630.16200000000003</v>
      </c>
      <c r="I168" s="112">
        <v>4.3264655480854008</v>
      </c>
    </row>
    <row r="169" spans="1:9">
      <c r="A169" s="111" t="s">
        <v>496</v>
      </c>
      <c r="B169" s="111" t="s">
        <v>517</v>
      </c>
      <c r="C169" s="115">
        <v>1987</v>
      </c>
      <c r="D169" s="115">
        <v>5</v>
      </c>
      <c r="E169" s="117">
        <v>129</v>
      </c>
      <c r="F169" s="115">
        <v>2025</v>
      </c>
      <c r="G169" s="115">
        <v>5</v>
      </c>
      <c r="H169" s="117">
        <v>630.16200000000003</v>
      </c>
      <c r="I169" s="112">
        <v>4.2624583081761758</v>
      </c>
    </row>
    <row r="170" spans="1:9">
      <c r="A170" s="111" t="s">
        <v>496</v>
      </c>
      <c r="B170" s="111" t="s">
        <v>517</v>
      </c>
      <c r="C170" s="115">
        <v>1988</v>
      </c>
      <c r="D170" s="115">
        <v>5</v>
      </c>
      <c r="E170" s="117">
        <v>137.19999999999999</v>
      </c>
      <c r="F170" s="115">
        <v>2025</v>
      </c>
      <c r="G170" s="115">
        <v>5</v>
      </c>
      <c r="H170" s="117">
        <v>630.16200000000003</v>
      </c>
      <c r="I170" s="112">
        <v>4.2064361276509699</v>
      </c>
    </row>
    <row r="171" spans="1:9">
      <c r="A171" s="111" t="s">
        <v>496</v>
      </c>
      <c r="B171" s="111" t="s">
        <v>517</v>
      </c>
      <c r="C171" s="115">
        <v>1989</v>
      </c>
      <c r="D171" s="115">
        <v>5</v>
      </c>
      <c r="E171" s="117">
        <v>146.9</v>
      </c>
      <c r="F171" s="115">
        <v>2025</v>
      </c>
      <c r="G171" s="115">
        <v>5</v>
      </c>
      <c r="H171" s="117">
        <v>630.16200000000003</v>
      </c>
      <c r="I171" s="112">
        <v>4.1279963095359973</v>
      </c>
    </row>
    <row r="172" spans="1:9">
      <c r="A172" s="111" t="s">
        <v>496</v>
      </c>
      <c r="B172" s="111" t="s">
        <v>517</v>
      </c>
      <c r="C172" s="115">
        <v>1990</v>
      </c>
      <c r="D172" s="115">
        <v>5</v>
      </c>
      <c r="E172" s="117">
        <v>160.5</v>
      </c>
      <c r="F172" s="115">
        <v>2025</v>
      </c>
      <c r="G172" s="115">
        <v>5</v>
      </c>
      <c r="H172" s="117">
        <v>630.16200000000003</v>
      </c>
      <c r="I172" s="112">
        <v>3.9850192142144141</v>
      </c>
    </row>
    <row r="173" spans="1:9">
      <c r="A173" s="111" t="s">
        <v>496</v>
      </c>
      <c r="B173" s="111" t="s">
        <v>517</v>
      </c>
      <c r="C173" s="115">
        <v>1991</v>
      </c>
      <c r="D173" s="115">
        <v>5</v>
      </c>
      <c r="E173" s="117">
        <v>175.1</v>
      </c>
      <c r="F173" s="115">
        <v>2025</v>
      </c>
      <c r="G173" s="115">
        <v>5</v>
      </c>
      <c r="H173" s="117">
        <v>630.16200000000003</v>
      </c>
      <c r="I173" s="112">
        <v>3.8383612130873161</v>
      </c>
    </row>
    <row r="174" spans="1:9">
      <c r="A174" s="111" t="s">
        <v>496</v>
      </c>
      <c r="B174" s="111" t="s">
        <v>517</v>
      </c>
      <c r="C174" s="115">
        <v>1992</v>
      </c>
      <c r="D174" s="115">
        <v>5</v>
      </c>
      <c r="E174" s="117">
        <v>188.9</v>
      </c>
      <c r="F174" s="115">
        <v>2025</v>
      </c>
      <c r="G174" s="115">
        <v>5</v>
      </c>
      <c r="H174" s="117">
        <v>630.16200000000003</v>
      </c>
      <c r="I174" s="112">
        <v>3.7182449158051911</v>
      </c>
    </row>
    <row r="175" spans="1:9">
      <c r="A175" s="111" t="s">
        <v>496</v>
      </c>
      <c r="B175" s="111" t="s">
        <v>517</v>
      </c>
      <c r="C175" s="115">
        <v>1993</v>
      </c>
      <c r="D175" s="115">
        <v>5</v>
      </c>
      <c r="E175" s="117">
        <v>202</v>
      </c>
      <c r="F175" s="115">
        <v>2025</v>
      </c>
      <c r="G175" s="115">
        <v>5</v>
      </c>
      <c r="H175" s="117">
        <v>630.16200000000003</v>
      </c>
      <c r="I175" s="112">
        <v>3.6192993337479828</v>
      </c>
    </row>
    <row r="176" spans="1:9">
      <c r="A176" s="111" t="s">
        <v>496</v>
      </c>
      <c r="B176" s="111" t="s">
        <v>517</v>
      </c>
      <c r="C176" s="115">
        <v>1994</v>
      </c>
      <c r="D176" s="115">
        <v>5</v>
      </c>
      <c r="E176" s="117">
        <v>212</v>
      </c>
      <c r="F176" s="115">
        <v>2025</v>
      </c>
      <c r="G176" s="115">
        <v>5</v>
      </c>
      <c r="H176" s="117">
        <v>630.16200000000003</v>
      </c>
      <c r="I176" s="112">
        <v>3.5766398166525941</v>
      </c>
    </row>
    <row r="177" spans="1:9">
      <c r="A177" s="111" t="s">
        <v>496</v>
      </c>
      <c r="B177" s="111" t="s">
        <v>517</v>
      </c>
      <c r="C177" s="115">
        <v>1995</v>
      </c>
      <c r="D177" s="115">
        <v>5</v>
      </c>
      <c r="E177" s="117">
        <v>223</v>
      </c>
      <c r="F177" s="115">
        <v>2025</v>
      </c>
      <c r="G177" s="115">
        <v>5</v>
      </c>
      <c r="H177" s="117">
        <v>630.16200000000003</v>
      </c>
      <c r="I177" s="112">
        <v>3.5233327585560081</v>
      </c>
    </row>
    <row r="178" spans="1:9">
      <c r="A178" s="111" t="s">
        <v>496</v>
      </c>
      <c r="B178" s="111" t="s">
        <v>517</v>
      </c>
      <c r="C178" s="115">
        <v>1996</v>
      </c>
      <c r="D178" s="115">
        <v>5</v>
      </c>
      <c r="E178" s="117">
        <v>231.6</v>
      </c>
      <c r="F178" s="115">
        <v>2025</v>
      </c>
      <c r="G178" s="115">
        <v>5</v>
      </c>
      <c r="H178" s="117">
        <v>630.16200000000003</v>
      </c>
      <c r="I178" s="112">
        <v>3.5118632384192772</v>
      </c>
    </row>
    <row r="179" spans="1:9">
      <c r="A179" s="111" t="s">
        <v>496</v>
      </c>
      <c r="B179" s="111" t="s">
        <v>517</v>
      </c>
      <c r="C179" s="115">
        <v>1997</v>
      </c>
      <c r="D179" s="115">
        <v>5</v>
      </c>
      <c r="E179" s="117">
        <v>238.5</v>
      </c>
      <c r="F179" s="115">
        <v>2025</v>
      </c>
      <c r="G179" s="115">
        <v>5</v>
      </c>
      <c r="H179" s="117">
        <v>630.16200000000003</v>
      </c>
      <c r="I179" s="112">
        <v>3.5309351195019318</v>
      </c>
    </row>
    <row r="180" spans="1:9">
      <c r="A180" s="111" t="s">
        <v>496</v>
      </c>
      <c r="B180" s="111" t="s">
        <v>517</v>
      </c>
      <c r="C180" s="115">
        <v>1998</v>
      </c>
      <c r="D180" s="115">
        <v>5</v>
      </c>
      <c r="E180" s="117">
        <v>245.9</v>
      </c>
      <c r="F180" s="115">
        <v>2025</v>
      </c>
      <c r="G180" s="115">
        <v>5</v>
      </c>
      <c r="H180" s="117">
        <v>630.16200000000003</v>
      </c>
      <c r="I180" s="112">
        <v>3.5468288486791182</v>
      </c>
    </row>
    <row r="181" spans="1:9">
      <c r="A181" s="111" t="s">
        <v>496</v>
      </c>
      <c r="B181" s="111" t="s">
        <v>517</v>
      </c>
      <c r="C181" s="115">
        <v>1999</v>
      </c>
      <c r="D181" s="115">
        <v>5</v>
      </c>
      <c r="E181" s="117">
        <v>254</v>
      </c>
      <c r="F181" s="115">
        <v>2025</v>
      </c>
      <c r="G181" s="115">
        <v>5</v>
      </c>
      <c r="H181" s="117">
        <v>630.16200000000003</v>
      </c>
      <c r="I181" s="112">
        <v>3.5565645372000798</v>
      </c>
    </row>
    <row r="182" spans="1:9">
      <c r="A182" s="111" t="s">
        <v>496</v>
      </c>
      <c r="B182" s="111" t="s">
        <v>517</v>
      </c>
      <c r="C182" s="115">
        <v>2000</v>
      </c>
      <c r="D182" s="115">
        <v>5</v>
      </c>
      <c r="E182" s="117">
        <v>264.39999999999998</v>
      </c>
      <c r="F182" s="115">
        <v>2025</v>
      </c>
      <c r="G182" s="115">
        <v>5</v>
      </c>
      <c r="H182" s="117">
        <v>630.16200000000003</v>
      </c>
      <c r="I182" s="112">
        <v>3.535105506824876</v>
      </c>
    </row>
    <row r="183" spans="1:9">
      <c r="A183" s="111" t="s">
        <v>496</v>
      </c>
      <c r="B183" s="111" t="s">
        <v>517</v>
      </c>
      <c r="C183" s="115">
        <v>2001</v>
      </c>
      <c r="D183" s="115">
        <v>5</v>
      </c>
      <c r="E183" s="117">
        <v>277.3</v>
      </c>
      <c r="F183" s="115">
        <v>2025</v>
      </c>
      <c r="G183" s="115">
        <v>5</v>
      </c>
      <c r="H183" s="117">
        <v>630.16200000000003</v>
      </c>
      <c r="I183" s="112">
        <v>3.4794863293650118</v>
      </c>
    </row>
    <row r="184" spans="1:9">
      <c r="A184" s="111" t="s">
        <v>496</v>
      </c>
      <c r="B184" s="111" t="s">
        <v>517</v>
      </c>
      <c r="C184" s="115">
        <v>2002</v>
      </c>
      <c r="D184" s="115">
        <v>5</v>
      </c>
      <c r="E184" s="117">
        <v>291.2</v>
      </c>
      <c r="F184" s="115">
        <v>2025</v>
      </c>
      <c r="G184" s="115">
        <v>5</v>
      </c>
      <c r="H184" s="117">
        <v>630.16200000000003</v>
      </c>
      <c r="I184" s="112">
        <v>3.4133383942354101</v>
      </c>
    </row>
    <row r="185" spans="1:9">
      <c r="A185" s="111" t="s">
        <v>496</v>
      </c>
      <c r="B185" s="111" t="s">
        <v>517</v>
      </c>
      <c r="C185" s="115">
        <v>2003</v>
      </c>
      <c r="D185" s="115">
        <v>5</v>
      </c>
      <c r="E185" s="117">
        <v>304.2</v>
      </c>
      <c r="F185" s="115">
        <v>2025</v>
      </c>
      <c r="G185" s="115">
        <v>5</v>
      </c>
      <c r="H185" s="117">
        <v>630.16200000000003</v>
      </c>
      <c r="I185" s="112">
        <v>3.3658200851876869</v>
      </c>
    </row>
    <row r="186" spans="1:9">
      <c r="A186" s="111" t="s">
        <v>496</v>
      </c>
      <c r="B186" s="111" t="s">
        <v>517</v>
      </c>
      <c r="C186" s="115">
        <v>2004</v>
      </c>
      <c r="D186" s="115">
        <v>5</v>
      </c>
      <c r="E186" s="117">
        <v>319.8</v>
      </c>
      <c r="F186" s="115">
        <v>2025</v>
      </c>
      <c r="G186" s="115">
        <v>5</v>
      </c>
      <c r="H186" s="117">
        <v>630.16200000000003</v>
      </c>
      <c r="I186" s="112">
        <v>3.28263788963099</v>
      </c>
    </row>
    <row r="187" spans="1:9">
      <c r="A187" s="111" t="s">
        <v>496</v>
      </c>
      <c r="B187" s="111" t="s">
        <v>517</v>
      </c>
      <c r="C187" s="115">
        <v>2005</v>
      </c>
      <c r="D187" s="115">
        <v>5</v>
      </c>
      <c r="E187" s="117">
        <v>335.9</v>
      </c>
      <c r="F187" s="115">
        <v>2025</v>
      </c>
      <c r="G187" s="115">
        <v>5</v>
      </c>
      <c r="H187" s="117">
        <v>630.16200000000003</v>
      </c>
      <c r="I187" s="112">
        <v>3.19582095614519</v>
      </c>
    </row>
    <row r="188" spans="1:9">
      <c r="A188" s="111" t="s">
        <v>496</v>
      </c>
      <c r="B188" s="111" t="s">
        <v>517</v>
      </c>
      <c r="C188" s="115">
        <v>2006</v>
      </c>
      <c r="D188" s="115">
        <v>5</v>
      </c>
      <c r="E188" s="117">
        <v>349.7</v>
      </c>
      <c r="F188" s="115">
        <v>2025</v>
      </c>
      <c r="G188" s="115">
        <v>5</v>
      </c>
      <c r="H188" s="117">
        <v>630.16200000000003</v>
      </c>
      <c r="I188" s="112">
        <v>3.148014479676164</v>
      </c>
    </row>
    <row r="189" spans="1:9">
      <c r="A189" s="111" t="s">
        <v>496</v>
      </c>
      <c r="B189" s="111" t="s">
        <v>517</v>
      </c>
      <c r="C189" s="115">
        <v>2007</v>
      </c>
      <c r="D189" s="115">
        <v>5</v>
      </c>
      <c r="E189" s="117">
        <v>367.12700000000001</v>
      </c>
      <c r="F189" s="115">
        <v>2025</v>
      </c>
      <c r="G189" s="115">
        <v>5</v>
      </c>
      <c r="H189" s="117">
        <v>630.16200000000003</v>
      </c>
      <c r="I189" s="112">
        <v>3.0469938902958571</v>
      </c>
    </row>
    <row r="190" spans="1:9">
      <c r="A190" s="111" t="s">
        <v>496</v>
      </c>
      <c r="B190" s="111" t="s">
        <v>517</v>
      </c>
      <c r="C190" s="115">
        <v>2008</v>
      </c>
      <c r="D190" s="115">
        <v>5</v>
      </c>
      <c r="E190" s="117">
        <v>384.505</v>
      </c>
      <c r="F190" s="115">
        <v>2025</v>
      </c>
      <c r="G190" s="115">
        <v>5</v>
      </c>
      <c r="H190" s="117">
        <v>630.16200000000003</v>
      </c>
      <c r="I190" s="112">
        <v>2.9486370065419321</v>
      </c>
    </row>
    <row r="191" spans="1:9">
      <c r="A191" s="111" t="s">
        <v>496</v>
      </c>
      <c r="B191" s="111" t="s">
        <v>517</v>
      </c>
      <c r="C191" s="115">
        <v>2009</v>
      </c>
      <c r="D191" s="115">
        <v>5</v>
      </c>
      <c r="E191" s="117">
        <v>396.64800000000002</v>
      </c>
      <c r="F191" s="115">
        <v>2025</v>
      </c>
      <c r="G191" s="115">
        <v>5</v>
      </c>
      <c r="H191" s="117">
        <v>630.16200000000003</v>
      </c>
      <c r="I191" s="112">
        <v>2.9355605502144222</v>
      </c>
    </row>
    <row r="192" spans="1:9">
      <c r="A192" s="111" t="s">
        <v>496</v>
      </c>
      <c r="B192" s="111" t="s">
        <v>517</v>
      </c>
      <c r="C192" s="115">
        <v>2010</v>
      </c>
      <c r="D192" s="115">
        <v>5</v>
      </c>
      <c r="E192" s="117">
        <v>410.173</v>
      </c>
      <c r="F192" s="115">
        <v>2025</v>
      </c>
      <c r="G192" s="115">
        <v>5</v>
      </c>
      <c r="H192" s="117">
        <v>630.16200000000003</v>
      </c>
      <c r="I192" s="112">
        <v>2.9040204123196078</v>
      </c>
    </row>
    <row r="193" spans="1:10">
      <c r="A193" s="111" t="s">
        <v>496</v>
      </c>
      <c r="B193" s="111" t="s">
        <v>517</v>
      </c>
      <c r="C193" s="115">
        <v>2011</v>
      </c>
      <c r="D193" s="115">
        <v>5</v>
      </c>
      <c r="E193" s="117">
        <v>422.43799999999999</v>
      </c>
      <c r="F193" s="115">
        <v>2025</v>
      </c>
      <c r="G193" s="115">
        <v>5</v>
      </c>
      <c r="H193" s="117">
        <v>630.16200000000003</v>
      </c>
      <c r="I193" s="112">
        <v>2.897867366632068</v>
      </c>
    </row>
    <row r="194" spans="1:10">
      <c r="A194" s="111" t="s">
        <v>496</v>
      </c>
      <c r="B194" s="111" t="s">
        <v>517</v>
      </c>
      <c r="C194" s="115">
        <v>2012</v>
      </c>
      <c r="D194" s="115">
        <v>5</v>
      </c>
      <c r="E194" s="117">
        <v>438.76600000000002</v>
      </c>
      <c r="F194" s="115">
        <v>2025</v>
      </c>
      <c r="G194" s="115">
        <v>5</v>
      </c>
      <c r="H194" s="117">
        <v>630.16200000000003</v>
      </c>
      <c r="I194" s="112">
        <v>2.8238327227223299</v>
      </c>
    </row>
    <row r="195" spans="1:10">
      <c r="A195" s="111" t="s">
        <v>496</v>
      </c>
      <c r="B195" s="111" t="s">
        <v>517</v>
      </c>
      <c r="C195" s="115">
        <v>2013</v>
      </c>
      <c r="D195" s="115">
        <v>5</v>
      </c>
      <c r="E195" s="117">
        <v>451.64800000000002</v>
      </c>
      <c r="F195" s="115">
        <v>2025</v>
      </c>
      <c r="G195" s="115">
        <v>5</v>
      </c>
      <c r="H195" s="117">
        <v>630.16200000000003</v>
      </c>
      <c r="I195" s="112">
        <v>2.8144941890069219</v>
      </c>
    </row>
    <row r="196" spans="1:10">
      <c r="A196" s="111" t="s">
        <v>496</v>
      </c>
      <c r="B196" s="111" t="s">
        <v>517</v>
      </c>
      <c r="C196" s="115">
        <v>2014</v>
      </c>
      <c r="D196" s="115">
        <v>5</v>
      </c>
      <c r="E196" s="117">
        <v>465.01400000000001</v>
      </c>
      <c r="F196" s="115">
        <v>2025</v>
      </c>
      <c r="G196" s="115">
        <v>5</v>
      </c>
      <c r="H196" s="117">
        <v>630.16200000000003</v>
      </c>
      <c r="I196" s="112">
        <v>2.8013324757266478</v>
      </c>
    </row>
    <row r="197" spans="1:10">
      <c r="A197" s="111" t="s">
        <v>496</v>
      </c>
      <c r="B197" s="111" t="s">
        <v>517</v>
      </c>
      <c r="C197" s="115">
        <v>2015</v>
      </c>
      <c r="D197" s="115">
        <v>5</v>
      </c>
      <c r="E197" s="117">
        <v>476.8</v>
      </c>
      <c r="F197" s="115">
        <v>2025</v>
      </c>
      <c r="G197" s="115">
        <v>5</v>
      </c>
      <c r="H197" s="117">
        <v>630.16200000000003</v>
      </c>
      <c r="I197" s="112">
        <v>2.828049137061694</v>
      </c>
    </row>
    <row r="198" spans="1:10">
      <c r="A198" s="111" t="s">
        <v>496</v>
      </c>
      <c r="B198" s="111" t="s">
        <v>517</v>
      </c>
      <c r="C198" s="115">
        <v>2016</v>
      </c>
      <c r="D198" s="115">
        <v>5</v>
      </c>
      <c r="E198" s="117">
        <v>493.27</v>
      </c>
      <c r="F198" s="115">
        <v>2025</v>
      </c>
      <c r="G198" s="115">
        <v>5</v>
      </c>
      <c r="H198" s="117">
        <v>630.16200000000003</v>
      </c>
      <c r="I198" s="112">
        <v>2.758702508302147</v>
      </c>
    </row>
    <row r="199" spans="1:10">
      <c r="A199" s="111" t="s">
        <v>496</v>
      </c>
      <c r="B199" s="111" t="s">
        <v>517</v>
      </c>
      <c r="C199" s="115">
        <v>2017</v>
      </c>
      <c r="D199" s="115">
        <v>5</v>
      </c>
      <c r="E199" s="117">
        <v>505.61099999999999</v>
      </c>
      <c r="F199" s="115">
        <v>2025</v>
      </c>
      <c r="G199" s="115">
        <v>5</v>
      </c>
      <c r="H199" s="117">
        <v>630.16200000000003</v>
      </c>
      <c r="I199" s="112">
        <v>2.7908511300120962</v>
      </c>
    </row>
    <row r="200" spans="1:10">
      <c r="A200" s="111" t="s">
        <v>496</v>
      </c>
      <c r="B200" s="111" t="s">
        <v>517</v>
      </c>
      <c r="C200" s="115">
        <v>2018</v>
      </c>
      <c r="D200" s="115">
        <v>5</v>
      </c>
      <c r="E200" s="117">
        <v>517.22</v>
      </c>
      <c r="F200" s="115">
        <v>2025</v>
      </c>
      <c r="G200" s="115">
        <v>5</v>
      </c>
      <c r="H200" s="117">
        <v>630.16200000000003</v>
      </c>
      <c r="I200" s="112">
        <v>2.8617344218117009</v>
      </c>
    </row>
    <row r="201" spans="1:10">
      <c r="A201" s="111" t="s">
        <v>496</v>
      </c>
      <c r="B201" s="111" t="s">
        <v>517</v>
      </c>
      <c r="C201" s="115">
        <v>2019</v>
      </c>
      <c r="D201" s="115">
        <v>5</v>
      </c>
      <c r="E201" s="117">
        <v>531.56600000000003</v>
      </c>
      <c r="F201" s="115">
        <v>2025</v>
      </c>
      <c r="G201" s="115">
        <v>5</v>
      </c>
      <c r="H201" s="117">
        <v>630.16200000000003</v>
      </c>
      <c r="I201" s="112">
        <v>2.8764183851522458</v>
      </c>
    </row>
    <row r="202" spans="1:10">
      <c r="A202" s="111" t="s">
        <v>496</v>
      </c>
      <c r="B202" s="111" t="s">
        <v>517</v>
      </c>
      <c r="C202" s="115">
        <v>2020</v>
      </c>
      <c r="D202" s="115">
        <v>5</v>
      </c>
      <c r="E202" s="117">
        <v>562.70100000000002</v>
      </c>
      <c r="F202" s="115">
        <v>2025</v>
      </c>
      <c r="G202" s="115">
        <v>5</v>
      </c>
      <c r="H202" s="117">
        <v>630.16200000000003</v>
      </c>
      <c r="I202" s="112">
        <v>2.2904065667229911</v>
      </c>
    </row>
    <row r="203" spans="1:10">
      <c r="A203" s="111" t="s">
        <v>496</v>
      </c>
      <c r="B203" s="111" t="s">
        <v>517</v>
      </c>
      <c r="C203" s="115">
        <v>2021</v>
      </c>
      <c r="D203" s="115">
        <v>5</v>
      </c>
      <c r="E203" s="117">
        <v>571.255</v>
      </c>
      <c r="F203" s="115">
        <v>2025</v>
      </c>
      <c r="G203" s="115">
        <v>5</v>
      </c>
      <c r="H203" s="117">
        <v>630.16200000000003</v>
      </c>
      <c r="I203" s="112">
        <v>2.4838776060506</v>
      </c>
    </row>
    <row r="204" spans="1:10">
      <c r="A204" s="111" t="s">
        <v>496</v>
      </c>
      <c r="B204" s="111" t="s">
        <v>517</v>
      </c>
      <c r="C204" s="115">
        <v>2022</v>
      </c>
      <c r="D204" s="115">
        <v>5</v>
      </c>
      <c r="E204" s="117">
        <v>594.24300000000005</v>
      </c>
      <c r="F204" s="115">
        <v>2025</v>
      </c>
      <c r="G204" s="115">
        <v>5</v>
      </c>
      <c r="H204" s="117">
        <v>630.16200000000003</v>
      </c>
      <c r="I204" s="112">
        <v>1.975547434667746</v>
      </c>
    </row>
    <row r="205" spans="1:10">
      <c r="A205" s="111" t="s">
        <v>496</v>
      </c>
      <c r="B205" s="111" t="s">
        <v>517</v>
      </c>
      <c r="C205" s="115">
        <v>2023</v>
      </c>
      <c r="D205" s="115">
        <v>5</v>
      </c>
      <c r="E205" s="117">
        <v>593.73800000000006</v>
      </c>
      <c r="F205" s="115">
        <v>2025</v>
      </c>
      <c r="G205" s="115">
        <v>5</v>
      </c>
      <c r="H205" s="117">
        <v>630.16200000000003</v>
      </c>
      <c r="I205" s="112">
        <v>3.0216930585083008</v>
      </c>
    </row>
    <row r="206" spans="1:10">
      <c r="A206" s="111" t="s">
        <v>496</v>
      </c>
      <c r="B206" s="111" t="s">
        <v>517</v>
      </c>
      <c r="C206" s="115">
        <v>2024</v>
      </c>
      <c r="D206" s="115">
        <v>5</v>
      </c>
      <c r="E206" s="117">
        <v>611.904</v>
      </c>
      <c r="F206" s="115">
        <v>2025</v>
      </c>
      <c r="G206" s="115">
        <v>5</v>
      </c>
      <c r="H206" s="117">
        <v>630.16200000000003</v>
      </c>
      <c r="I206" s="112">
        <v>2.9838013806087198</v>
      </c>
    </row>
    <row r="207" spans="1:10">
      <c r="A207" s="111" t="s">
        <v>498</v>
      </c>
      <c r="B207" s="111" t="s">
        <v>518</v>
      </c>
      <c r="C207" s="115">
        <v>1967</v>
      </c>
      <c r="D207" s="115">
        <v>5</v>
      </c>
      <c r="E207" s="117">
        <v>30.7</v>
      </c>
      <c r="F207" s="115">
        <v>2025</v>
      </c>
      <c r="G207" s="115">
        <v>5</v>
      </c>
      <c r="H207" s="117">
        <v>436.58100000000002</v>
      </c>
      <c r="I207" s="112">
        <v>4.6834536909324376</v>
      </c>
      <c r="J207">
        <f>(NSA_Results[[#This Row],[Ending Index Value]]/NSA_Results[[#This Row],[Beginning Index Value]])^(1/(2025-1967))</f>
        <v>1.0468345369093244</v>
      </c>
    </row>
    <row r="208" spans="1:10">
      <c r="A208" s="111" t="s">
        <v>498</v>
      </c>
      <c r="B208" s="111" t="s">
        <v>518</v>
      </c>
      <c r="C208" s="115">
        <v>1968</v>
      </c>
      <c r="D208" s="115">
        <v>5</v>
      </c>
      <c r="E208" s="117">
        <v>32.299999999999997</v>
      </c>
      <c r="F208" s="115">
        <v>2025</v>
      </c>
      <c r="G208" s="115">
        <v>5</v>
      </c>
      <c r="H208" s="117">
        <v>436.58100000000002</v>
      </c>
      <c r="I208" s="112">
        <v>4.6742094635408904</v>
      </c>
    </row>
    <row r="209" spans="1:9">
      <c r="A209" s="111" t="s">
        <v>498</v>
      </c>
      <c r="B209" s="111" t="s">
        <v>518</v>
      </c>
      <c r="C209" s="115">
        <v>1969</v>
      </c>
      <c r="D209" s="115">
        <v>5</v>
      </c>
      <c r="E209" s="117">
        <v>34.6</v>
      </c>
      <c r="F209" s="115">
        <v>2025</v>
      </c>
      <c r="G209" s="115">
        <v>5</v>
      </c>
      <c r="H209" s="117">
        <v>436.58100000000002</v>
      </c>
      <c r="I209" s="112">
        <v>4.6310330102481867</v>
      </c>
    </row>
    <row r="210" spans="1:9">
      <c r="A210" s="111" t="s">
        <v>498</v>
      </c>
      <c r="B210" s="111" t="s">
        <v>518</v>
      </c>
      <c r="C210" s="115">
        <v>1970</v>
      </c>
      <c r="D210" s="115">
        <v>5</v>
      </c>
      <c r="E210" s="117">
        <v>36.700000000000003</v>
      </c>
      <c r="F210" s="115">
        <v>2025</v>
      </c>
      <c r="G210" s="115">
        <v>5</v>
      </c>
      <c r="H210" s="117">
        <v>436.58100000000002</v>
      </c>
      <c r="I210" s="112">
        <v>4.605062875993049</v>
      </c>
    </row>
    <row r="211" spans="1:9">
      <c r="A211" s="111" t="s">
        <v>498</v>
      </c>
      <c r="B211" s="111" t="s">
        <v>518</v>
      </c>
      <c r="C211" s="115">
        <v>1971</v>
      </c>
      <c r="D211" s="115">
        <v>5</v>
      </c>
      <c r="E211" s="117">
        <v>39.200000000000003</v>
      </c>
      <c r="F211" s="115">
        <v>2025</v>
      </c>
      <c r="G211" s="115">
        <v>5</v>
      </c>
      <c r="H211" s="117">
        <v>436.58100000000002</v>
      </c>
      <c r="I211" s="112">
        <v>4.5646268408779056</v>
      </c>
    </row>
    <row r="212" spans="1:9">
      <c r="A212" s="111" t="s">
        <v>498</v>
      </c>
      <c r="B212" s="111" t="s">
        <v>518</v>
      </c>
      <c r="C212" s="115">
        <v>1972</v>
      </c>
      <c r="D212" s="115">
        <v>5</v>
      </c>
      <c r="E212" s="117">
        <v>40.700000000000003</v>
      </c>
      <c r="F212" s="115">
        <v>2025</v>
      </c>
      <c r="G212" s="115">
        <v>5</v>
      </c>
      <c r="H212" s="117">
        <v>436.58100000000002</v>
      </c>
      <c r="I212" s="112">
        <v>4.5786035026927907</v>
      </c>
    </row>
    <row r="213" spans="1:9">
      <c r="A213" s="111" t="s">
        <v>498</v>
      </c>
      <c r="B213" s="111" t="s">
        <v>518</v>
      </c>
      <c r="C213" s="115">
        <v>1973</v>
      </c>
      <c r="D213" s="115">
        <v>5</v>
      </c>
      <c r="E213" s="117">
        <v>41.9</v>
      </c>
      <c r="F213" s="115">
        <v>2025</v>
      </c>
      <c r="G213" s="115">
        <v>5</v>
      </c>
      <c r="H213" s="117">
        <v>436.58100000000002</v>
      </c>
      <c r="I213" s="112">
        <v>4.6102052028400564</v>
      </c>
    </row>
    <row r="214" spans="1:9">
      <c r="A214" s="111" t="s">
        <v>498</v>
      </c>
      <c r="B214" s="111" t="s">
        <v>518</v>
      </c>
      <c r="C214" s="115">
        <v>1974</v>
      </c>
      <c r="D214" s="115">
        <v>5</v>
      </c>
      <c r="E214" s="117">
        <v>44.9</v>
      </c>
      <c r="F214" s="115">
        <v>2025</v>
      </c>
      <c r="G214" s="115">
        <v>5</v>
      </c>
      <c r="H214" s="117">
        <v>436.58100000000002</v>
      </c>
      <c r="I214" s="112">
        <v>4.5608222971162959</v>
      </c>
    </row>
    <row r="215" spans="1:9">
      <c r="A215" s="111" t="s">
        <v>498</v>
      </c>
      <c r="B215" s="111" t="s">
        <v>518</v>
      </c>
      <c r="C215" s="115">
        <v>1975</v>
      </c>
      <c r="D215" s="115">
        <v>5</v>
      </c>
      <c r="E215" s="117">
        <v>50.4</v>
      </c>
      <c r="F215" s="115">
        <v>2025</v>
      </c>
      <c r="G215" s="115">
        <v>5</v>
      </c>
      <c r="H215" s="117">
        <v>436.58100000000002</v>
      </c>
      <c r="I215" s="112">
        <v>4.412546036109033</v>
      </c>
    </row>
    <row r="216" spans="1:9">
      <c r="A216" s="111" t="s">
        <v>498</v>
      </c>
      <c r="B216" s="111" t="s">
        <v>518</v>
      </c>
      <c r="C216" s="115">
        <v>1976</v>
      </c>
      <c r="D216" s="115">
        <v>5</v>
      </c>
      <c r="E216" s="117">
        <v>55</v>
      </c>
      <c r="F216" s="115">
        <v>2025</v>
      </c>
      <c r="G216" s="115">
        <v>5</v>
      </c>
      <c r="H216" s="117">
        <v>436.58100000000002</v>
      </c>
      <c r="I216" s="112">
        <v>4.3184842680659141</v>
      </c>
    </row>
    <row r="217" spans="1:9">
      <c r="A217" s="111" t="s">
        <v>498</v>
      </c>
      <c r="B217" s="111" t="s">
        <v>518</v>
      </c>
      <c r="C217" s="115">
        <v>1977</v>
      </c>
      <c r="D217" s="115">
        <v>5</v>
      </c>
      <c r="E217" s="117">
        <v>59.5</v>
      </c>
      <c r="F217" s="115">
        <v>2025</v>
      </c>
      <c r="G217" s="115">
        <v>5</v>
      </c>
      <c r="H217" s="117">
        <v>436.58100000000002</v>
      </c>
      <c r="I217" s="112">
        <v>4.2394826337435854</v>
      </c>
    </row>
    <row r="218" spans="1:9">
      <c r="A218" s="111" t="s">
        <v>498</v>
      </c>
      <c r="B218" s="111" t="s">
        <v>518</v>
      </c>
      <c r="C218" s="115">
        <v>1978</v>
      </c>
      <c r="D218" s="115">
        <v>5</v>
      </c>
      <c r="E218" s="117">
        <v>63.9</v>
      </c>
      <c r="F218" s="115">
        <v>2025</v>
      </c>
      <c r="G218" s="115">
        <v>5</v>
      </c>
      <c r="H218" s="117">
        <v>436.58100000000002</v>
      </c>
      <c r="I218" s="112">
        <v>4.1733619643604669</v>
      </c>
    </row>
    <row r="219" spans="1:9">
      <c r="A219" s="111" t="s">
        <v>498</v>
      </c>
      <c r="B219" s="111" t="s">
        <v>518</v>
      </c>
      <c r="C219" s="115">
        <v>1979</v>
      </c>
      <c r="D219" s="115">
        <v>5</v>
      </c>
      <c r="E219" s="117">
        <v>69.3</v>
      </c>
      <c r="F219" s="115">
        <v>2025</v>
      </c>
      <c r="G219" s="115">
        <v>5</v>
      </c>
      <c r="H219" s="117">
        <v>436.58100000000002</v>
      </c>
      <c r="I219" s="112">
        <v>4.0822744012275258</v>
      </c>
    </row>
    <row r="220" spans="1:9">
      <c r="A220" s="111" t="s">
        <v>498</v>
      </c>
      <c r="B220" s="111" t="s">
        <v>518</v>
      </c>
      <c r="C220" s="115">
        <v>1980</v>
      </c>
      <c r="D220" s="115">
        <v>5</v>
      </c>
      <c r="E220" s="117">
        <v>77.400000000000006</v>
      </c>
      <c r="F220" s="115">
        <v>2025</v>
      </c>
      <c r="G220" s="115">
        <v>5</v>
      </c>
      <c r="H220" s="117">
        <v>436.58100000000002</v>
      </c>
      <c r="I220" s="112">
        <v>3.9192696935369979</v>
      </c>
    </row>
    <row r="221" spans="1:9">
      <c r="A221" s="111" t="s">
        <v>498</v>
      </c>
      <c r="B221" s="111" t="s">
        <v>518</v>
      </c>
      <c r="C221" s="115">
        <v>1981</v>
      </c>
      <c r="D221" s="115">
        <v>5</v>
      </c>
      <c r="E221" s="117">
        <v>84.6</v>
      </c>
      <c r="F221" s="115">
        <v>2025</v>
      </c>
      <c r="G221" s="115">
        <v>5</v>
      </c>
      <c r="H221" s="117">
        <v>436.58100000000002</v>
      </c>
      <c r="I221" s="112">
        <v>3.8000592833574038</v>
      </c>
    </row>
    <row r="222" spans="1:9">
      <c r="A222" s="111" t="s">
        <v>498</v>
      </c>
      <c r="B222" s="111" t="s">
        <v>518</v>
      </c>
      <c r="C222" s="115">
        <v>1982</v>
      </c>
      <c r="D222" s="115">
        <v>5</v>
      </c>
      <c r="E222" s="117">
        <v>92.5</v>
      </c>
      <c r="F222" s="115">
        <v>2025</v>
      </c>
      <c r="G222" s="115">
        <v>5</v>
      </c>
      <c r="H222" s="117">
        <v>436.58100000000002</v>
      </c>
      <c r="I222" s="112">
        <v>3.6746624886337509</v>
      </c>
    </row>
    <row r="223" spans="1:9">
      <c r="A223" s="111" t="s">
        <v>498</v>
      </c>
      <c r="B223" s="111" t="s">
        <v>518</v>
      </c>
      <c r="C223" s="115">
        <v>1983</v>
      </c>
      <c r="D223" s="115">
        <v>5</v>
      </c>
      <c r="E223" s="117">
        <v>98.8</v>
      </c>
      <c r="F223" s="115">
        <v>2025</v>
      </c>
      <c r="G223" s="115">
        <v>5</v>
      </c>
      <c r="H223" s="117">
        <v>436.58100000000002</v>
      </c>
      <c r="I223" s="112">
        <v>3.601125494694601</v>
      </c>
    </row>
    <row r="224" spans="1:9">
      <c r="A224" s="111" t="s">
        <v>498</v>
      </c>
      <c r="B224" s="111" t="s">
        <v>518</v>
      </c>
      <c r="C224" s="115">
        <v>1984</v>
      </c>
      <c r="D224" s="115">
        <v>5</v>
      </c>
      <c r="E224" s="117">
        <v>106.3</v>
      </c>
      <c r="F224" s="115">
        <v>2025</v>
      </c>
      <c r="G224" s="115">
        <v>5</v>
      </c>
      <c r="H224" s="117">
        <v>436.58100000000002</v>
      </c>
      <c r="I224" s="112">
        <v>3.5056803982318701</v>
      </c>
    </row>
    <row r="225" spans="1:11">
      <c r="A225" s="111" t="s">
        <v>498</v>
      </c>
      <c r="B225" s="111" t="s">
        <v>518</v>
      </c>
      <c r="C225" s="115">
        <v>1985</v>
      </c>
      <c r="D225" s="115">
        <v>5</v>
      </c>
      <c r="E225" s="117">
        <v>112.7</v>
      </c>
      <c r="F225" s="115">
        <v>2025</v>
      </c>
      <c r="G225" s="115">
        <v>5</v>
      </c>
      <c r="H225" s="117">
        <v>436.58100000000002</v>
      </c>
      <c r="I225" s="112">
        <v>3.4435753749011639</v>
      </c>
      <c r="K225">
        <v>3.44</v>
      </c>
    </row>
    <row r="226" spans="1:11">
      <c r="A226" s="111" t="s">
        <v>498</v>
      </c>
      <c r="B226" s="111" t="s">
        <v>518</v>
      </c>
      <c r="C226" s="115">
        <v>1986</v>
      </c>
      <c r="D226" s="115">
        <v>5</v>
      </c>
      <c r="E226" s="117">
        <v>120</v>
      </c>
      <c r="F226" s="115">
        <v>2025</v>
      </c>
      <c r="G226" s="115">
        <v>5</v>
      </c>
      <c r="H226" s="117">
        <v>436.58100000000002</v>
      </c>
      <c r="I226" s="112">
        <v>3.3669329706447648</v>
      </c>
    </row>
    <row r="227" spans="1:11">
      <c r="A227" s="111" t="s">
        <v>498</v>
      </c>
      <c r="B227" s="111" t="s">
        <v>518</v>
      </c>
      <c r="C227" s="115">
        <v>1987</v>
      </c>
      <c r="D227" s="115">
        <v>5</v>
      </c>
      <c r="E227" s="117">
        <v>127.9</v>
      </c>
      <c r="F227" s="115">
        <v>2025</v>
      </c>
      <c r="G227" s="115">
        <v>5</v>
      </c>
      <c r="H227" s="117">
        <v>436.58100000000002</v>
      </c>
      <c r="I227" s="112">
        <v>3.2836146338029781</v>
      </c>
    </row>
    <row r="228" spans="1:11">
      <c r="A228" s="111" t="s">
        <v>498</v>
      </c>
      <c r="B228" s="111" t="s">
        <v>518</v>
      </c>
      <c r="C228" s="115">
        <v>1988</v>
      </c>
      <c r="D228" s="115">
        <v>5</v>
      </c>
      <c r="E228" s="117">
        <v>136.4</v>
      </c>
      <c r="F228" s="115">
        <v>2025</v>
      </c>
      <c r="G228" s="115">
        <v>5</v>
      </c>
      <c r="H228" s="117">
        <v>436.58100000000002</v>
      </c>
      <c r="I228" s="112">
        <v>3.1942307191589858</v>
      </c>
    </row>
    <row r="229" spans="1:11">
      <c r="A229" s="111" t="s">
        <v>498</v>
      </c>
      <c r="B229" s="111" t="s">
        <v>518</v>
      </c>
      <c r="C229" s="115">
        <v>1989</v>
      </c>
      <c r="D229" s="115">
        <v>5</v>
      </c>
      <c r="E229" s="117">
        <v>145.19999999999999</v>
      </c>
      <c r="F229" s="115">
        <v>2025</v>
      </c>
      <c r="G229" s="115">
        <v>5</v>
      </c>
      <c r="H229" s="117">
        <v>436.58100000000002</v>
      </c>
      <c r="I229" s="112">
        <v>3.1051850334726572</v>
      </c>
    </row>
    <row r="230" spans="1:11">
      <c r="A230" s="111" t="s">
        <v>498</v>
      </c>
      <c r="B230" s="111" t="s">
        <v>518</v>
      </c>
      <c r="C230" s="115">
        <v>1990</v>
      </c>
      <c r="D230" s="115">
        <v>5</v>
      </c>
      <c r="E230" s="117">
        <v>155.1</v>
      </c>
      <c r="F230" s="115">
        <v>2025</v>
      </c>
      <c r="G230" s="115">
        <v>5</v>
      </c>
      <c r="H230" s="117">
        <v>436.58100000000002</v>
      </c>
      <c r="I230" s="112">
        <v>3.001017575686848</v>
      </c>
    </row>
    <row r="231" spans="1:11">
      <c r="A231" s="111" t="s">
        <v>498</v>
      </c>
      <c r="B231" s="111" t="s">
        <v>518</v>
      </c>
      <c r="C231" s="115">
        <v>1991</v>
      </c>
      <c r="D231" s="115">
        <v>5</v>
      </c>
      <c r="E231" s="117">
        <v>164.4</v>
      </c>
      <c r="F231" s="115">
        <v>2025</v>
      </c>
      <c r="G231" s="115">
        <v>5</v>
      </c>
      <c r="H231" s="117">
        <v>436.58100000000002</v>
      </c>
      <c r="I231" s="112">
        <v>2.9142190672186259</v>
      </c>
    </row>
    <row r="232" spans="1:11">
      <c r="A232" s="111" t="s">
        <v>498</v>
      </c>
      <c r="B232" s="111" t="s">
        <v>518</v>
      </c>
      <c r="C232" s="115">
        <v>1992</v>
      </c>
      <c r="D232" s="115">
        <v>5</v>
      </c>
      <c r="E232" s="117">
        <v>174.7</v>
      </c>
      <c r="F232" s="115">
        <v>2025</v>
      </c>
      <c r="G232" s="115">
        <v>5</v>
      </c>
      <c r="H232" s="117">
        <v>436.58100000000002</v>
      </c>
      <c r="I232" s="112">
        <v>2.8143406526866639</v>
      </c>
    </row>
    <row r="233" spans="1:11">
      <c r="A233" s="111" t="s">
        <v>498</v>
      </c>
      <c r="B233" s="111" t="s">
        <v>518</v>
      </c>
      <c r="C233" s="115">
        <v>1993</v>
      </c>
      <c r="D233" s="115">
        <v>5</v>
      </c>
      <c r="E233" s="117">
        <v>184.4</v>
      </c>
      <c r="F233" s="115">
        <v>2025</v>
      </c>
      <c r="G233" s="115">
        <v>5</v>
      </c>
      <c r="H233" s="117">
        <v>436.58100000000002</v>
      </c>
      <c r="I233" s="112">
        <v>2.7299312167324401</v>
      </c>
    </row>
    <row r="234" spans="1:11">
      <c r="A234" s="111" t="s">
        <v>498</v>
      </c>
      <c r="B234" s="111" t="s">
        <v>518</v>
      </c>
      <c r="C234" s="115">
        <v>1994</v>
      </c>
      <c r="D234" s="115">
        <v>5</v>
      </c>
      <c r="E234" s="117">
        <v>191.7</v>
      </c>
      <c r="F234" s="115">
        <v>2025</v>
      </c>
      <c r="G234" s="115">
        <v>5</v>
      </c>
      <c r="H234" s="117">
        <v>436.58100000000002</v>
      </c>
      <c r="I234" s="112">
        <v>2.6905335360178029</v>
      </c>
    </row>
    <row r="235" spans="1:11">
      <c r="A235" s="111" t="s">
        <v>498</v>
      </c>
      <c r="B235" s="111" t="s">
        <v>518</v>
      </c>
      <c r="C235" s="115">
        <v>1995</v>
      </c>
      <c r="D235" s="115">
        <v>5</v>
      </c>
      <c r="E235" s="117">
        <v>200.2</v>
      </c>
      <c r="F235" s="115">
        <v>2025</v>
      </c>
      <c r="G235" s="115">
        <v>5</v>
      </c>
      <c r="H235" s="117">
        <v>436.58100000000002</v>
      </c>
      <c r="I235" s="112">
        <v>2.6329216033200038</v>
      </c>
    </row>
    <row r="236" spans="1:11">
      <c r="A236" s="111" t="s">
        <v>498</v>
      </c>
      <c r="B236" s="111" t="s">
        <v>518</v>
      </c>
      <c r="C236" s="115">
        <v>1996</v>
      </c>
      <c r="D236" s="115">
        <v>5</v>
      </c>
      <c r="E236" s="117">
        <v>207.7</v>
      </c>
      <c r="F236" s="115">
        <v>2025</v>
      </c>
      <c r="G236" s="115">
        <v>5</v>
      </c>
      <c r="H236" s="117">
        <v>436.58100000000002</v>
      </c>
      <c r="I236" s="112">
        <v>2.5947446741984459</v>
      </c>
    </row>
    <row r="237" spans="1:11">
      <c r="A237" s="111" t="s">
        <v>498</v>
      </c>
      <c r="B237" s="111" t="s">
        <v>518</v>
      </c>
      <c r="C237" s="115">
        <v>1997</v>
      </c>
      <c r="D237" s="115">
        <v>5</v>
      </c>
      <c r="E237" s="117">
        <v>215.2</v>
      </c>
      <c r="F237" s="115">
        <v>2025</v>
      </c>
      <c r="G237" s="115">
        <v>5</v>
      </c>
      <c r="H237" s="117">
        <v>436.58100000000002</v>
      </c>
      <c r="I237" s="112">
        <v>2.558635578774004</v>
      </c>
    </row>
    <row r="238" spans="1:11">
      <c r="A238" s="111" t="s">
        <v>498</v>
      </c>
      <c r="B238" s="111" t="s">
        <v>518</v>
      </c>
      <c r="C238" s="115">
        <v>1998</v>
      </c>
      <c r="D238" s="115">
        <v>5</v>
      </c>
      <c r="E238" s="117">
        <v>221.7</v>
      </c>
      <c r="F238" s="115">
        <v>2025</v>
      </c>
      <c r="G238" s="115">
        <v>5</v>
      </c>
      <c r="H238" s="117">
        <v>436.58100000000002</v>
      </c>
      <c r="I238" s="112">
        <v>2.5415712990369381</v>
      </c>
    </row>
    <row r="239" spans="1:11">
      <c r="A239" s="111" t="s">
        <v>498</v>
      </c>
      <c r="B239" s="111" t="s">
        <v>518</v>
      </c>
      <c r="C239" s="115">
        <v>1999</v>
      </c>
      <c r="D239" s="115">
        <v>5</v>
      </c>
      <c r="E239" s="117">
        <v>228.6</v>
      </c>
      <c r="F239" s="115">
        <v>2025</v>
      </c>
      <c r="G239" s="115">
        <v>5</v>
      </c>
      <c r="H239" s="117">
        <v>436.58100000000002</v>
      </c>
      <c r="I239" s="112">
        <v>2.5196828608307742</v>
      </c>
    </row>
    <row r="240" spans="1:11">
      <c r="A240" s="111" t="s">
        <v>498</v>
      </c>
      <c r="B240" s="111" t="s">
        <v>518</v>
      </c>
      <c r="C240" s="115">
        <v>2000</v>
      </c>
      <c r="D240" s="115">
        <v>5</v>
      </c>
      <c r="E240" s="117">
        <v>237.1</v>
      </c>
      <c r="F240" s="115">
        <v>2025</v>
      </c>
      <c r="G240" s="115">
        <v>5</v>
      </c>
      <c r="H240" s="117">
        <v>436.58100000000002</v>
      </c>
      <c r="I240" s="112">
        <v>2.472027948153932</v>
      </c>
    </row>
    <row r="241" spans="1:9">
      <c r="A241" s="111" t="s">
        <v>498</v>
      </c>
      <c r="B241" s="111" t="s">
        <v>518</v>
      </c>
      <c r="C241" s="115">
        <v>2001</v>
      </c>
      <c r="D241" s="115">
        <v>5</v>
      </c>
      <c r="E241" s="117">
        <v>245.8</v>
      </c>
      <c r="F241" s="115">
        <v>2025</v>
      </c>
      <c r="G241" s="115">
        <v>5</v>
      </c>
      <c r="H241" s="117">
        <v>436.58100000000002</v>
      </c>
      <c r="I241" s="112">
        <v>2.4224412389453942</v>
      </c>
    </row>
    <row r="242" spans="1:9">
      <c r="A242" s="111" t="s">
        <v>498</v>
      </c>
      <c r="B242" s="111" t="s">
        <v>518</v>
      </c>
      <c r="C242" s="115">
        <v>2002</v>
      </c>
      <c r="D242" s="115">
        <v>5</v>
      </c>
      <c r="E242" s="117">
        <v>252.9</v>
      </c>
      <c r="F242" s="115">
        <v>2025</v>
      </c>
      <c r="G242" s="115">
        <v>5</v>
      </c>
      <c r="H242" s="117">
        <v>436.58100000000002</v>
      </c>
      <c r="I242" s="112">
        <v>2.4022245938210012</v>
      </c>
    </row>
    <row r="243" spans="1:9">
      <c r="A243" s="111" t="s">
        <v>498</v>
      </c>
      <c r="B243" s="111" t="s">
        <v>518</v>
      </c>
      <c r="C243" s="115">
        <v>2003</v>
      </c>
      <c r="D243" s="115">
        <v>5</v>
      </c>
      <c r="E243" s="117">
        <v>261.10000000000002</v>
      </c>
      <c r="F243" s="115">
        <v>2025</v>
      </c>
      <c r="G243" s="115">
        <v>5</v>
      </c>
      <c r="H243" s="117">
        <v>436.58100000000002</v>
      </c>
      <c r="I243" s="112">
        <v>2.3641982079090962</v>
      </c>
    </row>
    <row r="244" spans="1:9">
      <c r="A244" s="111" t="s">
        <v>498</v>
      </c>
      <c r="B244" s="111" t="s">
        <v>518</v>
      </c>
      <c r="C244" s="115">
        <v>2004</v>
      </c>
      <c r="D244" s="115">
        <v>5</v>
      </c>
      <c r="E244" s="117">
        <v>270.89999999999998</v>
      </c>
      <c r="F244" s="115">
        <v>2025</v>
      </c>
      <c r="G244" s="115">
        <v>5</v>
      </c>
      <c r="H244" s="117">
        <v>436.58100000000002</v>
      </c>
      <c r="I244" s="112">
        <v>2.2985139796767968</v>
      </c>
    </row>
    <row r="245" spans="1:9">
      <c r="A245" s="111" t="s">
        <v>498</v>
      </c>
      <c r="B245" s="111" t="s">
        <v>518</v>
      </c>
      <c r="C245" s="115">
        <v>2005</v>
      </c>
      <c r="D245" s="115">
        <v>5</v>
      </c>
      <c r="E245" s="117">
        <v>281.60000000000002</v>
      </c>
      <c r="F245" s="115">
        <v>2025</v>
      </c>
      <c r="G245" s="115">
        <v>5</v>
      </c>
      <c r="H245" s="117">
        <v>436.58100000000002</v>
      </c>
      <c r="I245" s="112">
        <v>2.2166418917763719</v>
      </c>
    </row>
    <row r="246" spans="1:9">
      <c r="A246" s="111" t="s">
        <v>498</v>
      </c>
      <c r="B246" s="111" t="s">
        <v>518</v>
      </c>
      <c r="C246" s="115">
        <v>2006</v>
      </c>
      <c r="D246" s="115">
        <v>5</v>
      </c>
      <c r="E246" s="117">
        <v>289</v>
      </c>
      <c r="F246" s="115">
        <v>2025</v>
      </c>
      <c r="G246" s="115">
        <v>5</v>
      </c>
      <c r="H246" s="117">
        <v>436.58100000000002</v>
      </c>
      <c r="I246" s="112">
        <v>2.19504553463159</v>
      </c>
    </row>
    <row r="247" spans="1:9">
      <c r="A247" s="111" t="s">
        <v>498</v>
      </c>
      <c r="B247" s="111" t="s">
        <v>518</v>
      </c>
      <c r="C247" s="115">
        <v>2007</v>
      </c>
      <c r="D247" s="115">
        <v>5</v>
      </c>
      <c r="E247" s="117">
        <v>299.7</v>
      </c>
      <c r="F247" s="115">
        <v>2025</v>
      </c>
      <c r="G247" s="115">
        <v>5</v>
      </c>
      <c r="H247" s="117">
        <v>436.58100000000002</v>
      </c>
      <c r="I247" s="112">
        <v>2.1119477913536411</v>
      </c>
    </row>
    <row r="248" spans="1:9">
      <c r="A248" s="111" t="s">
        <v>498</v>
      </c>
      <c r="B248" s="111" t="s">
        <v>518</v>
      </c>
      <c r="C248" s="115">
        <v>2008</v>
      </c>
      <c r="D248" s="115">
        <v>5</v>
      </c>
      <c r="E248" s="117">
        <v>310.91699999999997</v>
      </c>
      <c r="F248" s="115">
        <v>2025</v>
      </c>
      <c r="G248" s="115">
        <v>5</v>
      </c>
      <c r="H248" s="117">
        <v>436.58100000000002</v>
      </c>
      <c r="I248" s="112">
        <v>2.0168209798842258</v>
      </c>
    </row>
    <row r="249" spans="1:9">
      <c r="A249" s="111" t="s">
        <v>498</v>
      </c>
      <c r="B249" s="111" t="s">
        <v>518</v>
      </c>
      <c r="C249" s="115">
        <v>2009</v>
      </c>
      <c r="D249" s="115">
        <v>5</v>
      </c>
      <c r="E249" s="117">
        <v>319.33300000000003</v>
      </c>
      <c r="F249" s="115">
        <v>2025</v>
      </c>
      <c r="G249" s="115">
        <v>5</v>
      </c>
      <c r="H249" s="117">
        <v>436.58100000000002</v>
      </c>
      <c r="I249" s="112">
        <v>1.9738495510860381</v>
      </c>
    </row>
    <row r="250" spans="1:9">
      <c r="A250" s="111" t="s">
        <v>498</v>
      </c>
      <c r="B250" s="111" t="s">
        <v>518</v>
      </c>
      <c r="C250" s="115">
        <v>2010</v>
      </c>
      <c r="D250" s="115">
        <v>5</v>
      </c>
      <c r="E250" s="117">
        <v>327.12099999999998</v>
      </c>
      <c r="F250" s="115">
        <v>2025</v>
      </c>
      <c r="G250" s="115">
        <v>5</v>
      </c>
      <c r="H250" s="117">
        <v>436.58100000000002</v>
      </c>
      <c r="I250" s="112">
        <v>1.9429257756013121</v>
      </c>
    </row>
    <row r="251" spans="1:9">
      <c r="A251" s="111" t="s">
        <v>498</v>
      </c>
      <c r="B251" s="111" t="s">
        <v>518</v>
      </c>
      <c r="C251" s="115">
        <v>2011</v>
      </c>
      <c r="D251" s="115">
        <v>5</v>
      </c>
      <c r="E251" s="117">
        <v>335.13200000000001</v>
      </c>
      <c r="F251" s="115">
        <v>2025</v>
      </c>
      <c r="G251" s="115">
        <v>5</v>
      </c>
      <c r="H251" s="117">
        <v>436.58100000000002</v>
      </c>
      <c r="I251" s="112">
        <v>1.9068776205953599</v>
      </c>
    </row>
    <row r="252" spans="1:9">
      <c r="A252" s="111" t="s">
        <v>498</v>
      </c>
      <c r="B252" s="111" t="s">
        <v>518</v>
      </c>
      <c r="C252" s="115">
        <v>2012</v>
      </c>
      <c r="D252" s="115">
        <v>5</v>
      </c>
      <c r="E252" s="117">
        <v>341.02300000000002</v>
      </c>
      <c r="F252" s="115">
        <v>2025</v>
      </c>
      <c r="G252" s="115">
        <v>5</v>
      </c>
      <c r="H252" s="117">
        <v>436.58100000000002</v>
      </c>
      <c r="I252" s="112">
        <v>1.918353029386566</v>
      </c>
    </row>
    <row r="253" spans="1:9">
      <c r="A253" s="111" t="s">
        <v>498</v>
      </c>
      <c r="B253" s="111" t="s">
        <v>518</v>
      </c>
      <c r="C253" s="115">
        <v>2013</v>
      </c>
      <c r="D253" s="115">
        <v>5</v>
      </c>
      <c r="E253" s="117">
        <v>348.78</v>
      </c>
      <c r="F253" s="115">
        <v>2025</v>
      </c>
      <c r="G253" s="115">
        <v>5</v>
      </c>
      <c r="H253" s="117">
        <v>436.58100000000002</v>
      </c>
      <c r="I253" s="112">
        <v>1.888719642647452</v>
      </c>
    </row>
    <row r="254" spans="1:9">
      <c r="A254" s="111" t="s">
        <v>498</v>
      </c>
      <c r="B254" s="111" t="s">
        <v>518</v>
      </c>
      <c r="C254" s="115">
        <v>2014</v>
      </c>
      <c r="D254" s="115">
        <v>5</v>
      </c>
      <c r="E254" s="117">
        <v>355.40800000000002</v>
      </c>
      <c r="F254" s="115">
        <v>2025</v>
      </c>
      <c r="G254" s="115">
        <v>5</v>
      </c>
      <c r="H254" s="117">
        <v>436.58100000000002</v>
      </c>
      <c r="I254" s="112">
        <v>1.887663464749112</v>
      </c>
    </row>
    <row r="255" spans="1:9">
      <c r="A255" s="111" t="s">
        <v>498</v>
      </c>
      <c r="B255" s="111" t="s">
        <v>518</v>
      </c>
      <c r="C255" s="115">
        <v>2015</v>
      </c>
      <c r="D255" s="115">
        <v>5</v>
      </c>
      <c r="E255" s="117">
        <v>361.01</v>
      </c>
      <c r="F255" s="115">
        <v>2025</v>
      </c>
      <c r="G255" s="115">
        <v>5</v>
      </c>
      <c r="H255" s="117">
        <v>436.58100000000002</v>
      </c>
      <c r="I255" s="112">
        <v>1.9188606216592681</v>
      </c>
    </row>
    <row r="256" spans="1:9">
      <c r="A256" s="111" t="s">
        <v>498</v>
      </c>
      <c r="B256" s="111" t="s">
        <v>518</v>
      </c>
      <c r="C256" s="115">
        <v>2016</v>
      </c>
      <c r="D256" s="115">
        <v>5</v>
      </c>
      <c r="E256" s="117">
        <v>371.14499999999998</v>
      </c>
      <c r="F256" s="115">
        <v>2025</v>
      </c>
      <c r="G256" s="115">
        <v>5</v>
      </c>
      <c r="H256" s="117">
        <v>436.58100000000002</v>
      </c>
      <c r="I256" s="112">
        <v>1.8206091215202891</v>
      </c>
    </row>
    <row r="257" spans="1:9">
      <c r="A257" s="111" t="s">
        <v>498</v>
      </c>
      <c r="B257" s="111" t="s">
        <v>518</v>
      </c>
      <c r="C257" s="115">
        <v>2017</v>
      </c>
      <c r="D257" s="115">
        <v>5</v>
      </c>
      <c r="E257" s="117">
        <v>374.84899999999999</v>
      </c>
      <c r="F257" s="115">
        <v>2025</v>
      </c>
      <c r="G257" s="115">
        <v>5</v>
      </c>
      <c r="H257" s="117">
        <v>436.58100000000002</v>
      </c>
      <c r="I257" s="112">
        <v>1.9239061611024291</v>
      </c>
    </row>
    <row r="258" spans="1:9">
      <c r="A258" s="111" t="s">
        <v>498</v>
      </c>
      <c r="B258" s="111" t="s">
        <v>518</v>
      </c>
      <c r="C258" s="115">
        <v>2018</v>
      </c>
      <c r="D258" s="115">
        <v>5</v>
      </c>
      <c r="E258" s="117">
        <v>379.14499999999998</v>
      </c>
      <c r="F258" s="115">
        <v>2025</v>
      </c>
      <c r="G258" s="115">
        <v>5</v>
      </c>
      <c r="H258" s="117">
        <v>436.58100000000002</v>
      </c>
      <c r="I258" s="112">
        <v>2.0355140763161028</v>
      </c>
    </row>
    <row r="259" spans="1:9">
      <c r="A259" s="111" t="s">
        <v>498</v>
      </c>
      <c r="B259" s="111" t="s">
        <v>518</v>
      </c>
      <c r="C259" s="115">
        <v>2019</v>
      </c>
      <c r="D259" s="115">
        <v>5</v>
      </c>
      <c r="E259" s="117">
        <v>381.65100000000001</v>
      </c>
      <c r="F259" s="115">
        <v>2025</v>
      </c>
      <c r="G259" s="115">
        <v>5</v>
      </c>
      <c r="H259" s="117">
        <v>436.58100000000002</v>
      </c>
      <c r="I259" s="112">
        <v>2.2664242542234758</v>
      </c>
    </row>
    <row r="260" spans="1:9">
      <c r="A260" s="111" t="s">
        <v>498</v>
      </c>
      <c r="B260" s="111" t="s">
        <v>518</v>
      </c>
      <c r="C260" s="115">
        <v>2020</v>
      </c>
      <c r="D260" s="115">
        <v>5</v>
      </c>
      <c r="E260" s="117">
        <v>389.87200000000001</v>
      </c>
      <c r="F260" s="115">
        <v>2025</v>
      </c>
      <c r="G260" s="115">
        <v>5</v>
      </c>
      <c r="H260" s="117">
        <v>436.58100000000002</v>
      </c>
      <c r="I260" s="112">
        <v>2.2889114876981642</v>
      </c>
    </row>
    <row r="261" spans="1:9">
      <c r="A261" s="111" t="s">
        <v>498</v>
      </c>
      <c r="B261" s="111" t="s">
        <v>518</v>
      </c>
      <c r="C261" s="115">
        <v>2021</v>
      </c>
      <c r="D261" s="115">
        <v>5</v>
      </c>
      <c r="E261" s="117">
        <v>401.14699999999999</v>
      </c>
      <c r="F261" s="115">
        <v>2025</v>
      </c>
      <c r="G261" s="115">
        <v>5</v>
      </c>
      <c r="H261" s="117">
        <v>436.58100000000002</v>
      </c>
      <c r="I261" s="112">
        <v>2.1386987568569489</v>
      </c>
    </row>
    <row r="262" spans="1:9">
      <c r="A262" s="111" t="s">
        <v>498</v>
      </c>
      <c r="B262" s="111" t="s">
        <v>518</v>
      </c>
      <c r="C262" s="115">
        <v>2022</v>
      </c>
      <c r="D262" s="115">
        <v>5</v>
      </c>
      <c r="E262" s="117">
        <v>408.87299999999999</v>
      </c>
      <c r="F262" s="115">
        <v>2025</v>
      </c>
      <c r="G262" s="115">
        <v>5</v>
      </c>
      <c r="H262" s="117">
        <v>436.58100000000002</v>
      </c>
      <c r="I262" s="112">
        <v>2.2097045331140648</v>
      </c>
    </row>
    <row r="263" spans="1:9">
      <c r="A263" s="111" t="s">
        <v>498</v>
      </c>
      <c r="B263" s="111" t="s">
        <v>518</v>
      </c>
      <c r="C263" s="115">
        <v>2023</v>
      </c>
      <c r="D263" s="115">
        <v>5</v>
      </c>
      <c r="E263" s="117">
        <v>416.99799999999999</v>
      </c>
      <c r="F263" s="115">
        <v>2025</v>
      </c>
      <c r="G263" s="115">
        <v>5</v>
      </c>
      <c r="H263" s="117">
        <v>436.58100000000002</v>
      </c>
      <c r="I263" s="112">
        <v>2.3211540167605178</v>
      </c>
    </row>
    <row r="264" spans="1:9">
      <c r="A264" s="111" t="s">
        <v>498</v>
      </c>
      <c r="B264" s="111" t="s">
        <v>518</v>
      </c>
      <c r="C264" s="115">
        <v>2024</v>
      </c>
      <c r="D264" s="115">
        <v>5</v>
      </c>
      <c r="E264" s="117">
        <v>426.24400000000003</v>
      </c>
      <c r="F264" s="115">
        <v>2025</v>
      </c>
      <c r="G264" s="115">
        <v>5</v>
      </c>
      <c r="H264" s="117">
        <v>436.58100000000002</v>
      </c>
      <c r="I264" s="112">
        <v>2.4251367761188409</v>
      </c>
    </row>
    <row r="265" spans="1:9">
      <c r="A265" s="111" t="s">
        <v>500</v>
      </c>
      <c r="B265" s="111" t="s">
        <v>519</v>
      </c>
      <c r="C265" s="115">
        <v>1987</v>
      </c>
      <c r="D265" s="115">
        <v>5</v>
      </c>
      <c r="E265" s="117">
        <v>101.9</v>
      </c>
      <c r="F265" s="115">
        <v>2025</v>
      </c>
      <c r="G265" s="115">
        <v>5</v>
      </c>
      <c r="H265" s="117">
        <v>265.738</v>
      </c>
      <c r="I265" s="112">
        <v>2.5545003613894668</v>
      </c>
    </row>
    <row r="266" spans="1:9">
      <c r="A266" s="111" t="s">
        <v>500</v>
      </c>
      <c r="B266" s="111" t="s">
        <v>519</v>
      </c>
      <c r="C266" s="115">
        <v>1988</v>
      </c>
      <c r="D266" s="115">
        <v>5</v>
      </c>
      <c r="E266" s="117">
        <v>108.2</v>
      </c>
      <c r="F266" s="115">
        <v>2025</v>
      </c>
      <c r="G266" s="115">
        <v>5</v>
      </c>
      <c r="H266" s="117">
        <v>265.738</v>
      </c>
      <c r="I266" s="112">
        <v>2.4581852866961018</v>
      </c>
    </row>
    <row r="267" spans="1:9">
      <c r="A267" s="111" t="s">
        <v>500</v>
      </c>
      <c r="B267" s="111" t="s">
        <v>519</v>
      </c>
      <c r="C267" s="115">
        <v>1989</v>
      </c>
      <c r="D267" s="115">
        <v>5</v>
      </c>
      <c r="E267" s="117">
        <v>113.3</v>
      </c>
      <c r="F267" s="115">
        <v>2025</v>
      </c>
      <c r="G267" s="115">
        <v>5</v>
      </c>
      <c r="H267" s="117">
        <v>265.738</v>
      </c>
      <c r="I267" s="112">
        <v>2.396236114613171</v>
      </c>
    </row>
    <row r="268" spans="1:9">
      <c r="A268" s="111" t="s">
        <v>500</v>
      </c>
      <c r="B268" s="111" t="s">
        <v>519</v>
      </c>
      <c r="C268" s="115">
        <v>1990</v>
      </c>
      <c r="D268" s="115">
        <v>5</v>
      </c>
      <c r="E268" s="117">
        <v>119.5</v>
      </c>
      <c r="F268" s="115">
        <v>2025</v>
      </c>
      <c r="G268" s="115">
        <v>5</v>
      </c>
      <c r="H268" s="117">
        <v>265.738</v>
      </c>
      <c r="I268" s="112">
        <v>2.3096822636733849</v>
      </c>
    </row>
    <row r="269" spans="1:9">
      <c r="A269" s="111" t="s">
        <v>500</v>
      </c>
      <c r="B269" s="111" t="s">
        <v>519</v>
      </c>
      <c r="C269" s="115">
        <v>1991</v>
      </c>
      <c r="D269" s="115">
        <v>5</v>
      </c>
      <c r="E269" s="117">
        <v>126.6</v>
      </c>
      <c r="F269" s="115">
        <v>2025</v>
      </c>
      <c r="G269" s="115">
        <v>5</v>
      </c>
      <c r="H269" s="117">
        <v>265.738</v>
      </c>
      <c r="I269" s="112">
        <v>2.2047723425254082</v>
      </c>
    </row>
    <row r="270" spans="1:9">
      <c r="A270" s="111" t="s">
        <v>500</v>
      </c>
      <c r="B270" s="111" t="s">
        <v>519</v>
      </c>
      <c r="C270" s="115">
        <v>1992</v>
      </c>
      <c r="D270" s="115">
        <v>5</v>
      </c>
      <c r="E270" s="117">
        <v>131.6</v>
      </c>
      <c r="F270" s="115">
        <v>2025</v>
      </c>
      <c r="G270" s="115">
        <v>5</v>
      </c>
      <c r="H270" s="117">
        <v>265.738</v>
      </c>
      <c r="I270" s="112">
        <v>2.1523630292235252</v>
      </c>
    </row>
    <row r="271" spans="1:9">
      <c r="A271" s="111" t="s">
        <v>500</v>
      </c>
      <c r="B271" s="111" t="s">
        <v>519</v>
      </c>
      <c r="C271" s="115">
        <v>1993</v>
      </c>
      <c r="D271" s="115">
        <v>5</v>
      </c>
      <c r="E271" s="117">
        <v>136</v>
      </c>
      <c r="F271" s="115">
        <v>2025</v>
      </c>
      <c r="G271" s="115">
        <v>5</v>
      </c>
      <c r="H271" s="117">
        <v>265.738</v>
      </c>
      <c r="I271" s="112">
        <v>2.1153631262205601</v>
      </c>
    </row>
    <row r="272" spans="1:9">
      <c r="A272" s="111" t="s">
        <v>500</v>
      </c>
      <c r="B272" s="111" t="s">
        <v>519</v>
      </c>
      <c r="C272" s="115">
        <v>1994</v>
      </c>
      <c r="D272" s="115">
        <v>5</v>
      </c>
      <c r="E272" s="117">
        <v>141.30000000000001</v>
      </c>
      <c r="F272" s="115">
        <v>2025</v>
      </c>
      <c r="G272" s="115">
        <v>5</v>
      </c>
      <c r="H272" s="117">
        <v>265.738</v>
      </c>
      <c r="I272" s="112">
        <v>2.0584006079218402</v>
      </c>
    </row>
    <row r="273" spans="1:9">
      <c r="A273" s="111" t="s">
        <v>500</v>
      </c>
      <c r="B273" s="111" t="s">
        <v>519</v>
      </c>
      <c r="C273" s="115">
        <v>1995</v>
      </c>
      <c r="D273" s="115">
        <v>5</v>
      </c>
      <c r="E273" s="117">
        <v>144.69999999999999</v>
      </c>
      <c r="F273" s="115">
        <v>2025</v>
      </c>
      <c r="G273" s="115">
        <v>5</v>
      </c>
      <c r="H273" s="117">
        <v>265.738</v>
      </c>
      <c r="I273" s="112">
        <v>2.0468267342111051</v>
      </c>
    </row>
    <row r="274" spans="1:9">
      <c r="A274" s="111" t="s">
        <v>500</v>
      </c>
      <c r="B274" s="111" t="s">
        <v>519</v>
      </c>
      <c r="C274" s="115">
        <v>1996</v>
      </c>
      <c r="D274" s="115">
        <v>5</v>
      </c>
      <c r="E274" s="117">
        <v>146.4</v>
      </c>
      <c r="F274" s="115">
        <v>2025</v>
      </c>
      <c r="G274" s="115">
        <v>5</v>
      </c>
      <c r="H274" s="117">
        <v>265.738</v>
      </c>
      <c r="I274" s="112">
        <v>2.077028757777466</v>
      </c>
    </row>
    <row r="275" spans="1:9">
      <c r="A275" s="111" t="s">
        <v>500</v>
      </c>
      <c r="B275" s="111" t="s">
        <v>519</v>
      </c>
      <c r="C275" s="115">
        <v>1997</v>
      </c>
      <c r="D275" s="115">
        <v>5</v>
      </c>
      <c r="E275" s="117">
        <v>152.1</v>
      </c>
      <c r="F275" s="115">
        <v>2025</v>
      </c>
      <c r="G275" s="115">
        <v>5</v>
      </c>
      <c r="H275" s="117">
        <v>265.738</v>
      </c>
      <c r="I275" s="112">
        <v>2.0127475085388151</v>
      </c>
    </row>
    <row r="276" spans="1:9">
      <c r="A276" s="111" t="s">
        <v>500</v>
      </c>
      <c r="B276" s="111" t="s">
        <v>519</v>
      </c>
      <c r="C276" s="115">
        <v>1998</v>
      </c>
      <c r="D276" s="115">
        <v>5</v>
      </c>
      <c r="E276" s="117">
        <v>155.80000000000001</v>
      </c>
      <c r="F276" s="115">
        <v>2025</v>
      </c>
      <c r="G276" s="115">
        <v>5</v>
      </c>
      <c r="H276" s="117">
        <v>265.738</v>
      </c>
      <c r="I276" s="112">
        <v>1.9972301352348729</v>
      </c>
    </row>
    <row r="277" spans="1:9">
      <c r="A277" s="111" t="s">
        <v>500</v>
      </c>
      <c r="B277" s="111" t="s">
        <v>519</v>
      </c>
      <c r="C277" s="115">
        <v>1999</v>
      </c>
      <c r="D277" s="115">
        <v>5</v>
      </c>
      <c r="E277" s="117">
        <v>158.6</v>
      </c>
      <c r="F277" s="115">
        <v>2025</v>
      </c>
      <c r="G277" s="115">
        <v>5</v>
      </c>
      <c r="H277" s="117">
        <v>265.738</v>
      </c>
      <c r="I277" s="112">
        <v>2.0049323766436311</v>
      </c>
    </row>
    <row r="278" spans="1:9">
      <c r="A278" s="111" t="s">
        <v>500</v>
      </c>
      <c r="B278" s="111" t="s">
        <v>519</v>
      </c>
      <c r="C278" s="115">
        <v>2000</v>
      </c>
      <c r="D278" s="115">
        <v>5</v>
      </c>
      <c r="E278" s="117">
        <v>161.4</v>
      </c>
      <c r="F278" s="115">
        <v>2025</v>
      </c>
      <c r="G278" s="115">
        <v>5</v>
      </c>
      <c r="H278" s="117">
        <v>265.738</v>
      </c>
      <c r="I278" s="112">
        <v>2.014523478663222</v>
      </c>
    </row>
    <row r="279" spans="1:9">
      <c r="A279" s="111" t="s">
        <v>500</v>
      </c>
      <c r="B279" s="111" t="s">
        <v>519</v>
      </c>
      <c r="C279" s="115">
        <v>2001</v>
      </c>
      <c r="D279" s="115">
        <v>5</v>
      </c>
      <c r="E279" s="117">
        <v>166.8</v>
      </c>
      <c r="F279" s="115">
        <v>2025</v>
      </c>
      <c r="G279" s="115">
        <v>5</v>
      </c>
      <c r="H279" s="117">
        <v>265.738</v>
      </c>
      <c r="I279" s="112">
        <v>1.9594304130161391</v>
      </c>
    </row>
    <row r="280" spans="1:9">
      <c r="A280" s="111" t="s">
        <v>500</v>
      </c>
      <c r="B280" s="111" t="s">
        <v>519</v>
      </c>
      <c r="C280" s="115">
        <v>2002</v>
      </c>
      <c r="D280" s="115">
        <v>5</v>
      </c>
      <c r="E280" s="117">
        <v>171.4</v>
      </c>
      <c r="F280" s="115">
        <v>2025</v>
      </c>
      <c r="G280" s="115">
        <v>5</v>
      </c>
      <c r="H280" s="117">
        <v>265.738</v>
      </c>
      <c r="I280" s="112">
        <v>1.92486001861254</v>
      </c>
    </row>
    <row r="281" spans="1:9">
      <c r="A281" s="111" t="s">
        <v>500</v>
      </c>
      <c r="B281" s="111" t="s">
        <v>519</v>
      </c>
      <c r="C281" s="115">
        <v>2003</v>
      </c>
      <c r="D281" s="115">
        <v>5</v>
      </c>
      <c r="E281" s="117">
        <v>176.3</v>
      </c>
      <c r="F281" s="115">
        <v>2025</v>
      </c>
      <c r="G281" s="115">
        <v>5</v>
      </c>
      <c r="H281" s="117">
        <v>265.738</v>
      </c>
      <c r="I281" s="112">
        <v>1.882609832574045</v>
      </c>
    </row>
    <row r="282" spans="1:9">
      <c r="A282" s="111" t="s">
        <v>500</v>
      </c>
      <c r="B282" s="111" t="s">
        <v>519</v>
      </c>
      <c r="C282" s="115">
        <v>2004</v>
      </c>
      <c r="D282" s="115">
        <v>5</v>
      </c>
      <c r="E282" s="117">
        <v>181.8</v>
      </c>
      <c r="F282" s="115">
        <v>2025</v>
      </c>
      <c r="G282" s="115">
        <v>5</v>
      </c>
      <c r="H282" s="117">
        <v>265.738</v>
      </c>
      <c r="I282" s="112">
        <v>1.8240732064698679</v>
      </c>
    </row>
    <row r="283" spans="1:9">
      <c r="A283" s="111" t="s">
        <v>500</v>
      </c>
      <c r="B283" s="111" t="s">
        <v>519</v>
      </c>
      <c r="C283" s="115">
        <v>2005</v>
      </c>
      <c r="D283" s="115">
        <v>5</v>
      </c>
      <c r="E283" s="117">
        <v>186.7</v>
      </c>
      <c r="F283" s="115">
        <v>2025</v>
      </c>
      <c r="G283" s="115">
        <v>5</v>
      </c>
      <c r="H283" s="117">
        <v>265.738</v>
      </c>
      <c r="I283" s="112">
        <v>1.7807079178926659</v>
      </c>
    </row>
    <row r="284" spans="1:9">
      <c r="A284" s="111" t="s">
        <v>500</v>
      </c>
      <c r="B284" s="111" t="s">
        <v>519</v>
      </c>
      <c r="C284" s="115">
        <v>2006</v>
      </c>
      <c r="D284" s="115">
        <v>5</v>
      </c>
      <c r="E284" s="117">
        <v>191.4</v>
      </c>
      <c r="F284" s="115">
        <v>2025</v>
      </c>
      <c r="G284" s="115">
        <v>5</v>
      </c>
      <c r="H284" s="117">
        <v>265.738</v>
      </c>
      <c r="I284" s="112">
        <v>1.7420812320686929</v>
      </c>
    </row>
    <row r="285" spans="1:9">
      <c r="A285" s="111" t="s">
        <v>500</v>
      </c>
      <c r="B285" s="111" t="s">
        <v>519</v>
      </c>
      <c r="C285" s="115">
        <v>2007</v>
      </c>
      <c r="D285" s="115">
        <v>5</v>
      </c>
      <c r="E285" s="117">
        <v>196.96</v>
      </c>
      <c r="F285" s="115">
        <v>2025</v>
      </c>
      <c r="G285" s="115">
        <v>5</v>
      </c>
      <c r="H285" s="117">
        <v>265.738</v>
      </c>
      <c r="I285" s="112">
        <v>1.6778662250495511</v>
      </c>
    </row>
    <row r="286" spans="1:9">
      <c r="A286" s="111" t="s">
        <v>500</v>
      </c>
      <c r="B286" s="111" t="s">
        <v>519</v>
      </c>
      <c r="C286" s="115">
        <v>2008</v>
      </c>
      <c r="D286" s="115">
        <v>5</v>
      </c>
      <c r="E286" s="117">
        <v>204.70599999999999</v>
      </c>
      <c r="F286" s="115">
        <v>2025</v>
      </c>
      <c r="G286" s="115">
        <v>5</v>
      </c>
      <c r="H286" s="117">
        <v>265.738</v>
      </c>
      <c r="I286" s="112">
        <v>1.546758354155608</v>
      </c>
    </row>
    <row r="287" spans="1:9">
      <c r="A287" s="111" t="s">
        <v>500</v>
      </c>
      <c r="B287" s="111" t="s">
        <v>519</v>
      </c>
      <c r="C287" s="115">
        <v>2009</v>
      </c>
      <c r="D287" s="115">
        <v>5</v>
      </c>
      <c r="E287" s="117">
        <v>209.02099999999999</v>
      </c>
      <c r="F287" s="115">
        <v>2025</v>
      </c>
      <c r="G287" s="115">
        <v>5</v>
      </c>
      <c r="H287" s="117">
        <v>265.738</v>
      </c>
      <c r="I287" s="112">
        <v>1.5117895017058069</v>
      </c>
    </row>
    <row r="288" spans="1:9">
      <c r="A288" s="111" t="s">
        <v>500</v>
      </c>
      <c r="B288" s="111" t="s">
        <v>519</v>
      </c>
      <c r="C288" s="115">
        <v>2010</v>
      </c>
      <c r="D288" s="115">
        <v>5</v>
      </c>
      <c r="E288" s="117">
        <v>213.703</v>
      </c>
      <c r="F288" s="115">
        <v>2025</v>
      </c>
      <c r="G288" s="115">
        <v>5</v>
      </c>
      <c r="H288" s="117">
        <v>265.738</v>
      </c>
      <c r="I288" s="112">
        <v>1.4634291903573571</v>
      </c>
    </row>
    <row r="289" spans="1:9">
      <c r="A289" s="111" t="s">
        <v>500</v>
      </c>
      <c r="B289" s="111" t="s">
        <v>519</v>
      </c>
      <c r="C289" s="115">
        <v>2011</v>
      </c>
      <c r="D289" s="115">
        <v>5</v>
      </c>
      <c r="E289" s="117">
        <v>217.35900000000001</v>
      </c>
      <c r="F289" s="115">
        <v>2025</v>
      </c>
      <c r="G289" s="115">
        <v>5</v>
      </c>
      <c r="H289" s="117">
        <v>265.738</v>
      </c>
      <c r="I289" s="112">
        <v>1.4457839166544419</v>
      </c>
    </row>
    <row r="290" spans="1:9">
      <c r="A290" s="111" t="s">
        <v>500</v>
      </c>
      <c r="B290" s="111" t="s">
        <v>519</v>
      </c>
      <c r="C290" s="115">
        <v>2012</v>
      </c>
      <c r="D290" s="115">
        <v>5</v>
      </c>
      <c r="E290" s="117">
        <v>219.65299999999999</v>
      </c>
      <c r="F290" s="115">
        <v>2025</v>
      </c>
      <c r="G290" s="115">
        <v>5</v>
      </c>
      <c r="H290" s="117">
        <v>265.738</v>
      </c>
      <c r="I290" s="112">
        <v>1.4758760841447449</v>
      </c>
    </row>
    <row r="291" spans="1:9">
      <c r="A291" s="111" t="s">
        <v>500</v>
      </c>
      <c r="B291" s="111" t="s">
        <v>519</v>
      </c>
      <c r="C291" s="115">
        <v>2013</v>
      </c>
      <c r="D291" s="115">
        <v>5</v>
      </c>
      <c r="E291" s="117">
        <v>222.518</v>
      </c>
      <c r="F291" s="115">
        <v>2025</v>
      </c>
      <c r="G291" s="115">
        <v>5</v>
      </c>
      <c r="H291" s="117">
        <v>265.738</v>
      </c>
      <c r="I291" s="112">
        <v>1.4901846958926379</v>
      </c>
    </row>
    <row r="292" spans="1:9">
      <c r="A292" s="111" t="s">
        <v>500</v>
      </c>
      <c r="B292" s="111" t="s">
        <v>519</v>
      </c>
      <c r="C292" s="115">
        <v>2014</v>
      </c>
      <c r="D292" s="115">
        <v>5</v>
      </c>
      <c r="E292" s="117">
        <v>225.29499999999999</v>
      </c>
      <c r="F292" s="115">
        <v>2025</v>
      </c>
      <c r="G292" s="115">
        <v>5</v>
      </c>
      <c r="H292" s="117">
        <v>265.738</v>
      </c>
      <c r="I292" s="112">
        <v>1.5122312007629151</v>
      </c>
    </row>
    <row r="293" spans="1:9">
      <c r="A293" s="111" t="s">
        <v>500</v>
      </c>
      <c r="B293" s="111" t="s">
        <v>519</v>
      </c>
      <c r="C293" s="115">
        <v>2015</v>
      </c>
      <c r="D293" s="115">
        <v>5</v>
      </c>
      <c r="E293" s="117">
        <v>228.02699999999999</v>
      </c>
      <c r="F293" s="115">
        <v>2025</v>
      </c>
      <c r="G293" s="115">
        <v>5</v>
      </c>
      <c r="H293" s="117">
        <v>265.738</v>
      </c>
      <c r="I293" s="112">
        <v>1.5422398211753401</v>
      </c>
    </row>
    <row r="294" spans="1:9">
      <c r="A294" s="111" t="s">
        <v>500</v>
      </c>
      <c r="B294" s="111" t="s">
        <v>519</v>
      </c>
      <c r="C294" s="115">
        <v>2016</v>
      </c>
      <c r="D294" s="115">
        <v>5</v>
      </c>
      <c r="E294" s="117">
        <v>231.20599999999999</v>
      </c>
      <c r="F294" s="115">
        <v>2025</v>
      </c>
      <c r="G294" s="115">
        <v>5</v>
      </c>
      <c r="H294" s="117">
        <v>265.738</v>
      </c>
      <c r="I294" s="112">
        <v>1.558709466405195</v>
      </c>
    </row>
    <row r="295" spans="1:9">
      <c r="A295" s="111" t="s">
        <v>500</v>
      </c>
      <c r="B295" s="111" t="s">
        <v>519</v>
      </c>
      <c r="C295" s="115">
        <v>2017</v>
      </c>
      <c r="D295" s="115">
        <v>5</v>
      </c>
      <c r="E295" s="117">
        <v>236.29300000000001</v>
      </c>
      <c r="F295" s="115">
        <v>2025</v>
      </c>
      <c r="G295" s="115">
        <v>5</v>
      </c>
      <c r="H295" s="117">
        <v>265.738</v>
      </c>
      <c r="I295" s="112">
        <v>1.4788064835325581</v>
      </c>
    </row>
    <row r="296" spans="1:9">
      <c r="A296" s="111" t="s">
        <v>500</v>
      </c>
      <c r="B296" s="111" t="s">
        <v>519</v>
      </c>
      <c r="C296" s="115">
        <v>2018</v>
      </c>
      <c r="D296" s="115">
        <v>5</v>
      </c>
      <c r="E296" s="117">
        <v>237.66300000000001</v>
      </c>
      <c r="F296" s="115">
        <v>2025</v>
      </c>
      <c r="G296" s="115">
        <v>5</v>
      </c>
      <c r="H296" s="117">
        <v>265.738</v>
      </c>
      <c r="I296" s="112">
        <v>1.607891912758852</v>
      </c>
    </row>
    <row r="297" spans="1:9">
      <c r="A297" s="111" t="s">
        <v>500</v>
      </c>
      <c r="B297" s="111" t="s">
        <v>519</v>
      </c>
      <c r="C297" s="115">
        <v>2019</v>
      </c>
      <c r="D297" s="115">
        <v>5</v>
      </c>
      <c r="E297" s="117">
        <v>238.94200000000001</v>
      </c>
      <c r="F297" s="115">
        <v>2025</v>
      </c>
      <c r="G297" s="115">
        <v>5</v>
      </c>
      <c r="H297" s="117">
        <v>265.738</v>
      </c>
      <c r="I297" s="112">
        <v>1.787284405724199</v>
      </c>
    </row>
    <row r="298" spans="1:9">
      <c r="A298" s="111" t="s">
        <v>500</v>
      </c>
      <c r="B298" s="111" t="s">
        <v>519</v>
      </c>
      <c r="C298" s="115">
        <v>2020</v>
      </c>
      <c r="D298" s="115">
        <v>5</v>
      </c>
      <c r="E298" s="117">
        <v>241.41900000000001</v>
      </c>
      <c r="F298" s="115">
        <v>2025</v>
      </c>
      <c r="G298" s="115">
        <v>5</v>
      </c>
      <c r="H298" s="117">
        <v>265.738</v>
      </c>
      <c r="I298" s="112">
        <v>1.9380785155116429</v>
      </c>
    </row>
    <row r="299" spans="1:9">
      <c r="A299" s="111" t="s">
        <v>500</v>
      </c>
      <c r="B299" s="111" t="s">
        <v>519</v>
      </c>
      <c r="C299" s="115">
        <v>2021</v>
      </c>
      <c r="D299" s="115">
        <v>5</v>
      </c>
      <c r="E299" s="117">
        <v>247.78399999999999</v>
      </c>
      <c r="F299" s="115">
        <v>2025</v>
      </c>
      <c r="G299" s="115">
        <v>5</v>
      </c>
      <c r="H299" s="117">
        <v>265.738</v>
      </c>
      <c r="I299" s="112">
        <v>1.764218234202853</v>
      </c>
    </row>
    <row r="300" spans="1:9">
      <c r="A300" s="111" t="s">
        <v>500</v>
      </c>
      <c r="B300" s="111" t="s">
        <v>519</v>
      </c>
      <c r="C300" s="115">
        <v>2022</v>
      </c>
      <c r="D300" s="115">
        <v>5</v>
      </c>
      <c r="E300" s="117">
        <v>259.02600000000001</v>
      </c>
      <c r="F300" s="115">
        <v>2025</v>
      </c>
      <c r="G300" s="115">
        <v>5</v>
      </c>
      <c r="H300" s="117">
        <v>265.738</v>
      </c>
      <c r="I300" s="112">
        <v>0.85639352061606111</v>
      </c>
    </row>
    <row r="301" spans="1:9">
      <c r="A301" s="111" t="s">
        <v>500</v>
      </c>
      <c r="B301" s="111" t="s">
        <v>519</v>
      </c>
      <c r="C301" s="115">
        <v>2023</v>
      </c>
      <c r="D301" s="115">
        <v>5</v>
      </c>
      <c r="E301" s="117">
        <v>261.04899999999998</v>
      </c>
      <c r="F301" s="115">
        <v>2025</v>
      </c>
      <c r="G301" s="115">
        <v>5</v>
      </c>
      <c r="H301" s="117">
        <v>265.738</v>
      </c>
      <c r="I301" s="112">
        <v>0.89411008765103439</v>
      </c>
    </row>
    <row r="302" spans="1:9">
      <c r="A302" s="111" t="s">
        <v>500</v>
      </c>
      <c r="B302" s="111" t="s">
        <v>519</v>
      </c>
      <c r="C302" s="115">
        <v>2024</v>
      </c>
      <c r="D302" s="115">
        <v>5</v>
      </c>
      <c r="E302" s="117">
        <v>259.58699999999999</v>
      </c>
      <c r="F302" s="115">
        <v>2025</v>
      </c>
      <c r="G302" s="115">
        <v>5</v>
      </c>
      <c r="H302" s="117">
        <v>265.738</v>
      </c>
      <c r="I302" s="112">
        <v>2.3695331430310551</v>
      </c>
    </row>
    <row r="303" spans="1:9">
      <c r="A303" s="111" t="s">
        <v>503</v>
      </c>
      <c r="B303" s="111" t="s">
        <v>520</v>
      </c>
      <c r="C303" s="115">
        <v>1978</v>
      </c>
      <c r="D303" s="115">
        <v>5</v>
      </c>
      <c r="E303" s="117">
        <v>54.3</v>
      </c>
      <c r="F303" s="115">
        <v>2025</v>
      </c>
      <c r="G303" s="115">
        <v>5</v>
      </c>
      <c r="H303" s="117">
        <v>1137.3489999999999</v>
      </c>
      <c r="I303" s="112">
        <v>6.6862331120551177</v>
      </c>
    </row>
    <row r="304" spans="1:9">
      <c r="A304" s="111" t="s">
        <v>503</v>
      </c>
      <c r="B304" s="111" t="s">
        <v>520</v>
      </c>
      <c r="C304" s="115">
        <v>1979</v>
      </c>
      <c r="D304" s="115">
        <v>5</v>
      </c>
      <c r="E304" s="117">
        <v>59.9</v>
      </c>
      <c r="F304" s="115">
        <v>2025</v>
      </c>
      <c r="G304" s="115">
        <v>5</v>
      </c>
      <c r="H304" s="117">
        <v>1137.3489999999999</v>
      </c>
      <c r="I304" s="112">
        <v>6.6087274337410804</v>
      </c>
    </row>
    <row r="305" spans="1:9">
      <c r="A305" s="111" t="s">
        <v>503</v>
      </c>
      <c r="B305" s="111" t="s">
        <v>520</v>
      </c>
      <c r="C305" s="115">
        <v>1980</v>
      </c>
      <c r="D305" s="115">
        <v>5</v>
      </c>
      <c r="E305" s="117">
        <v>67.599999999999994</v>
      </c>
      <c r="F305" s="115">
        <v>2025</v>
      </c>
      <c r="G305" s="115">
        <v>5</v>
      </c>
      <c r="H305" s="117">
        <v>1137.3489999999999</v>
      </c>
      <c r="I305" s="112">
        <v>6.4739259560287588</v>
      </c>
    </row>
    <row r="306" spans="1:9">
      <c r="A306" s="111" t="s">
        <v>503</v>
      </c>
      <c r="B306" s="111" t="s">
        <v>520</v>
      </c>
      <c r="C306" s="115">
        <v>1981</v>
      </c>
      <c r="D306" s="115">
        <v>5</v>
      </c>
      <c r="E306" s="117">
        <v>76.900000000000006</v>
      </c>
      <c r="F306" s="115">
        <v>2025</v>
      </c>
      <c r="G306" s="115">
        <v>5</v>
      </c>
      <c r="H306" s="117">
        <v>1137.3489999999999</v>
      </c>
      <c r="I306" s="112">
        <v>6.3139289821500411</v>
      </c>
    </row>
    <row r="307" spans="1:9">
      <c r="A307" s="111" t="s">
        <v>503</v>
      </c>
      <c r="B307" s="111" t="s">
        <v>520</v>
      </c>
      <c r="C307" s="115">
        <v>1982</v>
      </c>
      <c r="D307" s="115">
        <v>5</v>
      </c>
      <c r="E307" s="117">
        <v>88.5</v>
      </c>
      <c r="F307" s="115">
        <v>2025</v>
      </c>
      <c r="G307" s="115">
        <v>5</v>
      </c>
      <c r="H307" s="117">
        <v>1137.3489999999999</v>
      </c>
      <c r="I307" s="112">
        <v>6.1181196730336618</v>
      </c>
    </row>
    <row r="308" spans="1:9">
      <c r="A308" s="111" t="s">
        <v>503</v>
      </c>
      <c r="B308" s="111" t="s">
        <v>520</v>
      </c>
      <c r="C308" s="115">
        <v>1983</v>
      </c>
      <c r="D308" s="115">
        <v>5</v>
      </c>
      <c r="E308" s="117">
        <v>98.9</v>
      </c>
      <c r="F308" s="115">
        <v>2025</v>
      </c>
      <c r="G308" s="115">
        <v>5</v>
      </c>
      <c r="H308" s="117">
        <v>1137.3489999999999</v>
      </c>
      <c r="I308" s="112">
        <v>5.9875129637022129</v>
      </c>
    </row>
    <row r="309" spans="1:9">
      <c r="A309" s="111" t="s">
        <v>503</v>
      </c>
      <c r="B309" s="111" t="s">
        <v>520</v>
      </c>
      <c r="C309" s="115">
        <v>1984</v>
      </c>
      <c r="D309" s="115">
        <v>5</v>
      </c>
      <c r="E309" s="117">
        <v>107.8</v>
      </c>
      <c r="F309" s="115">
        <v>2025</v>
      </c>
      <c r="G309" s="115">
        <v>5</v>
      </c>
      <c r="H309" s="117">
        <v>1137.3489999999999</v>
      </c>
      <c r="I309" s="112">
        <v>5.9151112126277994</v>
      </c>
    </row>
    <row r="310" spans="1:9">
      <c r="A310" s="111" t="s">
        <v>503</v>
      </c>
      <c r="B310" s="111" t="s">
        <v>520</v>
      </c>
      <c r="C310" s="115">
        <v>1985</v>
      </c>
      <c r="D310" s="115">
        <v>5</v>
      </c>
      <c r="E310" s="117">
        <v>115.3</v>
      </c>
      <c r="F310" s="115">
        <v>2025</v>
      </c>
      <c r="G310" s="115">
        <v>5</v>
      </c>
      <c r="H310" s="117">
        <v>1137.3489999999999</v>
      </c>
      <c r="I310" s="112">
        <v>5.8891863160798419</v>
      </c>
    </row>
    <row r="311" spans="1:9">
      <c r="A311" s="111" t="s">
        <v>503</v>
      </c>
      <c r="B311" s="111" t="s">
        <v>520</v>
      </c>
      <c r="C311" s="115">
        <v>1986</v>
      </c>
      <c r="D311" s="115">
        <v>5</v>
      </c>
      <c r="E311" s="117">
        <v>121.5</v>
      </c>
      <c r="F311" s="115">
        <v>2025</v>
      </c>
      <c r="G311" s="115">
        <v>5</v>
      </c>
      <c r="H311" s="117">
        <v>1137.3489999999999</v>
      </c>
      <c r="I311" s="112">
        <v>5.9023448524325506</v>
      </c>
    </row>
    <row r="312" spans="1:9">
      <c r="A312" s="111" t="s">
        <v>503</v>
      </c>
      <c r="B312" s="111" t="s">
        <v>520</v>
      </c>
      <c r="C312" s="115">
        <v>1987</v>
      </c>
      <c r="D312" s="115">
        <v>5</v>
      </c>
      <c r="E312" s="117">
        <v>130.1</v>
      </c>
      <c r="F312" s="115">
        <v>2025</v>
      </c>
      <c r="G312" s="115">
        <v>5</v>
      </c>
      <c r="H312" s="117">
        <v>1137.3489999999999</v>
      </c>
      <c r="I312" s="112">
        <v>5.8715765700759537</v>
      </c>
    </row>
    <row r="313" spans="1:9">
      <c r="A313" s="111" t="s">
        <v>503</v>
      </c>
      <c r="B313" s="111" t="s">
        <v>520</v>
      </c>
      <c r="C313" s="115">
        <v>1988</v>
      </c>
      <c r="D313" s="115">
        <v>5</v>
      </c>
      <c r="E313" s="117">
        <v>141.80000000000001</v>
      </c>
      <c r="F313" s="115">
        <v>2025</v>
      </c>
      <c r="G313" s="115">
        <v>5</v>
      </c>
      <c r="H313" s="117">
        <v>1137.3489999999999</v>
      </c>
      <c r="I313" s="112">
        <v>5.7884639782948222</v>
      </c>
    </row>
    <row r="314" spans="1:9">
      <c r="A314" s="111" t="s">
        <v>503</v>
      </c>
      <c r="B314" s="111" t="s">
        <v>520</v>
      </c>
      <c r="C314" s="115">
        <v>1989</v>
      </c>
      <c r="D314" s="115">
        <v>5</v>
      </c>
      <c r="E314" s="117">
        <v>157.30000000000001</v>
      </c>
      <c r="F314" s="115">
        <v>2025</v>
      </c>
      <c r="G314" s="115">
        <v>5</v>
      </c>
      <c r="H314" s="117">
        <v>1137.3489999999999</v>
      </c>
      <c r="I314" s="112">
        <v>5.6490740816858453</v>
      </c>
    </row>
    <row r="315" spans="1:9">
      <c r="A315" s="111" t="s">
        <v>503</v>
      </c>
      <c r="B315" s="111" t="s">
        <v>520</v>
      </c>
      <c r="C315" s="115">
        <v>1990</v>
      </c>
      <c r="D315" s="115">
        <v>5</v>
      </c>
      <c r="E315" s="117">
        <v>174.3</v>
      </c>
      <c r="F315" s="115">
        <v>2025</v>
      </c>
      <c r="G315" s="115">
        <v>5</v>
      </c>
      <c r="H315" s="117">
        <v>1137.3489999999999</v>
      </c>
      <c r="I315" s="112">
        <v>5.5052769397964552</v>
      </c>
    </row>
    <row r="316" spans="1:9">
      <c r="A316" s="111" t="s">
        <v>503</v>
      </c>
      <c r="B316" s="111" t="s">
        <v>520</v>
      </c>
      <c r="C316" s="115">
        <v>1991</v>
      </c>
      <c r="D316" s="115">
        <v>5</v>
      </c>
      <c r="E316" s="117">
        <v>193.1</v>
      </c>
      <c r="F316" s="115">
        <v>2025</v>
      </c>
      <c r="G316" s="115">
        <v>5</v>
      </c>
      <c r="H316" s="117">
        <v>1137.3489999999999</v>
      </c>
      <c r="I316" s="112">
        <v>5.353832208218301</v>
      </c>
    </row>
    <row r="317" spans="1:9">
      <c r="A317" s="111" t="s">
        <v>503</v>
      </c>
      <c r="B317" s="111" t="s">
        <v>520</v>
      </c>
      <c r="C317" s="115">
        <v>1992</v>
      </c>
      <c r="D317" s="115">
        <v>5</v>
      </c>
      <c r="E317" s="117">
        <v>211.4</v>
      </c>
      <c r="F317" s="115">
        <v>2025</v>
      </c>
      <c r="G317" s="115">
        <v>5</v>
      </c>
      <c r="H317" s="117">
        <v>1137.3489999999999</v>
      </c>
      <c r="I317" s="112">
        <v>5.2313432666271531</v>
      </c>
    </row>
    <row r="318" spans="1:9">
      <c r="A318" s="111" t="s">
        <v>503</v>
      </c>
      <c r="B318" s="111" t="s">
        <v>520</v>
      </c>
      <c r="C318" s="115">
        <v>1993</v>
      </c>
      <c r="D318" s="115">
        <v>5</v>
      </c>
      <c r="E318" s="117">
        <v>230</v>
      </c>
      <c r="F318" s="115">
        <v>2025</v>
      </c>
      <c r="G318" s="115">
        <v>5</v>
      </c>
      <c r="H318" s="117">
        <v>1137.3489999999999</v>
      </c>
      <c r="I318" s="112">
        <v>5.1217748541475538</v>
      </c>
    </row>
    <row r="319" spans="1:9">
      <c r="A319" s="111" t="s">
        <v>503</v>
      </c>
      <c r="B319" s="111" t="s">
        <v>520</v>
      </c>
      <c r="C319" s="115">
        <v>1994</v>
      </c>
      <c r="D319" s="115">
        <v>5</v>
      </c>
      <c r="E319" s="117">
        <v>243.5</v>
      </c>
      <c r="F319" s="115">
        <v>2025</v>
      </c>
      <c r="G319" s="115">
        <v>5</v>
      </c>
      <c r="H319" s="117">
        <v>1137.3489999999999</v>
      </c>
      <c r="I319" s="112">
        <v>5.0977407251777684</v>
      </c>
    </row>
    <row r="320" spans="1:9">
      <c r="A320" s="111" t="s">
        <v>503</v>
      </c>
      <c r="B320" s="111" t="s">
        <v>520</v>
      </c>
      <c r="C320" s="115">
        <v>1995</v>
      </c>
      <c r="D320" s="115">
        <v>5</v>
      </c>
      <c r="E320" s="117">
        <v>255.6</v>
      </c>
      <c r="F320" s="115">
        <v>2025</v>
      </c>
      <c r="G320" s="115">
        <v>5</v>
      </c>
      <c r="H320" s="117">
        <v>1137.3489999999999</v>
      </c>
      <c r="I320" s="112">
        <v>5.102028153231819</v>
      </c>
    </row>
    <row r="321" spans="1:9">
      <c r="A321" s="111" t="s">
        <v>503</v>
      </c>
      <c r="B321" s="111" t="s">
        <v>520</v>
      </c>
      <c r="C321" s="115">
        <v>1996</v>
      </c>
      <c r="D321" s="115">
        <v>5</v>
      </c>
      <c r="E321" s="117">
        <v>267.60000000000002</v>
      </c>
      <c r="F321" s="115">
        <v>2025</v>
      </c>
      <c r="G321" s="115">
        <v>5</v>
      </c>
      <c r="H321" s="117">
        <v>1137.3489999999999</v>
      </c>
      <c r="I321" s="112">
        <v>5.1160974844973284</v>
      </c>
    </row>
    <row r="322" spans="1:9">
      <c r="A322" s="111" t="s">
        <v>503</v>
      </c>
      <c r="B322" s="111" t="s">
        <v>520</v>
      </c>
      <c r="C322" s="115">
        <v>1997</v>
      </c>
      <c r="D322" s="115">
        <v>5</v>
      </c>
      <c r="E322" s="117">
        <v>277.3</v>
      </c>
      <c r="F322" s="115">
        <v>2025</v>
      </c>
      <c r="G322" s="115">
        <v>5</v>
      </c>
      <c r="H322" s="117">
        <v>1137.3489999999999</v>
      </c>
      <c r="I322" s="112">
        <v>5.1697527415312416</v>
      </c>
    </row>
    <row r="323" spans="1:9">
      <c r="A323" s="111" t="s">
        <v>503</v>
      </c>
      <c r="B323" s="111" t="s">
        <v>520</v>
      </c>
      <c r="C323" s="115">
        <v>1998</v>
      </c>
      <c r="D323" s="115">
        <v>5</v>
      </c>
      <c r="E323" s="117">
        <v>285.60000000000002</v>
      </c>
      <c r="F323" s="115">
        <v>2025</v>
      </c>
      <c r="G323" s="115">
        <v>5</v>
      </c>
      <c r="H323" s="117">
        <v>1137.3489999999999</v>
      </c>
      <c r="I323" s="112">
        <v>5.2512451803016669</v>
      </c>
    </row>
    <row r="324" spans="1:9">
      <c r="A324" s="111" t="s">
        <v>503</v>
      </c>
      <c r="B324" s="111" t="s">
        <v>520</v>
      </c>
      <c r="C324" s="115">
        <v>1999</v>
      </c>
      <c r="D324" s="115">
        <v>5</v>
      </c>
      <c r="E324" s="117">
        <v>297</v>
      </c>
      <c r="F324" s="115">
        <v>2025</v>
      </c>
      <c r="G324" s="115">
        <v>5</v>
      </c>
      <c r="H324" s="117">
        <v>1137.3489999999999</v>
      </c>
      <c r="I324" s="112">
        <v>5.2999967357412192</v>
      </c>
    </row>
    <row r="325" spans="1:9">
      <c r="A325" s="111" t="s">
        <v>503</v>
      </c>
      <c r="B325" s="111" t="s">
        <v>520</v>
      </c>
      <c r="C325" s="115">
        <v>2000</v>
      </c>
      <c r="D325" s="115">
        <v>5</v>
      </c>
      <c r="E325" s="117">
        <v>313.5</v>
      </c>
      <c r="F325" s="115">
        <v>2025</v>
      </c>
      <c r="G325" s="115">
        <v>5</v>
      </c>
      <c r="H325" s="117">
        <v>1137.3489999999999</v>
      </c>
      <c r="I325" s="112">
        <v>5.2897872624996678</v>
      </c>
    </row>
    <row r="326" spans="1:9">
      <c r="A326" s="111" t="s">
        <v>503</v>
      </c>
      <c r="B326" s="111" t="s">
        <v>520</v>
      </c>
      <c r="C326" s="115">
        <v>2001</v>
      </c>
      <c r="D326" s="115">
        <v>5</v>
      </c>
      <c r="E326" s="117">
        <v>335.1</v>
      </c>
      <c r="F326" s="115">
        <v>2025</v>
      </c>
      <c r="G326" s="115">
        <v>5</v>
      </c>
      <c r="H326" s="117">
        <v>1137.3489999999999</v>
      </c>
      <c r="I326" s="112">
        <v>5.2236360822684116</v>
      </c>
    </row>
    <row r="327" spans="1:9">
      <c r="A327" s="111" t="s">
        <v>503</v>
      </c>
      <c r="B327" s="111" t="s">
        <v>520</v>
      </c>
      <c r="C327" s="115">
        <v>2002</v>
      </c>
      <c r="D327" s="115">
        <v>5</v>
      </c>
      <c r="E327" s="117">
        <v>364.5</v>
      </c>
      <c r="F327" s="115">
        <v>2025</v>
      </c>
      <c r="G327" s="115">
        <v>5</v>
      </c>
      <c r="H327" s="117">
        <v>1137.3489999999999</v>
      </c>
      <c r="I327" s="112">
        <v>5.0719499479133789</v>
      </c>
    </row>
    <row r="328" spans="1:9">
      <c r="A328" s="111" t="s">
        <v>503</v>
      </c>
      <c r="B328" s="111" t="s">
        <v>520</v>
      </c>
      <c r="C328" s="115">
        <v>2003</v>
      </c>
      <c r="D328" s="115">
        <v>5</v>
      </c>
      <c r="E328" s="117">
        <v>388.9</v>
      </c>
      <c r="F328" s="115">
        <v>2025</v>
      </c>
      <c r="G328" s="115">
        <v>5</v>
      </c>
      <c r="H328" s="117">
        <v>1137.3489999999999</v>
      </c>
      <c r="I328" s="112">
        <v>4.9988046384635174</v>
      </c>
    </row>
    <row r="329" spans="1:9">
      <c r="A329" s="111" t="s">
        <v>503</v>
      </c>
      <c r="B329" s="111" t="s">
        <v>520</v>
      </c>
      <c r="C329" s="115">
        <v>2004</v>
      </c>
      <c r="D329" s="115">
        <v>5</v>
      </c>
      <c r="E329" s="117">
        <v>414.6</v>
      </c>
      <c r="F329" s="115">
        <v>2025</v>
      </c>
      <c r="G329" s="115">
        <v>5</v>
      </c>
      <c r="H329" s="117">
        <v>1137.3489999999999</v>
      </c>
      <c r="I329" s="112">
        <v>4.9227671542858342</v>
      </c>
    </row>
    <row r="330" spans="1:9">
      <c r="A330" s="111" t="s">
        <v>503</v>
      </c>
      <c r="B330" s="111" t="s">
        <v>520</v>
      </c>
      <c r="C330" s="115">
        <v>2005</v>
      </c>
      <c r="D330" s="115">
        <v>5</v>
      </c>
      <c r="E330" s="117">
        <v>437.3</v>
      </c>
      <c r="F330" s="115">
        <v>2025</v>
      </c>
      <c r="G330" s="115">
        <v>5</v>
      </c>
      <c r="H330" s="117">
        <v>1137.3489999999999</v>
      </c>
      <c r="I330" s="112">
        <v>4.8952237393058873</v>
      </c>
    </row>
    <row r="331" spans="1:9">
      <c r="A331" s="111" t="s">
        <v>503</v>
      </c>
      <c r="B331" s="111" t="s">
        <v>520</v>
      </c>
      <c r="C331" s="115">
        <v>2006</v>
      </c>
      <c r="D331" s="115">
        <v>5</v>
      </c>
      <c r="E331" s="117">
        <v>466.1</v>
      </c>
      <c r="F331" s="115">
        <v>2025</v>
      </c>
      <c r="G331" s="115">
        <v>5</v>
      </c>
      <c r="H331" s="117">
        <v>1137.3489999999999</v>
      </c>
      <c r="I331" s="112">
        <v>4.8069890654089509</v>
      </c>
    </row>
    <row r="332" spans="1:9">
      <c r="A332" s="111" t="s">
        <v>503</v>
      </c>
      <c r="B332" s="111" t="s">
        <v>520</v>
      </c>
      <c r="C332" s="115">
        <v>2007</v>
      </c>
      <c r="D332" s="115">
        <v>5</v>
      </c>
      <c r="E332" s="117">
        <v>494.12200000000001</v>
      </c>
      <c r="F332" s="115">
        <v>2025</v>
      </c>
      <c r="G332" s="115">
        <v>5</v>
      </c>
      <c r="H332" s="117">
        <v>1137.3489999999999</v>
      </c>
      <c r="I332" s="112">
        <v>4.7404462687749227</v>
      </c>
    </row>
    <row r="333" spans="1:9">
      <c r="A333" s="111" t="s">
        <v>503</v>
      </c>
      <c r="B333" s="111" t="s">
        <v>520</v>
      </c>
      <c r="C333" s="115">
        <v>2008</v>
      </c>
      <c r="D333" s="115">
        <v>5</v>
      </c>
      <c r="E333" s="117">
        <v>531.02200000000005</v>
      </c>
      <c r="F333" s="115">
        <v>2025</v>
      </c>
      <c r="G333" s="115">
        <v>5</v>
      </c>
      <c r="H333" s="117">
        <v>1137.3489999999999</v>
      </c>
      <c r="I333" s="112">
        <v>4.5821870736069581</v>
      </c>
    </row>
    <row r="334" spans="1:9">
      <c r="A334" s="111" t="s">
        <v>503</v>
      </c>
      <c r="B334" s="111" t="s">
        <v>520</v>
      </c>
      <c r="C334" s="115">
        <v>2009</v>
      </c>
      <c r="D334" s="115">
        <v>5</v>
      </c>
      <c r="E334" s="117">
        <v>564.11199999999997</v>
      </c>
      <c r="F334" s="115">
        <v>2025</v>
      </c>
      <c r="G334" s="115">
        <v>5</v>
      </c>
      <c r="H334" s="117">
        <v>1137.3489999999999</v>
      </c>
      <c r="I334" s="112">
        <v>4.4799667543161892</v>
      </c>
    </row>
    <row r="335" spans="1:9">
      <c r="A335" s="111" t="s">
        <v>503</v>
      </c>
      <c r="B335" s="111" t="s">
        <v>520</v>
      </c>
      <c r="C335" s="115">
        <v>2010</v>
      </c>
      <c r="D335" s="115">
        <v>5</v>
      </c>
      <c r="E335" s="117">
        <v>605.31299999999999</v>
      </c>
      <c r="F335" s="115">
        <v>2025</v>
      </c>
      <c r="G335" s="115">
        <v>5</v>
      </c>
      <c r="H335" s="117">
        <v>1137.3489999999999</v>
      </c>
      <c r="I335" s="112">
        <v>4.2943823784855617</v>
      </c>
    </row>
    <row r="336" spans="1:9">
      <c r="A336" s="111" t="s">
        <v>503</v>
      </c>
      <c r="B336" s="111" t="s">
        <v>520</v>
      </c>
      <c r="C336" s="115">
        <v>2011</v>
      </c>
      <c r="D336" s="115">
        <v>5</v>
      </c>
      <c r="E336" s="117">
        <v>639.45600000000002</v>
      </c>
      <c r="F336" s="115">
        <v>2025</v>
      </c>
      <c r="G336" s="115">
        <v>5</v>
      </c>
      <c r="H336" s="117">
        <v>1137.3489999999999</v>
      </c>
      <c r="I336" s="112">
        <v>4.1988863552425038</v>
      </c>
    </row>
    <row r="337" spans="1:9">
      <c r="A337" s="111" t="s">
        <v>503</v>
      </c>
      <c r="B337" s="111" t="s">
        <v>520</v>
      </c>
      <c r="C337" s="115">
        <v>2012</v>
      </c>
      <c r="D337" s="115">
        <v>5</v>
      </c>
      <c r="E337" s="117">
        <v>669.47500000000002</v>
      </c>
      <c r="F337" s="115">
        <v>2025</v>
      </c>
      <c r="G337" s="115">
        <v>5</v>
      </c>
      <c r="H337" s="117">
        <v>1137.3489999999999</v>
      </c>
      <c r="I337" s="112">
        <v>4.1608626846388894</v>
      </c>
    </row>
    <row r="338" spans="1:9">
      <c r="A338" s="111" t="s">
        <v>503</v>
      </c>
      <c r="B338" s="111" t="s">
        <v>520</v>
      </c>
      <c r="C338" s="115">
        <v>2013</v>
      </c>
      <c r="D338" s="115">
        <v>5</v>
      </c>
      <c r="E338" s="117">
        <v>693.46699999999998</v>
      </c>
      <c r="F338" s="115">
        <v>2025</v>
      </c>
      <c r="G338" s="115">
        <v>5</v>
      </c>
      <c r="H338" s="117">
        <v>1137.3489999999999</v>
      </c>
      <c r="I338" s="112">
        <v>4.2091041856699318</v>
      </c>
    </row>
    <row r="339" spans="1:9">
      <c r="A339" s="111" t="s">
        <v>503</v>
      </c>
      <c r="B339" s="111" t="s">
        <v>520</v>
      </c>
      <c r="C339" s="115">
        <v>2014</v>
      </c>
      <c r="D339" s="115">
        <v>5</v>
      </c>
      <c r="E339" s="117">
        <v>733.37800000000004</v>
      </c>
      <c r="F339" s="115">
        <v>2025</v>
      </c>
      <c r="G339" s="115">
        <v>5</v>
      </c>
      <c r="H339" s="117">
        <v>1137.3489999999999</v>
      </c>
      <c r="I339" s="112">
        <v>4.0696682685851471</v>
      </c>
    </row>
    <row r="340" spans="1:9">
      <c r="A340" s="111" t="s">
        <v>503</v>
      </c>
      <c r="B340" s="111" t="s">
        <v>520</v>
      </c>
      <c r="C340" s="115">
        <v>2015</v>
      </c>
      <c r="D340" s="115">
        <v>5</v>
      </c>
      <c r="E340" s="117">
        <v>766.48599999999999</v>
      </c>
      <c r="F340" s="115">
        <v>2025</v>
      </c>
      <c r="G340" s="115">
        <v>5</v>
      </c>
      <c r="H340" s="117">
        <v>1137.3489999999999</v>
      </c>
      <c r="I340" s="112">
        <v>4.0252941066224679</v>
      </c>
    </row>
    <row r="341" spans="1:9">
      <c r="A341" s="111" t="s">
        <v>503</v>
      </c>
      <c r="B341" s="111" t="s">
        <v>520</v>
      </c>
      <c r="C341" s="115">
        <v>2016</v>
      </c>
      <c r="D341" s="115">
        <v>5</v>
      </c>
      <c r="E341" s="117">
        <v>791.41700000000003</v>
      </c>
      <c r="F341" s="115">
        <v>2025</v>
      </c>
      <c r="G341" s="115">
        <v>5</v>
      </c>
      <c r="H341" s="117">
        <v>1137.3489999999999</v>
      </c>
      <c r="I341" s="112">
        <v>4.1115011223957998</v>
      </c>
    </row>
    <row r="342" spans="1:9">
      <c r="A342" s="111" t="s">
        <v>503</v>
      </c>
      <c r="B342" s="111" t="s">
        <v>520</v>
      </c>
      <c r="C342" s="115">
        <v>2017</v>
      </c>
      <c r="D342" s="115">
        <v>5</v>
      </c>
      <c r="E342" s="117">
        <v>827.94299999999998</v>
      </c>
      <c r="F342" s="115">
        <v>2025</v>
      </c>
      <c r="G342" s="115">
        <v>5</v>
      </c>
      <c r="H342" s="117">
        <v>1137.3489999999999</v>
      </c>
      <c r="I342" s="112">
        <v>4.0487013146930817</v>
      </c>
    </row>
    <row r="343" spans="1:9">
      <c r="A343" s="111" t="s">
        <v>503</v>
      </c>
      <c r="B343" s="111" t="s">
        <v>520</v>
      </c>
      <c r="C343" s="115">
        <v>2018</v>
      </c>
      <c r="D343" s="115">
        <v>5</v>
      </c>
      <c r="E343" s="117">
        <v>865.06799999999998</v>
      </c>
      <c r="F343" s="115">
        <v>2025</v>
      </c>
      <c r="G343" s="115">
        <v>5</v>
      </c>
      <c r="H343" s="117">
        <v>1137.3489999999999</v>
      </c>
      <c r="I343" s="112">
        <v>3.9866633919656058</v>
      </c>
    </row>
    <row r="344" spans="1:9">
      <c r="A344" s="111" t="s">
        <v>503</v>
      </c>
      <c r="B344" s="111" t="s">
        <v>520</v>
      </c>
      <c r="C344" s="115">
        <v>2019</v>
      </c>
      <c r="D344" s="115">
        <v>5</v>
      </c>
      <c r="E344" s="117">
        <v>878.41899999999998</v>
      </c>
      <c r="F344" s="115">
        <v>2025</v>
      </c>
      <c r="G344" s="115">
        <v>5</v>
      </c>
      <c r="H344" s="117">
        <v>1137.3489999999999</v>
      </c>
      <c r="I344" s="112">
        <v>4.3995607768973164</v>
      </c>
    </row>
    <row r="345" spans="1:9">
      <c r="A345" s="111" t="s">
        <v>503</v>
      </c>
      <c r="B345" s="111" t="s">
        <v>520</v>
      </c>
      <c r="C345" s="115">
        <v>2020</v>
      </c>
      <c r="D345" s="115">
        <v>5</v>
      </c>
      <c r="E345" s="117">
        <v>919.07500000000005</v>
      </c>
      <c r="F345" s="115">
        <v>2025</v>
      </c>
      <c r="G345" s="115">
        <v>5</v>
      </c>
      <c r="H345" s="117">
        <v>1137.3489999999999</v>
      </c>
      <c r="I345" s="112">
        <v>4.3538699460464514</v>
      </c>
    </row>
    <row r="346" spans="1:9">
      <c r="A346" s="111" t="s">
        <v>503</v>
      </c>
      <c r="B346" s="111" t="s">
        <v>520</v>
      </c>
      <c r="C346" s="115">
        <v>2021</v>
      </c>
      <c r="D346" s="115">
        <v>5</v>
      </c>
      <c r="E346" s="117">
        <v>944.68</v>
      </c>
      <c r="F346" s="115">
        <v>2025</v>
      </c>
      <c r="G346" s="115">
        <v>5</v>
      </c>
      <c r="H346" s="117">
        <v>1137.3489999999999</v>
      </c>
      <c r="I346" s="112">
        <v>4.7495720367643601</v>
      </c>
    </row>
    <row r="347" spans="1:9">
      <c r="A347" s="111" t="s">
        <v>503</v>
      </c>
      <c r="B347" s="111" t="s">
        <v>520</v>
      </c>
      <c r="C347" s="115">
        <v>2022</v>
      </c>
      <c r="D347" s="115">
        <v>5</v>
      </c>
      <c r="E347" s="117">
        <v>980.97500000000002</v>
      </c>
      <c r="F347" s="115">
        <v>2025</v>
      </c>
      <c r="G347" s="115">
        <v>5</v>
      </c>
      <c r="H347" s="117">
        <v>1137.3489999999999</v>
      </c>
      <c r="I347" s="112">
        <v>5.0538412518786879</v>
      </c>
    </row>
    <row r="348" spans="1:9">
      <c r="A348" s="111" t="s">
        <v>503</v>
      </c>
      <c r="B348" s="111" t="s">
        <v>520</v>
      </c>
      <c r="C348" s="115">
        <v>2023</v>
      </c>
      <c r="D348" s="115">
        <v>5</v>
      </c>
      <c r="E348" s="117">
        <v>1019.5839999999999</v>
      </c>
      <c r="F348" s="115">
        <v>2025</v>
      </c>
      <c r="G348" s="115">
        <v>5</v>
      </c>
      <c r="H348" s="117">
        <v>1137.3489999999999</v>
      </c>
      <c r="I348" s="112">
        <v>5.6173749652263627</v>
      </c>
    </row>
    <row r="349" spans="1:9">
      <c r="A349" s="111" t="s">
        <v>503</v>
      </c>
      <c r="B349" s="111" t="s">
        <v>520</v>
      </c>
      <c r="C349" s="115">
        <v>2024</v>
      </c>
      <c r="D349" s="115">
        <v>5</v>
      </c>
      <c r="E349" s="117">
        <v>1094.52</v>
      </c>
      <c r="F349" s="115">
        <v>2025</v>
      </c>
      <c r="G349" s="115">
        <v>5</v>
      </c>
      <c r="H349" s="117">
        <v>1137.3489999999999</v>
      </c>
      <c r="I349" s="112">
        <v>3.9130395059021161</v>
      </c>
    </row>
    <row r="353" spans="8:8">
      <c r="H353">
        <f>776010</f>
        <v>776010</v>
      </c>
    </row>
    <row r="354" spans="8:8">
      <c r="H354">
        <v>40998</v>
      </c>
    </row>
    <row r="355" spans="8:8">
      <c r="H355">
        <v>10594</v>
      </c>
    </row>
    <row r="356" spans="8:8">
      <c r="H356">
        <f>SUM(H353:H355)</f>
        <v>827602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7227-6B06-4329-A244-216035A0A667}">
  <dimension ref="A1:I256"/>
  <sheetViews>
    <sheetView topLeftCell="A118" workbookViewId="0"/>
  </sheetViews>
  <sheetFormatPr baseColWidth="10" defaultColWidth="8.83203125" defaultRowHeight="15"/>
  <cols>
    <col min="1" max="1" width="15" customWidth="1"/>
    <col min="2" max="2" width="40" customWidth="1"/>
    <col min="3" max="4" width="12" customWidth="1"/>
    <col min="5" max="5" width="18" customWidth="1"/>
    <col min="6" max="7" width="12" customWidth="1"/>
    <col min="8" max="8" width="18" customWidth="1"/>
    <col min="9" max="9" width="12" customWidth="1"/>
  </cols>
  <sheetData>
    <row r="1" spans="1:9">
      <c r="A1" s="109" t="s">
        <v>207</v>
      </c>
      <c r="B1" s="109" t="s">
        <v>504</v>
      </c>
      <c r="C1" s="109" t="s">
        <v>506</v>
      </c>
      <c r="D1" s="109" t="s">
        <v>507</v>
      </c>
      <c r="E1" s="109" t="s">
        <v>508</v>
      </c>
      <c r="F1" s="109" t="s">
        <v>509</v>
      </c>
      <c r="G1" s="109" t="s">
        <v>510</v>
      </c>
      <c r="H1" s="109" t="s">
        <v>511</v>
      </c>
      <c r="I1" s="109" t="s">
        <v>512</v>
      </c>
    </row>
    <row r="2" spans="1:9">
      <c r="A2" s="113" t="s">
        <v>215</v>
      </c>
      <c r="B2" s="113" t="s">
        <v>521</v>
      </c>
      <c r="C2" s="116">
        <v>1967</v>
      </c>
      <c r="D2" s="116">
        <v>5</v>
      </c>
      <c r="E2" s="119">
        <v>44.8</v>
      </c>
      <c r="F2" s="116">
        <v>2025</v>
      </c>
      <c r="G2" s="116">
        <v>5</v>
      </c>
      <c r="H2" s="119">
        <v>417.149</v>
      </c>
      <c r="I2" s="114">
        <v>3.9219109325692392</v>
      </c>
    </row>
    <row r="3" spans="1:9">
      <c r="A3" s="113" t="s">
        <v>215</v>
      </c>
      <c r="B3" s="113" t="s">
        <v>521</v>
      </c>
      <c r="C3" s="116">
        <v>1968</v>
      </c>
      <c r="D3" s="116">
        <v>5</v>
      </c>
      <c r="E3" s="119">
        <v>44.9</v>
      </c>
      <c r="F3" s="116">
        <v>2025</v>
      </c>
      <c r="G3" s="116">
        <v>5</v>
      </c>
      <c r="H3" s="119">
        <v>417.149</v>
      </c>
      <c r="I3" s="114">
        <v>3.9880042510746398</v>
      </c>
    </row>
    <row r="4" spans="1:9">
      <c r="A4" s="113" t="s">
        <v>215</v>
      </c>
      <c r="B4" s="113" t="s">
        <v>521</v>
      </c>
      <c r="C4" s="116">
        <v>1969</v>
      </c>
      <c r="D4" s="116">
        <v>5</v>
      </c>
      <c r="E4" s="119">
        <v>45.4</v>
      </c>
      <c r="F4" s="116">
        <v>2025</v>
      </c>
      <c r="G4" s="116">
        <v>5</v>
      </c>
      <c r="H4" s="119">
        <v>417.149</v>
      </c>
      <c r="I4" s="114">
        <v>4.0400689449278104</v>
      </c>
    </row>
    <row r="5" spans="1:9">
      <c r="A5" s="113" t="s">
        <v>215</v>
      </c>
      <c r="B5" s="113" t="s">
        <v>521</v>
      </c>
      <c r="C5" s="116">
        <v>1970</v>
      </c>
      <c r="D5" s="116">
        <v>5</v>
      </c>
      <c r="E5" s="119">
        <v>46.4</v>
      </c>
      <c r="F5" s="116">
        <v>2025</v>
      </c>
      <c r="G5" s="116">
        <v>5</v>
      </c>
      <c r="H5" s="119">
        <v>417.149</v>
      </c>
      <c r="I5" s="114">
        <v>4.0737806697064496</v>
      </c>
    </row>
    <row r="6" spans="1:9">
      <c r="A6" s="113" t="s">
        <v>215</v>
      </c>
      <c r="B6" s="113" t="s">
        <v>521</v>
      </c>
      <c r="C6" s="116">
        <v>1971</v>
      </c>
      <c r="D6" s="116">
        <v>5</v>
      </c>
      <c r="E6" s="119">
        <v>47.2</v>
      </c>
      <c r="F6" s="116">
        <v>2025</v>
      </c>
      <c r="G6" s="116">
        <v>5</v>
      </c>
      <c r="H6" s="119">
        <v>417.149</v>
      </c>
      <c r="I6" s="114">
        <v>4.1178005770559301</v>
      </c>
    </row>
    <row r="7" spans="1:9">
      <c r="A7" s="113" t="s">
        <v>215</v>
      </c>
      <c r="B7" s="113" t="s">
        <v>521</v>
      </c>
      <c r="C7" s="116">
        <v>1972</v>
      </c>
      <c r="D7" s="116">
        <v>5</v>
      </c>
      <c r="E7" s="119">
        <v>47.3</v>
      </c>
      <c r="F7" s="116">
        <v>2025</v>
      </c>
      <c r="G7" s="116">
        <v>5</v>
      </c>
      <c r="H7" s="119">
        <v>417.149</v>
      </c>
      <c r="I7" s="114">
        <v>4.1929425175771362</v>
      </c>
    </row>
    <row r="8" spans="1:9">
      <c r="A8" s="113" t="s">
        <v>215</v>
      </c>
      <c r="B8" s="113" t="s">
        <v>521</v>
      </c>
      <c r="C8" s="116">
        <v>1973</v>
      </c>
      <c r="D8" s="116">
        <v>5</v>
      </c>
      <c r="E8" s="119">
        <v>47.5</v>
      </c>
      <c r="F8" s="116">
        <v>2025</v>
      </c>
      <c r="G8" s="116">
        <v>5</v>
      </c>
      <c r="H8" s="119">
        <v>417.149</v>
      </c>
      <c r="I8" s="114">
        <v>4.2668150308354136</v>
      </c>
    </row>
    <row r="9" spans="1:9">
      <c r="A9" s="113" t="s">
        <v>215</v>
      </c>
      <c r="B9" s="113" t="s">
        <v>521</v>
      </c>
      <c r="C9" s="116">
        <v>1974</v>
      </c>
      <c r="D9" s="116">
        <v>5</v>
      </c>
      <c r="E9" s="119">
        <v>48.4</v>
      </c>
      <c r="F9" s="116">
        <v>2025</v>
      </c>
      <c r="G9" s="116">
        <v>5</v>
      </c>
      <c r="H9" s="119">
        <v>417.149</v>
      </c>
      <c r="I9" s="114">
        <v>4.3138742163458144</v>
      </c>
    </row>
    <row r="10" spans="1:9">
      <c r="A10" s="113" t="s">
        <v>215</v>
      </c>
      <c r="B10" s="113" t="s">
        <v>521</v>
      </c>
      <c r="C10" s="116">
        <v>1975</v>
      </c>
      <c r="D10" s="116">
        <v>5</v>
      </c>
      <c r="E10" s="119">
        <v>52.9</v>
      </c>
      <c r="F10" s="116">
        <v>2025</v>
      </c>
      <c r="G10" s="116">
        <v>5</v>
      </c>
      <c r="H10" s="119">
        <v>417.149</v>
      </c>
      <c r="I10" s="114">
        <v>4.21655445748923</v>
      </c>
    </row>
    <row r="11" spans="1:9">
      <c r="A11" s="113" t="s">
        <v>215</v>
      </c>
      <c r="B11" s="113" t="s">
        <v>521</v>
      </c>
      <c r="C11" s="116">
        <v>1976</v>
      </c>
      <c r="D11" s="116">
        <v>5</v>
      </c>
      <c r="E11" s="119">
        <v>56.2</v>
      </c>
      <c r="F11" s="116">
        <v>2025</v>
      </c>
      <c r="G11" s="116">
        <v>5</v>
      </c>
      <c r="H11" s="119">
        <v>417.149</v>
      </c>
      <c r="I11" s="114">
        <v>4.1756997618245251</v>
      </c>
    </row>
    <row r="12" spans="1:9">
      <c r="A12" s="113" t="s">
        <v>215</v>
      </c>
      <c r="B12" s="113" t="s">
        <v>521</v>
      </c>
      <c r="C12" s="116">
        <v>1977</v>
      </c>
      <c r="D12" s="116">
        <v>5</v>
      </c>
      <c r="E12" s="119">
        <v>59.6</v>
      </c>
      <c r="F12" s="116">
        <v>2025</v>
      </c>
      <c r="G12" s="116">
        <v>5</v>
      </c>
      <c r="H12" s="119">
        <v>417.149</v>
      </c>
      <c r="I12" s="114">
        <v>4.1370097804543926</v>
      </c>
    </row>
    <row r="13" spans="1:9">
      <c r="A13" s="113" t="s">
        <v>215</v>
      </c>
      <c r="B13" s="113" t="s">
        <v>521</v>
      </c>
      <c r="C13" s="116">
        <v>1978</v>
      </c>
      <c r="D13" s="116">
        <v>5</v>
      </c>
      <c r="E13" s="119">
        <v>63.8</v>
      </c>
      <c r="F13" s="116">
        <v>2025</v>
      </c>
      <c r="G13" s="116">
        <v>5</v>
      </c>
      <c r="H13" s="119">
        <v>417.149</v>
      </c>
      <c r="I13" s="114">
        <v>4.0759626946742964</v>
      </c>
    </row>
    <row r="14" spans="1:9">
      <c r="A14" s="113" t="s">
        <v>215</v>
      </c>
      <c r="B14" s="113" t="s">
        <v>521</v>
      </c>
      <c r="C14" s="116">
        <v>1979</v>
      </c>
      <c r="D14" s="116">
        <v>5</v>
      </c>
      <c r="E14" s="119">
        <v>68.2</v>
      </c>
      <c r="F14" s="116">
        <v>2025</v>
      </c>
      <c r="G14" s="116">
        <v>5</v>
      </c>
      <c r="H14" s="119">
        <v>417.149</v>
      </c>
      <c r="I14" s="114">
        <v>4.0154792960124484</v>
      </c>
    </row>
    <row r="15" spans="1:9">
      <c r="A15" s="113" t="s">
        <v>215</v>
      </c>
      <c r="B15" s="113" t="s">
        <v>521</v>
      </c>
      <c r="C15" s="116">
        <v>1980</v>
      </c>
      <c r="D15" s="116">
        <v>5</v>
      </c>
      <c r="E15" s="119">
        <v>74.5</v>
      </c>
      <c r="F15" s="116">
        <v>2025</v>
      </c>
      <c r="G15" s="116">
        <v>5</v>
      </c>
      <c r="H15" s="119">
        <v>417.149</v>
      </c>
      <c r="I15" s="114">
        <v>3.9023142285033789</v>
      </c>
    </row>
    <row r="16" spans="1:9">
      <c r="A16" s="113" t="s">
        <v>215</v>
      </c>
      <c r="B16" s="113" t="s">
        <v>521</v>
      </c>
      <c r="C16" s="116">
        <v>1981</v>
      </c>
      <c r="D16" s="116">
        <v>5</v>
      </c>
      <c r="E16" s="119">
        <v>82.6</v>
      </c>
      <c r="F16" s="116">
        <v>2025</v>
      </c>
      <c r="G16" s="116">
        <v>5</v>
      </c>
      <c r="H16" s="119">
        <v>417.149</v>
      </c>
      <c r="I16" s="114">
        <v>3.7491015623719588</v>
      </c>
    </row>
    <row r="17" spans="1:9">
      <c r="A17" s="113" t="s">
        <v>215</v>
      </c>
      <c r="B17" s="113" t="s">
        <v>521</v>
      </c>
      <c r="C17" s="116">
        <v>1982</v>
      </c>
      <c r="D17" s="116">
        <v>5</v>
      </c>
      <c r="E17" s="119">
        <v>91.2</v>
      </c>
      <c r="F17" s="116">
        <v>2025</v>
      </c>
      <c r="G17" s="116">
        <v>5</v>
      </c>
      <c r="H17" s="119">
        <v>417.149</v>
      </c>
      <c r="I17" s="114">
        <v>3.599039632552925</v>
      </c>
    </row>
    <row r="18" spans="1:9">
      <c r="A18" s="113" t="s">
        <v>215</v>
      </c>
      <c r="B18" s="113" t="s">
        <v>521</v>
      </c>
      <c r="C18" s="116">
        <v>1983</v>
      </c>
      <c r="D18" s="116">
        <v>5</v>
      </c>
      <c r="E18" s="119">
        <v>99.4</v>
      </c>
      <c r="F18" s="116">
        <v>2025</v>
      </c>
      <c r="G18" s="116">
        <v>5</v>
      </c>
      <c r="H18" s="119">
        <v>417.149</v>
      </c>
      <c r="I18" s="114">
        <v>3.4739593160192368</v>
      </c>
    </row>
    <row r="19" spans="1:9">
      <c r="A19" s="113" t="s">
        <v>215</v>
      </c>
      <c r="B19" s="113" t="s">
        <v>521</v>
      </c>
      <c r="C19" s="116">
        <v>1984</v>
      </c>
      <c r="D19" s="116">
        <v>5</v>
      </c>
      <c r="E19" s="119">
        <v>106.7</v>
      </c>
      <c r="F19" s="116">
        <v>2025</v>
      </c>
      <c r="G19" s="116">
        <v>5</v>
      </c>
      <c r="H19" s="119">
        <v>417.149</v>
      </c>
      <c r="I19" s="114">
        <v>3.3813304053931681</v>
      </c>
    </row>
    <row r="20" spans="1:9">
      <c r="A20" s="113" t="s">
        <v>215</v>
      </c>
      <c r="B20" s="113" t="s">
        <v>521</v>
      </c>
      <c r="C20" s="116">
        <v>1985</v>
      </c>
      <c r="D20" s="116">
        <v>5</v>
      </c>
      <c r="E20" s="119">
        <v>114.1</v>
      </c>
      <c r="F20" s="116">
        <v>2025</v>
      </c>
      <c r="G20" s="116">
        <v>5</v>
      </c>
      <c r="H20" s="119">
        <v>417.149</v>
      </c>
      <c r="I20" s="114">
        <v>3.29401034835568</v>
      </c>
    </row>
    <row r="21" spans="1:9">
      <c r="A21" s="113" t="s">
        <v>215</v>
      </c>
      <c r="B21" s="113" t="s">
        <v>521</v>
      </c>
      <c r="C21" s="116">
        <v>1986</v>
      </c>
      <c r="D21" s="116">
        <v>5</v>
      </c>
      <c r="E21" s="119">
        <v>121.8</v>
      </c>
      <c r="F21" s="116">
        <v>2025</v>
      </c>
      <c r="G21" s="116">
        <v>5</v>
      </c>
      <c r="H21" s="119">
        <v>417.149</v>
      </c>
      <c r="I21" s="114">
        <v>3.2069201929945121</v>
      </c>
    </row>
    <row r="22" spans="1:9">
      <c r="A22" s="113" t="s">
        <v>215</v>
      </c>
      <c r="B22" s="113" t="s">
        <v>521</v>
      </c>
      <c r="C22" s="116">
        <v>1987</v>
      </c>
      <c r="D22" s="116">
        <v>5</v>
      </c>
      <c r="E22" s="119">
        <v>129.6</v>
      </c>
      <c r="F22" s="116">
        <v>2025</v>
      </c>
      <c r="G22" s="116">
        <v>5</v>
      </c>
      <c r="H22" s="119">
        <v>417.149</v>
      </c>
      <c r="I22" s="114">
        <v>3.124098091341065</v>
      </c>
    </row>
    <row r="23" spans="1:9">
      <c r="A23" s="113" t="s">
        <v>215</v>
      </c>
      <c r="B23" s="113" t="s">
        <v>521</v>
      </c>
      <c r="C23" s="116">
        <v>1988</v>
      </c>
      <c r="D23" s="116">
        <v>5</v>
      </c>
      <c r="E23" s="119">
        <v>138.69999999999999</v>
      </c>
      <c r="F23" s="116">
        <v>2025</v>
      </c>
      <c r="G23" s="116">
        <v>5</v>
      </c>
      <c r="H23" s="119">
        <v>417.149</v>
      </c>
      <c r="I23" s="114">
        <v>3.0207537006391232</v>
      </c>
    </row>
    <row r="24" spans="1:9">
      <c r="A24" s="113" t="s">
        <v>215</v>
      </c>
      <c r="B24" s="113" t="s">
        <v>521</v>
      </c>
      <c r="C24" s="116">
        <v>1989</v>
      </c>
      <c r="D24" s="116">
        <v>5</v>
      </c>
      <c r="E24" s="119">
        <v>149.6</v>
      </c>
      <c r="F24" s="116">
        <v>2025</v>
      </c>
      <c r="G24" s="116">
        <v>5</v>
      </c>
      <c r="H24" s="119">
        <v>417.149</v>
      </c>
      <c r="I24" s="114">
        <v>2.8895103367917669</v>
      </c>
    </row>
    <row r="25" spans="1:9">
      <c r="A25" s="113" t="s">
        <v>215</v>
      </c>
      <c r="B25" s="113" t="s">
        <v>521</v>
      </c>
      <c r="C25" s="116">
        <v>1990</v>
      </c>
      <c r="D25" s="116">
        <v>5</v>
      </c>
      <c r="E25" s="119">
        <v>161.80000000000001</v>
      </c>
      <c r="F25" s="116">
        <v>2025</v>
      </c>
      <c r="G25" s="116">
        <v>5</v>
      </c>
      <c r="H25" s="119">
        <v>417.149</v>
      </c>
      <c r="I25" s="114">
        <v>2.7428932012364848</v>
      </c>
    </row>
    <row r="26" spans="1:9">
      <c r="A26" s="113" t="s">
        <v>215</v>
      </c>
      <c r="B26" s="113" t="s">
        <v>521</v>
      </c>
      <c r="C26" s="116">
        <v>1991</v>
      </c>
      <c r="D26" s="116">
        <v>5</v>
      </c>
      <c r="E26" s="119">
        <v>175.1</v>
      </c>
      <c r="F26" s="116">
        <v>2025</v>
      </c>
      <c r="G26" s="116">
        <v>5</v>
      </c>
      <c r="H26" s="119">
        <v>417.149</v>
      </c>
      <c r="I26" s="114">
        <v>2.586067996908703</v>
      </c>
    </row>
    <row r="27" spans="1:9">
      <c r="A27" s="113" t="s">
        <v>215</v>
      </c>
      <c r="B27" s="113" t="s">
        <v>521</v>
      </c>
      <c r="C27" s="116">
        <v>1992</v>
      </c>
      <c r="D27" s="116">
        <v>5</v>
      </c>
      <c r="E27" s="119">
        <v>187.4</v>
      </c>
      <c r="F27" s="116">
        <v>2025</v>
      </c>
      <c r="G27" s="116">
        <v>5</v>
      </c>
      <c r="H27" s="119">
        <v>417.149</v>
      </c>
      <c r="I27" s="114">
        <v>2.4544811223080609</v>
      </c>
    </row>
    <row r="28" spans="1:9">
      <c r="A28" s="113" t="s">
        <v>215</v>
      </c>
      <c r="B28" s="113" t="s">
        <v>521</v>
      </c>
      <c r="C28" s="116">
        <v>1993</v>
      </c>
      <c r="D28" s="116">
        <v>5</v>
      </c>
      <c r="E28" s="119">
        <v>194.1</v>
      </c>
      <c r="F28" s="116">
        <v>2025</v>
      </c>
      <c r="G28" s="116">
        <v>5</v>
      </c>
      <c r="H28" s="119">
        <v>417.149</v>
      </c>
      <c r="I28" s="114">
        <v>2.4196535024247461</v>
      </c>
    </row>
    <row r="29" spans="1:9">
      <c r="A29" s="113" t="s">
        <v>215</v>
      </c>
      <c r="B29" s="113" t="s">
        <v>521</v>
      </c>
      <c r="C29" s="116">
        <v>1994</v>
      </c>
      <c r="D29" s="116">
        <v>5</v>
      </c>
      <c r="E29" s="119">
        <v>200</v>
      </c>
      <c r="F29" s="116">
        <v>2025</v>
      </c>
      <c r="G29" s="116">
        <v>5</v>
      </c>
      <c r="H29" s="119">
        <v>417.149</v>
      </c>
      <c r="I29" s="114">
        <v>2.3997151977242388</v>
      </c>
    </row>
    <row r="30" spans="1:9">
      <c r="A30" s="113" t="s">
        <v>215</v>
      </c>
      <c r="B30" s="113" t="s">
        <v>521</v>
      </c>
      <c r="C30" s="116">
        <v>1995</v>
      </c>
      <c r="D30" s="116">
        <v>5</v>
      </c>
      <c r="E30" s="119">
        <v>203.4</v>
      </c>
      <c r="F30" s="116">
        <v>2025</v>
      </c>
      <c r="G30" s="116">
        <v>5</v>
      </c>
      <c r="H30" s="119">
        <v>417.149</v>
      </c>
      <c r="I30" s="114">
        <v>2.4231217652097792</v>
      </c>
    </row>
    <row r="31" spans="1:9">
      <c r="A31" s="113" t="s">
        <v>215</v>
      </c>
      <c r="B31" s="113" t="s">
        <v>521</v>
      </c>
      <c r="C31" s="116">
        <v>1996</v>
      </c>
      <c r="D31" s="116">
        <v>5</v>
      </c>
      <c r="E31" s="119">
        <v>209.7</v>
      </c>
      <c r="F31" s="116">
        <v>2025</v>
      </c>
      <c r="G31" s="116">
        <v>5</v>
      </c>
      <c r="H31" s="119">
        <v>417.149</v>
      </c>
      <c r="I31" s="114">
        <v>2.3999514917753868</v>
      </c>
    </row>
    <row r="32" spans="1:9">
      <c r="A32" s="113" t="s">
        <v>215</v>
      </c>
      <c r="B32" s="113" t="s">
        <v>521</v>
      </c>
      <c r="C32" s="116">
        <v>1997</v>
      </c>
      <c r="D32" s="116">
        <v>5</v>
      </c>
      <c r="E32" s="119">
        <v>215.5</v>
      </c>
      <c r="F32" s="116">
        <v>2025</v>
      </c>
      <c r="G32" s="116">
        <v>5</v>
      </c>
      <c r="H32" s="119">
        <v>417.149</v>
      </c>
      <c r="I32" s="114">
        <v>2.3869075974408238</v>
      </c>
    </row>
    <row r="33" spans="1:9">
      <c r="A33" s="113" t="s">
        <v>215</v>
      </c>
      <c r="B33" s="113" t="s">
        <v>521</v>
      </c>
      <c r="C33" s="116">
        <v>1998</v>
      </c>
      <c r="D33" s="116">
        <v>5</v>
      </c>
      <c r="E33" s="119">
        <v>221.2</v>
      </c>
      <c r="F33" s="116">
        <v>2025</v>
      </c>
      <c r="G33" s="116">
        <v>5</v>
      </c>
      <c r="H33" s="119">
        <v>417.149</v>
      </c>
      <c r="I33" s="114">
        <v>2.3773606638245899</v>
      </c>
    </row>
    <row r="34" spans="1:9">
      <c r="A34" s="113" t="s">
        <v>215</v>
      </c>
      <c r="B34" s="113" t="s">
        <v>521</v>
      </c>
      <c r="C34" s="116">
        <v>1999</v>
      </c>
      <c r="D34" s="116">
        <v>5</v>
      </c>
      <c r="E34" s="119">
        <v>229.2</v>
      </c>
      <c r="F34" s="116">
        <v>2025</v>
      </c>
      <c r="G34" s="116">
        <v>5</v>
      </c>
      <c r="H34" s="119">
        <v>417.149</v>
      </c>
      <c r="I34" s="114">
        <v>2.329993350165882</v>
      </c>
    </row>
    <row r="35" spans="1:9">
      <c r="A35" s="113" t="s">
        <v>215</v>
      </c>
      <c r="B35" s="113" t="s">
        <v>521</v>
      </c>
      <c r="C35" s="116">
        <v>2000</v>
      </c>
      <c r="D35" s="116">
        <v>5</v>
      </c>
      <c r="E35" s="119">
        <v>237.4</v>
      </c>
      <c r="F35" s="116">
        <v>2025</v>
      </c>
      <c r="G35" s="116">
        <v>5</v>
      </c>
      <c r="H35" s="119">
        <v>417.149</v>
      </c>
      <c r="I35" s="114">
        <v>2.2804004436680398</v>
      </c>
    </row>
    <row r="36" spans="1:9">
      <c r="A36" s="113" t="s">
        <v>215</v>
      </c>
      <c r="B36" s="113" t="s">
        <v>521</v>
      </c>
      <c r="C36" s="116">
        <v>2001</v>
      </c>
      <c r="D36" s="116">
        <v>5</v>
      </c>
      <c r="E36" s="119">
        <v>246.5</v>
      </c>
      <c r="F36" s="116">
        <v>2025</v>
      </c>
      <c r="G36" s="116">
        <v>5</v>
      </c>
      <c r="H36" s="119">
        <v>417.149</v>
      </c>
      <c r="I36" s="114">
        <v>2.2162071214314678</v>
      </c>
    </row>
    <row r="37" spans="1:9">
      <c r="A37" s="113" t="s">
        <v>215</v>
      </c>
      <c r="B37" s="113" t="s">
        <v>521</v>
      </c>
      <c r="C37" s="116">
        <v>2002</v>
      </c>
      <c r="D37" s="116">
        <v>5</v>
      </c>
      <c r="E37" s="119">
        <v>255.3</v>
      </c>
      <c r="F37" s="116">
        <v>2025</v>
      </c>
      <c r="G37" s="116">
        <v>5</v>
      </c>
      <c r="H37" s="119">
        <v>417.149</v>
      </c>
      <c r="I37" s="114">
        <v>2.1577505323944419</v>
      </c>
    </row>
    <row r="38" spans="1:9">
      <c r="A38" s="113" t="s">
        <v>215</v>
      </c>
      <c r="B38" s="113" t="s">
        <v>521</v>
      </c>
      <c r="C38" s="116">
        <v>2003</v>
      </c>
      <c r="D38" s="116">
        <v>5</v>
      </c>
      <c r="E38" s="119">
        <v>261.7</v>
      </c>
      <c r="F38" s="116">
        <v>2025</v>
      </c>
      <c r="G38" s="116">
        <v>5</v>
      </c>
      <c r="H38" s="119">
        <v>417.149</v>
      </c>
      <c r="I38" s="114">
        <v>2.141910442100103</v>
      </c>
    </row>
    <row r="39" spans="1:9">
      <c r="A39" s="113" t="s">
        <v>215</v>
      </c>
      <c r="B39" s="113" t="s">
        <v>521</v>
      </c>
      <c r="C39" s="116">
        <v>2004</v>
      </c>
      <c r="D39" s="116">
        <v>5</v>
      </c>
      <c r="E39" s="119">
        <v>269</v>
      </c>
      <c r="F39" s="116">
        <v>2025</v>
      </c>
      <c r="G39" s="116">
        <v>5</v>
      </c>
      <c r="H39" s="119">
        <v>417.149</v>
      </c>
      <c r="I39" s="114">
        <v>2.1111770110432642</v>
      </c>
    </row>
    <row r="40" spans="1:9">
      <c r="A40" s="113" t="s">
        <v>215</v>
      </c>
      <c r="B40" s="113" t="s">
        <v>521</v>
      </c>
      <c r="C40" s="116">
        <v>2005</v>
      </c>
      <c r="D40" s="116">
        <v>5</v>
      </c>
      <c r="E40" s="119">
        <v>274.60000000000002</v>
      </c>
      <c r="F40" s="116">
        <v>2025</v>
      </c>
      <c r="G40" s="116">
        <v>5</v>
      </c>
      <c r="H40" s="119">
        <v>417.149</v>
      </c>
      <c r="I40" s="114">
        <v>2.112646864400181</v>
      </c>
    </row>
    <row r="41" spans="1:9">
      <c r="A41" s="113" t="s">
        <v>215</v>
      </c>
      <c r="B41" s="113" t="s">
        <v>521</v>
      </c>
      <c r="C41" s="116">
        <v>2006</v>
      </c>
      <c r="D41" s="116">
        <v>5</v>
      </c>
      <c r="E41" s="119">
        <v>286.3</v>
      </c>
      <c r="F41" s="116">
        <v>2025</v>
      </c>
      <c r="G41" s="116">
        <v>5</v>
      </c>
      <c r="H41" s="119">
        <v>417.149</v>
      </c>
      <c r="I41" s="114">
        <v>2.000823204492352</v>
      </c>
    </row>
    <row r="42" spans="1:9">
      <c r="A42" s="113" t="s">
        <v>215</v>
      </c>
      <c r="B42" s="113" t="s">
        <v>521</v>
      </c>
      <c r="C42" s="116">
        <v>2007</v>
      </c>
      <c r="D42" s="116">
        <v>5</v>
      </c>
      <c r="E42" s="119">
        <v>288.661</v>
      </c>
      <c r="F42" s="116">
        <v>2025</v>
      </c>
      <c r="G42" s="116">
        <v>5</v>
      </c>
      <c r="H42" s="119">
        <v>417.149</v>
      </c>
      <c r="I42" s="114">
        <v>2.0665664638797709</v>
      </c>
    </row>
    <row r="43" spans="1:9">
      <c r="A43" s="113" t="s">
        <v>215</v>
      </c>
      <c r="B43" s="113" t="s">
        <v>521</v>
      </c>
      <c r="C43" s="116">
        <v>2008</v>
      </c>
      <c r="D43" s="116">
        <v>5</v>
      </c>
      <c r="E43" s="119">
        <v>294.24700000000001</v>
      </c>
      <c r="F43" s="116">
        <v>2025</v>
      </c>
      <c r="G43" s="116">
        <v>5</v>
      </c>
      <c r="H43" s="119">
        <v>417.149</v>
      </c>
      <c r="I43" s="114">
        <v>2.074302594467214</v>
      </c>
    </row>
    <row r="44" spans="1:9">
      <c r="A44" s="113" t="s">
        <v>215</v>
      </c>
      <c r="B44" s="113" t="s">
        <v>521</v>
      </c>
      <c r="C44" s="116">
        <v>2009</v>
      </c>
      <c r="D44" s="116">
        <v>5</v>
      </c>
      <c r="E44" s="119">
        <v>304.02800000000002</v>
      </c>
      <c r="F44" s="116">
        <v>2025</v>
      </c>
      <c r="G44" s="116">
        <v>5</v>
      </c>
      <c r="H44" s="119">
        <v>417.149</v>
      </c>
      <c r="I44" s="114">
        <v>1.9966954636450041</v>
      </c>
    </row>
    <row r="45" spans="1:9">
      <c r="A45" s="113" t="s">
        <v>215</v>
      </c>
      <c r="B45" s="113" t="s">
        <v>521</v>
      </c>
      <c r="C45" s="116">
        <v>2010</v>
      </c>
      <c r="D45" s="116">
        <v>5</v>
      </c>
      <c r="E45" s="119">
        <v>314.19200000000001</v>
      </c>
      <c r="F45" s="116">
        <v>2025</v>
      </c>
      <c r="G45" s="116">
        <v>5</v>
      </c>
      <c r="H45" s="119">
        <v>417.149</v>
      </c>
      <c r="I45" s="114">
        <v>1.9075605438325871</v>
      </c>
    </row>
    <row r="46" spans="1:9">
      <c r="A46" s="113" t="s">
        <v>215</v>
      </c>
      <c r="B46" s="113" t="s">
        <v>521</v>
      </c>
      <c r="C46" s="116">
        <v>2011</v>
      </c>
      <c r="D46" s="116">
        <v>5</v>
      </c>
      <c r="E46" s="119">
        <v>323.76600000000002</v>
      </c>
      <c r="F46" s="116">
        <v>2025</v>
      </c>
      <c r="G46" s="116">
        <v>5</v>
      </c>
      <c r="H46" s="119">
        <v>417.149</v>
      </c>
      <c r="I46" s="114">
        <v>1.826642987519844</v>
      </c>
    </row>
    <row r="47" spans="1:9">
      <c r="A47" s="113" t="s">
        <v>215</v>
      </c>
      <c r="B47" s="113" t="s">
        <v>521</v>
      </c>
      <c r="C47" s="116">
        <v>2012</v>
      </c>
      <c r="D47" s="116">
        <v>5</v>
      </c>
      <c r="E47" s="119">
        <v>332.69099999999997</v>
      </c>
      <c r="F47" s="116">
        <v>2025</v>
      </c>
      <c r="G47" s="116">
        <v>5</v>
      </c>
      <c r="H47" s="119">
        <v>417.149</v>
      </c>
      <c r="I47" s="114">
        <v>1.7554558444135231</v>
      </c>
    </row>
    <row r="48" spans="1:9">
      <c r="A48" s="113" t="s">
        <v>215</v>
      </c>
      <c r="B48" s="113" t="s">
        <v>521</v>
      </c>
      <c r="C48" s="116">
        <v>2013</v>
      </c>
      <c r="D48" s="116">
        <v>5</v>
      </c>
      <c r="E48" s="119">
        <v>333.238</v>
      </c>
      <c r="F48" s="116">
        <v>2025</v>
      </c>
      <c r="G48" s="116">
        <v>5</v>
      </c>
      <c r="H48" s="119">
        <v>417.149</v>
      </c>
      <c r="I48" s="114">
        <v>1.8891777063608119</v>
      </c>
    </row>
    <row r="49" spans="1:9">
      <c r="A49" s="113" t="s">
        <v>215</v>
      </c>
      <c r="B49" s="113" t="s">
        <v>521</v>
      </c>
      <c r="C49" s="116">
        <v>2014</v>
      </c>
      <c r="D49" s="116">
        <v>5</v>
      </c>
      <c r="E49" s="119">
        <v>341.48</v>
      </c>
      <c r="F49" s="116">
        <v>2025</v>
      </c>
      <c r="G49" s="116">
        <v>5</v>
      </c>
      <c r="H49" s="119">
        <v>417.149</v>
      </c>
      <c r="I49" s="114">
        <v>1.8362404061238009</v>
      </c>
    </row>
    <row r="50" spans="1:9">
      <c r="A50" s="113" t="s">
        <v>215</v>
      </c>
      <c r="B50" s="113" t="s">
        <v>521</v>
      </c>
      <c r="C50" s="116">
        <v>2015</v>
      </c>
      <c r="D50" s="116">
        <v>5</v>
      </c>
      <c r="E50" s="119">
        <v>355.06099999999998</v>
      </c>
      <c r="F50" s="116">
        <v>2025</v>
      </c>
      <c r="G50" s="116">
        <v>5</v>
      </c>
      <c r="H50" s="119">
        <v>417.149</v>
      </c>
      <c r="I50" s="114">
        <v>1.624593984821199</v>
      </c>
    </row>
    <row r="51" spans="1:9">
      <c r="A51" s="113" t="s">
        <v>215</v>
      </c>
      <c r="B51" s="113" t="s">
        <v>521</v>
      </c>
      <c r="C51" s="116">
        <v>2016</v>
      </c>
      <c r="D51" s="116">
        <v>5</v>
      </c>
      <c r="E51" s="119">
        <v>361.86599999999999</v>
      </c>
      <c r="F51" s="116">
        <v>2025</v>
      </c>
      <c r="G51" s="116">
        <v>5</v>
      </c>
      <c r="H51" s="119">
        <v>417.149</v>
      </c>
      <c r="I51" s="114">
        <v>1.592203652504343</v>
      </c>
    </row>
    <row r="52" spans="1:9">
      <c r="A52" s="113" t="s">
        <v>215</v>
      </c>
      <c r="B52" s="113" t="s">
        <v>521</v>
      </c>
      <c r="C52" s="116">
        <v>2017</v>
      </c>
      <c r="D52" s="116">
        <v>5</v>
      </c>
      <c r="E52" s="119">
        <v>373.63099999999997</v>
      </c>
      <c r="F52" s="116">
        <v>2025</v>
      </c>
      <c r="G52" s="116">
        <v>5</v>
      </c>
      <c r="H52" s="119">
        <v>417.149</v>
      </c>
      <c r="I52" s="114">
        <v>1.386711784971562</v>
      </c>
    </row>
    <row r="53" spans="1:9">
      <c r="A53" s="113" t="s">
        <v>215</v>
      </c>
      <c r="B53" s="113" t="s">
        <v>521</v>
      </c>
      <c r="C53" s="116">
        <v>2018</v>
      </c>
      <c r="D53" s="116">
        <v>5</v>
      </c>
      <c r="E53" s="119">
        <v>383.73399999999998</v>
      </c>
      <c r="F53" s="116">
        <v>2025</v>
      </c>
      <c r="G53" s="116">
        <v>5</v>
      </c>
      <c r="H53" s="119">
        <v>417.149</v>
      </c>
      <c r="I53" s="114">
        <v>1.1999114044691119</v>
      </c>
    </row>
    <row r="54" spans="1:9">
      <c r="A54" s="113" t="s">
        <v>215</v>
      </c>
      <c r="B54" s="113" t="s">
        <v>521</v>
      </c>
      <c r="C54" s="116">
        <v>2019</v>
      </c>
      <c r="D54" s="116">
        <v>5</v>
      </c>
      <c r="E54" s="119">
        <v>381.06599999999997</v>
      </c>
      <c r="F54" s="116">
        <v>2025</v>
      </c>
      <c r="G54" s="116">
        <v>5</v>
      </c>
      <c r="H54" s="119">
        <v>417.149</v>
      </c>
      <c r="I54" s="114">
        <v>1.5192734433651101</v>
      </c>
    </row>
    <row r="55" spans="1:9">
      <c r="A55" s="113" t="s">
        <v>215</v>
      </c>
      <c r="B55" s="113" t="s">
        <v>521</v>
      </c>
      <c r="C55" s="116">
        <v>2020</v>
      </c>
      <c r="D55" s="116">
        <v>5</v>
      </c>
      <c r="E55" s="119">
        <v>384.30399999999997</v>
      </c>
      <c r="F55" s="116">
        <v>2025</v>
      </c>
      <c r="G55" s="116">
        <v>5</v>
      </c>
      <c r="H55" s="119">
        <v>417.149</v>
      </c>
      <c r="I55" s="114">
        <v>1.6537163033548909</v>
      </c>
    </row>
    <row r="56" spans="1:9">
      <c r="A56" s="113" t="s">
        <v>215</v>
      </c>
      <c r="B56" s="113" t="s">
        <v>521</v>
      </c>
      <c r="C56" s="116">
        <v>2021</v>
      </c>
      <c r="D56" s="116">
        <v>5</v>
      </c>
      <c r="E56" s="119">
        <v>377.19099999999997</v>
      </c>
      <c r="F56" s="116">
        <v>2025</v>
      </c>
      <c r="G56" s="116">
        <v>5</v>
      </c>
      <c r="H56" s="119">
        <v>417.149</v>
      </c>
      <c r="I56" s="114">
        <v>2.54924594112016</v>
      </c>
    </row>
    <row r="57" spans="1:9">
      <c r="A57" s="113" t="s">
        <v>215</v>
      </c>
      <c r="B57" s="113" t="s">
        <v>521</v>
      </c>
      <c r="C57" s="116">
        <v>2022</v>
      </c>
      <c r="D57" s="116">
        <v>5</v>
      </c>
      <c r="E57" s="119">
        <v>386.27300000000002</v>
      </c>
      <c r="F57" s="116">
        <v>2025</v>
      </c>
      <c r="G57" s="116">
        <v>5</v>
      </c>
      <c r="H57" s="119">
        <v>417.149</v>
      </c>
      <c r="I57" s="114">
        <v>2.596438423051084</v>
      </c>
    </row>
    <row r="58" spans="1:9">
      <c r="A58" s="113" t="s">
        <v>215</v>
      </c>
      <c r="B58" s="113" t="s">
        <v>521</v>
      </c>
      <c r="C58" s="116">
        <v>2023</v>
      </c>
      <c r="D58" s="116">
        <v>5</v>
      </c>
      <c r="E58" s="119">
        <v>403.358</v>
      </c>
      <c r="F58" s="116">
        <v>2025</v>
      </c>
      <c r="G58" s="116">
        <v>5</v>
      </c>
      <c r="H58" s="119">
        <v>417.149</v>
      </c>
      <c r="I58" s="114">
        <v>1.69515578413697</v>
      </c>
    </row>
    <row r="59" spans="1:9">
      <c r="A59" s="113" t="s">
        <v>215</v>
      </c>
      <c r="B59" s="113" t="s">
        <v>521</v>
      </c>
      <c r="C59" s="116">
        <v>2024</v>
      </c>
      <c r="D59" s="116">
        <v>5</v>
      </c>
      <c r="E59" s="119">
        <v>416.00099999999998</v>
      </c>
      <c r="F59" s="116">
        <v>2025</v>
      </c>
      <c r="G59" s="116">
        <v>5</v>
      </c>
      <c r="H59" s="119">
        <v>417.149</v>
      </c>
      <c r="I59" s="114">
        <v>0.2759608750940501</v>
      </c>
    </row>
    <row r="60" spans="1:9">
      <c r="A60" s="113" t="s">
        <v>213</v>
      </c>
      <c r="B60" s="113" t="s">
        <v>522</v>
      </c>
      <c r="C60" s="116">
        <v>1956</v>
      </c>
      <c r="D60" s="116">
        <v>5</v>
      </c>
      <c r="E60" s="119">
        <v>16.2</v>
      </c>
      <c r="F60" s="116">
        <v>2025</v>
      </c>
      <c r="G60" s="116">
        <v>5</v>
      </c>
      <c r="H60" s="119">
        <v>630.14300000000003</v>
      </c>
      <c r="I60" s="114">
        <v>5.4489788071022893</v>
      </c>
    </row>
    <row r="61" spans="1:9">
      <c r="A61" s="113" t="s">
        <v>213</v>
      </c>
      <c r="B61" s="113" t="s">
        <v>522</v>
      </c>
      <c r="C61" s="116">
        <v>1957</v>
      </c>
      <c r="D61" s="116">
        <v>5</v>
      </c>
      <c r="E61" s="119">
        <v>16.899999999999999</v>
      </c>
      <c r="F61" s="116">
        <v>2025</v>
      </c>
      <c r="G61" s="116">
        <v>5</v>
      </c>
      <c r="H61" s="119">
        <v>630.14300000000003</v>
      </c>
      <c r="I61" s="114">
        <v>5.4656575907626292</v>
      </c>
    </row>
    <row r="62" spans="1:9">
      <c r="A62" s="113" t="s">
        <v>213</v>
      </c>
      <c r="B62" s="113" t="s">
        <v>522</v>
      </c>
      <c r="C62" s="116">
        <v>1958</v>
      </c>
      <c r="D62" s="116">
        <v>5</v>
      </c>
      <c r="E62" s="119">
        <v>17.7</v>
      </c>
      <c r="F62" s="116">
        <v>2025</v>
      </c>
      <c r="G62" s="116">
        <v>5</v>
      </c>
      <c r="H62" s="119">
        <v>630.14300000000003</v>
      </c>
      <c r="I62" s="114">
        <v>5.4766205692035497</v>
      </c>
    </row>
    <row r="63" spans="1:9">
      <c r="A63" s="113" t="s">
        <v>213</v>
      </c>
      <c r="B63" s="113" t="s">
        <v>522</v>
      </c>
      <c r="C63" s="116">
        <v>1959</v>
      </c>
      <c r="D63" s="116">
        <v>5</v>
      </c>
      <c r="E63" s="119">
        <v>18.600000000000001</v>
      </c>
      <c r="F63" s="116">
        <v>2025</v>
      </c>
      <c r="G63" s="116">
        <v>5</v>
      </c>
      <c r="H63" s="119">
        <v>630.14300000000003</v>
      </c>
      <c r="I63" s="114">
        <v>5.4825692911316448</v>
      </c>
    </row>
    <row r="64" spans="1:9">
      <c r="A64" s="113" t="s">
        <v>213</v>
      </c>
      <c r="B64" s="113" t="s">
        <v>522</v>
      </c>
      <c r="C64" s="116">
        <v>1960</v>
      </c>
      <c r="D64" s="116">
        <v>5</v>
      </c>
      <c r="E64" s="119">
        <v>19.399999999999999</v>
      </c>
      <c r="F64" s="116">
        <v>2025</v>
      </c>
      <c r="G64" s="116">
        <v>5</v>
      </c>
      <c r="H64" s="119">
        <v>630.14300000000003</v>
      </c>
      <c r="I64" s="114">
        <v>5.5008502707176943</v>
      </c>
    </row>
    <row r="65" spans="1:9">
      <c r="A65" s="113" t="s">
        <v>213</v>
      </c>
      <c r="B65" s="113" t="s">
        <v>522</v>
      </c>
      <c r="C65" s="116">
        <v>1961</v>
      </c>
      <c r="D65" s="116">
        <v>5</v>
      </c>
      <c r="E65" s="119">
        <v>20.100000000000001</v>
      </c>
      <c r="F65" s="116">
        <v>2025</v>
      </c>
      <c r="G65" s="116">
        <v>5</v>
      </c>
      <c r="H65" s="119">
        <v>630.14300000000003</v>
      </c>
      <c r="I65" s="114">
        <v>5.5306948748230944</v>
      </c>
    </row>
    <row r="66" spans="1:9">
      <c r="A66" s="113" t="s">
        <v>213</v>
      </c>
      <c r="B66" s="113" t="s">
        <v>522</v>
      </c>
      <c r="C66" s="116">
        <v>1962</v>
      </c>
      <c r="D66" s="116">
        <v>5</v>
      </c>
      <c r="E66" s="119">
        <v>20.8</v>
      </c>
      <c r="F66" s="116">
        <v>2025</v>
      </c>
      <c r="G66" s="116">
        <v>5</v>
      </c>
      <c r="H66" s="119">
        <v>630.14300000000003</v>
      </c>
      <c r="I66" s="114">
        <v>5.5635292402518974</v>
      </c>
    </row>
    <row r="67" spans="1:9">
      <c r="A67" s="113" t="s">
        <v>213</v>
      </c>
      <c r="B67" s="113" t="s">
        <v>522</v>
      </c>
      <c r="C67" s="116">
        <v>1963</v>
      </c>
      <c r="D67" s="116">
        <v>5</v>
      </c>
      <c r="E67" s="119">
        <v>21.4</v>
      </c>
      <c r="F67" s="116">
        <v>2025</v>
      </c>
      <c r="G67" s="116">
        <v>5</v>
      </c>
      <c r="H67" s="119">
        <v>630.14300000000003</v>
      </c>
      <c r="I67" s="114">
        <v>5.607304311848349</v>
      </c>
    </row>
    <row r="68" spans="1:9">
      <c r="A68" s="113" t="s">
        <v>213</v>
      </c>
      <c r="B68" s="113" t="s">
        <v>522</v>
      </c>
      <c r="C68" s="116">
        <v>1964</v>
      </c>
      <c r="D68" s="116">
        <v>5</v>
      </c>
      <c r="E68" s="119">
        <v>22</v>
      </c>
      <c r="F68" s="116">
        <v>2025</v>
      </c>
      <c r="G68" s="116">
        <v>5</v>
      </c>
      <c r="H68" s="119">
        <v>630.14300000000003</v>
      </c>
      <c r="I68" s="114">
        <v>5.6538957543021073</v>
      </c>
    </row>
    <row r="69" spans="1:9">
      <c r="A69" s="113" t="s">
        <v>213</v>
      </c>
      <c r="B69" s="113" t="s">
        <v>522</v>
      </c>
      <c r="C69" s="116">
        <v>1965</v>
      </c>
      <c r="D69" s="116">
        <v>5</v>
      </c>
      <c r="E69" s="119">
        <v>22.6</v>
      </c>
      <c r="F69" s="116">
        <v>2025</v>
      </c>
      <c r="G69" s="116">
        <v>5</v>
      </c>
      <c r="H69" s="119">
        <v>630.14300000000003</v>
      </c>
      <c r="I69" s="114">
        <v>5.7033726909873286</v>
      </c>
    </row>
    <row r="70" spans="1:9">
      <c r="A70" s="113" t="s">
        <v>213</v>
      </c>
      <c r="B70" s="113" t="s">
        <v>522</v>
      </c>
      <c r="C70" s="116">
        <v>1966</v>
      </c>
      <c r="D70" s="116">
        <v>5</v>
      </c>
      <c r="E70" s="119">
        <v>23.6</v>
      </c>
      <c r="F70" s="116">
        <v>2025</v>
      </c>
      <c r="G70" s="116">
        <v>5</v>
      </c>
      <c r="H70" s="119">
        <v>630.14300000000003</v>
      </c>
      <c r="I70" s="114">
        <v>5.7251781572881244</v>
      </c>
    </row>
    <row r="71" spans="1:9">
      <c r="A71" s="113" t="s">
        <v>213</v>
      </c>
      <c r="B71" s="113" t="s">
        <v>522</v>
      </c>
      <c r="C71" s="116">
        <v>1967</v>
      </c>
      <c r="D71" s="116">
        <v>5</v>
      </c>
      <c r="E71" s="119">
        <v>25.8</v>
      </c>
      <c r="F71" s="116">
        <v>2025</v>
      </c>
      <c r="G71" s="116">
        <v>5</v>
      </c>
      <c r="H71" s="119">
        <v>630.14300000000003</v>
      </c>
      <c r="I71" s="114">
        <v>5.6642125522271103</v>
      </c>
    </row>
    <row r="72" spans="1:9">
      <c r="A72" s="113" t="s">
        <v>213</v>
      </c>
      <c r="B72" s="113" t="s">
        <v>522</v>
      </c>
      <c r="C72" s="116">
        <v>1968</v>
      </c>
      <c r="D72" s="116">
        <v>5</v>
      </c>
      <c r="E72" s="119">
        <v>27.7</v>
      </c>
      <c r="F72" s="116">
        <v>2025</v>
      </c>
      <c r="G72" s="116">
        <v>5</v>
      </c>
      <c r="H72" s="119">
        <v>630.14300000000003</v>
      </c>
      <c r="I72" s="114">
        <v>5.6346272907407569</v>
      </c>
    </row>
    <row r="73" spans="1:9">
      <c r="A73" s="113" t="s">
        <v>213</v>
      </c>
      <c r="B73" s="113" t="s">
        <v>522</v>
      </c>
      <c r="C73" s="116">
        <v>1969</v>
      </c>
      <c r="D73" s="116">
        <v>5</v>
      </c>
      <c r="E73" s="119">
        <v>30</v>
      </c>
      <c r="F73" s="116">
        <v>2025</v>
      </c>
      <c r="G73" s="116">
        <v>5</v>
      </c>
      <c r="H73" s="119">
        <v>630.14300000000003</v>
      </c>
      <c r="I73" s="114">
        <v>5.5875757975678786</v>
      </c>
    </row>
    <row r="74" spans="1:9">
      <c r="A74" s="113" t="s">
        <v>213</v>
      </c>
      <c r="B74" s="113" t="s">
        <v>522</v>
      </c>
      <c r="C74" s="116">
        <v>1970</v>
      </c>
      <c r="D74" s="116">
        <v>5</v>
      </c>
      <c r="E74" s="119">
        <v>32</v>
      </c>
      <c r="F74" s="116">
        <v>2025</v>
      </c>
      <c r="G74" s="116">
        <v>5</v>
      </c>
      <c r="H74" s="119">
        <v>630.14300000000003</v>
      </c>
      <c r="I74" s="114">
        <v>5.568057346014732</v>
      </c>
    </row>
    <row r="75" spans="1:9">
      <c r="A75" s="113" t="s">
        <v>213</v>
      </c>
      <c r="B75" s="113" t="s">
        <v>522</v>
      </c>
      <c r="C75" s="116">
        <v>1971</v>
      </c>
      <c r="D75" s="116">
        <v>5</v>
      </c>
      <c r="E75" s="119">
        <v>34.5</v>
      </c>
      <c r="F75" s="116">
        <v>2025</v>
      </c>
      <c r="G75" s="116">
        <v>5</v>
      </c>
      <c r="H75" s="119">
        <v>630.14300000000003</v>
      </c>
      <c r="I75" s="114">
        <v>5.5269372749918277</v>
      </c>
    </row>
    <row r="76" spans="1:9">
      <c r="A76" s="113" t="s">
        <v>213</v>
      </c>
      <c r="B76" s="113" t="s">
        <v>522</v>
      </c>
      <c r="C76" s="116">
        <v>1972</v>
      </c>
      <c r="D76" s="116">
        <v>5</v>
      </c>
      <c r="E76" s="119">
        <v>35.799999999999997</v>
      </c>
      <c r="F76" s="116">
        <v>2025</v>
      </c>
      <c r="G76" s="116">
        <v>5</v>
      </c>
      <c r="H76" s="119">
        <v>630.14300000000003</v>
      </c>
      <c r="I76" s="114">
        <v>5.5604075521251239</v>
      </c>
    </row>
    <row r="77" spans="1:9">
      <c r="A77" s="113" t="s">
        <v>213</v>
      </c>
      <c r="B77" s="113" t="s">
        <v>522</v>
      </c>
      <c r="C77" s="116">
        <v>1973</v>
      </c>
      <c r="D77" s="116">
        <v>5</v>
      </c>
      <c r="E77" s="119">
        <v>37.299999999999997</v>
      </c>
      <c r="F77" s="116">
        <v>2025</v>
      </c>
      <c r="G77" s="116">
        <v>5</v>
      </c>
      <c r="H77" s="119">
        <v>630.14300000000003</v>
      </c>
      <c r="I77" s="114">
        <v>5.5869385271663408</v>
      </c>
    </row>
    <row r="78" spans="1:9">
      <c r="A78" s="113" t="s">
        <v>213</v>
      </c>
      <c r="B78" s="113" t="s">
        <v>522</v>
      </c>
      <c r="C78" s="116">
        <v>1974</v>
      </c>
      <c r="D78" s="116">
        <v>5</v>
      </c>
      <c r="E78" s="119">
        <v>40.4</v>
      </c>
      <c r="F78" s="116">
        <v>2025</v>
      </c>
      <c r="G78" s="116">
        <v>5</v>
      </c>
      <c r="H78" s="119">
        <v>630.14300000000003</v>
      </c>
      <c r="I78" s="114">
        <v>5.5342162588197796</v>
      </c>
    </row>
    <row r="79" spans="1:9">
      <c r="A79" s="113" t="s">
        <v>213</v>
      </c>
      <c r="B79" s="113" t="s">
        <v>522</v>
      </c>
      <c r="C79" s="116">
        <v>1975</v>
      </c>
      <c r="D79" s="116">
        <v>5</v>
      </c>
      <c r="E79" s="119">
        <v>46.1</v>
      </c>
      <c r="F79" s="116">
        <v>2025</v>
      </c>
      <c r="G79" s="116">
        <v>5</v>
      </c>
      <c r="H79" s="119">
        <v>630.14300000000003</v>
      </c>
      <c r="I79" s="114">
        <v>5.3694622910667178</v>
      </c>
    </row>
    <row r="80" spans="1:9">
      <c r="A80" s="113" t="s">
        <v>213</v>
      </c>
      <c r="B80" s="113" t="s">
        <v>522</v>
      </c>
      <c r="C80" s="116">
        <v>1976</v>
      </c>
      <c r="D80" s="116">
        <v>5</v>
      </c>
      <c r="E80" s="119">
        <v>50.6</v>
      </c>
      <c r="F80" s="116">
        <v>2025</v>
      </c>
      <c r="G80" s="116">
        <v>5</v>
      </c>
      <c r="H80" s="119">
        <v>630.14300000000003</v>
      </c>
      <c r="I80" s="114">
        <v>5.2816853606645564</v>
      </c>
    </row>
    <row r="81" spans="1:9">
      <c r="A81" s="113" t="s">
        <v>213</v>
      </c>
      <c r="B81" s="113" t="s">
        <v>522</v>
      </c>
      <c r="C81" s="116">
        <v>1977</v>
      </c>
      <c r="D81" s="116">
        <v>5</v>
      </c>
      <c r="E81" s="119">
        <v>55.9</v>
      </c>
      <c r="F81" s="116">
        <v>2025</v>
      </c>
      <c r="G81" s="116">
        <v>5</v>
      </c>
      <c r="H81" s="119">
        <v>630.14300000000003</v>
      </c>
      <c r="I81" s="114">
        <v>5.1761418345250831</v>
      </c>
    </row>
    <row r="82" spans="1:9">
      <c r="A82" s="113" t="s">
        <v>213</v>
      </c>
      <c r="B82" s="113" t="s">
        <v>522</v>
      </c>
      <c r="C82" s="116">
        <v>1978</v>
      </c>
      <c r="D82" s="116">
        <v>5</v>
      </c>
      <c r="E82" s="119">
        <v>60.6</v>
      </c>
      <c r="F82" s="116">
        <v>2025</v>
      </c>
      <c r="G82" s="116">
        <v>5</v>
      </c>
      <c r="H82" s="119">
        <v>630.14300000000003</v>
      </c>
      <c r="I82" s="114">
        <v>5.1084386738046383</v>
      </c>
    </row>
    <row r="83" spans="1:9">
      <c r="A83" s="113" t="s">
        <v>213</v>
      </c>
      <c r="B83" s="113" t="s">
        <v>522</v>
      </c>
      <c r="C83" s="116">
        <v>1979</v>
      </c>
      <c r="D83" s="116">
        <v>5</v>
      </c>
      <c r="E83" s="119">
        <v>66.3</v>
      </c>
      <c r="F83" s="116">
        <v>2025</v>
      </c>
      <c r="G83" s="116">
        <v>5</v>
      </c>
      <c r="H83" s="119">
        <v>630.14300000000003</v>
      </c>
      <c r="I83" s="114">
        <v>5.0169139604282931</v>
      </c>
    </row>
    <row r="84" spans="1:9">
      <c r="A84" s="113" t="s">
        <v>213</v>
      </c>
      <c r="B84" s="113" t="s">
        <v>522</v>
      </c>
      <c r="C84" s="116">
        <v>1980</v>
      </c>
      <c r="D84" s="116">
        <v>5</v>
      </c>
      <c r="E84" s="119">
        <v>74.099999999999994</v>
      </c>
      <c r="F84" s="116">
        <v>2025</v>
      </c>
      <c r="G84" s="116">
        <v>5</v>
      </c>
      <c r="H84" s="119">
        <v>630.14300000000003</v>
      </c>
      <c r="I84" s="114">
        <v>4.8716841367779873</v>
      </c>
    </row>
    <row r="85" spans="1:9">
      <c r="A85" s="113" t="s">
        <v>213</v>
      </c>
      <c r="B85" s="113" t="s">
        <v>522</v>
      </c>
      <c r="C85" s="116">
        <v>1981</v>
      </c>
      <c r="D85" s="116">
        <v>5</v>
      </c>
      <c r="E85" s="119">
        <v>81.2</v>
      </c>
      <c r="F85" s="116">
        <v>2025</v>
      </c>
      <c r="G85" s="116">
        <v>5</v>
      </c>
      <c r="H85" s="119">
        <v>630.14300000000003</v>
      </c>
      <c r="I85" s="114">
        <v>4.7670259410073754</v>
      </c>
    </row>
    <row r="86" spans="1:9">
      <c r="A86" s="113" t="s">
        <v>213</v>
      </c>
      <c r="B86" s="113" t="s">
        <v>522</v>
      </c>
      <c r="C86" s="116">
        <v>1982</v>
      </c>
      <c r="D86" s="116">
        <v>5</v>
      </c>
      <c r="E86" s="119">
        <v>91.3</v>
      </c>
      <c r="F86" s="116">
        <v>2025</v>
      </c>
      <c r="G86" s="116">
        <v>5</v>
      </c>
      <c r="H86" s="119">
        <v>630.14300000000003</v>
      </c>
      <c r="I86" s="114">
        <v>4.5949921334248689</v>
      </c>
    </row>
    <row r="87" spans="1:9">
      <c r="A87" s="113" t="s">
        <v>213</v>
      </c>
      <c r="B87" s="113" t="s">
        <v>522</v>
      </c>
      <c r="C87" s="116">
        <v>1983</v>
      </c>
      <c r="D87" s="116">
        <v>5</v>
      </c>
      <c r="E87" s="119">
        <v>99.9</v>
      </c>
      <c r="F87" s="116">
        <v>2025</v>
      </c>
      <c r="G87" s="116">
        <v>5</v>
      </c>
      <c r="H87" s="119">
        <v>630.14300000000003</v>
      </c>
      <c r="I87" s="114">
        <v>4.4827537097249293</v>
      </c>
    </row>
    <row r="88" spans="1:9">
      <c r="A88" s="113" t="s">
        <v>213</v>
      </c>
      <c r="B88" s="113" t="s">
        <v>522</v>
      </c>
      <c r="C88" s="116">
        <v>1984</v>
      </c>
      <c r="D88" s="116">
        <v>5</v>
      </c>
      <c r="E88" s="119">
        <v>106</v>
      </c>
      <c r="F88" s="116">
        <v>2025</v>
      </c>
      <c r="G88" s="116">
        <v>5</v>
      </c>
      <c r="H88" s="119">
        <v>630.14300000000003</v>
      </c>
      <c r="I88" s="114">
        <v>4.4434715721932472</v>
      </c>
    </row>
    <row r="89" spans="1:9">
      <c r="A89" s="113" t="s">
        <v>213</v>
      </c>
      <c r="B89" s="113" t="s">
        <v>522</v>
      </c>
      <c r="C89" s="116">
        <v>1985</v>
      </c>
      <c r="D89" s="116">
        <v>5</v>
      </c>
      <c r="E89" s="119">
        <v>112.2</v>
      </c>
      <c r="F89" s="116">
        <v>2025</v>
      </c>
      <c r="G89" s="116">
        <v>5</v>
      </c>
      <c r="H89" s="119">
        <v>630.14300000000003</v>
      </c>
      <c r="I89" s="114">
        <v>4.4085721302133507</v>
      </c>
    </row>
    <row r="90" spans="1:9">
      <c r="A90" s="113" t="s">
        <v>213</v>
      </c>
      <c r="B90" s="113" t="s">
        <v>522</v>
      </c>
      <c r="C90" s="116">
        <v>1986</v>
      </c>
      <c r="D90" s="116">
        <v>5</v>
      </c>
      <c r="E90" s="119">
        <v>120.9</v>
      </c>
      <c r="F90" s="116">
        <v>2025</v>
      </c>
      <c r="G90" s="116">
        <v>5</v>
      </c>
      <c r="H90" s="119">
        <v>630.14300000000003</v>
      </c>
      <c r="I90" s="114">
        <v>4.3241713980815444</v>
      </c>
    </row>
    <row r="91" spans="1:9">
      <c r="A91" s="113" t="s">
        <v>213</v>
      </c>
      <c r="B91" s="113" t="s">
        <v>522</v>
      </c>
      <c r="C91" s="116">
        <v>1987</v>
      </c>
      <c r="D91" s="116">
        <v>5</v>
      </c>
      <c r="E91" s="119">
        <v>129.1</v>
      </c>
      <c r="F91" s="116">
        <v>2025</v>
      </c>
      <c r="G91" s="116">
        <v>5</v>
      </c>
      <c r="H91" s="119">
        <v>630.14300000000003</v>
      </c>
      <c r="I91" s="114">
        <v>4.2602494904506738</v>
      </c>
    </row>
    <row r="92" spans="1:9">
      <c r="A92" s="113" t="s">
        <v>213</v>
      </c>
      <c r="B92" s="113" t="s">
        <v>522</v>
      </c>
      <c r="C92" s="116">
        <v>1988</v>
      </c>
      <c r="D92" s="116">
        <v>5</v>
      </c>
      <c r="E92" s="119">
        <v>137.30000000000001</v>
      </c>
      <c r="F92" s="116">
        <v>2025</v>
      </c>
      <c r="G92" s="116">
        <v>5</v>
      </c>
      <c r="H92" s="119">
        <v>630.14300000000003</v>
      </c>
      <c r="I92" s="114">
        <v>4.2042992165827409</v>
      </c>
    </row>
    <row r="93" spans="1:9">
      <c r="A93" s="113" t="s">
        <v>213</v>
      </c>
      <c r="B93" s="113" t="s">
        <v>522</v>
      </c>
      <c r="C93" s="116">
        <v>1989</v>
      </c>
      <c r="D93" s="116">
        <v>5</v>
      </c>
      <c r="E93" s="119">
        <v>147</v>
      </c>
      <c r="F93" s="116">
        <v>2025</v>
      </c>
      <c r="G93" s="116">
        <v>5</v>
      </c>
      <c r="H93" s="119">
        <v>630.14300000000003</v>
      </c>
      <c r="I93" s="114">
        <v>4.1259407997023434</v>
      </c>
    </row>
    <row r="94" spans="1:9">
      <c r="A94" s="113" t="s">
        <v>213</v>
      </c>
      <c r="B94" s="113" t="s">
        <v>522</v>
      </c>
      <c r="C94" s="116">
        <v>1990</v>
      </c>
      <c r="D94" s="116">
        <v>5</v>
      </c>
      <c r="E94" s="119">
        <v>160.6</v>
      </c>
      <c r="F94" s="116">
        <v>2025</v>
      </c>
      <c r="G94" s="116">
        <v>5</v>
      </c>
      <c r="H94" s="119">
        <v>630.14300000000003</v>
      </c>
      <c r="I94" s="114">
        <v>3.9830791381326951</v>
      </c>
    </row>
    <row r="95" spans="1:9">
      <c r="A95" s="113" t="s">
        <v>213</v>
      </c>
      <c r="B95" s="113" t="s">
        <v>522</v>
      </c>
      <c r="C95" s="116">
        <v>1991</v>
      </c>
      <c r="D95" s="116">
        <v>5</v>
      </c>
      <c r="E95" s="119">
        <v>175.2</v>
      </c>
      <c r="F95" s="116">
        <v>2025</v>
      </c>
      <c r="G95" s="116">
        <v>5</v>
      </c>
      <c r="H95" s="119">
        <v>630.14300000000003</v>
      </c>
      <c r="I95" s="114">
        <v>3.8365254567495062</v>
      </c>
    </row>
    <row r="96" spans="1:9">
      <c r="A96" s="113" t="s">
        <v>213</v>
      </c>
      <c r="B96" s="113" t="s">
        <v>522</v>
      </c>
      <c r="C96" s="116">
        <v>1992</v>
      </c>
      <c r="D96" s="116">
        <v>5</v>
      </c>
      <c r="E96" s="119">
        <v>189</v>
      </c>
      <c r="F96" s="116">
        <v>2025</v>
      </c>
      <c r="G96" s="116">
        <v>5</v>
      </c>
      <c r="H96" s="119">
        <v>630.14300000000003</v>
      </c>
      <c r="I96" s="114">
        <v>3.716486774501226</v>
      </c>
    </row>
    <row r="97" spans="1:9">
      <c r="A97" s="113" t="s">
        <v>213</v>
      </c>
      <c r="B97" s="113" t="s">
        <v>522</v>
      </c>
      <c r="C97" s="116">
        <v>1993</v>
      </c>
      <c r="D97" s="116">
        <v>5</v>
      </c>
      <c r="E97" s="119">
        <v>202</v>
      </c>
      <c r="F97" s="116">
        <v>2025</v>
      </c>
      <c r="G97" s="116">
        <v>5</v>
      </c>
      <c r="H97" s="119">
        <v>630.14300000000003</v>
      </c>
      <c r="I97" s="114">
        <v>3.6192017003497279</v>
      </c>
    </row>
    <row r="98" spans="1:9">
      <c r="A98" s="113" t="s">
        <v>213</v>
      </c>
      <c r="B98" s="113" t="s">
        <v>522</v>
      </c>
      <c r="C98" s="116">
        <v>1994</v>
      </c>
      <c r="D98" s="116">
        <v>5</v>
      </c>
      <c r="E98" s="119">
        <v>212</v>
      </c>
      <c r="F98" s="116">
        <v>2025</v>
      </c>
      <c r="G98" s="116">
        <v>5</v>
      </c>
      <c r="H98" s="119">
        <v>630.14300000000003</v>
      </c>
      <c r="I98" s="114">
        <v>3.5765390752831689</v>
      </c>
    </row>
    <row r="99" spans="1:9">
      <c r="A99" s="113" t="s">
        <v>213</v>
      </c>
      <c r="B99" s="113" t="s">
        <v>522</v>
      </c>
      <c r="C99" s="116">
        <v>1995</v>
      </c>
      <c r="D99" s="116">
        <v>5</v>
      </c>
      <c r="E99" s="119">
        <v>222.9</v>
      </c>
      <c r="F99" s="116">
        <v>2025</v>
      </c>
      <c r="G99" s="116">
        <v>5</v>
      </c>
      <c r="H99" s="119">
        <v>630.14300000000003</v>
      </c>
      <c r="I99" s="114">
        <v>3.52477650376819</v>
      </c>
    </row>
    <row r="100" spans="1:9">
      <c r="A100" s="113" t="s">
        <v>213</v>
      </c>
      <c r="B100" s="113" t="s">
        <v>522</v>
      </c>
      <c r="C100" s="116">
        <v>1996</v>
      </c>
      <c r="D100" s="116">
        <v>5</v>
      </c>
      <c r="E100" s="119">
        <v>231.5</v>
      </c>
      <c r="F100" s="116">
        <v>2025</v>
      </c>
      <c r="G100" s="116">
        <v>5</v>
      </c>
      <c r="H100" s="119">
        <v>630.14300000000003</v>
      </c>
      <c r="I100" s="114">
        <v>3.513297140157579</v>
      </c>
    </row>
    <row r="101" spans="1:9">
      <c r="A101" s="113" t="s">
        <v>213</v>
      </c>
      <c r="B101" s="113" t="s">
        <v>522</v>
      </c>
      <c r="C101" s="116">
        <v>1997</v>
      </c>
      <c r="D101" s="116">
        <v>5</v>
      </c>
      <c r="E101" s="119">
        <v>238.4</v>
      </c>
      <c r="F101" s="116">
        <v>2025</v>
      </c>
      <c r="G101" s="116">
        <v>5</v>
      </c>
      <c r="H101" s="119">
        <v>630.14300000000003</v>
      </c>
      <c r="I101" s="114">
        <v>3.532374297155227</v>
      </c>
    </row>
    <row r="102" spans="1:9">
      <c r="A102" s="113" t="s">
        <v>213</v>
      </c>
      <c r="B102" s="113" t="s">
        <v>522</v>
      </c>
      <c r="C102" s="116">
        <v>1998</v>
      </c>
      <c r="D102" s="116">
        <v>5</v>
      </c>
      <c r="E102" s="119">
        <v>245.8</v>
      </c>
      <c r="F102" s="116">
        <v>2025</v>
      </c>
      <c r="G102" s="116">
        <v>5</v>
      </c>
      <c r="H102" s="119">
        <v>630.14300000000003</v>
      </c>
      <c r="I102" s="114">
        <v>3.5482731477866292</v>
      </c>
    </row>
    <row r="103" spans="1:9">
      <c r="A103" s="113" t="s">
        <v>213</v>
      </c>
      <c r="B103" s="113" t="s">
        <v>522</v>
      </c>
      <c r="C103" s="116">
        <v>1999</v>
      </c>
      <c r="D103" s="116">
        <v>5</v>
      </c>
      <c r="E103" s="119">
        <v>253.9</v>
      </c>
      <c r="F103" s="116">
        <v>2025</v>
      </c>
      <c r="G103" s="116">
        <v>5</v>
      </c>
      <c r="H103" s="119">
        <v>630.14300000000003</v>
      </c>
      <c r="I103" s="114">
        <v>3.5580128531003119</v>
      </c>
    </row>
    <row r="104" spans="1:9">
      <c r="A104" s="113" t="s">
        <v>213</v>
      </c>
      <c r="B104" s="113" t="s">
        <v>522</v>
      </c>
      <c r="C104" s="116">
        <v>2000</v>
      </c>
      <c r="D104" s="116">
        <v>5</v>
      </c>
      <c r="E104" s="119">
        <v>264.3</v>
      </c>
      <c r="F104" s="116">
        <v>2025</v>
      </c>
      <c r="G104" s="116">
        <v>5</v>
      </c>
      <c r="H104" s="119">
        <v>630.14300000000003</v>
      </c>
      <c r="I104" s="114">
        <v>3.5365472843553958</v>
      </c>
    </row>
    <row r="105" spans="1:9">
      <c r="A105" s="113" t="s">
        <v>213</v>
      </c>
      <c r="B105" s="113" t="s">
        <v>522</v>
      </c>
      <c r="C105" s="116">
        <v>2001</v>
      </c>
      <c r="D105" s="116">
        <v>5</v>
      </c>
      <c r="E105" s="119">
        <v>277.2</v>
      </c>
      <c r="F105" s="116">
        <v>2025</v>
      </c>
      <c r="G105" s="116">
        <v>5</v>
      </c>
      <c r="H105" s="119">
        <v>630.14300000000003</v>
      </c>
      <c r="I105" s="114">
        <v>3.4809114839927662</v>
      </c>
    </row>
    <row r="106" spans="1:9">
      <c r="A106" s="113" t="s">
        <v>213</v>
      </c>
      <c r="B106" s="113" t="s">
        <v>522</v>
      </c>
      <c r="C106" s="116">
        <v>2002</v>
      </c>
      <c r="D106" s="116">
        <v>5</v>
      </c>
      <c r="E106" s="119">
        <v>291</v>
      </c>
      <c r="F106" s="116">
        <v>2025</v>
      </c>
      <c r="G106" s="116">
        <v>5</v>
      </c>
      <c r="H106" s="119">
        <v>630.14300000000003</v>
      </c>
      <c r="I106" s="114">
        <v>3.416292001029086</v>
      </c>
    </row>
    <row r="107" spans="1:9">
      <c r="A107" s="113" t="s">
        <v>213</v>
      </c>
      <c r="B107" s="113" t="s">
        <v>522</v>
      </c>
      <c r="C107" s="116">
        <v>2003</v>
      </c>
      <c r="D107" s="116">
        <v>5</v>
      </c>
      <c r="E107" s="119">
        <v>303.89999999999998</v>
      </c>
      <c r="F107" s="116">
        <v>2025</v>
      </c>
      <c r="G107" s="116">
        <v>5</v>
      </c>
      <c r="H107" s="119">
        <v>630.14300000000003</v>
      </c>
      <c r="I107" s="114">
        <v>3.3703143806089959</v>
      </c>
    </row>
    <row r="108" spans="1:9">
      <c r="A108" s="113" t="s">
        <v>213</v>
      </c>
      <c r="B108" s="113" t="s">
        <v>522</v>
      </c>
      <c r="C108" s="116">
        <v>2004</v>
      </c>
      <c r="D108" s="116">
        <v>5</v>
      </c>
      <c r="E108" s="119">
        <v>319.39999999999998</v>
      </c>
      <c r="F108" s="116">
        <v>2025</v>
      </c>
      <c r="G108" s="116">
        <v>5</v>
      </c>
      <c r="H108" s="119">
        <v>630.14300000000003</v>
      </c>
      <c r="I108" s="114">
        <v>3.288645244137522</v>
      </c>
    </row>
    <row r="109" spans="1:9">
      <c r="A109" s="113" t="s">
        <v>213</v>
      </c>
      <c r="B109" s="113" t="s">
        <v>522</v>
      </c>
      <c r="C109" s="116">
        <v>2005</v>
      </c>
      <c r="D109" s="116">
        <v>5</v>
      </c>
      <c r="E109" s="119">
        <v>335.3</v>
      </c>
      <c r="F109" s="116">
        <v>2025</v>
      </c>
      <c r="G109" s="116">
        <v>5</v>
      </c>
      <c r="H109" s="119">
        <v>630.14300000000003</v>
      </c>
      <c r="I109" s="114">
        <v>3.204890676656746</v>
      </c>
    </row>
    <row r="110" spans="1:9">
      <c r="A110" s="113" t="s">
        <v>213</v>
      </c>
      <c r="B110" s="113" t="s">
        <v>522</v>
      </c>
      <c r="C110" s="116">
        <v>2006</v>
      </c>
      <c r="D110" s="116">
        <v>5</v>
      </c>
      <c r="E110" s="119">
        <v>348.9</v>
      </c>
      <c r="F110" s="116">
        <v>2025</v>
      </c>
      <c r="G110" s="116">
        <v>5</v>
      </c>
      <c r="H110" s="119">
        <v>630.14300000000003</v>
      </c>
      <c r="I110" s="114">
        <v>3.1602851785414332</v>
      </c>
    </row>
    <row r="111" spans="1:9">
      <c r="A111" s="113" t="s">
        <v>213</v>
      </c>
      <c r="B111" s="113" t="s">
        <v>522</v>
      </c>
      <c r="C111" s="116">
        <v>2007</v>
      </c>
      <c r="D111" s="116">
        <v>5</v>
      </c>
      <c r="E111" s="119">
        <v>366.31599999999997</v>
      </c>
      <c r="F111" s="116">
        <v>2025</v>
      </c>
      <c r="G111" s="116">
        <v>5</v>
      </c>
      <c r="H111" s="119">
        <v>630.14300000000003</v>
      </c>
      <c r="I111" s="114">
        <v>3.0594824366436679</v>
      </c>
    </row>
    <row r="112" spans="1:9">
      <c r="A112" s="113" t="s">
        <v>213</v>
      </c>
      <c r="B112" s="113" t="s">
        <v>522</v>
      </c>
      <c r="C112" s="116">
        <v>2008</v>
      </c>
      <c r="D112" s="116">
        <v>5</v>
      </c>
      <c r="E112" s="119">
        <v>383.745</v>
      </c>
      <c r="F112" s="116">
        <v>2025</v>
      </c>
      <c r="G112" s="116">
        <v>5</v>
      </c>
      <c r="H112" s="119">
        <v>630.14300000000003</v>
      </c>
      <c r="I112" s="114">
        <v>2.9604366370778572</v>
      </c>
    </row>
    <row r="113" spans="1:9">
      <c r="A113" s="113" t="s">
        <v>213</v>
      </c>
      <c r="B113" s="113" t="s">
        <v>522</v>
      </c>
      <c r="C113" s="116">
        <v>2009</v>
      </c>
      <c r="D113" s="116">
        <v>5</v>
      </c>
      <c r="E113" s="119">
        <v>395.99900000000002</v>
      </c>
      <c r="F113" s="116">
        <v>2025</v>
      </c>
      <c r="G113" s="116">
        <v>5</v>
      </c>
      <c r="H113" s="119">
        <v>630.14300000000003</v>
      </c>
      <c r="I113" s="114">
        <v>2.945902233923881</v>
      </c>
    </row>
    <row r="114" spans="1:9">
      <c r="A114" s="113" t="s">
        <v>213</v>
      </c>
      <c r="B114" s="113" t="s">
        <v>522</v>
      </c>
      <c r="C114" s="116">
        <v>2010</v>
      </c>
      <c r="D114" s="116">
        <v>5</v>
      </c>
      <c r="E114" s="119">
        <v>409.54700000000003</v>
      </c>
      <c r="F114" s="116">
        <v>2025</v>
      </c>
      <c r="G114" s="116">
        <v>5</v>
      </c>
      <c r="H114" s="119">
        <v>630.14300000000003</v>
      </c>
      <c r="I114" s="114">
        <v>2.9142921159508011</v>
      </c>
    </row>
    <row r="115" spans="1:9">
      <c r="A115" s="113" t="s">
        <v>213</v>
      </c>
      <c r="B115" s="113" t="s">
        <v>522</v>
      </c>
      <c r="C115" s="116">
        <v>2011</v>
      </c>
      <c r="D115" s="116">
        <v>5</v>
      </c>
      <c r="E115" s="119">
        <v>421.78899999999999</v>
      </c>
      <c r="F115" s="116">
        <v>2025</v>
      </c>
      <c r="G115" s="116">
        <v>5</v>
      </c>
      <c r="H115" s="119">
        <v>630.14300000000003</v>
      </c>
      <c r="I115" s="114">
        <v>2.908946756253616</v>
      </c>
    </row>
    <row r="116" spans="1:9">
      <c r="A116" s="113" t="s">
        <v>213</v>
      </c>
      <c r="B116" s="113" t="s">
        <v>522</v>
      </c>
      <c r="C116" s="116">
        <v>2012</v>
      </c>
      <c r="D116" s="116">
        <v>5</v>
      </c>
      <c r="E116" s="119">
        <v>437.84399999999999</v>
      </c>
      <c r="F116" s="116">
        <v>2025</v>
      </c>
      <c r="G116" s="116">
        <v>5</v>
      </c>
      <c r="H116" s="119">
        <v>630.14300000000003</v>
      </c>
      <c r="I116" s="114">
        <v>2.8402336992569892</v>
      </c>
    </row>
    <row r="117" spans="1:9">
      <c r="A117" s="113" t="s">
        <v>213</v>
      </c>
      <c r="B117" s="113" t="s">
        <v>522</v>
      </c>
      <c r="C117" s="116">
        <v>2013</v>
      </c>
      <c r="D117" s="116">
        <v>5</v>
      </c>
      <c r="E117" s="119">
        <v>450.85</v>
      </c>
      <c r="F117" s="116">
        <v>2025</v>
      </c>
      <c r="G117" s="116">
        <v>5</v>
      </c>
      <c r="H117" s="119">
        <v>630.14300000000003</v>
      </c>
      <c r="I117" s="114">
        <v>2.8293885812664228</v>
      </c>
    </row>
    <row r="118" spans="1:9">
      <c r="A118" s="113" t="s">
        <v>213</v>
      </c>
      <c r="B118" s="113" t="s">
        <v>522</v>
      </c>
      <c r="C118" s="116">
        <v>2014</v>
      </c>
      <c r="D118" s="116">
        <v>5</v>
      </c>
      <c r="E118" s="119">
        <v>464.149</v>
      </c>
      <c r="F118" s="116">
        <v>2025</v>
      </c>
      <c r="G118" s="116">
        <v>5</v>
      </c>
      <c r="H118" s="119">
        <v>630.14300000000003</v>
      </c>
      <c r="I118" s="114">
        <v>2.818452564624208</v>
      </c>
    </row>
    <row r="119" spans="1:9">
      <c r="A119" s="113" t="s">
        <v>213</v>
      </c>
      <c r="B119" s="113" t="s">
        <v>522</v>
      </c>
      <c r="C119" s="116">
        <v>2015</v>
      </c>
      <c r="D119" s="116">
        <v>5</v>
      </c>
      <c r="E119" s="119">
        <v>475.98399999999998</v>
      </c>
      <c r="F119" s="116">
        <v>2025</v>
      </c>
      <c r="G119" s="116">
        <v>5</v>
      </c>
      <c r="H119" s="119">
        <v>630.14300000000003</v>
      </c>
      <c r="I119" s="114">
        <v>2.8453537165903819</v>
      </c>
    </row>
    <row r="120" spans="1:9">
      <c r="A120" s="113" t="s">
        <v>213</v>
      </c>
      <c r="B120" s="113" t="s">
        <v>522</v>
      </c>
      <c r="C120" s="116">
        <v>2016</v>
      </c>
      <c r="D120" s="116">
        <v>5</v>
      </c>
      <c r="E120" s="119">
        <v>492.25799999999998</v>
      </c>
      <c r="F120" s="116">
        <v>2025</v>
      </c>
      <c r="G120" s="116">
        <v>5</v>
      </c>
      <c r="H120" s="119">
        <v>630.14300000000003</v>
      </c>
      <c r="I120" s="114">
        <v>2.7818094952852812</v>
      </c>
    </row>
    <row r="121" spans="1:9">
      <c r="A121" s="113" t="s">
        <v>213</v>
      </c>
      <c r="B121" s="113" t="s">
        <v>522</v>
      </c>
      <c r="C121" s="116">
        <v>2017</v>
      </c>
      <c r="D121" s="116">
        <v>5</v>
      </c>
      <c r="E121" s="119">
        <v>504.887</v>
      </c>
      <c r="F121" s="116">
        <v>2025</v>
      </c>
      <c r="G121" s="116">
        <v>5</v>
      </c>
      <c r="H121" s="119">
        <v>630.14300000000003</v>
      </c>
      <c r="I121" s="114">
        <v>2.808877158526379</v>
      </c>
    </row>
    <row r="122" spans="1:9">
      <c r="A122" s="113" t="s">
        <v>213</v>
      </c>
      <c r="B122" s="113" t="s">
        <v>522</v>
      </c>
      <c r="C122" s="116">
        <v>2018</v>
      </c>
      <c r="D122" s="116">
        <v>5</v>
      </c>
      <c r="E122" s="119">
        <v>516.80700000000002</v>
      </c>
      <c r="F122" s="116">
        <v>2025</v>
      </c>
      <c r="G122" s="116">
        <v>5</v>
      </c>
      <c r="H122" s="119">
        <v>630.14300000000003</v>
      </c>
      <c r="I122" s="114">
        <v>2.8730302480603158</v>
      </c>
    </row>
    <row r="123" spans="1:9">
      <c r="A123" s="113" t="s">
        <v>213</v>
      </c>
      <c r="B123" s="113" t="s">
        <v>522</v>
      </c>
      <c r="C123" s="116">
        <v>2019</v>
      </c>
      <c r="D123" s="116">
        <v>5</v>
      </c>
      <c r="E123" s="119">
        <v>531.47400000000005</v>
      </c>
      <c r="F123" s="116">
        <v>2025</v>
      </c>
      <c r="G123" s="116">
        <v>5</v>
      </c>
      <c r="H123" s="119">
        <v>630.14300000000003</v>
      </c>
      <c r="I123" s="114">
        <v>2.8788692233098878</v>
      </c>
    </row>
    <row r="124" spans="1:9">
      <c r="A124" s="113" t="s">
        <v>213</v>
      </c>
      <c r="B124" s="113" t="s">
        <v>522</v>
      </c>
      <c r="C124" s="116">
        <v>2020</v>
      </c>
      <c r="D124" s="116">
        <v>5</v>
      </c>
      <c r="E124" s="119">
        <v>562.64499999999998</v>
      </c>
      <c r="F124" s="116">
        <v>2025</v>
      </c>
      <c r="G124" s="116">
        <v>5</v>
      </c>
      <c r="H124" s="119">
        <v>630.14300000000003</v>
      </c>
      <c r="I124" s="114">
        <v>2.2918258255712809</v>
      </c>
    </row>
    <row r="125" spans="1:9">
      <c r="A125" s="113" t="s">
        <v>213</v>
      </c>
      <c r="B125" s="113" t="s">
        <v>522</v>
      </c>
      <c r="C125" s="116">
        <v>2021</v>
      </c>
      <c r="D125" s="116">
        <v>5</v>
      </c>
      <c r="E125" s="119">
        <v>571.27800000000002</v>
      </c>
      <c r="F125" s="116">
        <v>2025</v>
      </c>
      <c r="G125" s="116">
        <v>5</v>
      </c>
      <c r="H125" s="119">
        <v>630.14300000000003</v>
      </c>
      <c r="I125" s="114">
        <v>2.4820735764344399</v>
      </c>
    </row>
    <row r="126" spans="1:9">
      <c r="A126" s="113" t="s">
        <v>213</v>
      </c>
      <c r="B126" s="113" t="s">
        <v>522</v>
      </c>
      <c r="C126" s="116">
        <v>2022</v>
      </c>
      <c r="D126" s="116">
        <v>5</v>
      </c>
      <c r="E126" s="119">
        <v>594.28700000000003</v>
      </c>
      <c r="F126" s="116">
        <v>2025</v>
      </c>
      <c r="G126" s="116">
        <v>5</v>
      </c>
      <c r="H126" s="119">
        <v>630.14300000000003</v>
      </c>
      <c r="I126" s="114">
        <v>1.9720058013141579</v>
      </c>
    </row>
    <row r="127" spans="1:9">
      <c r="A127" s="113" t="s">
        <v>213</v>
      </c>
      <c r="B127" s="113" t="s">
        <v>522</v>
      </c>
      <c r="C127" s="116">
        <v>2023</v>
      </c>
      <c r="D127" s="116">
        <v>5</v>
      </c>
      <c r="E127" s="119">
        <v>593.78200000000004</v>
      </c>
      <c r="F127" s="116">
        <v>2025</v>
      </c>
      <c r="G127" s="116">
        <v>5</v>
      </c>
      <c r="H127" s="119">
        <v>630.14300000000003</v>
      </c>
      <c r="I127" s="114">
        <v>3.016322912160208</v>
      </c>
    </row>
    <row r="128" spans="1:9">
      <c r="A128" s="113" t="s">
        <v>213</v>
      </c>
      <c r="B128" s="113" t="s">
        <v>522</v>
      </c>
      <c r="C128" s="116">
        <v>2024</v>
      </c>
      <c r="D128" s="116">
        <v>5</v>
      </c>
      <c r="E128" s="119">
        <v>611.88599999999997</v>
      </c>
      <c r="F128" s="116">
        <v>2025</v>
      </c>
      <c r="G128" s="116">
        <v>5</v>
      </c>
      <c r="H128" s="119">
        <v>630.14300000000003</v>
      </c>
      <c r="I128" s="114">
        <v>2.9837257266876578</v>
      </c>
    </row>
    <row r="129" spans="1:9">
      <c r="A129" s="113" t="s">
        <v>223</v>
      </c>
      <c r="B129" s="113" t="s">
        <v>523</v>
      </c>
      <c r="C129" s="116">
        <v>1980</v>
      </c>
      <c r="D129" s="116">
        <v>5</v>
      </c>
      <c r="E129" s="119">
        <v>77.3</v>
      </c>
      <c r="F129" s="116">
        <v>2025</v>
      </c>
      <c r="G129" s="116">
        <v>5</v>
      </c>
      <c r="H129" s="119">
        <v>437.35</v>
      </c>
      <c r="I129" s="114">
        <v>3.926319561411717</v>
      </c>
    </row>
    <row r="130" spans="1:9">
      <c r="A130" s="113" t="s">
        <v>223</v>
      </c>
      <c r="B130" s="113" t="s">
        <v>523</v>
      </c>
      <c r="C130" s="116">
        <v>1981</v>
      </c>
      <c r="D130" s="116">
        <v>5</v>
      </c>
      <c r="E130" s="119">
        <v>84.6</v>
      </c>
      <c r="F130" s="116">
        <v>2025</v>
      </c>
      <c r="G130" s="116">
        <v>5</v>
      </c>
      <c r="H130" s="119">
        <v>437.35</v>
      </c>
      <c r="I130" s="114">
        <v>3.8042110497873871</v>
      </c>
    </row>
    <row r="131" spans="1:9">
      <c r="A131" s="113" t="s">
        <v>223</v>
      </c>
      <c r="B131" s="113" t="s">
        <v>523</v>
      </c>
      <c r="C131" s="116">
        <v>1982</v>
      </c>
      <c r="D131" s="116">
        <v>5</v>
      </c>
      <c r="E131" s="119">
        <v>92.5</v>
      </c>
      <c r="F131" s="116">
        <v>2025</v>
      </c>
      <c r="G131" s="116">
        <v>5</v>
      </c>
      <c r="H131" s="119">
        <v>437.35</v>
      </c>
      <c r="I131" s="114">
        <v>3.6789056775165419</v>
      </c>
    </row>
    <row r="132" spans="1:9">
      <c r="A132" s="113" t="s">
        <v>223</v>
      </c>
      <c r="B132" s="113" t="s">
        <v>523</v>
      </c>
      <c r="C132" s="116">
        <v>1983</v>
      </c>
      <c r="D132" s="116">
        <v>5</v>
      </c>
      <c r="E132" s="119">
        <v>98.8</v>
      </c>
      <c r="F132" s="116">
        <v>2025</v>
      </c>
      <c r="G132" s="116">
        <v>5</v>
      </c>
      <c r="H132" s="119">
        <v>437.35</v>
      </c>
      <c r="I132" s="114">
        <v>3.605466632622734</v>
      </c>
    </row>
    <row r="133" spans="1:9">
      <c r="A133" s="113" t="s">
        <v>223</v>
      </c>
      <c r="B133" s="113" t="s">
        <v>523</v>
      </c>
      <c r="C133" s="116">
        <v>1984</v>
      </c>
      <c r="D133" s="116">
        <v>5</v>
      </c>
      <c r="E133" s="119">
        <v>106.3</v>
      </c>
      <c r="F133" s="116">
        <v>2025</v>
      </c>
      <c r="G133" s="116">
        <v>5</v>
      </c>
      <c r="H133" s="119">
        <v>437.35</v>
      </c>
      <c r="I133" s="114">
        <v>3.5101233229167579</v>
      </c>
    </row>
    <row r="134" spans="1:9">
      <c r="A134" s="113" t="s">
        <v>223</v>
      </c>
      <c r="B134" s="113" t="s">
        <v>523</v>
      </c>
      <c r="C134" s="116">
        <v>1985</v>
      </c>
      <c r="D134" s="116">
        <v>5</v>
      </c>
      <c r="E134" s="119">
        <v>112.7</v>
      </c>
      <c r="F134" s="116">
        <v>2025</v>
      </c>
      <c r="G134" s="116">
        <v>5</v>
      </c>
      <c r="H134" s="119">
        <v>437.35</v>
      </c>
      <c r="I134" s="114">
        <v>3.4481266426754198</v>
      </c>
    </row>
    <row r="135" spans="1:9">
      <c r="A135" s="113" t="s">
        <v>223</v>
      </c>
      <c r="B135" s="113" t="s">
        <v>523</v>
      </c>
      <c r="C135" s="116">
        <v>1986</v>
      </c>
      <c r="D135" s="116">
        <v>5</v>
      </c>
      <c r="E135" s="119">
        <v>119.9</v>
      </c>
      <c r="F135" s="116">
        <v>2025</v>
      </c>
      <c r="G135" s="116">
        <v>5</v>
      </c>
      <c r="H135" s="119">
        <v>437.35</v>
      </c>
      <c r="I135" s="114">
        <v>3.3738072209581249</v>
      </c>
    </row>
    <row r="136" spans="1:9">
      <c r="A136" s="113" t="s">
        <v>223</v>
      </c>
      <c r="B136" s="113" t="s">
        <v>523</v>
      </c>
      <c r="C136" s="116">
        <v>1987</v>
      </c>
      <c r="D136" s="116">
        <v>5</v>
      </c>
      <c r="E136" s="119">
        <v>127.8</v>
      </c>
      <c r="F136" s="116">
        <v>2025</v>
      </c>
      <c r="G136" s="116">
        <v>5</v>
      </c>
      <c r="H136" s="119">
        <v>437.35</v>
      </c>
      <c r="I136" s="114">
        <v>3.29052408056083</v>
      </c>
    </row>
    <row r="137" spans="1:9">
      <c r="A137" s="113" t="s">
        <v>223</v>
      </c>
      <c r="B137" s="113" t="s">
        <v>523</v>
      </c>
      <c r="C137" s="116">
        <v>1988</v>
      </c>
      <c r="D137" s="116">
        <v>5</v>
      </c>
      <c r="E137" s="119">
        <v>136.4</v>
      </c>
      <c r="F137" s="116">
        <v>2025</v>
      </c>
      <c r="G137" s="116">
        <v>5</v>
      </c>
      <c r="H137" s="119">
        <v>437.35</v>
      </c>
      <c r="I137" s="114">
        <v>3.1991391573311661</v>
      </c>
    </row>
    <row r="138" spans="1:9">
      <c r="A138" s="113" t="s">
        <v>223</v>
      </c>
      <c r="B138" s="113" t="s">
        <v>523</v>
      </c>
      <c r="C138" s="116">
        <v>1989</v>
      </c>
      <c r="D138" s="116">
        <v>5</v>
      </c>
      <c r="E138" s="119">
        <v>145.19999999999999</v>
      </c>
      <c r="F138" s="116">
        <v>2025</v>
      </c>
      <c r="G138" s="116">
        <v>5</v>
      </c>
      <c r="H138" s="119">
        <v>437.35</v>
      </c>
      <c r="I138" s="114">
        <v>3.1102254673656802</v>
      </c>
    </row>
    <row r="139" spans="1:9">
      <c r="A139" s="113" t="s">
        <v>223</v>
      </c>
      <c r="B139" s="113" t="s">
        <v>523</v>
      </c>
      <c r="C139" s="116">
        <v>1990</v>
      </c>
      <c r="D139" s="116">
        <v>5</v>
      </c>
      <c r="E139" s="119">
        <v>155.1</v>
      </c>
      <c r="F139" s="116">
        <v>2025</v>
      </c>
      <c r="G139" s="116">
        <v>5</v>
      </c>
      <c r="H139" s="119">
        <v>437.35</v>
      </c>
      <c r="I139" s="114">
        <v>3.0061967877331508</v>
      </c>
    </row>
    <row r="140" spans="1:9">
      <c r="A140" s="113" t="s">
        <v>223</v>
      </c>
      <c r="B140" s="113" t="s">
        <v>523</v>
      </c>
      <c r="C140" s="116">
        <v>1991</v>
      </c>
      <c r="D140" s="116">
        <v>5</v>
      </c>
      <c r="E140" s="119">
        <v>164.4</v>
      </c>
      <c r="F140" s="116">
        <v>2025</v>
      </c>
      <c r="G140" s="116">
        <v>5</v>
      </c>
      <c r="H140" s="119">
        <v>437.35</v>
      </c>
      <c r="I140" s="114">
        <v>2.919546120103012</v>
      </c>
    </row>
    <row r="141" spans="1:9">
      <c r="A141" s="113" t="s">
        <v>223</v>
      </c>
      <c r="B141" s="113" t="s">
        <v>523</v>
      </c>
      <c r="C141" s="116">
        <v>1992</v>
      </c>
      <c r="D141" s="116">
        <v>5</v>
      </c>
      <c r="E141" s="119">
        <v>174.6</v>
      </c>
      <c r="F141" s="116">
        <v>2025</v>
      </c>
      <c r="G141" s="116">
        <v>5</v>
      </c>
      <c r="H141" s="119">
        <v>437.35</v>
      </c>
      <c r="I141" s="114">
        <v>2.8216078225096859</v>
      </c>
    </row>
    <row r="142" spans="1:9">
      <c r="A142" s="113" t="s">
        <v>223</v>
      </c>
      <c r="B142" s="113" t="s">
        <v>523</v>
      </c>
      <c r="C142" s="116">
        <v>1993</v>
      </c>
      <c r="D142" s="116">
        <v>5</v>
      </c>
      <c r="E142" s="119">
        <v>184.2</v>
      </c>
      <c r="F142" s="116">
        <v>2025</v>
      </c>
      <c r="G142" s="116">
        <v>5</v>
      </c>
      <c r="H142" s="119">
        <v>437.35</v>
      </c>
      <c r="I142" s="114">
        <v>2.7390651229452172</v>
      </c>
    </row>
    <row r="143" spans="1:9">
      <c r="A143" s="113" t="s">
        <v>223</v>
      </c>
      <c r="B143" s="113" t="s">
        <v>523</v>
      </c>
      <c r="C143" s="116">
        <v>1994</v>
      </c>
      <c r="D143" s="116">
        <v>5</v>
      </c>
      <c r="E143" s="119">
        <v>191.4</v>
      </c>
      <c r="F143" s="116">
        <v>2025</v>
      </c>
      <c r="G143" s="116">
        <v>5</v>
      </c>
      <c r="H143" s="119">
        <v>437.35</v>
      </c>
      <c r="I143" s="114">
        <v>2.7015519462378008</v>
      </c>
    </row>
    <row r="144" spans="1:9">
      <c r="A144" s="113" t="s">
        <v>223</v>
      </c>
      <c r="B144" s="113" t="s">
        <v>523</v>
      </c>
      <c r="C144" s="116">
        <v>1995</v>
      </c>
      <c r="D144" s="116">
        <v>5</v>
      </c>
      <c r="E144" s="119">
        <v>199.9</v>
      </c>
      <c r="F144" s="116">
        <v>2025</v>
      </c>
      <c r="G144" s="116">
        <v>5</v>
      </c>
      <c r="H144" s="119">
        <v>437.35</v>
      </c>
      <c r="I144" s="114">
        <v>2.64407324240945</v>
      </c>
    </row>
    <row r="145" spans="1:9">
      <c r="A145" s="113" t="s">
        <v>223</v>
      </c>
      <c r="B145" s="113" t="s">
        <v>523</v>
      </c>
      <c r="C145" s="116">
        <v>1996</v>
      </c>
      <c r="D145" s="116">
        <v>5</v>
      </c>
      <c r="E145" s="119">
        <v>207.4</v>
      </c>
      <c r="F145" s="116">
        <v>2025</v>
      </c>
      <c r="G145" s="116">
        <v>5</v>
      </c>
      <c r="H145" s="119">
        <v>437.35</v>
      </c>
      <c r="I145" s="114">
        <v>2.6060848499426248</v>
      </c>
    </row>
    <row r="146" spans="1:9">
      <c r="A146" s="113" t="s">
        <v>223</v>
      </c>
      <c r="B146" s="113" t="s">
        <v>523</v>
      </c>
      <c r="C146" s="116">
        <v>1997</v>
      </c>
      <c r="D146" s="116">
        <v>5</v>
      </c>
      <c r="E146" s="119">
        <v>214.8</v>
      </c>
      <c r="F146" s="116">
        <v>2025</v>
      </c>
      <c r="G146" s="116">
        <v>5</v>
      </c>
      <c r="H146" s="119">
        <v>437.35</v>
      </c>
      <c r="I146" s="114">
        <v>2.5718970129017031</v>
      </c>
    </row>
    <row r="147" spans="1:9">
      <c r="A147" s="113" t="s">
        <v>223</v>
      </c>
      <c r="B147" s="113" t="s">
        <v>523</v>
      </c>
      <c r="C147" s="116">
        <v>1998</v>
      </c>
      <c r="D147" s="116">
        <v>5</v>
      </c>
      <c r="E147" s="119">
        <v>221.3</v>
      </c>
      <c r="F147" s="116">
        <v>2025</v>
      </c>
      <c r="G147" s="116">
        <v>5</v>
      </c>
      <c r="H147" s="119">
        <v>437.35</v>
      </c>
      <c r="I147" s="114">
        <v>2.5551142675014571</v>
      </c>
    </row>
    <row r="148" spans="1:9">
      <c r="A148" s="113" t="s">
        <v>223</v>
      </c>
      <c r="B148" s="113" t="s">
        <v>523</v>
      </c>
      <c r="C148" s="116">
        <v>1999</v>
      </c>
      <c r="D148" s="116">
        <v>5</v>
      </c>
      <c r="E148" s="119">
        <v>228.2</v>
      </c>
      <c r="F148" s="116">
        <v>2025</v>
      </c>
      <c r="G148" s="116">
        <v>5</v>
      </c>
      <c r="H148" s="119">
        <v>437.35</v>
      </c>
      <c r="I148" s="114">
        <v>2.5335286006825002</v>
      </c>
    </row>
    <row r="149" spans="1:9">
      <c r="A149" s="113" t="s">
        <v>223</v>
      </c>
      <c r="B149" s="113" t="s">
        <v>523</v>
      </c>
      <c r="C149" s="116">
        <v>2000</v>
      </c>
      <c r="D149" s="116">
        <v>5</v>
      </c>
      <c r="E149" s="119">
        <v>236.7</v>
      </c>
      <c r="F149" s="116">
        <v>2025</v>
      </c>
      <c r="G149" s="116">
        <v>5</v>
      </c>
      <c r="H149" s="119">
        <v>437.35</v>
      </c>
      <c r="I149" s="114">
        <v>2.4861632642173559</v>
      </c>
    </row>
    <row r="150" spans="1:9">
      <c r="A150" s="113" t="s">
        <v>223</v>
      </c>
      <c r="B150" s="113" t="s">
        <v>523</v>
      </c>
      <c r="C150" s="116">
        <v>2001</v>
      </c>
      <c r="D150" s="116">
        <v>5</v>
      </c>
      <c r="E150" s="119">
        <v>245.4</v>
      </c>
      <c r="F150" s="116">
        <v>2025</v>
      </c>
      <c r="G150" s="116">
        <v>5</v>
      </c>
      <c r="H150" s="119">
        <v>437.35</v>
      </c>
      <c r="I150" s="114">
        <v>2.436903154792835</v>
      </c>
    </row>
    <row r="151" spans="1:9">
      <c r="A151" s="113" t="s">
        <v>223</v>
      </c>
      <c r="B151" s="113" t="s">
        <v>523</v>
      </c>
      <c r="C151" s="116">
        <v>2002</v>
      </c>
      <c r="D151" s="116">
        <v>5</v>
      </c>
      <c r="E151" s="119">
        <v>252.5</v>
      </c>
      <c r="F151" s="116">
        <v>2025</v>
      </c>
      <c r="G151" s="116">
        <v>5</v>
      </c>
      <c r="H151" s="119">
        <v>437.35</v>
      </c>
      <c r="I151" s="114">
        <v>2.4171085910026369</v>
      </c>
    </row>
    <row r="152" spans="1:9">
      <c r="A152" s="113" t="s">
        <v>223</v>
      </c>
      <c r="B152" s="113" t="s">
        <v>523</v>
      </c>
      <c r="C152" s="116">
        <v>2003</v>
      </c>
      <c r="D152" s="116">
        <v>5</v>
      </c>
      <c r="E152" s="119">
        <v>260.60000000000002</v>
      </c>
      <c r="F152" s="116">
        <v>2025</v>
      </c>
      <c r="G152" s="116">
        <v>5</v>
      </c>
      <c r="H152" s="119">
        <v>437.35</v>
      </c>
      <c r="I152" s="114">
        <v>2.381306908891601</v>
      </c>
    </row>
    <row r="153" spans="1:9">
      <c r="A153" s="113" t="s">
        <v>223</v>
      </c>
      <c r="B153" s="113" t="s">
        <v>523</v>
      </c>
      <c r="C153" s="116">
        <v>2004</v>
      </c>
      <c r="D153" s="116">
        <v>5</v>
      </c>
      <c r="E153" s="119">
        <v>270.3</v>
      </c>
      <c r="F153" s="116">
        <v>2025</v>
      </c>
      <c r="G153" s="116">
        <v>5</v>
      </c>
      <c r="H153" s="119">
        <v>437.35</v>
      </c>
      <c r="I153" s="114">
        <v>2.3178899867608802</v>
      </c>
    </row>
    <row r="154" spans="1:9">
      <c r="A154" s="113" t="s">
        <v>223</v>
      </c>
      <c r="B154" s="113" t="s">
        <v>523</v>
      </c>
      <c r="C154" s="116">
        <v>2005</v>
      </c>
      <c r="D154" s="116">
        <v>5</v>
      </c>
      <c r="E154" s="119">
        <v>280.8</v>
      </c>
      <c r="F154" s="116">
        <v>2025</v>
      </c>
      <c r="G154" s="116">
        <v>5</v>
      </c>
      <c r="H154" s="119">
        <v>437.35</v>
      </c>
      <c r="I154" s="114">
        <v>2.240179047402346</v>
      </c>
    </row>
    <row r="155" spans="1:9">
      <c r="A155" s="113" t="s">
        <v>223</v>
      </c>
      <c r="B155" s="113" t="s">
        <v>523</v>
      </c>
      <c r="C155" s="116">
        <v>2006</v>
      </c>
      <c r="D155" s="116">
        <v>5</v>
      </c>
      <c r="E155" s="119">
        <v>288.2</v>
      </c>
      <c r="F155" s="116">
        <v>2025</v>
      </c>
      <c r="G155" s="116">
        <v>5</v>
      </c>
      <c r="H155" s="119">
        <v>437.35</v>
      </c>
      <c r="I155" s="114">
        <v>2.2194239467937971</v>
      </c>
    </row>
    <row r="156" spans="1:9">
      <c r="A156" s="113" t="s">
        <v>223</v>
      </c>
      <c r="B156" s="113" t="s">
        <v>523</v>
      </c>
      <c r="C156" s="116">
        <v>2007</v>
      </c>
      <c r="D156" s="116">
        <v>5</v>
      </c>
      <c r="E156" s="119">
        <v>298.97300000000001</v>
      </c>
      <c r="F156" s="116">
        <v>2025</v>
      </c>
      <c r="G156" s="116">
        <v>5</v>
      </c>
      <c r="H156" s="119">
        <v>437.35</v>
      </c>
      <c r="I156" s="114">
        <v>2.1357118407996589</v>
      </c>
    </row>
    <row r="157" spans="1:9">
      <c r="A157" s="113" t="s">
        <v>223</v>
      </c>
      <c r="B157" s="113" t="s">
        <v>523</v>
      </c>
      <c r="C157" s="116">
        <v>2008</v>
      </c>
      <c r="D157" s="116">
        <v>5</v>
      </c>
      <c r="E157" s="119">
        <v>310.52300000000002</v>
      </c>
      <c r="F157" s="116">
        <v>2025</v>
      </c>
      <c r="G157" s="116">
        <v>5</v>
      </c>
      <c r="H157" s="119">
        <v>437.35</v>
      </c>
      <c r="I157" s="114">
        <v>2.0349929198595569</v>
      </c>
    </row>
    <row r="158" spans="1:9">
      <c r="A158" s="113" t="s">
        <v>223</v>
      </c>
      <c r="B158" s="113" t="s">
        <v>523</v>
      </c>
      <c r="C158" s="116">
        <v>2009</v>
      </c>
      <c r="D158" s="116">
        <v>5</v>
      </c>
      <c r="E158" s="119">
        <v>319.01900000000001</v>
      </c>
      <c r="F158" s="116">
        <v>2025</v>
      </c>
      <c r="G158" s="116">
        <v>5</v>
      </c>
      <c r="H158" s="119">
        <v>437.35</v>
      </c>
      <c r="I158" s="114">
        <v>1.9913373229177409</v>
      </c>
    </row>
    <row r="159" spans="1:9">
      <c r="A159" s="113" t="s">
        <v>223</v>
      </c>
      <c r="B159" s="113" t="s">
        <v>523</v>
      </c>
      <c r="C159" s="116">
        <v>2010</v>
      </c>
      <c r="D159" s="116">
        <v>5</v>
      </c>
      <c r="E159" s="119">
        <v>326.89499999999998</v>
      </c>
      <c r="F159" s="116">
        <v>2025</v>
      </c>
      <c r="G159" s="116">
        <v>5</v>
      </c>
      <c r="H159" s="119">
        <v>437.35</v>
      </c>
      <c r="I159" s="114">
        <v>1.959584470701548</v>
      </c>
    </row>
    <row r="160" spans="1:9">
      <c r="A160" s="113" t="s">
        <v>223</v>
      </c>
      <c r="B160" s="113" t="s">
        <v>523</v>
      </c>
      <c r="C160" s="116">
        <v>2011</v>
      </c>
      <c r="D160" s="116">
        <v>5</v>
      </c>
      <c r="E160" s="119">
        <v>334.97699999999998</v>
      </c>
      <c r="F160" s="116">
        <v>2025</v>
      </c>
      <c r="G160" s="116">
        <v>5</v>
      </c>
      <c r="H160" s="119">
        <v>437.35</v>
      </c>
      <c r="I160" s="114">
        <v>1.923056447639016</v>
      </c>
    </row>
    <row r="161" spans="1:9">
      <c r="A161" s="113" t="s">
        <v>223</v>
      </c>
      <c r="B161" s="113" t="s">
        <v>523</v>
      </c>
      <c r="C161" s="116">
        <v>2012</v>
      </c>
      <c r="D161" s="116">
        <v>5</v>
      </c>
      <c r="E161" s="119">
        <v>340.88900000000001</v>
      </c>
      <c r="F161" s="116">
        <v>2025</v>
      </c>
      <c r="G161" s="116">
        <v>5</v>
      </c>
      <c r="H161" s="119">
        <v>437.35</v>
      </c>
      <c r="I161" s="114">
        <v>1.935232712982526</v>
      </c>
    </row>
    <row r="162" spans="1:9">
      <c r="A162" s="113" t="s">
        <v>223</v>
      </c>
      <c r="B162" s="113" t="s">
        <v>523</v>
      </c>
      <c r="C162" s="116">
        <v>2013</v>
      </c>
      <c r="D162" s="116">
        <v>5</v>
      </c>
      <c r="E162" s="119">
        <v>348.59199999999998</v>
      </c>
      <c r="F162" s="116">
        <v>2025</v>
      </c>
      <c r="G162" s="116">
        <v>5</v>
      </c>
      <c r="H162" s="119">
        <v>437.35</v>
      </c>
      <c r="I162" s="114">
        <v>1.908241963645785</v>
      </c>
    </row>
    <row r="163" spans="1:9">
      <c r="A163" s="113" t="s">
        <v>223</v>
      </c>
      <c r="B163" s="113" t="s">
        <v>523</v>
      </c>
      <c r="C163" s="116">
        <v>2014</v>
      </c>
      <c r="D163" s="116">
        <v>5</v>
      </c>
      <c r="E163" s="119">
        <v>354.82900000000001</v>
      </c>
      <c r="F163" s="116">
        <v>2025</v>
      </c>
      <c r="G163" s="116">
        <v>5</v>
      </c>
      <c r="H163" s="119">
        <v>437.35</v>
      </c>
      <c r="I163" s="114">
        <v>1.9190710718853139</v>
      </c>
    </row>
    <row r="164" spans="1:9">
      <c r="A164" s="113" t="s">
        <v>223</v>
      </c>
      <c r="B164" s="113" t="s">
        <v>523</v>
      </c>
      <c r="C164" s="116">
        <v>2015</v>
      </c>
      <c r="D164" s="116">
        <v>5</v>
      </c>
      <c r="E164" s="119">
        <v>360.42500000000001</v>
      </c>
      <c r="F164" s="116">
        <v>2025</v>
      </c>
      <c r="G164" s="116">
        <v>5</v>
      </c>
      <c r="H164" s="119">
        <v>437.35</v>
      </c>
      <c r="I164" s="114">
        <v>1.9533316667035729</v>
      </c>
    </row>
    <row r="165" spans="1:9">
      <c r="A165" s="113" t="s">
        <v>223</v>
      </c>
      <c r="B165" s="113" t="s">
        <v>523</v>
      </c>
      <c r="C165" s="116">
        <v>2016</v>
      </c>
      <c r="D165" s="116">
        <v>5</v>
      </c>
      <c r="E165" s="119">
        <v>370.64100000000002</v>
      </c>
      <c r="F165" s="116">
        <v>2025</v>
      </c>
      <c r="G165" s="116">
        <v>5</v>
      </c>
      <c r="H165" s="119">
        <v>437.35</v>
      </c>
      <c r="I165" s="114">
        <v>1.8558988765188911</v>
      </c>
    </row>
    <row r="166" spans="1:9">
      <c r="A166" s="113" t="s">
        <v>223</v>
      </c>
      <c r="B166" s="113" t="s">
        <v>523</v>
      </c>
      <c r="C166" s="116">
        <v>2017</v>
      </c>
      <c r="D166" s="116">
        <v>5</v>
      </c>
      <c r="E166" s="119">
        <v>374.142</v>
      </c>
      <c r="F166" s="116">
        <v>2025</v>
      </c>
      <c r="G166" s="116">
        <v>5</v>
      </c>
      <c r="H166" s="119">
        <v>437.35</v>
      </c>
      <c r="I166" s="114">
        <v>1.9703907276418691</v>
      </c>
    </row>
    <row r="167" spans="1:9">
      <c r="A167" s="113" t="s">
        <v>223</v>
      </c>
      <c r="B167" s="113" t="s">
        <v>523</v>
      </c>
      <c r="C167" s="116">
        <v>2018</v>
      </c>
      <c r="D167" s="116">
        <v>5</v>
      </c>
      <c r="E167" s="119">
        <v>378.625</v>
      </c>
      <c r="F167" s="116">
        <v>2025</v>
      </c>
      <c r="G167" s="116">
        <v>5</v>
      </c>
      <c r="H167" s="119">
        <v>437.35</v>
      </c>
      <c r="I167" s="114">
        <v>2.0811824616078001</v>
      </c>
    </row>
    <row r="168" spans="1:9">
      <c r="A168" s="113" t="s">
        <v>223</v>
      </c>
      <c r="B168" s="113" t="s">
        <v>523</v>
      </c>
      <c r="C168" s="116">
        <v>2019</v>
      </c>
      <c r="D168" s="116">
        <v>5</v>
      </c>
      <c r="E168" s="119">
        <v>381.166</v>
      </c>
      <c r="F168" s="116">
        <v>2025</v>
      </c>
      <c r="G168" s="116">
        <v>5</v>
      </c>
      <c r="H168" s="119">
        <v>437.35</v>
      </c>
      <c r="I168" s="114">
        <v>2.3181068654838382</v>
      </c>
    </row>
    <row r="169" spans="1:9">
      <c r="A169" s="113" t="s">
        <v>223</v>
      </c>
      <c r="B169" s="113" t="s">
        <v>523</v>
      </c>
      <c r="C169" s="116">
        <v>2020</v>
      </c>
      <c r="D169" s="116">
        <v>5</v>
      </c>
      <c r="E169" s="119">
        <v>389.60700000000003</v>
      </c>
      <c r="F169" s="116">
        <v>2025</v>
      </c>
      <c r="G169" s="116">
        <v>5</v>
      </c>
      <c r="H169" s="119">
        <v>437.35</v>
      </c>
      <c r="I169" s="114">
        <v>2.338836690819357</v>
      </c>
    </row>
    <row r="170" spans="1:9">
      <c r="A170" s="113" t="s">
        <v>223</v>
      </c>
      <c r="B170" s="113" t="s">
        <v>523</v>
      </c>
      <c r="C170" s="116">
        <v>2021</v>
      </c>
      <c r="D170" s="116">
        <v>5</v>
      </c>
      <c r="E170" s="119">
        <v>401.18</v>
      </c>
      <c r="F170" s="116">
        <v>2025</v>
      </c>
      <c r="G170" s="116">
        <v>5</v>
      </c>
      <c r="H170" s="119">
        <v>437.35</v>
      </c>
      <c r="I170" s="114">
        <v>2.1815448151813799</v>
      </c>
    </row>
    <row r="171" spans="1:9">
      <c r="A171" s="113" t="s">
        <v>223</v>
      </c>
      <c r="B171" s="113" t="s">
        <v>523</v>
      </c>
      <c r="C171" s="116">
        <v>2022</v>
      </c>
      <c r="D171" s="116">
        <v>5</v>
      </c>
      <c r="E171" s="119">
        <v>409.20299999999997</v>
      </c>
      <c r="F171" s="116">
        <v>2025</v>
      </c>
      <c r="G171" s="116">
        <v>5</v>
      </c>
      <c r="H171" s="119">
        <v>437.35</v>
      </c>
      <c r="I171" s="114">
        <v>2.2421815015754909</v>
      </c>
    </row>
    <row r="172" spans="1:9">
      <c r="A172" s="113" t="s">
        <v>223</v>
      </c>
      <c r="B172" s="113" t="s">
        <v>523</v>
      </c>
      <c r="C172" s="116">
        <v>2023</v>
      </c>
      <c r="D172" s="116">
        <v>5</v>
      </c>
      <c r="E172" s="119">
        <v>417.572</v>
      </c>
      <c r="F172" s="116">
        <v>2025</v>
      </c>
      <c r="G172" s="116">
        <v>5</v>
      </c>
      <c r="H172" s="119">
        <v>437.35</v>
      </c>
      <c r="I172" s="114">
        <v>2.3408172176415891</v>
      </c>
    </row>
    <row r="173" spans="1:9">
      <c r="A173" s="113" t="s">
        <v>223</v>
      </c>
      <c r="B173" s="113" t="s">
        <v>523</v>
      </c>
      <c r="C173" s="116">
        <v>2024</v>
      </c>
      <c r="D173" s="116">
        <v>5</v>
      </c>
      <c r="E173" s="119">
        <v>426.99400000000003</v>
      </c>
      <c r="F173" s="116">
        <v>2025</v>
      </c>
      <c r="G173" s="116">
        <v>5</v>
      </c>
      <c r="H173" s="119">
        <v>437.35</v>
      </c>
      <c r="I173" s="114">
        <v>2.4253268195806088</v>
      </c>
    </row>
    <row r="174" spans="1:9">
      <c r="A174" s="113" t="s">
        <v>501</v>
      </c>
      <c r="B174" s="113" t="s">
        <v>524</v>
      </c>
      <c r="C174" s="116">
        <v>1989</v>
      </c>
      <c r="D174" s="116">
        <v>5</v>
      </c>
      <c r="E174" s="119">
        <v>113</v>
      </c>
      <c r="F174" s="116">
        <v>2025</v>
      </c>
      <c r="G174" s="116">
        <v>5</v>
      </c>
      <c r="H174" s="119">
        <v>265.738</v>
      </c>
      <c r="I174" s="114">
        <v>2.4037777309677821</v>
      </c>
    </row>
    <row r="175" spans="1:9">
      <c r="A175" s="113" t="s">
        <v>501</v>
      </c>
      <c r="B175" s="113" t="s">
        <v>524</v>
      </c>
      <c r="C175" s="116">
        <v>1990</v>
      </c>
      <c r="D175" s="116">
        <v>5</v>
      </c>
      <c r="E175" s="119">
        <v>119.2</v>
      </c>
      <c r="F175" s="116">
        <v>2025</v>
      </c>
      <c r="G175" s="116">
        <v>5</v>
      </c>
      <c r="H175" s="119">
        <v>265.738</v>
      </c>
      <c r="I175" s="114">
        <v>2.3170301655256238</v>
      </c>
    </row>
    <row r="176" spans="1:9">
      <c r="A176" s="113" t="s">
        <v>501</v>
      </c>
      <c r="B176" s="113" t="s">
        <v>524</v>
      </c>
      <c r="C176" s="116">
        <v>1991</v>
      </c>
      <c r="D176" s="116">
        <v>5</v>
      </c>
      <c r="E176" s="119">
        <v>126.2</v>
      </c>
      <c r="F176" s="116">
        <v>2025</v>
      </c>
      <c r="G176" s="116">
        <v>5</v>
      </c>
      <c r="H176" s="119">
        <v>265.738</v>
      </c>
      <c r="I176" s="114">
        <v>2.2142855232920371</v>
      </c>
    </row>
    <row r="177" spans="1:9">
      <c r="A177" s="113" t="s">
        <v>501</v>
      </c>
      <c r="B177" s="113" t="s">
        <v>524</v>
      </c>
      <c r="C177" s="116">
        <v>1992</v>
      </c>
      <c r="D177" s="116">
        <v>5</v>
      </c>
      <c r="E177" s="119">
        <v>131.1</v>
      </c>
      <c r="F177" s="116">
        <v>2025</v>
      </c>
      <c r="G177" s="116">
        <v>5</v>
      </c>
      <c r="H177" s="119">
        <v>265.738</v>
      </c>
      <c r="I177" s="114">
        <v>2.1641472257807099</v>
      </c>
    </row>
    <row r="178" spans="1:9">
      <c r="A178" s="113" t="s">
        <v>501</v>
      </c>
      <c r="B178" s="113" t="s">
        <v>524</v>
      </c>
      <c r="C178" s="116">
        <v>1993</v>
      </c>
      <c r="D178" s="116">
        <v>5</v>
      </c>
      <c r="E178" s="119">
        <v>135.4</v>
      </c>
      <c r="F178" s="116">
        <v>2025</v>
      </c>
      <c r="G178" s="116">
        <v>5</v>
      </c>
      <c r="H178" s="119">
        <v>265.738</v>
      </c>
      <c r="I178" s="114">
        <v>2.1294736528326248</v>
      </c>
    </row>
    <row r="179" spans="1:9">
      <c r="A179" s="113" t="s">
        <v>501</v>
      </c>
      <c r="B179" s="113" t="s">
        <v>524</v>
      </c>
      <c r="C179" s="116">
        <v>1994</v>
      </c>
      <c r="D179" s="116">
        <v>5</v>
      </c>
      <c r="E179" s="119">
        <v>140.6</v>
      </c>
      <c r="F179" s="116">
        <v>2025</v>
      </c>
      <c r="G179" s="116">
        <v>5</v>
      </c>
      <c r="H179" s="119">
        <v>265.738</v>
      </c>
      <c r="I179" s="114">
        <v>2.074752036618976</v>
      </c>
    </row>
    <row r="180" spans="1:9">
      <c r="A180" s="113" t="s">
        <v>501</v>
      </c>
      <c r="B180" s="113" t="s">
        <v>524</v>
      </c>
      <c r="C180" s="116">
        <v>1995</v>
      </c>
      <c r="D180" s="116">
        <v>5</v>
      </c>
      <c r="E180" s="119">
        <v>144</v>
      </c>
      <c r="F180" s="116">
        <v>2025</v>
      </c>
      <c r="G180" s="116">
        <v>5</v>
      </c>
      <c r="H180" s="119">
        <v>265.738</v>
      </c>
      <c r="I180" s="114">
        <v>2.0633233725618321</v>
      </c>
    </row>
    <row r="181" spans="1:9">
      <c r="A181" s="113" t="s">
        <v>501</v>
      </c>
      <c r="B181" s="113" t="s">
        <v>524</v>
      </c>
      <c r="C181" s="116">
        <v>1996</v>
      </c>
      <c r="D181" s="116">
        <v>5</v>
      </c>
      <c r="E181" s="119">
        <v>145.69999999999999</v>
      </c>
      <c r="F181" s="116">
        <v>2025</v>
      </c>
      <c r="G181" s="116">
        <v>5</v>
      </c>
      <c r="H181" s="119">
        <v>265.738</v>
      </c>
      <c r="I181" s="114">
        <v>2.0939006278075429</v>
      </c>
    </row>
    <row r="182" spans="1:9">
      <c r="A182" s="113" t="s">
        <v>501</v>
      </c>
      <c r="B182" s="113" t="s">
        <v>524</v>
      </c>
      <c r="C182" s="116">
        <v>1997</v>
      </c>
      <c r="D182" s="116">
        <v>5</v>
      </c>
      <c r="E182" s="119">
        <v>151.5</v>
      </c>
      <c r="F182" s="116">
        <v>2025</v>
      </c>
      <c r="G182" s="116">
        <v>5</v>
      </c>
      <c r="H182" s="119">
        <v>265.738</v>
      </c>
      <c r="I182" s="114">
        <v>2.0271489880558931</v>
      </c>
    </row>
    <row r="183" spans="1:9">
      <c r="A183" s="113" t="s">
        <v>501</v>
      </c>
      <c r="B183" s="113" t="s">
        <v>524</v>
      </c>
      <c r="C183" s="116">
        <v>1998</v>
      </c>
      <c r="D183" s="116">
        <v>5</v>
      </c>
      <c r="E183" s="119">
        <v>155.30000000000001</v>
      </c>
      <c r="F183" s="116">
        <v>2025</v>
      </c>
      <c r="G183" s="116">
        <v>5</v>
      </c>
      <c r="H183" s="119">
        <v>265.738</v>
      </c>
      <c r="I183" s="114">
        <v>2.0093738296156349</v>
      </c>
    </row>
    <row r="184" spans="1:9">
      <c r="A184" s="113" t="s">
        <v>501</v>
      </c>
      <c r="B184" s="113" t="s">
        <v>524</v>
      </c>
      <c r="C184" s="116">
        <v>1999</v>
      </c>
      <c r="D184" s="116">
        <v>5</v>
      </c>
      <c r="E184" s="119">
        <v>158.19999999999999</v>
      </c>
      <c r="F184" s="116">
        <v>2025</v>
      </c>
      <c r="G184" s="116">
        <v>5</v>
      </c>
      <c r="H184" s="119">
        <v>265.738</v>
      </c>
      <c r="I184" s="114">
        <v>2.0148401020096069</v>
      </c>
    </row>
    <row r="185" spans="1:9">
      <c r="A185" s="113" t="s">
        <v>501</v>
      </c>
      <c r="B185" s="113" t="s">
        <v>524</v>
      </c>
      <c r="C185" s="116">
        <v>2000</v>
      </c>
      <c r="D185" s="116">
        <v>5</v>
      </c>
      <c r="E185" s="119">
        <v>161.1</v>
      </c>
      <c r="F185" s="116">
        <v>2025</v>
      </c>
      <c r="G185" s="116">
        <v>5</v>
      </c>
      <c r="H185" s="119">
        <v>265.738</v>
      </c>
      <c r="I185" s="114">
        <v>2.0221155418364218</v>
      </c>
    </row>
    <row r="186" spans="1:9">
      <c r="A186" s="113" t="s">
        <v>501</v>
      </c>
      <c r="B186" s="113" t="s">
        <v>524</v>
      </c>
      <c r="C186" s="116">
        <v>2001</v>
      </c>
      <c r="D186" s="116">
        <v>5</v>
      </c>
      <c r="E186" s="119">
        <v>166.6</v>
      </c>
      <c r="F186" s="116">
        <v>2025</v>
      </c>
      <c r="G186" s="116">
        <v>5</v>
      </c>
      <c r="H186" s="119">
        <v>265.738</v>
      </c>
      <c r="I186" s="114">
        <v>1.9645274931582299</v>
      </c>
    </row>
    <row r="187" spans="1:9">
      <c r="A187" s="113" t="s">
        <v>501</v>
      </c>
      <c r="B187" s="113" t="s">
        <v>524</v>
      </c>
      <c r="C187" s="116">
        <v>2002</v>
      </c>
      <c r="D187" s="116">
        <v>5</v>
      </c>
      <c r="E187" s="119">
        <v>171.2</v>
      </c>
      <c r="F187" s="116">
        <v>2025</v>
      </c>
      <c r="G187" s="116">
        <v>5</v>
      </c>
      <c r="H187" s="119">
        <v>265.738</v>
      </c>
      <c r="I187" s="114">
        <v>1.9300341326069279</v>
      </c>
    </row>
    <row r="188" spans="1:9">
      <c r="A188" s="113" t="s">
        <v>501</v>
      </c>
      <c r="B188" s="113" t="s">
        <v>524</v>
      </c>
      <c r="C188" s="116">
        <v>2003</v>
      </c>
      <c r="D188" s="116">
        <v>5</v>
      </c>
      <c r="E188" s="119">
        <v>176.1</v>
      </c>
      <c r="F188" s="116">
        <v>2025</v>
      </c>
      <c r="G188" s="116">
        <v>5</v>
      </c>
      <c r="H188" s="119">
        <v>265.738</v>
      </c>
      <c r="I188" s="114">
        <v>1.8878665268829971</v>
      </c>
    </row>
    <row r="189" spans="1:9">
      <c r="A189" s="113" t="s">
        <v>501</v>
      </c>
      <c r="B189" s="113" t="s">
        <v>524</v>
      </c>
      <c r="C189" s="116">
        <v>2004</v>
      </c>
      <c r="D189" s="116">
        <v>5</v>
      </c>
      <c r="E189" s="119">
        <v>181.8</v>
      </c>
      <c r="F189" s="116">
        <v>2025</v>
      </c>
      <c r="G189" s="116">
        <v>5</v>
      </c>
      <c r="H189" s="119">
        <v>265.738</v>
      </c>
      <c r="I189" s="114">
        <v>1.8240732064698679</v>
      </c>
    </row>
    <row r="190" spans="1:9">
      <c r="A190" s="113" t="s">
        <v>501</v>
      </c>
      <c r="B190" s="113" t="s">
        <v>524</v>
      </c>
      <c r="C190" s="116">
        <v>2005</v>
      </c>
      <c r="D190" s="116">
        <v>5</v>
      </c>
      <c r="E190" s="119">
        <v>186.7</v>
      </c>
      <c r="F190" s="116">
        <v>2025</v>
      </c>
      <c r="G190" s="116">
        <v>5</v>
      </c>
      <c r="H190" s="119">
        <v>265.738</v>
      </c>
      <c r="I190" s="114">
        <v>1.7807079178926659</v>
      </c>
    </row>
    <row r="191" spans="1:9">
      <c r="A191" s="113" t="s">
        <v>501</v>
      </c>
      <c r="B191" s="113" t="s">
        <v>524</v>
      </c>
      <c r="C191" s="116">
        <v>2006</v>
      </c>
      <c r="D191" s="116">
        <v>5</v>
      </c>
      <c r="E191" s="119">
        <v>191.4</v>
      </c>
      <c r="F191" s="116">
        <v>2025</v>
      </c>
      <c r="G191" s="116">
        <v>5</v>
      </c>
      <c r="H191" s="119">
        <v>265.738</v>
      </c>
      <c r="I191" s="114">
        <v>1.7420812320686929</v>
      </c>
    </row>
    <row r="192" spans="1:9">
      <c r="A192" s="113" t="s">
        <v>501</v>
      </c>
      <c r="B192" s="113" t="s">
        <v>524</v>
      </c>
      <c r="C192" s="116">
        <v>2007</v>
      </c>
      <c r="D192" s="116">
        <v>5</v>
      </c>
      <c r="E192" s="119">
        <v>196.96</v>
      </c>
      <c r="F192" s="116">
        <v>2025</v>
      </c>
      <c r="G192" s="116">
        <v>5</v>
      </c>
      <c r="H192" s="119">
        <v>265.738</v>
      </c>
      <c r="I192" s="114">
        <v>1.6778662250495511</v>
      </c>
    </row>
    <row r="193" spans="1:9">
      <c r="A193" s="113" t="s">
        <v>501</v>
      </c>
      <c r="B193" s="113" t="s">
        <v>524</v>
      </c>
      <c r="C193" s="116">
        <v>2008</v>
      </c>
      <c r="D193" s="116">
        <v>5</v>
      </c>
      <c r="E193" s="119">
        <v>204.58699999999999</v>
      </c>
      <c r="F193" s="116">
        <v>2025</v>
      </c>
      <c r="G193" s="116">
        <v>5</v>
      </c>
      <c r="H193" s="119">
        <v>265.738</v>
      </c>
      <c r="I193" s="114">
        <v>1.550231853510287</v>
      </c>
    </row>
    <row r="194" spans="1:9">
      <c r="A194" s="113" t="s">
        <v>501</v>
      </c>
      <c r="B194" s="113" t="s">
        <v>524</v>
      </c>
      <c r="C194" s="116">
        <v>2009</v>
      </c>
      <c r="D194" s="116">
        <v>5</v>
      </c>
      <c r="E194" s="119">
        <v>208.97800000000001</v>
      </c>
      <c r="F194" s="116">
        <v>2025</v>
      </c>
      <c r="G194" s="116">
        <v>5</v>
      </c>
      <c r="H194" s="119">
        <v>265.738</v>
      </c>
      <c r="I194" s="114">
        <v>1.513094838270201</v>
      </c>
    </row>
    <row r="195" spans="1:9">
      <c r="A195" s="113" t="s">
        <v>501</v>
      </c>
      <c r="B195" s="113" t="s">
        <v>524</v>
      </c>
      <c r="C195" s="116">
        <v>2010</v>
      </c>
      <c r="D195" s="116">
        <v>5</v>
      </c>
      <c r="E195" s="119">
        <v>213.75399999999999</v>
      </c>
      <c r="F195" s="116">
        <v>2025</v>
      </c>
      <c r="G195" s="116">
        <v>5</v>
      </c>
      <c r="H195" s="119">
        <v>265.738</v>
      </c>
      <c r="I195" s="114">
        <v>1.4618151196229781</v>
      </c>
    </row>
    <row r="196" spans="1:9">
      <c r="A196" s="113" t="s">
        <v>501</v>
      </c>
      <c r="B196" s="113" t="s">
        <v>524</v>
      </c>
      <c r="C196" s="116">
        <v>2011</v>
      </c>
      <c r="D196" s="116">
        <v>5</v>
      </c>
      <c r="E196" s="119">
        <v>217.43799999999999</v>
      </c>
      <c r="F196" s="116">
        <v>2025</v>
      </c>
      <c r="G196" s="116">
        <v>5</v>
      </c>
      <c r="H196" s="119">
        <v>265.738</v>
      </c>
      <c r="I196" s="114">
        <v>1.443150795250703</v>
      </c>
    </row>
    <row r="197" spans="1:9">
      <c r="A197" s="113" t="s">
        <v>501</v>
      </c>
      <c r="B197" s="113" t="s">
        <v>524</v>
      </c>
      <c r="C197" s="116">
        <v>2012</v>
      </c>
      <c r="D197" s="116">
        <v>5</v>
      </c>
      <c r="E197" s="119">
        <v>219.65299999999999</v>
      </c>
      <c r="F197" s="116">
        <v>2025</v>
      </c>
      <c r="G197" s="116">
        <v>5</v>
      </c>
      <c r="H197" s="119">
        <v>265.738</v>
      </c>
      <c r="I197" s="114">
        <v>1.4758760841447449</v>
      </c>
    </row>
    <row r="198" spans="1:9">
      <c r="A198" s="113" t="s">
        <v>501</v>
      </c>
      <c r="B198" s="113" t="s">
        <v>524</v>
      </c>
      <c r="C198" s="116">
        <v>2013</v>
      </c>
      <c r="D198" s="116">
        <v>5</v>
      </c>
      <c r="E198" s="119">
        <v>222.518</v>
      </c>
      <c r="F198" s="116">
        <v>2025</v>
      </c>
      <c r="G198" s="116">
        <v>5</v>
      </c>
      <c r="H198" s="119">
        <v>265.738</v>
      </c>
      <c r="I198" s="114">
        <v>1.4901846958926379</v>
      </c>
    </row>
    <row r="199" spans="1:9">
      <c r="A199" s="113" t="s">
        <v>501</v>
      </c>
      <c r="B199" s="113" t="s">
        <v>524</v>
      </c>
      <c r="C199" s="116">
        <v>2014</v>
      </c>
      <c r="D199" s="116">
        <v>5</v>
      </c>
      <c r="E199" s="119">
        <v>225.29499999999999</v>
      </c>
      <c r="F199" s="116">
        <v>2025</v>
      </c>
      <c r="G199" s="116">
        <v>5</v>
      </c>
      <c r="H199" s="119">
        <v>265.738</v>
      </c>
      <c r="I199" s="114">
        <v>1.5122312007629151</v>
      </c>
    </row>
    <row r="200" spans="1:9">
      <c r="A200" s="113" t="s">
        <v>501</v>
      </c>
      <c r="B200" s="113" t="s">
        <v>524</v>
      </c>
      <c r="C200" s="116">
        <v>2015</v>
      </c>
      <c r="D200" s="116">
        <v>5</v>
      </c>
      <c r="E200" s="119">
        <v>228.02699999999999</v>
      </c>
      <c r="F200" s="116">
        <v>2025</v>
      </c>
      <c r="G200" s="116">
        <v>5</v>
      </c>
      <c r="H200" s="119">
        <v>265.738</v>
      </c>
      <c r="I200" s="114">
        <v>1.5422398211753401</v>
      </c>
    </row>
    <row r="201" spans="1:9">
      <c r="A201" s="113" t="s">
        <v>501</v>
      </c>
      <c r="B201" s="113" t="s">
        <v>524</v>
      </c>
      <c r="C201" s="116">
        <v>2016</v>
      </c>
      <c r="D201" s="116">
        <v>5</v>
      </c>
      <c r="E201" s="119">
        <v>231.20599999999999</v>
      </c>
      <c r="F201" s="116">
        <v>2025</v>
      </c>
      <c r="G201" s="116">
        <v>5</v>
      </c>
      <c r="H201" s="119">
        <v>265.738</v>
      </c>
      <c r="I201" s="114">
        <v>1.558709466405195</v>
      </c>
    </row>
    <row r="202" spans="1:9">
      <c r="A202" s="113" t="s">
        <v>501</v>
      </c>
      <c r="B202" s="113" t="s">
        <v>524</v>
      </c>
      <c r="C202" s="116">
        <v>2017</v>
      </c>
      <c r="D202" s="116">
        <v>5</v>
      </c>
      <c r="E202" s="119">
        <v>236.29300000000001</v>
      </c>
      <c r="F202" s="116">
        <v>2025</v>
      </c>
      <c r="G202" s="116">
        <v>5</v>
      </c>
      <c r="H202" s="119">
        <v>265.738</v>
      </c>
      <c r="I202" s="114">
        <v>1.4788064835325581</v>
      </c>
    </row>
    <row r="203" spans="1:9">
      <c r="A203" s="113" t="s">
        <v>501</v>
      </c>
      <c r="B203" s="113" t="s">
        <v>524</v>
      </c>
      <c r="C203" s="116">
        <v>2018</v>
      </c>
      <c r="D203" s="116">
        <v>5</v>
      </c>
      <c r="E203" s="119">
        <v>237.66300000000001</v>
      </c>
      <c r="F203" s="116">
        <v>2025</v>
      </c>
      <c r="G203" s="116">
        <v>5</v>
      </c>
      <c r="H203" s="119">
        <v>265.738</v>
      </c>
      <c r="I203" s="114">
        <v>1.607891912758852</v>
      </c>
    </row>
    <row r="204" spans="1:9">
      <c r="A204" s="113" t="s">
        <v>501</v>
      </c>
      <c r="B204" s="113" t="s">
        <v>524</v>
      </c>
      <c r="C204" s="116">
        <v>2019</v>
      </c>
      <c r="D204" s="116">
        <v>5</v>
      </c>
      <c r="E204" s="119">
        <v>238.94200000000001</v>
      </c>
      <c r="F204" s="116">
        <v>2025</v>
      </c>
      <c r="G204" s="116">
        <v>5</v>
      </c>
      <c r="H204" s="119">
        <v>265.738</v>
      </c>
      <c r="I204" s="114">
        <v>1.787284405724199</v>
      </c>
    </row>
    <row r="205" spans="1:9">
      <c r="A205" s="113" t="s">
        <v>501</v>
      </c>
      <c r="B205" s="113" t="s">
        <v>524</v>
      </c>
      <c r="C205" s="116">
        <v>2020</v>
      </c>
      <c r="D205" s="116">
        <v>5</v>
      </c>
      <c r="E205" s="119">
        <v>241.41900000000001</v>
      </c>
      <c r="F205" s="116">
        <v>2025</v>
      </c>
      <c r="G205" s="116">
        <v>5</v>
      </c>
      <c r="H205" s="119">
        <v>265.738</v>
      </c>
      <c r="I205" s="114">
        <v>1.9380785155116429</v>
      </c>
    </row>
    <row r="206" spans="1:9">
      <c r="A206" s="113" t="s">
        <v>501</v>
      </c>
      <c r="B206" s="113" t="s">
        <v>524</v>
      </c>
      <c r="C206" s="116">
        <v>2021</v>
      </c>
      <c r="D206" s="116">
        <v>5</v>
      </c>
      <c r="E206" s="119">
        <v>247.78399999999999</v>
      </c>
      <c r="F206" s="116">
        <v>2025</v>
      </c>
      <c r="G206" s="116">
        <v>5</v>
      </c>
      <c r="H206" s="119">
        <v>265.738</v>
      </c>
      <c r="I206" s="114">
        <v>1.764218234202853</v>
      </c>
    </row>
    <row r="207" spans="1:9">
      <c r="A207" s="113" t="s">
        <v>501</v>
      </c>
      <c r="B207" s="113" t="s">
        <v>524</v>
      </c>
      <c r="C207" s="116">
        <v>2022</v>
      </c>
      <c r="D207" s="116">
        <v>5</v>
      </c>
      <c r="E207" s="119">
        <v>259.02600000000001</v>
      </c>
      <c r="F207" s="116">
        <v>2025</v>
      </c>
      <c r="G207" s="116">
        <v>5</v>
      </c>
      <c r="H207" s="119">
        <v>265.738</v>
      </c>
      <c r="I207" s="114">
        <v>0.85639352061606111</v>
      </c>
    </row>
    <row r="208" spans="1:9">
      <c r="A208" s="113" t="s">
        <v>501</v>
      </c>
      <c r="B208" s="113" t="s">
        <v>524</v>
      </c>
      <c r="C208" s="116">
        <v>2023</v>
      </c>
      <c r="D208" s="116">
        <v>5</v>
      </c>
      <c r="E208" s="119">
        <v>261.04899999999998</v>
      </c>
      <c r="F208" s="116">
        <v>2025</v>
      </c>
      <c r="G208" s="116">
        <v>5</v>
      </c>
      <c r="H208" s="119">
        <v>265.738</v>
      </c>
      <c r="I208" s="114">
        <v>0.89411008765103439</v>
      </c>
    </row>
    <row r="209" spans="1:9">
      <c r="A209" s="113" t="s">
        <v>501</v>
      </c>
      <c r="B209" s="113" t="s">
        <v>524</v>
      </c>
      <c r="C209" s="116">
        <v>2024</v>
      </c>
      <c r="D209" s="116">
        <v>5</v>
      </c>
      <c r="E209" s="119">
        <v>259.58699999999999</v>
      </c>
      <c r="F209" s="116">
        <v>2025</v>
      </c>
      <c r="G209" s="116">
        <v>5</v>
      </c>
      <c r="H209" s="119">
        <v>265.738</v>
      </c>
      <c r="I209" s="114">
        <v>2.3695331430310551</v>
      </c>
    </row>
    <row r="210" spans="1:9">
      <c r="A210" s="113" t="s">
        <v>225</v>
      </c>
      <c r="B210" s="113" t="s">
        <v>525</v>
      </c>
      <c r="C210" s="116">
        <v>1978</v>
      </c>
      <c r="D210" s="116">
        <v>5</v>
      </c>
      <c r="E210" s="119">
        <v>54.6</v>
      </c>
      <c r="F210" s="116">
        <v>2025</v>
      </c>
      <c r="G210" s="116">
        <v>5</v>
      </c>
      <c r="H210" s="119">
        <v>1137.3489999999999</v>
      </c>
      <c r="I210" s="114">
        <v>6.6737273679621456</v>
      </c>
    </row>
    <row r="211" spans="1:9">
      <c r="A211" s="113" t="s">
        <v>225</v>
      </c>
      <c r="B211" s="113" t="s">
        <v>525</v>
      </c>
      <c r="C211" s="116">
        <v>1979</v>
      </c>
      <c r="D211" s="116">
        <v>5</v>
      </c>
      <c r="E211" s="119">
        <v>60.2</v>
      </c>
      <c r="F211" s="116">
        <v>2025</v>
      </c>
      <c r="G211" s="116">
        <v>5</v>
      </c>
      <c r="H211" s="119">
        <v>1137.3489999999999</v>
      </c>
      <c r="I211" s="114">
        <v>6.5971497817600921</v>
      </c>
    </row>
    <row r="212" spans="1:9">
      <c r="A212" s="113" t="s">
        <v>225</v>
      </c>
      <c r="B212" s="113" t="s">
        <v>525</v>
      </c>
      <c r="C212" s="116">
        <v>1980</v>
      </c>
      <c r="D212" s="116">
        <v>5</v>
      </c>
      <c r="E212" s="119">
        <v>68</v>
      </c>
      <c r="F212" s="116">
        <v>2025</v>
      </c>
      <c r="G212" s="116">
        <v>5</v>
      </c>
      <c r="H212" s="119">
        <v>1137.3489999999999</v>
      </c>
      <c r="I212" s="114">
        <v>6.4599676137873994</v>
      </c>
    </row>
    <row r="213" spans="1:9">
      <c r="A213" s="113" t="s">
        <v>225</v>
      </c>
      <c r="B213" s="113" t="s">
        <v>525</v>
      </c>
      <c r="C213" s="116">
        <v>1981</v>
      </c>
      <c r="D213" s="116">
        <v>5</v>
      </c>
      <c r="E213" s="119">
        <v>77.3</v>
      </c>
      <c r="F213" s="116">
        <v>2025</v>
      </c>
      <c r="G213" s="116">
        <v>5</v>
      </c>
      <c r="H213" s="119">
        <v>1137.3489999999999</v>
      </c>
      <c r="I213" s="114">
        <v>6.3013941513644154</v>
      </c>
    </row>
    <row r="214" spans="1:9">
      <c r="A214" s="113" t="s">
        <v>225</v>
      </c>
      <c r="B214" s="113" t="s">
        <v>525</v>
      </c>
      <c r="C214" s="116">
        <v>1982</v>
      </c>
      <c r="D214" s="116">
        <v>5</v>
      </c>
      <c r="E214" s="119">
        <v>88.9</v>
      </c>
      <c r="F214" s="116">
        <v>2025</v>
      </c>
      <c r="G214" s="116">
        <v>5</v>
      </c>
      <c r="H214" s="119">
        <v>1137.3489999999999</v>
      </c>
      <c r="I214" s="114">
        <v>6.1069912039143359</v>
      </c>
    </row>
    <row r="215" spans="1:9">
      <c r="A215" s="113" t="s">
        <v>225</v>
      </c>
      <c r="B215" s="113" t="s">
        <v>525</v>
      </c>
      <c r="C215" s="116">
        <v>1983</v>
      </c>
      <c r="D215" s="116">
        <v>5</v>
      </c>
      <c r="E215" s="119">
        <v>99.4</v>
      </c>
      <c r="F215" s="116">
        <v>2025</v>
      </c>
      <c r="G215" s="116">
        <v>5</v>
      </c>
      <c r="H215" s="119">
        <v>1137.3489999999999</v>
      </c>
      <c r="I215" s="114">
        <v>5.9747879709138862</v>
      </c>
    </row>
    <row r="216" spans="1:9">
      <c r="A216" s="113" t="s">
        <v>225</v>
      </c>
      <c r="B216" s="113" t="s">
        <v>525</v>
      </c>
      <c r="C216" s="116">
        <v>1984</v>
      </c>
      <c r="D216" s="116">
        <v>5</v>
      </c>
      <c r="E216" s="119">
        <v>108.2</v>
      </c>
      <c r="F216" s="116">
        <v>2025</v>
      </c>
      <c r="G216" s="116">
        <v>5</v>
      </c>
      <c r="H216" s="119">
        <v>1137.3489999999999</v>
      </c>
      <c r="I216" s="114">
        <v>5.9055438731030252</v>
      </c>
    </row>
    <row r="217" spans="1:9">
      <c r="A217" s="113" t="s">
        <v>225</v>
      </c>
      <c r="B217" s="113" t="s">
        <v>525</v>
      </c>
      <c r="C217" s="116">
        <v>1985</v>
      </c>
      <c r="D217" s="116">
        <v>5</v>
      </c>
      <c r="E217" s="119">
        <v>115.7</v>
      </c>
      <c r="F217" s="116">
        <v>2025</v>
      </c>
      <c r="G217" s="116">
        <v>5</v>
      </c>
      <c r="H217" s="119">
        <v>1137.3489999999999</v>
      </c>
      <c r="I217" s="114">
        <v>5.8800188088654393</v>
      </c>
    </row>
    <row r="218" spans="1:9">
      <c r="A218" s="113" t="s">
        <v>225</v>
      </c>
      <c r="B218" s="113" t="s">
        <v>525</v>
      </c>
      <c r="C218" s="116">
        <v>1986</v>
      </c>
      <c r="D218" s="116">
        <v>5</v>
      </c>
      <c r="E218" s="119">
        <v>121.9</v>
      </c>
      <c r="F218" s="116">
        <v>2025</v>
      </c>
      <c r="G218" s="116">
        <v>5</v>
      </c>
      <c r="H218" s="119">
        <v>1137.3489999999999</v>
      </c>
      <c r="I218" s="114">
        <v>5.8934201761343674</v>
      </c>
    </row>
    <row r="219" spans="1:9">
      <c r="A219" s="113" t="s">
        <v>225</v>
      </c>
      <c r="B219" s="113" t="s">
        <v>525</v>
      </c>
      <c r="C219" s="116">
        <v>1987</v>
      </c>
      <c r="D219" s="116">
        <v>5</v>
      </c>
      <c r="E219" s="119">
        <v>130.6</v>
      </c>
      <c r="F219" s="116">
        <v>2025</v>
      </c>
      <c r="G219" s="116">
        <v>5</v>
      </c>
      <c r="H219" s="119">
        <v>1137.3489999999999</v>
      </c>
      <c r="I219" s="114">
        <v>5.8608901223479393</v>
      </c>
    </row>
    <row r="220" spans="1:9">
      <c r="A220" s="113" t="s">
        <v>225</v>
      </c>
      <c r="B220" s="113" t="s">
        <v>525</v>
      </c>
      <c r="C220" s="116">
        <v>1988</v>
      </c>
      <c r="D220" s="116">
        <v>5</v>
      </c>
      <c r="E220" s="119">
        <v>142.30000000000001</v>
      </c>
      <c r="F220" s="116">
        <v>2025</v>
      </c>
      <c r="G220" s="116">
        <v>5</v>
      </c>
      <c r="H220" s="119">
        <v>1137.3489999999999</v>
      </c>
      <c r="I220" s="114">
        <v>5.7784005688166218</v>
      </c>
    </row>
    <row r="221" spans="1:9">
      <c r="A221" s="113" t="s">
        <v>225</v>
      </c>
      <c r="B221" s="113" t="s">
        <v>525</v>
      </c>
      <c r="C221" s="116">
        <v>1989</v>
      </c>
      <c r="D221" s="116">
        <v>5</v>
      </c>
      <c r="E221" s="119">
        <v>158</v>
      </c>
      <c r="F221" s="116">
        <v>2025</v>
      </c>
      <c r="G221" s="116">
        <v>5</v>
      </c>
      <c r="H221" s="119">
        <v>1137.3489999999999</v>
      </c>
      <c r="I221" s="114">
        <v>5.6360441784553794</v>
      </c>
    </row>
    <row r="222" spans="1:9">
      <c r="A222" s="113" t="s">
        <v>225</v>
      </c>
      <c r="B222" s="113" t="s">
        <v>525</v>
      </c>
      <c r="C222" s="116">
        <v>1990</v>
      </c>
      <c r="D222" s="116">
        <v>5</v>
      </c>
      <c r="E222" s="119">
        <v>175.1</v>
      </c>
      <c r="F222" s="116">
        <v>2025</v>
      </c>
      <c r="G222" s="116">
        <v>5</v>
      </c>
      <c r="H222" s="119">
        <v>1137.3489999999999</v>
      </c>
      <c r="I222" s="114">
        <v>5.4914738736927982</v>
      </c>
    </row>
    <row r="223" spans="1:9">
      <c r="A223" s="113" t="s">
        <v>225</v>
      </c>
      <c r="B223" s="113" t="s">
        <v>525</v>
      </c>
      <c r="C223" s="116">
        <v>1991</v>
      </c>
      <c r="D223" s="116">
        <v>5</v>
      </c>
      <c r="E223" s="119">
        <v>193.9</v>
      </c>
      <c r="F223" s="116">
        <v>2025</v>
      </c>
      <c r="G223" s="116">
        <v>5</v>
      </c>
      <c r="H223" s="119">
        <v>1137.3489999999999</v>
      </c>
      <c r="I223" s="114">
        <v>5.341022045329602</v>
      </c>
    </row>
    <row r="224" spans="1:9">
      <c r="A224" s="113" t="s">
        <v>225</v>
      </c>
      <c r="B224" s="113" t="s">
        <v>525</v>
      </c>
      <c r="C224" s="116">
        <v>1992</v>
      </c>
      <c r="D224" s="116">
        <v>5</v>
      </c>
      <c r="E224" s="119">
        <v>212.1</v>
      </c>
      <c r="F224" s="116">
        <v>2025</v>
      </c>
      <c r="G224" s="116">
        <v>5</v>
      </c>
      <c r="H224" s="119">
        <v>1137.3489999999999</v>
      </c>
      <c r="I224" s="114">
        <v>5.2208022029181844</v>
      </c>
    </row>
    <row r="225" spans="1:9">
      <c r="A225" s="113" t="s">
        <v>225</v>
      </c>
      <c r="B225" s="113" t="s">
        <v>525</v>
      </c>
      <c r="C225" s="116">
        <v>1993</v>
      </c>
      <c r="D225" s="116">
        <v>5</v>
      </c>
      <c r="E225" s="119">
        <v>230.5</v>
      </c>
      <c r="F225" s="116">
        <v>2025</v>
      </c>
      <c r="G225" s="116">
        <v>5</v>
      </c>
      <c r="H225" s="119">
        <v>1137.3489999999999</v>
      </c>
      <c r="I225" s="114">
        <v>5.1146414224560344</v>
      </c>
    </row>
    <row r="226" spans="1:9">
      <c r="A226" s="113" t="s">
        <v>225</v>
      </c>
      <c r="B226" s="113" t="s">
        <v>525</v>
      </c>
      <c r="C226" s="116">
        <v>1994</v>
      </c>
      <c r="D226" s="116">
        <v>5</v>
      </c>
      <c r="E226" s="119">
        <v>243.9</v>
      </c>
      <c r="F226" s="116">
        <v>2025</v>
      </c>
      <c r="G226" s="116">
        <v>5</v>
      </c>
      <c r="H226" s="119">
        <v>1137.3489999999999</v>
      </c>
      <c r="I226" s="114">
        <v>5.0921762430909068</v>
      </c>
    </row>
    <row r="227" spans="1:9">
      <c r="A227" s="113" t="s">
        <v>225</v>
      </c>
      <c r="B227" s="113" t="s">
        <v>525</v>
      </c>
      <c r="C227" s="116">
        <v>1995</v>
      </c>
      <c r="D227" s="116">
        <v>5</v>
      </c>
      <c r="E227" s="119">
        <v>256</v>
      </c>
      <c r="F227" s="116">
        <v>2025</v>
      </c>
      <c r="G227" s="116">
        <v>5</v>
      </c>
      <c r="H227" s="119">
        <v>1137.3489999999999</v>
      </c>
      <c r="I227" s="114">
        <v>5.0965499509673107</v>
      </c>
    </row>
    <row r="228" spans="1:9">
      <c r="A228" s="113" t="s">
        <v>225</v>
      </c>
      <c r="B228" s="113" t="s">
        <v>525</v>
      </c>
      <c r="C228" s="116">
        <v>1996</v>
      </c>
      <c r="D228" s="116">
        <v>5</v>
      </c>
      <c r="E228" s="119">
        <v>268.10000000000002</v>
      </c>
      <c r="F228" s="116">
        <v>2025</v>
      </c>
      <c r="G228" s="116">
        <v>5</v>
      </c>
      <c r="H228" s="119">
        <v>1137.3489999999999</v>
      </c>
      <c r="I228" s="114">
        <v>5.1093314262337319</v>
      </c>
    </row>
    <row r="229" spans="1:9">
      <c r="A229" s="113" t="s">
        <v>225</v>
      </c>
      <c r="B229" s="113" t="s">
        <v>525</v>
      </c>
      <c r="C229" s="116">
        <v>1997</v>
      </c>
      <c r="D229" s="116">
        <v>5</v>
      </c>
      <c r="E229" s="119">
        <v>277.8</v>
      </c>
      <c r="F229" s="116">
        <v>2025</v>
      </c>
      <c r="G229" s="116">
        <v>5</v>
      </c>
      <c r="H229" s="119">
        <v>1137.3489999999999</v>
      </c>
      <c r="I229" s="114">
        <v>5.1629864961942218</v>
      </c>
    </row>
    <row r="230" spans="1:9">
      <c r="A230" s="113" t="s">
        <v>225</v>
      </c>
      <c r="B230" s="113" t="s">
        <v>525</v>
      </c>
      <c r="C230" s="116">
        <v>1998</v>
      </c>
      <c r="D230" s="116">
        <v>5</v>
      </c>
      <c r="E230" s="119">
        <v>286.10000000000002</v>
      </c>
      <c r="F230" s="116">
        <v>2025</v>
      </c>
      <c r="G230" s="116">
        <v>5</v>
      </c>
      <c r="H230" s="119">
        <v>1137.3489999999999</v>
      </c>
      <c r="I230" s="114">
        <v>5.2444267982969306</v>
      </c>
    </row>
    <row r="231" spans="1:9">
      <c r="A231" s="113" t="s">
        <v>225</v>
      </c>
      <c r="B231" s="113" t="s">
        <v>525</v>
      </c>
      <c r="C231" s="116">
        <v>1999</v>
      </c>
      <c r="D231" s="116">
        <v>5</v>
      </c>
      <c r="E231" s="119">
        <v>297.60000000000002</v>
      </c>
      <c r="F231" s="116">
        <v>2025</v>
      </c>
      <c r="G231" s="116">
        <v>5</v>
      </c>
      <c r="H231" s="119">
        <v>1137.3489999999999</v>
      </c>
      <c r="I231" s="114">
        <v>5.2918234883766013</v>
      </c>
    </row>
    <row r="232" spans="1:9">
      <c r="A232" s="113" t="s">
        <v>225</v>
      </c>
      <c r="B232" s="113" t="s">
        <v>525</v>
      </c>
      <c r="C232" s="116">
        <v>2000</v>
      </c>
      <c r="D232" s="116">
        <v>5</v>
      </c>
      <c r="E232" s="119">
        <v>314.2</v>
      </c>
      <c r="F232" s="116">
        <v>2025</v>
      </c>
      <c r="G232" s="116">
        <v>5</v>
      </c>
      <c r="H232" s="119">
        <v>1137.3489999999999</v>
      </c>
      <c r="I232" s="114">
        <v>5.2803942920938152</v>
      </c>
    </row>
    <row r="233" spans="1:9">
      <c r="A233" s="113" t="s">
        <v>225</v>
      </c>
      <c r="B233" s="113" t="s">
        <v>525</v>
      </c>
      <c r="C233" s="116">
        <v>2001</v>
      </c>
      <c r="D233" s="116">
        <v>5</v>
      </c>
      <c r="E233" s="119">
        <v>335.7</v>
      </c>
      <c r="F233" s="116">
        <v>2025</v>
      </c>
      <c r="G233" s="116">
        <v>5</v>
      </c>
      <c r="H233" s="119">
        <v>1137.3489999999999</v>
      </c>
      <c r="I233" s="114">
        <v>5.2157932272694394</v>
      </c>
    </row>
    <row r="234" spans="1:9">
      <c r="A234" s="113" t="s">
        <v>225</v>
      </c>
      <c r="B234" s="113" t="s">
        <v>525</v>
      </c>
      <c r="C234" s="116">
        <v>2002</v>
      </c>
      <c r="D234" s="116">
        <v>5</v>
      </c>
      <c r="E234" s="119">
        <v>364.8</v>
      </c>
      <c r="F234" s="116">
        <v>2025</v>
      </c>
      <c r="G234" s="116">
        <v>5</v>
      </c>
      <c r="H234" s="119">
        <v>1137.3489999999999</v>
      </c>
      <c r="I234" s="114">
        <v>5.0681916063222587</v>
      </c>
    </row>
    <row r="235" spans="1:9">
      <c r="A235" s="113" t="s">
        <v>225</v>
      </c>
      <c r="B235" s="113" t="s">
        <v>525</v>
      </c>
      <c r="C235" s="116">
        <v>2003</v>
      </c>
      <c r="D235" s="116">
        <v>5</v>
      </c>
      <c r="E235" s="119">
        <v>389.2</v>
      </c>
      <c r="F235" s="116">
        <v>2025</v>
      </c>
      <c r="G235" s="116">
        <v>5</v>
      </c>
      <c r="H235" s="119">
        <v>1137.3489999999999</v>
      </c>
      <c r="I235" s="114">
        <v>4.9951244511866832</v>
      </c>
    </row>
    <row r="236" spans="1:9">
      <c r="A236" s="113" t="s">
        <v>225</v>
      </c>
      <c r="B236" s="113" t="s">
        <v>525</v>
      </c>
      <c r="C236" s="116">
        <v>2004</v>
      </c>
      <c r="D236" s="116">
        <v>5</v>
      </c>
      <c r="E236" s="119">
        <v>414.8</v>
      </c>
      <c r="F236" s="116">
        <v>2025</v>
      </c>
      <c r="G236" s="116">
        <v>5</v>
      </c>
      <c r="H236" s="119">
        <v>1137.3489999999999</v>
      </c>
      <c r="I236" s="114">
        <v>4.9203575738801852</v>
      </c>
    </row>
    <row r="237" spans="1:9">
      <c r="A237" s="113" t="s">
        <v>225</v>
      </c>
      <c r="B237" s="113" t="s">
        <v>525</v>
      </c>
      <c r="C237" s="116">
        <v>2005</v>
      </c>
      <c r="D237" s="116">
        <v>5</v>
      </c>
      <c r="E237" s="119">
        <v>437.4</v>
      </c>
      <c r="F237" s="116">
        <v>2025</v>
      </c>
      <c r="G237" s="116">
        <v>5</v>
      </c>
      <c r="H237" s="119">
        <v>1137.3489999999999</v>
      </c>
      <c r="I237" s="114">
        <v>4.8940245324396114</v>
      </c>
    </row>
    <row r="238" spans="1:9">
      <c r="A238" s="113" t="s">
        <v>225</v>
      </c>
      <c r="B238" s="113" t="s">
        <v>525</v>
      </c>
      <c r="C238" s="116">
        <v>2006</v>
      </c>
      <c r="D238" s="116">
        <v>5</v>
      </c>
      <c r="E238" s="119">
        <v>465.6</v>
      </c>
      <c r="F238" s="116">
        <v>2025</v>
      </c>
      <c r="G238" s="116">
        <v>5</v>
      </c>
      <c r="H238" s="119">
        <v>1137.3489999999999</v>
      </c>
      <c r="I238" s="114">
        <v>4.8129097626882889</v>
      </c>
    </row>
    <row r="239" spans="1:9">
      <c r="A239" s="113" t="s">
        <v>225</v>
      </c>
      <c r="B239" s="113" t="s">
        <v>525</v>
      </c>
      <c r="C239" s="116">
        <v>2007</v>
      </c>
      <c r="D239" s="116">
        <v>5</v>
      </c>
      <c r="E239" s="119">
        <v>493.25</v>
      </c>
      <c r="F239" s="116">
        <v>2025</v>
      </c>
      <c r="G239" s="116">
        <v>5</v>
      </c>
      <c r="H239" s="119">
        <v>1137.3489999999999</v>
      </c>
      <c r="I239" s="114">
        <v>4.7507247514810169</v>
      </c>
    </row>
    <row r="240" spans="1:9">
      <c r="A240" s="113" t="s">
        <v>225</v>
      </c>
      <c r="B240" s="113" t="s">
        <v>525</v>
      </c>
      <c r="C240" s="116">
        <v>2008</v>
      </c>
      <c r="D240" s="116">
        <v>5</v>
      </c>
      <c r="E240" s="119">
        <v>529.91899999999998</v>
      </c>
      <c r="F240" s="116">
        <v>2025</v>
      </c>
      <c r="G240" s="116">
        <v>5</v>
      </c>
      <c r="H240" s="119">
        <v>1137.3489999999999</v>
      </c>
      <c r="I240" s="114">
        <v>4.5949794075970107</v>
      </c>
    </row>
    <row r="241" spans="1:9">
      <c r="A241" s="113" t="s">
        <v>225</v>
      </c>
      <c r="B241" s="113" t="s">
        <v>525</v>
      </c>
      <c r="C241" s="116">
        <v>2009</v>
      </c>
      <c r="D241" s="116">
        <v>5</v>
      </c>
      <c r="E241" s="119">
        <v>563.44200000000001</v>
      </c>
      <c r="F241" s="116">
        <v>2025</v>
      </c>
      <c r="G241" s="116">
        <v>5</v>
      </c>
      <c r="H241" s="119">
        <v>1137.3489999999999</v>
      </c>
      <c r="I241" s="114">
        <v>4.4877273788341174</v>
      </c>
    </row>
    <row r="242" spans="1:9">
      <c r="A242" s="113" t="s">
        <v>225</v>
      </c>
      <c r="B242" s="113" t="s">
        <v>525</v>
      </c>
      <c r="C242" s="116">
        <v>2010</v>
      </c>
      <c r="D242" s="116">
        <v>5</v>
      </c>
      <c r="E242" s="119">
        <v>604.18100000000004</v>
      </c>
      <c r="F242" s="116">
        <v>2025</v>
      </c>
      <c r="G242" s="116">
        <v>5</v>
      </c>
      <c r="H242" s="119">
        <v>1137.3489999999999</v>
      </c>
      <c r="I242" s="114">
        <v>4.307398140128571</v>
      </c>
    </row>
    <row r="243" spans="1:9">
      <c r="A243" s="113" t="s">
        <v>225</v>
      </c>
      <c r="B243" s="113" t="s">
        <v>525</v>
      </c>
      <c r="C243" s="116">
        <v>2011</v>
      </c>
      <c r="D243" s="116">
        <v>5</v>
      </c>
      <c r="E243" s="119">
        <v>638.03800000000001</v>
      </c>
      <c r="F243" s="116">
        <v>2025</v>
      </c>
      <c r="G243" s="116">
        <v>5</v>
      </c>
      <c r="H243" s="119">
        <v>1137.3489999999999</v>
      </c>
      <c r="I243" s="114">
        <v>4.2154104246642676</v>
      </c>
    </row>
    <row r="244" spans="1:9">
      <c r="A244" s="113" t="s">
        <v>225</v>
      </c>
      <c r="B244" s="113" t="s">
        <v>525</v>
      </c>
      <c r="C244" s="116">
        <v>2012</v>
      </c>
      <c r="D244" s="116">
        <v>5</v>
      </c>
      <c r="E244" s="119">
        <v>667.99300000000005</v>
      </c>
      <c r="F244" s="116">
        <v>2025</v>
      </c>
      <c r="G244" s="116">
        <v>5</v>
      </c>
      <c r="H244" s="119">
        <v>1137.3489999999999</v>
      </c>
      <c r="I244" s="114">
        <v>4.1786206502598233</v>
      </c>
    </row>
    <row r="245" spans="1:9">
      <c r="A245" s="113" t="s">
        <v>225</v>
      </c>
      <c r="B245" s="113" t="s">
        <v>525</v>
      </c>
      <c r="C245" s="116">
        <v>2013</v>
      </c>
      <c r="D245" s="116">
        <v>5</v>
      </c>
      <c r="E245" s="119">
        <v>692.42200000000003</v>
      </c>
      <c r="F245" s="116">
        <v>2025</v>
      </c>
      <c r="G245" s="116">
        <v>5</v>
      </c>
      <c r="H245" s="119">
        <v>1137.3489999999999</v>
      </c>
      <c r="I245" s="114">
        <v>4.2222011193010056</v>
      </c>
    </row>
    <row r="246" spans="1:9">
      <c r="A246" s="113" t="s">
        <v>225</v>
      </c>
      <c r="B246" s="113" t="s">
        <v>525</v>
      </c>
      <c r="C246" s="116">
        <v>2014</v>
      </c>
      <c r="D246" s="116">
        <v>5</v>
      </c>
      <c r="E246" s="119">
        <v>732.38400000000001</v>
      </c>
      <c r="F246" s="116">
        <v>2025</v>
      </c>
      <c r="G246" s="116">
        <v>5</v>
      </c>
      <c r="H246" s="119">
        <v>1137.3489999999999</v>
      </c>
      <c r="I246" s="114">
        <v>4.0825007678385372</v>
      </c>
    </row>
    <row r="247" spans="1:9">
      <c r="A247" s="113" t="s">
        <v>225</v>
      </c>
      <c r="B247" s="113" t="s">
        <v>525</v>
      </c>
      <c r="C247" s="116">
        <v>2015</v>
      </c>
      <c r="D247" s="116">
        <v>5</v>
      </c>
      <c r="E247" s="119">
        <v>765.35299999999995</v>
      </c>
      <c r="F247" s="116">
        <v>2025</v>
      </c>
      <c r="G247" s="116">
        <v>5</v>
      </c>
      <c r="H247" s="119">
        <v>1137.3489999999999</v>
      </c>
      <c r="I247" s="114">
        <v>4.0406833737088199</v>
      </c>
    </row>
    <row r="248" spans="1:9">
      <c r="A248" s="113" t="s">
        <v>225</v>
      </c>
      <c r="B248" s="113" t="s">
        <v>525</v>
      </c>
      <c r="C248" s="116">
        <v>2016</v>
      </c>
      <c r="D248" s="116">
        <v>5</v>
      </c>
      <c r="E248" s="119">
        <v>789.78899999999999</v>
      </c>
      <c r="F248" s="116">
        <v>2025</v>
      </c>
      <c r="G248" s="116">
        <v>5</v>
      </c>
      <c r="H248" s="119">
        <v>1137.3489999999999</v>
      </c>
      <c r="I248" s="114">
        <v>4.1353244256430832</v>
      </c>
    </row>
    <row r="249" spans="1:9">
      <c r="A249" s="113" t="s">
        <v>225</v>
      </c>
      <c r="B249" s="113" t="s">
        <v>525</v>
      </c>
      <c r="C249" s="116">
        <v>2017</v>
      </c>
      <c r="D249" s="116">
        <v>5</v>
      </c>
      <c r="E249" s="119">
        <v>826.89099999999996</v>
      </c>
      <c r="F249" s="116">
        <v>2025</v>
      </c>
      <c r="G249" s="116">
        <v>5</v>
      </c>
      <c r="H249" s="119">
        <v>1137.3489999999999</v>
      </c>
      <c r="I249" s="114">
        <v>4.0652389171169423</v>
      </c>
    </row>
    <row r="250" spans="1:9">
      <c r="A250" s="113" t="s">
        <v>225</v>
      </c>
      <c r="B250" s="113" t="s">
        <v>525</v>
      </c>
      <c r="C250" s="116">
        <v>2018</v>
      </c>
      <c r="D250" s="116">
        <v>5</v>
      </c>
      <c r="E250" s="119">
        <v>865.06799999999998</v>
      </c>
      <c r="F250" s="116">
        <v>2025</v>
      </c>
      <c r="G250" s="116">
        <v>5</v>
      </c>
      <c r="H250" s="119">
        <v>1137.3489999999999</v>
      </c>
      <c r="I250" s="114">
        <v>3.9866633919656058</v>
      </c>
    </row>
    <row r="251" spans="1:9">
      <c r="A251" s="113" t="s">
        <v>225</v>
      </c>
      <c r="B251" s="113" t="s">
        <v>525</v>
      </c>
      <c r="C251" s="116">
        <v>2019</v>
      </c>
      <c r="D251" s="116">
        <v>5</v>
      </c>
      <c r="E251" s="119">
        <v>878.41899999999998</v>
      </c>
      <c r="F251" s="116">
        <v>2025</v>
      </c>
      <c r="G251" s="116">
        <v>5</v>
      </c>
      <c r="H251" s="119">
        <v>1137.3489999999999</v>
      </c>
      <c r="I251" s="114">
        <v>4.3995607768973164</v>
      </c>
    </row>
    <row r="252" spans="1:9">
      <c r="A252" s="113" t="s">
        <v>225</v>
      </c>
      <c r="B252" s="113" t="s">
        <v>525</v>
      </c>
      <c r="C252" s="116">
        <v>2020</v>
      </c>
      <c r="D252" s="116">
        <v>5</v>
      </c>
      <c r="E252" s="119">
        <v>919.07500000000005</v>
      </c>
      <c r="F252" s="116">
        <v>2025</v>
      </c>
      <c r="G252" s="116">
        <v>5</v>
      </c>
      <c r="H252" s="119">
        <v>1137.3489999999999</v>
      </c>
      <c r="I252" s="114">
        <v>4.3538699460464514</v>
      </c>
    </row>
    <row r="253" spans="1:9">
      <c r="A253" s="113" t="s">
        <v>225</v>
      </c>
      <c r="B253" s="113" t="s">
        <v>525</v>
      </c>
      <c r="C253" s="116">
        <v>2021</v>
      </c>
      <c r="D253" s="116">
        <v>5</v>
      </c>
      <c r="E253" s="119">
        <v>944.68</v>
      </c>
      <c r="F253" s="116">
        <v>2025</v>
      </c>
      <c r="G253" s="116">
        <v>5</v>
      </c>
      <c r="H253" s="119">
        <v>1137.3489999999999</v>
      </c>
      <c r="I253" s="114">
        <v>4.7495720367643601</v>
      </c>
    </row>
    <row r="254" spans="1:9">
      <c r="A254" s="113" t="s">
        <v>225</v>
      </c>
      <c r="B254" s="113" t="s">
        <v>525</v>
      </c>
      <c r="C254" s="116">
        <v>2022</v>
      </c>
      <c r="D254" s="116">
        <v>5</v>
      </c>
      <c r="E254" s="119">
        <v>980.97500000000002</v>
      </c>
      <c r="F254" s="116">
        <v>2025</v>
      </c>
      <c r="G254" s="116">
        <v>5</v>
      </c>
      <c r="H254" s="119">
        <v>1137.3489999999999</v>
      </c>
      <c r="I254" s="114">
        <v>5.0538412518786879</v>
      </c>
    </row>
    <row r="255" spans="1:9">
      <c r="A255" s="113" t="s">
        <v>225</v>
      </c>
      <c r="B255" s="113" t="s">
        <v>525</v>
      </c>
      <c r="C255" s="116">
        <v>2023</v>
      </c>
      <c r="D255" s="116">
        <v>5</v>
      </c>
      <c r="E255" s="119">
        <v>1019.5839999999999</v>
      </c>
      <c r="F255" s="116">
        <v>2025</v>
      </c>
      <c r="G255" s="116">
        <v>5</v>
      </c>
      <c r="H255" s="119">
        <v>1137.3489999999999</v>
      </c>
      <c r="I255" s="114">
        <v>5.6173749652263627</v>
      </c>
    </row>
    <row r="256" spans="1:9">
      <c r="A256" s="113" t="s">
        <v>225</v>
      </c>
      <c r="B256" s="113" t="s">
        <v>525</v>
      </c>
      <c r="C256" s="116">
        <v>2024</v>
      </c>
      <c r="D256" s="116">
        <v>5</v>
      </c>
      <c r="E256" s="119">
        <v>1094.52</v>
      </c>
      <c r="F256" s="116">
        <v>2025</v>
      </c>
      <c r="G256" s="116">
        <v>5</v>
      </c>
      <c r="H256" s="119">
        <v>1137.3489999999999</v>
      </c>
      <c r="I256" s="114">
        <v>3.9130395059021161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CE85-08CB-43CA-96A7-FE8BAB36C58D}">
  <dimension ref="A1:B42"/>
  <sheetViews>
    <sheetView workbookViewId="0"/>
  </sheetViews>
  <sheetFormatPr baseColWidth="10" defaultColWidth="8.83203125" defaultRowHeight="15"/>
  <cols>
    <col min="1" max="1" width="35" customWidth="1"/>
    <col min="2" max="2" width="50" customWidth="1"/>
  </cols>
  <sheetData>
    <row r="1" spans="1:2" ht="16">
      <c r="A1" s="120" t="s">
        <v>541</v>
      </c>
    </row>
    <row r="3" spans="1:2" ht="16">
      <c r="A3" s="120" t="s">
        <v>542</v>
      </c>
    </row>
    <row r="4" spans="1:2">
      <c r="A4" s="103" t="s">
        <v>543</v>
      </c>
      <c r="B4" t="s">
        <v>544</v>
      </c>
    </row>
    <row r="5" spans="1:2">
      <c r="A5" s="103" t="s">
        <v>545</v>
      </c>
      <c r="B5" t="s">
        <v>546</v>
      </c>
    </row>
    <row r="6" spans="1:2">
      <c r="A6" s="103" t="s">
        <v>547</v>
      </c>
      <c r="B6" t="s">
        <v>548</v>
      </c>
    </row>
    <row r="7" spans="1:2">
      <c r="A7" s="103" t="s">
        <v>549</v>
      </c>
      <c r="B7" t="s">
        <v>550</v>
      </c>
    </row>
    <row r="9" spans="1:2" ht="16">
      <c r="A9" s="120" t="s">
        <v>551</v>
      </c>
    </row>
    <row r="10" spans="1:2">
      <c r="A10" s="103" t="s">
        <v>552</v>
      </c>
      <c r="B10" t="s">
        <v>16</v>
      </c>
    </row>
    <row r="11" spans="1:2">
      <c r="A11" s="103" t="s">
        <v>553</v>
      </c>
      <c r="B11" t="s">
        <v>14</v>
      </c>
    </row>
    <row r="12" spans="1:2">
      <c r="A12" s="103" t="s">
        <v>554</v>
      </c>
      <c r="B12" t="s">
        <v>14</v>
      </c>
    </row>
    <row r="13" spans="1:2">
      <c r="A13" s="103" t="s">
        <v>555</v>
      </c>
      <c r="B13" t="s">
        <v>26</v>
      </c>
    </row>
    <row r="15" spans="1:2" ht="16">
      <c r="A15" s="120" t="s">
        <v>556</v>
      </c>
    </row>
    <row r="16" spans="1:2">
      <c r="A16" s="103" t="s">
        <v>557</v>
      </c>
      <c r="B16" t="s">
        <v>558</v>
      </c>
    </row>
    <row r="17" spans="1:2">
      <c r="A17" s="103" t="s">
        <v>559</v>
      </c>
      <c r="B17" t="s">
        <v>560</v>
      </c>
    </row>
    <row r="18" spans="1:2">
      <c r="A18" s="103" t="s">
        <v>561</v>
      </c>
      <c r="B18" t="s">
        <v>562</v>
      </c>
    </row>
    <row r="20" spans="1:2" ht="16">
      <c r="A20" s="120" t="s">
        <v>563</v>
      </c>
    </row>
    <row r="21" spans="1:2">
      <c r="A21" s="103" t="s">
        <v>564</v>
      </c>
      <c r="B21" t="s">
        <v>565</v>
      </c>
    </row>
    <row r="22" spans="1:2">
      <c r="A22" s="103" t="s">
        <v>526</v>
      </c>
      <c r="B22" t="s">
        <v>566</v>
      </c>
    </row>
    <row r="23" spans="1:2">
      <c r="A23" s="103" t="s">
        <v>567</v>
      </c>
      <c r="B23" t="s">
        <v>566</v>
      </c>
    </row>
    <row r="24" spans="1:2">
      <c r="A24" s="103" t="s">
        <v>443</v>
      </c>
      <c r="B24" t="s">
        <v>444</v>
      </c>
    </row>
    <row r="26" spans="1:2" ht="16">
      <c r="A26" s="120" t="s">
        <v>452</v>
      </c>
    </row>
    <row r="27" spans="1:2">
      <c r="A27" s="103" t="s">
        <v>568</v>
      </c>
      <c r="B27" t="s">
        <v>14</v>
      </c>
    </row>
    <row r="28" spans="1:2">
      <c r="A28" s="103" t="s">
        <v>569</v>
      </c>
      <c r="B28" t="s">
        <v>570</v>
      </c>
    </row>
    <row r="29" spans="1:2">
      <c r="A29" s="103" t="s">
        <v>571</v>
      </c>
      <c r="B29" t="s">
        <v>572</v>
      </c>
    </row>
    <row r="30" spans="1:2">
      <c r="A30" s="103" t="s">
        <v>573</v>
      </c>
      <c r="B30" t="s">
        <v>10</v>
      </c>
    </row>
    <row r="32" spans="1:2" ht="16">
      <c r="A32" s="120" t="s">
        <v>574</v>
      </c>
    </row>
    <row r="33" spans="1:2">
      <c r="A33" s="103" t="s">
        <v>575</v>
      </c>
      <c r="B33" t="s">
        <v>576</v>
      </c>
    </row>
    <row r="34" spans="1:2">
      <c r="A34" s="103" t="s">
        <v>577</v>
      </c>
      <c r="B34" t="s">
        <v>578</v>
      </c>
    </row>
    <row r="35" spans="1:2">
      <c r="A35" s="103" t="s">
        <v>579</v>
      </c>
      <c r="B35" t="s">
        <v>580</v>
      </c>
    </row>
    <row r="36" spans="1:2">
      <c r="A36" s="103" t="s">
        <v>581</v>
      </c>
      <c r="B36" t="s">
        <v>582</v>
      </c>
    </row>
    <row r="38" spans="1:2" ht="16">
      <c r="A38" s="120" t="s">
        <v>583</v>
      </c>
    </row>
    <row r="39" spans="1:2">
      <c r="A39" s="103" t="s">
        <v>584</v>
      </c>
      <c r="B39" t="s">
        <v>585</v>
      </c>
    </row>
    <row r="40" spans="1:2">
      <c r="A40" s="103" t="s">
        <v>586</v>
      </c>
      <c r="B40" t="s">
        <v>587</v>
      </c>
    </row>
    <row r="41" spans="1:2">
      <c r="A41" s="103" t="s">
        <v>588</v>
      </c>
      <c r="B41" t="s">
        <v>589</v>
      </c>
    </row>
    <row r="42" spans="1:2">
      <c r="A42" s="103" t="s">
        <v>590</v>
      </c>
      <c r="B42" t="s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dimension ref="A1:O39"/>
  <sheetViews>
    <sheetView workbookViewId="0">
      <selection sqref="A1:O39"/>
    </sheetView>
  </sheetViews>
  <sheetFormatPr baseColWidth="10" defaultColWidth="8.83203125" defaultRowHeight="15"/>
  <cols>
    <col min="1" max="1" width="9.33203125" bestFit="1" customWidth="1"/>
    <col min="2" max="2" width="13.83203125" bestFit="1" customWidth="1"/>
    <col min="3" max="3" width="13.6640625" bestFit="1" customWidth="1"/>
    <col min="4" max="4" width="14.1640625" bestFit="1" customWidth="1"/>
    <col min="5" max="5" width="14" bestFit="1" customWidth="1"/>
    <col min="6" max="6" width="9.33203125" bestFit="1" customWidth="1"/>
    <col min="7" max="9" width="11.6640625" bestFit="1" customWidth="1"/>
    <col min="10" max="10" width="16.6640625" bestFit="1" customWidth="1"/>
    <col min="11" max="11" width="15.5" bestFit="1" customWidth="1"/>
    <col min="12" max="12" width="16.5" bestFit="1" customWidth="1"/>
    <col min="13" max="13" width="15.33203125" bestFit="1" customWidth="1"/>
    <col min="14" max="14" width="17" bestFit="1" customWidth="1"/>
    <col min="15" max="15" width="15.83203125" bestFit="1" customWidth="1"/>
    <col min="16" max="16" width="17.5" bestFit="1" customWidth="1"/>
  </cols>
  <sheetData>
    <row r="1" spans="1:15">
      <c r="A1" t="s">
        <v>3</v>
      </c>
      <c r="B1" t="s">
        <v>106</v>
      </c>
      <c r="C1" t="s">
        <v>113</v>
      </c>
      <c r="D1" t="s">
        <v>112</v>
      </c>
      <c r="E1" t="s">
        <v>124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>
      <c r="A2">
        <v>2025</v>
      </c>
      <c r="B2">
        <v>9418.2200000000012</v>
      </c>
      <c r="C2">
        <v>15582.28</v>
      </c>
      <c r="D2">
        <v>21746.34</v>
      </c>
      <c r="E2">
        <v>0</v>
      </c>
      <c r="F2">
        <v>0</v>
      </c>
      <c r="G2">
        <v>9418.2200000000012</v>
      </c>
      <c r="H2">
        <v>15582.28</v>
      </c>
      <c r="I2">
        <v>21746.34</v>
      </c>
      <c r="J2">
        <v>310743.68804082909</v>
      </c>
      <c r="K2">
        <v>301325.46804082906</v>
      </c>
      <c r="L2">
        <v>513604.18625621952</v>
      </c>
      <c r="M2">
        <v>498021.90625621949</v>
      </c>
      <c r="N2">
        <v>716464.68447161024</v>
      </c>
      <c r="O2">
        <v>694718.34447161027</v>
      </c>
    </row>
    <row r="3" spans="1:15">
      <c r="A3">
        <v>2026</v>
      </c>
      <c r="B3">
        <v>9737.1733000000004</v>
      </c>
      <c r="C3">
        <v>16108.930830000001</v>
      </c>
      <c r="D3">
        <v>22480.68836</v>
      </c>
      <c r="E3">
        <v>2.681</v>
      </c>
      <c r="F3">
        <v>2.681E-2</v>
      </c>
      <c r="G3">
        <v>9482.9357914317152</v>
      </c>
      <c r="H3">
        <v>15688.326788792476</v>
      </c>
      <c r="I3">
        <v>21893.717786153233</v>
      </c>
      <c r="J3">
        <v>301325.46804082906</v>
      </c>
      <c r="K3">
        <v>291842.53224939737</v>
      </c>
      <c r="L3">
        <v>498021.90625621949</v>
      </c>
      <c r="M3">
        <v>482333.57946742699</v>
      </c>
      <c r="N3">
        <v>694718.34447161027</v>
      </c>
      <c r="O3">
        <v>672824.62668545707</v>
      </c>
    </row>
    <row r="4" spans="1:15">
      <c r="A4">
        <v>2027</v>
      </c>
      <c r="B4">
        <v>10066.9826777</v>
      </c>
      <c r="C4">
        <v>16653.480167670001</v>
      </c>
      <c r="D4">
        <v>23239.977657640004</v>
      </c>
      <c r="E4">
        <v>2.6989999999999998</v>
      </c>
      <c r="F4">
        <v>2.699E-2</v>
      </c>
      <c r="G4">
        <v>9544.801296792024</v>
      </c>
      <c r="H4">
        <v>15789.652589011217</v>
      </c>
      <c r="I4">
        <v>22034.503881230412</v>
      </c>
      <c r="J4">
        <v>291842.53224939737</v>
      </c>
      <c r="K4">
        <v>282297.73095260531</v>
      </c>
      <c r="L4">
        <v>482333.57946742699</v>
      </c>
      <c r="M4">
        <v>466543.92687841575</v>
      </c>
      <c r="N4">
        <v>672824.62668545707</v>
      </c>
      <c r="O4">
        <v>650790.1228042267</v>
      </c>
    </row>
    <row r="5" spans="1:15">
      <c r="A5">
        <v>2028</v>
      </c>
      <c r="B5">
        <v>10408.019437459301</v>
      </c>
      <c r="C5">
        <v>17216.539497811835</v>
      </c>
      <c r="D5">
        <v>24025.059558164365</v>
      </c>
      <c r="E5">
        <v>2.738</v>
      </c>
      <c r="F5">
        <v>2.7380000000000002E-2</v>
      </c>
      <c r="G5">
        <v>9597.8680147966443</v>
      </c>
      <c r="H5">
        <v>15876.418637037874</v>
      </c>
      <c r="I5">
        <v>22154.9692592791</v>
      </c>
      <c r="J5">
        <v>282297.73095260531</v>
      </c>
      <c r="K5">
        <v>272699.86293780868</v>
      </c>
      <c r="L5">
        <v>466543.92687841575</v>
      </c>
      <c r="M5">
        <v>450667.50824137789</v>
      </c>
      <c r="N5">
        <v>650790.1228042267</v>
      </c>
      <c r="O5">
        <v>628635.15354494762</v>
      </c>
    </row>
    <row r="6" spans="1:15">
      <c r="A6">
        <v>2029</v>
      </c>
      <c r="B6">
        <v>10760.667646795875</v>
      </c>
      <c r="C6">
        <v>17798.741306645519</v>
      </c>
      <c r="D6">
        <v>24836.814966495167</v>
      </c>
      <c r="E6">
        <v>2.7549999999999999</v>
      </c>
      <c r="F6">
        <v>2.7549999999999998E-2</v>
      </c>
      <c r="G6">
        <v>9652.2233690281719</v>
      </c>
      <c r="H6">
        <v>15965.312972977634</v>
      </c>
      <c r="I6">
        <v>22278.402576927099</v>
      </c>
      <c r="J6">
        <v>272699.86293780868</v>
      </c>
      <c r="K6">
        <v>263047.63956878049</v>
      </c>
      <c r="L6">
        <v>450667.50824137789</v>
      </c>
      <c r="M6">
        <v>434702.19526840025</v>
      </c>
      <c r="N6">
        <v>628635.15354494762</v>
      </c>
      <c r="O6">
        <v>606356.75096802053</v>
      </c>
    </row>
    <row r="7" spans="1:15">
      <c r="A7">
        <v>2030</v>
      </c>
      <c r="B7">
        <v>11125.324577494197</v>
      </c>
      <c r="C7">
        <v>18400.739807182938</v>
      </c>
      <c r="D7">
        <v>25676.155036871674</v>
      </c>
      <c r="E7">
        <v>2.798</v>
      </c>
      <c r="F7">
        <v>2.7980000000000001E-2</v>
      </c>
      <c r="G7">
        <v>9691.4634872806528</v>
      </c>
      <c r="H7">
        <v>16029.204068438165</v>
      </c>
      <c r="I7">
        <v>22366.944649595673</v>
      </c>
      <c r="J7">
        <v>263047.63956878049</v>
      </c>
      <c r="K7">
        <v>253356.17608149984</v>
      </c>
      <c r="L7">
        <v>434702.19526840025</v>
      </c>
      <c r="M7">
        <v>418672.9911999621</v>
      </c>
      <c r="N7">
        <v>606356.75096802053</v>
      </c>
      <c r="O7">
        <v>583989.80631842487</v>
      </c>
    </row>
    <row r="8" spans="1:15">
      <c r="A8">
        <v>2031</v>
      </c>
      <c r="B8">
        <v>11502.401162052116</v>
      </c>
      <c r="C8">
        <v>19023.211689813535</v>
      </c>
      <c r="D8">
        <v>26544.022217574955</v>
      </c>
      <c r="E8">
        <v>2.843</v>
      </c>
      <c r="F8">
        <v>2.843E-2</v>
      </c>
      <c r="G8">
        <v>9721.6524114149506</v>
      </c>
      <c r="H8">
        <v>16078.125705375647</v>
      </c>
      <c r="I8">
        <v>22434.598999336344</v>
      </c>
      <c r="J8">
        <v>253356.17608149984</v>
      </c>
      <c r="K8">
        <v>243634.52367008489</v>
      </c>
      <c r="L8">
        <v>418672.9911999621</v>
      </c>
      <c r="M8">
        <v>402594.86549458647</v>
      </c>
      <c r="N8">
        <v>583989.80631842487</v>
      </c>
      <c r="O8">
        <v>561555.20731908851</v>
      </c>
    </row>
    <row r="9" spans="1:15">
      <c r="A9">
        <v>2032</v>
      </c>
      <c r="B9">
        <v>11892.32246600397</v>
      </c>
      <c r="C9">
        <v>19666.85689898493</v>
      </c>
      <c r="D9">
        <v>27441.39133196589</v>
      </c>
      <c r="E9">
        <v>2.9510000000000001</v>
      </c>
      <c r="F9">
        <v>2.9510000000000002E-2</v>
      </c>
      <c r="G9">
        <v>9701.8083380725748</v>
      </c>
      <c r="H9">
        <v>16044.307307651206</v>
      </c>
      <c r="I9">
        <v>22386.80627722984</v>
      </c>
      <c r="J9">
        <v>243634.52367008489</v>
      </c>
      <c r="K9">
        <v>233932.7153320123</v>
      </c>
      <c r="L9">
        <v>402594.86549458647</v>
      </c>
      <c r="M9">
        <v>386550.55818693526</v>
      </c>
      <c r="N9">
        <v>561555.20731908851</v>
      </c>
      <c r="O9">
        <v>539168.40104185871</v>
      </c>
    </row>
    <row r="10" spans="1:15">
      <c r="A10">
        <v>2033</v>
      </c>
      <c r="B10">
        <v>12295.528176676153</v>
      </c>
      <c r="C10">
        <v>20332.399436892072</v>
      </c>
      <c r="D10">
        <v>28369.27069710799</v>
      </c>
      <c r="E10">
        <v>3.0750000000000002</v>
      </c>
      <c r="F10">
        <v>3.0750000000000003E-2</v>
      </c>
      <c r="G10">
        <v>9649.8473113002819</v>
      </c>
      <c r="H10">
        <v>15957.390948895069</v>
      </c>
      <c r="I10">
        <v>22264.934586489853</v>
      </c>
      <c r="J10">
        <v>233932.7153320123</v>
      </c>
      <c r="K10">
        <v>224282.86802071202</v>
      </c>
      <c r="L10">
        <v>386550.55818693526</v>
      </c>
      <c r="M10">
        <v>370593.16723804019</v>
      </c>
      <c r="N10">
        <v>539168.40104185871</v>
      </c>
      <c r="O10">
        <v>516903.46645536885</v>
      </c>
    </row>
    <row r="11" spans="1:15">
      <c r="A11">
        <v>2034</v>
      </c>
      <c r="B11">
        <v>12712.473108950893</v>
      </c>
      <c r="C11">
        <v>21020.588195121134</v>
      </c>
      <c r="D11">
        <v>29328.703281291371</v>
      </c>
      <c r="E11">
        <v>3.1640000000000001</v>
      </c>
      <c r="F11">
        <v>3.1640000000000001E-2</v>
      </c>
      <c r="G11">
        <v>9604.5382881681417</v>
      </c>
      <c r="H11">
        <v>15881.492328798135</v>
      </c>
      <c r="I11">
        <v>22158.446369428126</v>
      </c>
      <c r="J11">
        <v>224282.86802071202</v>
      </c>
      <c r="K11">
        <v>214678.32973254388</v>
      </c>
      <c r="L11">
        <v>370593.16723804019</v>
      </c>
      <c r="M11">
        <v>354711.67490924208</v>
      </c>
      <c r="N11">
        <v>516903.46645536885</v>
      </c>
      <c r="O11">
        <v>494745.02008594072</v>
      </c>
    </row>
    <row r="12" spans="1:15">
      <c r="A12">
        <v>2035</v>
      </c>
      <c r="B12">
        <v>13143.62772863451</v>
      </c>
      <c r="C12">
        <v>21732.197815227664</v>
      </c>
      <c r="D12">
        <v>30320.767901820818</v>
      </c>
      <c r="E12">
        <v>3.2730000000000001</v>
      </c>
      <c r="F12">
        <v>3.2730000000000002E-2</v>
      </c>
      <c r="G12">
        <v>9524.6125635178287</v>
      </c>
      <c r="H12">
        <v>15748.373935821777</v>
      </c>
      <c r="I12">
        <v>21972.135308125726</v>
      </c>
      <c r="J12">
        <v>214678.32973254388</v>
      </c>
      <c r="K12">
        <v>205153.71716902606</v>
      </c>
      <c r="L12">
        <v>354711.67490924208</v>
      </c>
      <c r="M12">
        <v>338963.30097342032</v>
      </c>
      <c r="N12">
        <v>494745.02008594072</v>
      </c>
      <c r="O12">
        <v>472772.88477781496</v>
      </c>
    </row>
    <row r="13" spans="1:15">
      <c r="A13">
        <v>2036</v>
      </c>
      <c r="B13">
        <v>13589.47869404731</v>
      </c>
      <c r="C13">
        <v>22468.029579263133</v>
      </c>
      <c r="D13">
        <v>31346.580464478957</v>
      </c>
      <c r="E13">
        <v>3.33</v>
      </c>
      <c r="F13">
        <v>3.3300000000000003E-2</v>
      </c>
      <c r="G13">
        <v>9477.8989436046377</v>
      </c>
      <c r="H13">
        <v>15670.190049854935</v>
      </c>
      <c r="I13">
        <v>21862.481156105234</v>
      </c>
      <c r="J13">
        <v>205153.71716902606</v>
      </c>
      <c r="K13">
        <v>195675.81822542142</v>
      </c>
      <c r="L13">
        <v>338963.30097342032</v>
      </c>
      <c r="M13">
        <v>323293.1109235654</v>
      </c>
      <c r="N13">
        <v>472772.88477781496</v>
      </c>
      <c r="O13">
        <v>450910.40362170973</v>
      </c>
    </row>
    <row r="14" spans="1:15">
      <c r="A14">
        <v>2037</v>
      </c>
      <c r="B14">
        <v>14050.529416474237</v>
      </c>
      <c r="C14">
        <v>23228.912331299827</v>
      </c>
      <c r="D14">
        <v>32407.295246125417</v>
      </c>
      <c r="E14">
        <v>3.431</v>
      </c>
      <c r="F14">
        <v>3.431E-2</v>
      </c>
      <c r="G14">
        <v>9373.1162956359694</v>
      </c>
      <c r="H14">
        <v>15496.020843678716</v>
      </c>
      <c r="I14">
        <v>21618.925391721463</v>
      </c>
      <c r="J14">
        <v>195675.81822542142</v>
      </c>
      <c r="K14">
        <v>186302.70192978546</v>
      </c>
      <c r="L14">
        <v>323293.1109235654</v>
      </c>
      <c r="M14">
        <v>307797.09007988666</v>
      </c>
      <c r="N14">
        <v>450910.40362170973</v>
      </c>
      <c r="O14">
        <v>429291.47822998825</v>
      </c>
    </row>
    <row r="15" spans="1:15">
      <c r="A15">
        <v>2038</v>
      </c>
      <c r="B15">
        <v>14527.300640137993</v>
      </c>
      <c r="C15">
        <v>24015.7034310413</v>
      </c>
      <c r="D15">
        <v>33504.106221944603</v>
      </c>
      <c r="E15">
        <v>3.5390000000000001</v>
      </c>
      <c r="F15">
        <v>3.5390000000000005E-2</v>
      </c>
      <c r="G15">
        <v>9243.4344154414666</v>
      </c>
      <c r="H15">
        <v>15280.717671126424</v>
      </c>
      <c r="I15">
        <v>21318.000926811379</v>
      </c>
      <c r="J15">
        <v>186302.70192978546</v>
      </c>
      <c r="K15">
        <v>177059.26751434398</v>
      </c>
      <c r="L15">
        <v>307797.09007988666</v>
      </c>
      <c r="M15">
        <v>292516.37240876025</v>
      </c>
      <c r="N15">
        <v>429291.47822998825</v>
      </c>
      <c r="O15">
        <v>407973.47730317689</v>
      </c>
    </row>
    <row r="16" spans="1:15">
      <c r="A16">
        <v>2039</v>
      </c>
      <c r="B16">
        <v>15020.331042379641</v>
      </c>
      <c r="C16">
        <v>24829.289740643882</v>
      </c>
      <c r="D16">
        <v>34638.248438908122</v>
      </c>
      <c r="E16">
        <v>3.6440000000000001</v>
      </c>
      <c r="F16">
        <v>3.644E-2</v>
      </c>
      <c r="G16">
        <v>9100.4147447052746</v>
      </c>
      <c r="H16">
        <v>15043.399098114493</v>
      </c>
      <c r="I16">
        <v>20986.38345152371</v>
      </c>
      <c r="J16">
        <v>177059.26751434398</v>
      </c>
      <c r="K16">
        <v>167958.8527696387</v>
      </c>
      <c r="L16">
        <v>292516.37240876025</v>
      </c>
      <c r="M16">
        <v>277472.97331064573</v>
      </c>
      <c r="N16">
        <v>407973.47730317689</v>
      </c>
      <c r="O16">
        <v>386987.09385165316</v>
      </c>
    </row>
    <row r="17" spans="1:15">
      <c r="A17">
        <v>2040</v>
      </c>
      <c r="B17">
        <v>15530.177854756133</v>
      </c>
      <c r="C17">
        <v>25670.588645914748</v>
      </c>
      <c r="D17">
        <v>35810.999437073362</v>
      </c>
      <c r="E17">
        <v>3.7480000000000002</v>
      </c>
      <c r="F17">
        <v>3.7479999999999999E-2</v>
      </c>
      <c r="G17">
        <v>8942.9423056594096</v>
      </c>
      <c r="H17">
        <v>14782.225635775629</v>
      </c>
      <c r="I17">
        <v>20621.508965891848</v>
      </c>
      <c r="J17">
        <v>167958.8527696387</v>
      </c>
      <c r="K17">
        <v>159015.91046397929</v>
      </c>
      <c r="L17">
        <v>277472.97331064573</v>
      </c>
      <c r="M17">
        <v>262690.74767487007</v>
      </c>
      <c r="N17">
        <v>386987.09385165316</v>
      </c>
      <c r="O17">
        <v>366365.58488576132</v>
      </c>
    </row>
    <row r="18" spans="1:15">
      <c r="A18">
        <v>2041</v>
      </c>
      <c r="B18">
        <v>16057.417505789177</v>
      </c>
      <c r="C18">
        <v>26540.54911309317</v>
      </c>
      <c r="D18">
        <v>37023.680720397162</v>
      </c>
      <c r="E18">
        <v>3.8460000000000001</v>
      </c>
      <c r="F18">
        <v>3.8460000000000001E-2</v>
      </c>
      <c r="G18">
        <v>8778.8844933736127</v>
      </c>
      <c r="H18">
        <v>14510.204705741273</v>
      </c>
      <c r="I18">
        <v>20241.524918108935</v>
      </c>
      <c r="J18">
        <v>159015.91046397929</v>
      </c>
      <c r="K18">
        <v>150237.02597060567</v>
      </c>
      <c r="L18">
        <v>262690.74767487007</v>
      </c>
      <c r="M18">
        <v>248180.54296912879</v>
      </c>
      <c r="N18">
        <v>366365.58488576132</v>
      </c>
      <c r="O18">
        <v>346124.05996765237</v>
      </c>
    </row>
    <row r="19" spans="1:15">
      <c r="A19">
        <v>2042</v>
      </c>
      <c r="B19">
        <v>16602.646286125932</v>
      </c>
      <c r="C19">
        <v>27440.152782464364</v>
      </c>
      <c r="D19">
        <v>38277.659278802792</v>
      </c>
      <c r="E19">
        <v>3.9119999999999999</v>
      </c>
      <c r="F19">
        <v>3.9120000000000002E-2</v>
      </c>
      <c r="G19">
        <v>8646.8982990694367</v>
      </c>
      <c r="H19">
        <v>14291.228418157296</v>
      </c>
      <c r="I19">
        <v>19935.55853724515</v>
      </c>
      <c r="J19">
        <v>150237.02597060567</v>
      </c>
      <c r="K19">
        <v>141590.12767153623</v>
      </c>
      <c r="L19">
        <v>248180.54296912879</v>
      </c>
      <c r="M19">
        <v>233889.3145509715</v>
      </c>
      <c r="N19">
        <v>346124.05996765237</v>
      </c>
      <c r="O19">
        <v>326188.50143040722</v>
      </c>
    </row>
    <row r="20" spans="1:15">
      <c r="A20">
        <v>2043</v>
      </c>
      <c r="B20">
        <v>17166.481036898989</v>
      </c>
      <c r="C20">
        <v>28370.415100099635</v>
      </c>
      <c r="D20">
        <v>39574.349163300285</v>
      </c>
      <c r="E20">
        <v>3.9929999999999999</v>
      </c>
      <c r="F20">
        <v>3.993E-2</v>
      </c>
      <c r="G20">
        <v>8484.1307507599849</v>
      </c>
      <c r="H20">
        <v>14021.412463346727</v>
      </c>
      <c r="I20">
        <v>19558.69417593347</v>
      </c>
      <c r="J20">
        <v>141590.12767153623</v>
      </c>
      <c r="K20">
        <v>133105.99692077626</v>
      </c>
      <c r="L20">
        <v>233889.3145509715</v>
      </c>
      <c r="M20">
        <v>219867.90208762477</v>
      </c>
      <c r="N20">
        <v>326188.50143040722</v>
      </c>
      <c r="O20">
        <v>306629.80725447374</v>
      </c>
    </row>
    <row r="21" spans="1:15">
      <c r="A21">
        <v>2044</v>
      </c>
      <c r="B21">
        <v>17749.559862100963</v>
      </c>
      <c r="C21">
        <v>29332.38648906237</v>
      </c>
      <c r="D21">
        <v>40915.213116023777</v>
      </c>
      <c r="E21">
        <v>4.0709999999999997</v>
      </c>
      <c r="F21">
        <v>4.0709999999999996E-2</v>
      </c>
      <c r="G21">
        <v>8316.1585959293625</v>
      </c>
      <c r="H21">
        <v>13743.032499695162</v>
      </c>
      <c r="I21">
        <v>19169.906403460962</v>
      </c>
      <c r="J21">
        <v>133105.99692077626</v>
      </c>
      <c r="K21">
        <v>124789.8383248469</v>
      </c>
      <c r="L21">
        <v>219867.90208762477</v>
      </c>
      <c r="M21">
        <v>206124.8695879296</v>
      </c>
      <c r="N21">
        <v>306629.80725447374</v>
      </c>
      <c r="O21">
        <v>287459.90085101279</v>
      </c>
    </row>
    <row r="22" spans="1:15">
      <c r="A22">
        <v>2045</v>
      </c>
      <c r="B22">
        <v>18352.54286581797</v>
      </c>
      <c r="C22">
        <v>30327.153561466781</v>
      </c>
      <c r="D22">
        <v>42301.764257115596</v>
      </c>
      <c r="E22">
        <v>4.1529999999999996</v>
      </c>
      <c r="F22">
        <v>4.1529999999999997E-2</v>
      </c>
      <c r="G22">
        <v>8133.1835090105915</v>
      </c>
      <c r="H22">
        <v>13439.898057982824</v>
      </c>
      <c r="I22">
        <v>18746.612606955056</v>
      </c>
      <c r="J22">
        <v>124789.8383248469</v>
      </c>
      <c r="K22">
        <v>116656.65481583631</v>
      </c>
      <c r="L22">
        <v>206124.8695879296</v>
      </c>
      <c r="M22">
        <v>192684.97152994678</v>
      </c>
      <c r="N22">
        <v>287459.90085101279</v>
      </c>
      <c r="O22">
        <v>268713.28824405774</v>
      </c>
    </row>
    <row r="23" spans="1:15">
      <c r="A23">
        <v>2046</v>
      </c>
      <c r="B23">
        <v>18976.11291519619</v>
      </c>
      <c r="C23">
        <v>31355.840372825754</v>
      </c>
      <c r="D23">
        <v>43735.567830455315</v>
      </c>
      <c r="E23">
        <v>4.21</v>
      </c>
      <c r="F23">
        <v>4.2099999999999999E-2</v>
      </c>
      <c r="G23">
        <v>7981.9672599091291</v>
      </c>
      <c r="H23">
        <v>13189.281302305342</v>
      </c>
      <c r="I23">
        <v>18396.595344701553</v>
      </c>
      <c r="J23">
        <v>116656.65481583631</v>
      </c>
      <c r="K23">
        <v>108674.68755592719</v>
      </c>
      <c r="L23">
        <v>192684.97152994678</v>
      </c>
      <c r="M23">
        <v>179495.69022764143</v>
      </c>
      <c r="N23">
        <v>268713.28824405774</v>
      </c>
      <c r="O23">
        <v>250316.69289935619</v>
      </c>
    </row>
    <row r="24" spans="1:15">
      <c r="A24">
        <v>2047</v>
      </c>
      <c r="B24">
        <v>19620.976430046769</v>
      </c>
      <c r="C24">
        <v>32419.609720174783</v>
      </c>
      <c r="D24">
        <v>45218.243010302795</v>
      </c>
      <c r="E24">
        <v>4.2549999999999999</v>
      </c>
      <c r="F24">
        <v>4.2549999999999998E-2</v>
      </c>
      <c r="G24">
        <v>7844.9282971848806</v>
      </c>
      <c r="H24">
        <v>12962.123194237125</v>
      </c>
      <c r="I24">
        <v>18079.318091289369</v>
      </c>
      <c r="J24">
        <v>108674.68755592719</v>
      </c>
      <c r="K24">
        <v>100829.7592587423</v>
      </c>
      <c r="L24">
        <v>179495.69022764143</v>
      </c>
      <c r="M24">
        <v>166533.56703340431</v>
      </c>
      <c r="N24">
        <v>250316.69289935619</v>
      </c>
      <c r="O24">
        <v>232237.37480806682</v>
      </c>
    </row>
    <row r="25" spans="1:15">
      <c r="A25">
        <v>2048</v>
      </c>
      <c r="B25">
        <v>20287.864200026375</v>
      </c>
      <c r="C25">
        <v>33519.66448551209</v>
      </c>
      <c r="D25">
        <v>46751.464770997802</v>
      </c>
      <c r="E25">
        <v>4.3029999999999999</v>
      </c>
      <c r="F25">
        <v>4.3029999999999999E-2</v>
      </c>
      <c r="G25">
        <v>7698.567653232486</v>
      </c>
      <c r="H25">
        <v>12719.594443807133</v>
      </c>
      <c r="I25">
        <v>17740.621234381779</v>
      </c>
      <c r="J25">
        <v>100829.7592587423</v>
      </c>
      <c r="K25">
        <v>93131.191605509812</v>
      </c>
      <c r="L25">
        <v>166533.56703340431</v>
      </c>
      <c r="M25">
        <v>153813.97258959716</v>
      </c>
      <c r="N25">
        <v>232237.37480806682</v>
      </c>
      <c r="O25">
        <v>214496.75357368504</v>
      </c>
    </row>
    <row r="26" spans="1:15">
      <c r="A26">
        <v>2049</v>
      </c>
      <c r="B26">
        <v>20977.532230364151</v>
      </c>
      <c r="C26">
        <v>34657.24902614946</v>
      </c>
      <c r="D26">
        <v>48336.965821934769</v>
      </c>
      <c r="E26">
        <v>4.3440000000000003</v>
      </c>
      <c r="F26">
        <v>4.3440000000000006E-2</v>
      </c>
      <c r="G26">
        <v>7560.2271895595895</v>
      </c>
      <c r="H26">
        <v>12490.347936330372</v>
      </c>
      <c r="I26">
        <v>17420.468683101153</v>
      </c>
      <c r="J26">
        <v>93131.191605509812</v>
      </c>
      <c r="K26">
        <v>85570.96441595022</v>
      </c>
      <c r="L26">
        <v>153813.97258959716</v>
      </c>
      <c r="M26">
        <v>141323.6246532668</v>
      </c>
      <c r="N26">
        <v>214496.75357368504</v>
      </c>
      <c r="O26">
        <v>197076.28489058389</v>
      </c>
    </row>
    <row r="27" spans="1:15">
      <c r="A27">
        <v>2050</v>
      </c>
      <c r="B27">
        <v>21690.762617140135</v>
      </c>
      <c r="C27">
        <v>35833.650613624988</v>
      </c>
      <c r="D27">
        <v>49976.538610109841</v>
      </c>
      <c r="E27">
        <v>4.3899999999999997</v>
      </c>
      <c r="F27">
        <v>4.3899999999999995E-2</v>
      </c>
      <c r="G27">
        <v>7409.7299768099465</v>
      </c>
      <c r="H27">
        <v>12241.048404655814</v>
      </c>
      <c r="I27">
        <v>17072.366832501681</v>
      </c>
      <c r="J27">
        <v>85570.96441595022</v>
      </c>
      <c r="K27">
        <v>78161.234439140273</v>
      </c>
      <c r="L27">
        <v>141323.6246532668</v>
      </c>
      <c r="M27">
        <v>129082.57624861099</v>
      </c>
      <c r="N27">
        <v>197076.28489058389</v>
      </c>
      <c r="O27">
        <v>180003.9180580822</v>
      </c>
    </row>
    <row r="28" spans="1:15">
      <c r="A28">
        <v>2051</v>
      </c>
      <c r="B28">
        <v>22428.364453155984</v>
      </c>
      <c r="C28">
        <v>37050.200922887714</v>
      </c>
      <c r="D28">
        <v>51672.037392619437</v>
      </c>
      <c r="E28">
        <v>4.415</v>
      </c>
      <c r="F28">
        <v>4.4150000000000002E-2</v>
      </c>
      <c r="G28">
        <v>7293.9434414042571</v>
      </c>
      <c r="H28">
        <v>12049.120683259629</v>
      </c>
      <c r="I28">
        <v>16804.297925114999</v>
      </c>
      <c r="J28">
        <v>78161.234439140273</v>
      </c>
      <c r="K28">
        <v>70867.29099773601</v>
      </c>
      <c r="L28">
        <v>129082.57624861099</v>
      </c>
      <c r="M28">
        <v>117033.45556535135</v>
      </c>
      <c r="N28">
        <v>180003.9180580822</v>
      </c>
      <c r="O28">
        <v>163199.62013296719</v>
      </c>
    </row>
    <row r="29" spans="1:15">
      <c r="A29">
        <v>2052</v>
      </c>
      <c r="B29">
        <v>23191.174765476004</v>
      </c>
      <c r="C29">
        <v>38308.277573524858</v>
      </c>
      <c r="D29">
        <v>53425.380381573719</v>
      </c>
      <c r="E29">
        <v>4.4210000000000003</v>
      </c>
      <c r="F29">
        <v>4.4209999999999999E-2</v>
      </c>
      <c r="G29">
        <v>7211.919219982381</v>
      </c>
      <c r="H29">
        <v>11912.988717079046</v>
      </c>
      <c r="I29">
        <v>16614.058214175715</v>
      </c>
      <c r="J29">
        <v>70867.29099773601</v>
      </c>
      <c r="K29">
        <v>63655.371777753629</v>
      </c>
      <c r="L29">
        <v>117033.45556535135</v>
      </c>
      <c r="M29">
        <v>105120.46684827231</v>
      </c>
      <c r="N29">
        <v>163199.62013296719</v>
      </c>
      <c r="O29">
        <v>146585.56191879147</v>
      </c>
    </row>
    <row r="30" spans="1:15">
      <c r="A30">
        <v>2053</v>
      </c>
      <c r="B30">
        <v>23980.059485754482</v>
      </c>
      <c r="C30">
        <v>39609.305724865219</v>
      </c>
      <c r="D30">
        <v>55238.551963975959</v>
      </c>
      <c r="E30">
        <v>4.4560000000000004</v>
      </c>
      <c r="F30">
        <v>4.4560000000000002E-2</v>
      </c>
      <c r="G30">
        <v>7074.8185385755505</v>
      </c>
      <c r="H30">
        <v>11685.903056614805</v>
      </c>
      <c r="I30">
        <v>16296.987574654058</v>
      </c>
      <c r="J30">
        <v>63655.371777753629</v>
      </c>
      <c r="K30">
        <v>56580.55323917808</v>
      </c>
      <c r="L30">
        <v>105120.46684827231</v>
      </c>
      <c r="M30">
        <v>93434.563791657507</v>
      </c>
      <c r="N30">
        <v>146585.56191879147</v>
      </c>
      <c r="O30">
        <v>130288.57434413741</v>
      </c>
    </row>
    <row r="31" spans="1:15">
      <c r="A31">
        <v>2054</v>
      </c>
      <c r="B31">
        <v>24795.914454505441</v>
      </c>
      <c r="C31">
        <v>40954.75972685765</v>
      </c>
      <c r="D31">
        <v>57113.604999209863</v>
      </c>
      <c r="E31">
        <v>4.4690000000000003</v>
      </c>
      <c r="F31">
        <v>4.4690000000000001E-2</v>
      </c>
      <c r="G31">
        <v>6978.2165104685328</v>
      </c>
      <c r="H31">
        <v>11525.736670554663</v>
      </c>
      <c r="I31">
        <v>16073.256830640796</v>
      </c>
      <c r="J31">
        <v>56580.55323917808</v>
      </c>
      <c r="K31">
        <v>49602.336728709546</v>
      </c>
      <c r="L31">
        <v>93434.563791657507</v>
      </c>
      <c r="M31">
        <v>81908.827121102848</v>
      </c>
      <c r="N31">
        <v>130288.57434413741</v>
      </c>
      <c r="O31">
        <v>114215.31751349661</v>
      </c>
    </row>
    <row r="32" spans="1:15">
      <c r="A32">
        <v>2055</v>
      </c>
      <c r="B32">
        <v>25639.666460511689</v>
      </c>
      <c r="C32">
        <v>42346.164828691035</v>
      </c>
      <c r="D32">
        <v>59052.66319687038</v>
      </c>
      <c r="E32">
        <v>4.7</v>
      </c>
      <c r="F32">
        <v>4.7E-2</v>
      </c>
      <c r="G32">
        <v>6464.1573714647666</v>
      </c>
      <c r="H32">
        <v>10676.124588134846</v>
      </c>
      <c r="I32">
        <v>14888.091804804926</v>
      </c>
      <c r="J32">
        <v>49602.336728709546</v>
      </c>
      <c r="K32">
        <v>43138.179357244779</v>
      </c>
      <c r="L32">
        <v>81908.827121102848</v>
      </c>
      <c r="M32">
        <v>71232.702532968004</v>
      </c>
      <c r="N32">
        <v>114215.31751349661</v>
      </c>
      <c r="O32">
        <v>99327.225708691694</v>
      </c>
    </row>
    <row r="33" spans="1:15">
      <c r="A33">
        <v>2056</v>
      </c>
      <c r="B33">
        <v>26512.274316612977</v>
      </c>
      <c r="C33">
        <v>43785.098947192251</v>
      </c>
      <c r="D33">
        <v>61057.923577771522</v>
      </c>
      <c r="E33">
        <v>4.7</v>
      </c>
      <c r="F33">
        <v>4.7E-2</v>
      </c>
      <c r="G33">
        <v>6384.1025203792015</v>
      </c>
      <c r="H33">
        <v>10543.364073774164</v>
      </c>
      <c r="I33">
        <v>14702.625627169127</v>
      </c>
      <c r="J33">
        <v>43138.179357244779</v>
      </c>
      <c r="K33">
        <v>36754.076836865577</v>
      </c>
      <c r="L33">
        <v>71232.702532968004</v>
      </c>
      <c r="M33">
        <v>60689.338459193837</v>
      </c>
      <c r="N33">
        <v>99327.225708691694</v>
      </c>
      <c r="O33">
        <v>84624.600081522571</v>
      </c>
    </row>
    <row r="34" spans="1:15">
      <c r="A34">
        <v>2057</v>
      </c>
      <c r="B34">
        <v>27414.729973156998</v>
      </c>
      <c r="C34">
        <v>45273.194497110941</v>
      </c>
      <c r="D34">
        <v>63131.659021064886</v>
      </c>
      <c r="E34">
        <v>4.7</v>
      </c>
      <c r="F34">
        <v>4.7E-2</v>
      </c>
      <c r="G34">
        <v>6305.0735757420571</v>
      </c>
      <c r="H34">
        <v>10412.315663610865</v>
      </c>
      <c r="I34">
        <v>14519.557751479675</v>
      </c>
      <c r="J34">
        <v>36754.076836865577</v>
      </c>
      <c r="K34">
        <v>30449.003261123522</v>
      </c>
      <c r="L34">
        <v>60689.338459193837</v>
      </c>
      <c r="M34">
        <v>50277.022795582976</v>
      </c>
      <c r="N34">
        <v>84624.600081522571</v>
      </c>
      <c r="O34">
        <v>70105.042330042896</v>
      </c>
    </row>
    <row r="35" spans="1:15">
      <c r="A35">
        <v>2058</v>
      </c>
      <c r="B35">
        <v>28348.059670442843</v>
      </c>
      <c r="C35">
        <v>46812.14028547534</v>
      </c>
      <c r="D35">
        <v>65276.22090050784</v>
      </c>
      <c r="E35">
        <v>4.7</v>
      </c>
      <c r="F35">
        <v>4.7E-2</v>
      </c>
      <c r="G35">
        <v>6227.0570250367591</v>
      </c>
      <c r="H35">
        <v>10282.956590697828</v>
      </c>
      <c r="I35">
        <v>14338.856156358896</v>
      </c>
      <c r="J35">
        <v>30449.003261123522</v>
      </c>
      <c r="K35">
        <v>24221.946236086762</v>
      </c>
      <c r="L35">
        <v>50277.022795582976</v>
      </c>
      <c r="M35">
        <v>39994.066204885152</v>
      </c>
      <c r="N35">
        <v>70105.042330042896</v>
      </c>
      <c r="O35">
        <v>55766.186173684</v>
      </c>
    </row>
    <row r="36" spans="1:15">
      <c r="A36">
        <v>2059</v>
      </c>
      <c r="B36">
        <v>29313.325131533922</v>
      </c>
      <c r="C36">
        <v>48403.683472280973</v>
      </c>
      <c r="D36">
        <v>67494.04181302803</v>
      </c>
      <c r="E36">
        <v>4.7</v>
      </c>
      <c r="F36">
        <v>4.7E-2</v>
      </c>
      <c r="G36">
        <v>6150.039540094117</v>
      </c>
      <c r="H36">
        <v>10155.26440296235</v>
      </c>
      <c r="I36">
        <v>14160.489265830585</v>
      </c>
      <c r="J36">
        <v>24221.946236086762</v>
      </c>
      <c r="K36">
        <v>18071.906695992646</v>
      </c>
      <c r="L36">
        <v>39994.066204885152</v>
      </c>
      <c r="M36">
        <v>29838.801801922804</v>
      </c>
      <c r="N36">
        <v>55766.186173684</v>
      </c>
      <c r="O36">
        <v>41605.696907853417</v>
      </c>
    </row>
    <row r="37" spans="1:15">
      <c r="A37">
        <v>2060</v>
      </c>
      <c r="B37">
        <v>30311.624796866308</v>
      </c>
      <c r="C37">
        <v>50049.63159985478</v>
      </c>
      <c r="D37">
        <v>69787.638402843251</v>
      </c>
      <c r="E37">
        <v>4.7</v>
      </c>
      <c r="F37">
        <v>4.7E-2</v>
      </c>
      <c r="G37">
        <v>6074.0079744543364</v>
      </c>
      <c r="H37">
        <v>10029.216958618734</v>
      </c>
      <c r="I37">
        <v>13984.425942783129</v>
      </c>
      <c r="J37">
        <v>18071.906695992646</v>
      </c>
      <c r="K37">
        <v>11997.898721538309</v>
      </c>
      <c r="L37">
        <v>29838.801801922804</v>
      </c>
      <c r="M37">
        <v>19809.58484330407</v>
      </c>
      <c r="N37">
        <v>41605.696907853417</v>
      </c>
      <c r="O37">
        <v>27621.270965070289</v>
      </c>
    </row>
    <row r="38" spans="1:15">
      <c r="A38">
        <v>2061</v>
      </c>
      <c r="B38">
        <v>31344.095102129624</v>
      </c>
      <c r="C38">
        <v>51751.854693320798</v>
      </c>
      <c r="D38">
        <v>72159.614284511976</v>
      </c>
      <c r="E38">
        <v>4.7</v>
      </c>
      <c r="F38">
        <v>4.7E-2</v>
      </c>
      <c r="G38">
        <v>5998.9493607691602</v>
      </c>
      <c r="H38">
        <v>9904.7924216520714</v>
      </c>
      <c r="I38">
        <v>13810.635482534981</v>
      </c>
      <c r="J38">
        <v>11997.898721538309</v>
      </c>
      <c r="K38">
        <v>5998.9493607691493</v>
      </c>
      <c r="L38">
        <v>19809.58484330407</v>
      </c>
      <c r="M38">
        <v>9904.7924216519987</v>
      </c>
      <c r="N38">
        <v>27621.270965070289</v>
      </c>
      <c r="O38">
        <v>13810.635482535308</v>
      </c>
    </row>
    <row r="39" spans="1:15">
      <c r="A39">
        <v>2061</v>
      </c>
      <c r="B39">
        <v>31344.095102129624</v>
      </c>
      <c r="C39">
        <v>51751.854693320798</v>
      </c>
      <c r="D39">
        <v>72159.614284511976</v>
      </c>
      <c r="E39">
        <v>4.7</v>
      </c>
      <c r="F39">
        <v>4.7E-2</v>
      </c>
      <c r="G39">
        <v>5998.9493607691602</v>
      </c>
      <c r="H39">
        <v>9904.7924216520714</v>
      </c>
      <c r="I39">
        <v>13810.635482534981</v>
      </c>
      <c r="J39">
        <v>5998.9493607691493</v>
      </c>
      <c r="K39">
        <v>-1.0913936421275139E-11</v>
      </c>
      <c r="L39">
        <v>9904.7924216519987</v>
      </c>
      <c r="M39">
        <v>-7.2759576141834259E-11</v>
      </c>
      <c r="N39">
        <v>13810.635482535308</v>
      </c>
      <c r="O39">
        <v>3.2741809263825417E-10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5207-67BA-4127-9B85-9F02B5BC672E}">
  <dimension ref="A1:E39"/>
  <sheetViews>
    <sheetView workbookViewId="0">
      <selection activeCell="D20" sqref="D20"/>
    </sheetView>
  </sheetViews>
  <sheetFormatPr baseColWidth="10" defaultColWidth="8.83203125" defaultRowHeight="15"/>
  <cols>
    <col min="1" max="1" width="6.5" bestFit="1" customWidth="1"/>
    <col min="2" max="2" width="13" bestFit="1" customWidth="1"/>
    <col min="3" max="3" width="12.83203125" bestFit="1" customWidth="1"/>
    <col min="4" max="4" width="13.33203125" bestFit="1" customWidth="1"/>
    <col min="5" max="5" width="14.1640625" bestFit="1" customWidth="1"/>
  </cols>
  <sheetData>
    <row r="1" spans="1:5">
      <c r="A1" t="s">
        <v>2</v>
      </c>
      <c r="B1" t="s">
        <v>129</v>
      </c>
      <c r="C1" t="s">
        <v>130</v>
      </c>
      <c r="D1" t="s">
        <v>131</v>
      </c>
      <c r="E1" t="s">
        <v>138</v>
      </c>
    </row>
    <row r="2" spans="1:5">
      <c r="A2">
        <v>2025</v>
      </c>
      <c r="B2">
        <v>301325.46804082906</v>
      </c>
      <c r="C2">
        <v>498021.90625621949</v>
      </c>
      <c r="D2">
        <v>694718.34447161027</v>
      </c>
      <c r="E2">
        <v>0</v>
      </c>
    </row>
    <row r="3" spans="1:5">
      <c r="A3">
        <v>2026</v>
      </c>
      <c r="B3">
        <v>291842.53224939737</v>
      </c>
      <c r="C3">
        <v>482333.57946742699</v>
      </c>
      <c r="D3">
        <v>672824.62668545707</v>
      </c>
      <c r="E3">
        <v>2.681</v>
      </c>
    </row>
    <row r="4" spans="1:5">
      <c r="A4">
        <v>2027</v>
      </c>
      <c r="B4">
        <v>282297.73095260531</v>
      </c>
      <c r="C4">
        <v>466543.92687841575</v>
      </c>
      <c r="D4">
        <v>650790.1228042267</v>
      </c>
      <c r="E4">
        <v>2.6989999999999998</v>
      </c>
    </row>
    <row r="5" spans="1:5">
      <c r="A5">
        <v>2028</v>
      </c>
      <c r="B5">
        <v>272699.86293780868</v>
      </c>
      <c r="C5">
        <v>450667.50824137789</v>
      </c>
      <c r="D5">
        <v>628635.15354494762</v>
      </c>
      <c r="E5">
        <v>2.738</v>
      </c>
    </row>
    <row r="6" spans="1:5">
      <c r="A6">
        <v>2029</v>
      </c>
      <c r="B6">
        <v>263047.63956878049</v>
      </c>
      <c r="C6">
        <v>434702.19526840025</v>
      </c>
      <c r="D6">
        <v>606356.75096802053</v>
      </c>
      <c r="E6">
        <v>2.7549999999999999</v>
      </c>
    </row>
    <row r="7" spans="1:5">
      <c r="A7">
        <v>2030</v>
      </c>
      <c r="B7">
        <v>253356.17608149984</v>
      </c>
      <c r="C7">
        <v>418672.9911999621</v>
      </c>
      <c r="D7">
        <v>583989.80631842487</v>
      </c>
      <c r="E7">
        <v>2.798</v>
      </c>
    </row>
    <row r="8" spans="1:5">
      <c r="A8">
        <v>2031</v>
      </c>
      <c r="B8">
        <v>243634.52367008489</v>
      </c>
      <c r="C8">
        <v>402594.86549458647</v>
      </c>
      <c r="D8">
        <v>561555.20731908851</v>
      </c>
      <c r="E8">
        <v>2.843</v>
      </c>
    </row>
    <row r="9" spans="1:5">
      <c r="A9">
        <v>2032</v>
      </c>
      <c r="B9">
        <v>233932.7153320123</v>
      </c>
      <c r="C9">
        <v>386550.55818693526</v>
      </c>
      <c r="D9">
        <v>539168.40104185871</v>
      </c>
      <c r="E9">
        <v>2.9510000000000001</v>
      </c>
    </row>
    <row r="10" spans="1:5">
      <c r="A10">
        <v>2033</v>
      </c>
      <c r="B10">
        <v>224282.86802071202</v>
      </c>
      <c r="C10">
        <v>370593.16723804019</v>
      </c>
      <c r="D10">
        <v>516903.46645536885</v>
      </c>
      <c r="E10">
        <v>3.0750000000000002</v>
      </c>
    </row>
    <row r="11" spans="1:5">
      <c r="A11">
        <v>2034</v>
      </c>
      <c r="B11">
        <v>214678.32973254388</v>
      </c>
      <c r="C11">
        <v>354711.67490924208</v>
      </c>
      <c r="D11">
        <v>494745.02008594072</v>
      </c>
      <c r="E11">
        <v>3.1640000000000001</v>
      </c>
    </row>
    <row r="12" spans="1:5">
      <c r="A12">
        <v>2035</v>
      </c>
      <c r="B12">
        <v>205153.71716902606</v>
      </c>
      <c r="C12">
        <v>338963.30097342032</v>
      </c>
      <c r="D12">
        <v>472772.88477781496</v>
      </c>
      <c r="E12">
        <v>3.2730000000000001</v>
      </c>
    </row>
    <row r="13" spans="1:5">
      <c r="A13">
        <v>2036</v>
      </c>
      <c r="B13">
        <v>195675.81822542142</v>
      </c>
      <c r="C13">
        <v>323293.1109235654</v>
      </c>
      <c r="D13">
        <v>450910.40362170973</v>
      </c>
      <c r="E13">
        <v>3.33</v>
      </c>
    </row>
    <row r="14" spans="1:5">
      <c r="A14">
        <v>2037</v>
      </c>
      <c r="B14">
        <v>186302.70192978546</v>
      </c>
      <c r="C14">
        <v>307797.09007988666</v>
      </c>
      <c r="D14">
        <v>429291.47822998825</v>
      </c>
      <c r="E14">
        <v>3.431</v>
      </c>
    </row>
    <row r="15" spans="1:5">
      <c r="A15">
        <v>2038</v>
      </c>
      <c r="B15">
        <v>177059.26751434398</v>
      </c>
      <c r="C15">
        <v>292516.37240876025</v>
      </c>
      <c r="D15">
        <v>407973.47730317689</v>
      </c>
      <c r="E15">
        <v>3.5390000000000001</v>
      </c>
    </row>
    <row r="16" spans="1:5">
      <c r="A16">
        <v>2039</v>
      </c>
      <c r="B16">
        <v>167958.8527696387</v>
      </c>
      <c r="C16">
        <v>277472.97331064573</v>
      </c>
      <c r="D16">
        <v>386987.09385165316</v>
      </c>
      <c r="E16">
        <v>3.6440000000000001</v>
      </c>
    </row>
    <row r="17" spans="1:5">
      <c r="A17">
        <v>2040</v>
      </c>
      <c r="B17">
        <v>159015.91046397929</v>
      </c>
      <c r="C17">
        <v>262690.74767487007</v>
      </c>
      <c r="D17">
        <v>366365.58488576132</v>
      </c>
      <c r="E17">
        <v>3.7480000000000002</v>
      </c>
    </row>
    <row r="18" spans="1:5">
      <c r="A18">
        <v>2041</v>
      </c>
      <c r="B18">
        <v>150237.02597060567</v>
      </c>
      <c r="C18">
        <v>248180.54296912879</v>
      </c>
      <c r="D18">
        <v>346124.05996765237</v>
      </c>
      <c r="E18">
        <v>3.8460000000000001</v>
      </c>
    </row>
    <row r="19" spans="1:5">
      <c r="A19">
        <v>2042</v>
      </c>
      <c r="B19">
        <v>141590.12767153623</v>
      </c>
      <c r="C19">
        <v>233889.3145509715</v>
      </c>
      <c r="D19">
        <v>326188.50143040722</v>
      </c>
      <c r="E19">
        <v>3.9119999999999999</v>
      </c>
    </row>
    <row r="20" spans="1:5">
      <c r="A20">
        <v>2043</v>
      </c>
      <c r="B20">
        <v>133105.99692077626</v>
      </c>
      <c r="C20">
        <v>219867.90208762477</v>
      </c>
      <c r="D20">
        <v>306629.80725447374</v>
      </c>
      <c r="E20">
        <v>3.9929999999999999</v>
      </c>
    </row>
    <row r="21" spans="1:5">
      <c r="A21">
        <v>2044</v>
      </c>
      <c r="B21">
        <v>124789.8383248469</v>
      </c>
      <c r="C21">
        <v>206124.8695879296</v>
      </c>
      <c r="D21">
        <v>287459.90085101279</v>
      </c>
      <c r="E21">
        <v>4.0709999999999997</v>
      </c>
    </row>
    <row r="22" spans="1:5">
      <c r="A22">
        <v>2045</v>
      </c>
      <c r="B22">
        <v>116656.65481583631</v>
      </c>
      <c r="C22">
        <v>192684.97152994678</v>
      </c>
      <c r="D22">
        <v>268713.28824405774</v>
      </c>
      <c r="E22">
        <v>4.1529999999999996</v>
      </c>
    </row>
    <row r="23" spans="1:5">
      <c r="A23">
        <v>2046</v>
      </c>
      <c r="B23">
        <v>108674.68755592719</v>
      </c>
      <c r="C23">
        <v>179495.69022764143</v>
      </c>
      <c r="D23">
        <v>250316.69289935619</v>
      </c>
      <c r="E23">
        <v>4.21</v>
      </c>
    </row>
    <row r="24" spans="1:5">
      <c r="A24">
        <v>2047</v>
      </c>
      <c r="B24">
        <v>100829.7592587423</v>
      </c>
      <c r="C24">
        <v>166533.56703340431</v>
      </c>
      <c r="D24">
        <v>232237.37480806682</v>
      </c>
      <c r="E24">
        <v>4.2549999999999999</v>
      </c>
    </row>
    <row r="25" spans="1:5">
      <c r="A25">
        <v>2048</v>
      </c>
      <c r="B25">
        <v>93131.191605509812</v>
      </c>
      <c r="C25">
        <v>153813.97258959716</v>
      </c>
      <c r="D25">
        <v>214496.75357368504</v>
      </c>
      <c r="E25">
        <v>4.3029999999999999</v>
      </c>
    </row>
    <row r="26" spans="1:5">
      <c r="A26">
        <v>2049</v>
      </c>
      <c r="B26">
        <v>85570.96441595022</v>
      </c>
      <c r="C26">
        <v>141323.6246532668</v>
      </c>
      <c r="D26">
        <v>197076.28489058389</v>
      </c>
      <c r="E26">
        <v>4.3440000000000003</v>
      </c>
    </row>
    <row r="27" spans="1:5">
      <c r="A27">
        <v>2050</v>
      </c>
      <c r="B27">
        <v>78161.234439140273</v>
      </c>
      <c r="C27">
        <v>129082.57624861099</v>
      </c>
      <c r="D27">
        <v>180003.9180580822</v>
      </c>
      <c r="E27">
        <v>4.3899999999999997</v>
      </c>
    </row>
    <row r="28" spans="1:5">
      <c r="A28">
        <v>2051</v>
      </c>
      <c r="B28">
        <v>70867.29099773601</v>
      </c>
      <c r="C28">
        <v>117033.45556535135</v>
      </c>
      <c r="D28">
        <v>163199.62013296719</v>
      </c>
      <c r="E28">
        <v>4.415</v>
      </c>
    </row>
    <row r="29" spans="1:5">
      <c r="A29">
        <v>2052</v>
      </c>
      <c r="B29">
        <v>63655.371777753629</v>
      </c>
      <c r="C29">
        <v>105120.46684827231</v>
      </c>
      <c r="D29">
        <v>146585.56191879147</v>
      </c>
      <c r="E29">
        <v>4.4210000000000003</v>
      </c>
    </row>
    <row r="30" spans="1:5">
      <c r="A30">
        <v>2053</v>
      </c>
      <c r="B30">
        <v>56580.55323917808</v>
      </c>
      <c r="C30">
        <v>93434.563791657507</v>
      </c>
      <c r="D30">
        <v>130288.57434413741</v>
      </c>
      <c r="E30">
        <v>4.4560000000000004</v>
      </c>
    </row>
    <row r="31" spans="1:5">
      <c r="A31">
        <v>2054</v>
      </c>
      <c r="B31">
        <v>49602.336728709546</v>
      </c>
      <c r="C31">
        <v>81908.827121102848</v>
      </c>
      <c r="D31">
        <v>114215.31751349661</v>
      </c>
      <c r="E31">
        <v>4.4690000000000003</v>
      </c>
    </row>
    <row r="32" spans="1:5">
      <c r="A32">
        <v>2055</v>
      </c>
      <c r="B32">
        <v>43138.179357244779</v>
      </c>
      <c r="C32">
        <v>71232.702532968004</v>
      </c>
      <c r="D32">
        <v>99327.225708691694</v>
      </c>
      <c r="E32">
        <v>4.7</v>
      </c>
    </row>
    <row r="33" spans="1:5">
      <c r="A33">
        <v>2056</v>
      </c>
      <c r="B33">
        <v>36754.076836865577</v>
      </c>
      <c r="C33">
        <v>60689.338459193837</v>
      </c>
      <c r="D33">
        <v>84624.600081522571</v>
      </c>
      <c r="E33">
        <v>4.7</v>
      </c>
    </row>
    <row r="34" spans="1:5">
      <c r="A34">
        <v>2057</v>
      </c>
      <c r="B34">
        <v>30449.003261123522</v>
      </c>
      <c r="C34">
        <v>50277.022795582976</v>
      </c>
      <c r="D34">
        <v>70105.042330042896</v>
      </c>
      <c r="E34">
        <v>4.7</v>
      </c>
    </row>
    <row r="35" spans="1:5">
      <c r="A35">
        <v>2058</v>
      </c>
      <c r="B35">
        <v>24221.946236086762</v>
      </c>
      <c r="C35">
        <v>39994.066204885152</v>
      </c>
      <c r="D35">
        <v>55766.186173684</v>
      </c>
      <c r="E35">
        <v>4.7</v>
      </c>
    </row>
    <row r="36" spans="1:5">
      <c r="A36">
        <v>2059</v>
      </c>
      <c r="B36">
        <v>18071.906695992646</v>
      </c>
      <c r="C36">
        <v>29838.801801922804</v>
      </c>
      <c r="D36">
        <v>41605.696907853417</v>
      </c>
      <c r="E36">
        <v>4.7</v>
      </c>
    </row>
    <row r="37" spans="1:5">
      <c r="A37">
        <v>2060</v>
      </c>
      <c r="B37">
        <v>11997.898721538309</v>
      </c>
      <c r="C37">
        <v>19809.58484330407</v>
      </c>
      <c r="D37">
        <v>27621.270965070289</v>
      </c>
      <c r="E37">
        <v>4.7</v>
      </c>
    </row>
    <row r="38" spans="1:5">
      <c r="A38">
        <v>2061</v>
      </c>
      <c r="B38">
        <v>5998.9493607691493</v>
      </c>
      <c r="C38">
        <v>9904.7924216519987</v>
      </c>
      <c r="D38">
        <v>13810.635482535308</v>
      </c>
      <c r="E38">
        <v>4.7</v>
      </c>
    </row>
    <row r="39" spans="1:5">
      <c r="A39">
        <v>2061</v>
      </c>
      <c r="B39">
        <v>-1.0913936421275139E-11</v>
      </c>
      <c r="C39">
        <v>-7.2759576141834259E-11</v>
      </c>
      <c r="D39">
        <v>3.2741809263825417E-10</v>
      </c>
      <c r="E39">
        <v>4.7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dimension ref="A1:J1"/>
  <sheetViews>
    <sheetView workbookViewId="0">
      <selection sqref="A1:J268"/>
    </sheetView>
  </sheetViews>
  <sheetFormatPr baseColWidth="10" defaultColWidth="8.83203125" defaultRowHeight="15"/>
  <cols>
    <col min="1" max="1" width="12" bestFit="1" customWidth="1"/>
    <col min="2" max="2" width="6" bestFit="1" customWidth="1"/>
    <col min="3" max="3" width="9.33203125" bestFit="1" customWidth="1"/>
    <col min="4" max="4" width="16.5" bestFit="1" customWidth="1"/>
    <col min="5" max="5" width="17" bestFit="1" customWidth="1"/>
    <col min="6" max="6" width="22.83203125" bestFit="1" customWidth="1"/>
    <col min="7" max="7" width="14.5" bestFit="1" customWidth="1"/>
    <col min="8" max="9" width="18" bestFit="1" customWidth="1"/>
    <col min="10" max="10" width="18.5" customWidth="1"/>
    <col min="14" max="14" width="22.33203125" customWidth="1"/>
    <col min="19" max="19" width="15.5" customWidth="1"/>
  </cols>
  <sheetData>
    <row r="1" spans="1:10">
      <c r="A1" t="s">
        <v>0</v>
      </c>
      <c r="B1" t="s">
        <v>103</v>
      </c>
      <c r="C1" t="s">
        <v>3</v>
      </c>
      <c r="D1" t="s">
        <v>96</v>
      </c>
      <c r="E1" t="s">
        <v>97</v>
      </c>
      <c r="F1" t="s">
        <v>68</v>
      </c>
      <c r="G1" t="s">
        <v>105</v>
      </c>
      <c r="H1" t="s">
        <v>98</v>
      </c>
      <c r="I1" t="s">
        <v>126</v>
      </c>
      <c r="J1" t="s">
        <v>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A4F5-243B-42D4-B71F-1F3F352F71CA}">
  <dimension ref="A1:S29"/>
  <sheetViews>
    <sheetView zoomScaleNormal="100" workbookViewId="0">
      <selection activeCell="L33" sqref="L33"/>
    </sheetView>
  </sheetViews>
  <sheetFormatPr baseColWidth="10" defaultColWidth="8.83203125" defaultRowHeight="15"/>
  <cols>
    <col min="1" max="1" width="9.33203125" bestFit="1" customWidth="1"/>
    <col min="2" max="2" width="24.83203125" bestFit="1" customWidth="1"/>
    <col min="3" max="3" width="22.5" bestFit="1" customWidth="1"/>
    <col min="4" max="4" width="19.83203125" bestFit="1" customWidth="1"/>
    <col min="5" max="5" width="10.1640625" bestFit="1" customWidth="1"/>
    <col min="6" max="6" width="10.33203125" customWidth="1"/>
    <col min="7" max="7" width="18" bestFit="1" customWidth="1"/>
    <col min="8" max="8" width="18.5" bestFit="1" customWidth="1"/>
    <col min="9" max="9" width="25.33203125" bestFit="1" customWidth="1"/>
    <col min="10" max="10" width="15.83203125" bestFit="1" customWidth="1"/>
    <col min="11" max="11" width="20" bestFit="1" customWidth="1"/>
    <col min="12" max="12" width="20.5" bestFit="1" customWidth="1"/>
    <col min="13" max="13" width="11.1640625" bestFit="1" customWidth="1"/>
    <col min="14" max="14" width="10" bestFit="1" customWidth="1"/>
    <col min="15" max="15" width="13" bestFit="1" customWidth="1"/>
    <col min="16" max="16" width="12.6640625" bestFit="1" customWidth="1"/>
    <col min="17" max="17" width="11.1640625" bestFit="1" customWidth="1"/>
  </cols>
  <sheetData>
    <row r="1" spans="1:19">
      <c r="A1" t="s">
        <v>3</v>
      </c>
      <c r="B1" t="s">
        <v>109</v>
      </c>
      <c r="C1" t="s">
        <v>110</v>
      </c>
      <c r="D1" t="s">
        <v>111</v>
      </c>
      <c r="E1" t="s">
        <v>104</v>
      </c>
      <c r="J1" s="7" t="s">
        <v>3</v>
      </c>
      <c r="K1" s="7" t="s">
        <v>106</v>
      </c>
    </row>
    <row r="2" spans="1:19">
      <c r="E2">
        <v>19</v>
      </c>
      <c r="F2" t="e">
        <f>#REF!+#REF!</f>
        <v>#REF!</v>
      </c>
      <c r="G2" t="e">
        <f>#REF!</f>
        <v>#REF!</v>
      </c>
      <c r="H2" t="e">
        <f>F2-G2</f>
        <v>#REF!</v>
      </c>
      <c r="J2" s="7">
        <v>2025</v>
      </c>
      <c r="K2" s="7">
        <v>19364.2</v>
      </c>
      <c r="L2" t="e">
        <f>K2-G2</f>
        <v>#REF!</v>
      </c>
      <c r="N2" t="e">
        <f>F2</f>
        <v>#REF!</v>
      </c>
      <c r="O2" s="11">
        <v>0</v>
      </c>
      <c r="P2">
        <f t="shared" ref="P2:P21" si="0">O2+1</f>
        <v>1</v>
      </c>
    </row>
    <row r="3" spans="1:19">
      <c r="F3" t="e">
        <f>H2*(1+#REF!)</f>
        <v>#REF!</v>
      </c>
      <c r="G3" t="e">
        <f>#REF!</f>
        <v>#REF!</v>
      </c>
      <c r="H3" t="e">
        <f>F3-G3</f>
        <v>#REF!</v>
      </c>
      <c r="J3" s="7">
        <v>2026</v>
      </c>
      <c r="K3" s="7">
        <v>18549.514449999999</v>
      </c>
      <c r="L3" t="e">
        <f t="shared" ref="L3:P29" si="1">K3-G3</f>
        <v>#REF!</v>
      </c>
      <c r="O3" s="13">
        <v>2.7089999999999999E-2</v>
      </c>
      <c r="P3">
        <f t="shared" si="0"/>
        <v>1.0270900000000001</v>
      </c>
      <c r="Q3" t="e">
        <f>N2</f>
        <v>#REF!</v>
      </c>
      <c r="R3" t="e">
        <f>Q3*P3</f>
        <v>#REF!</v>
      </c>
      <c r="S3" t="e">
        <f>R3-K2</f>
        <v>#REF!</v>
      </c>
    </row>
    <row r="4" spans="1:19">
      <c r="F4" t="e">
        <f>H3*(1+#REF!)</f>
        <v>#REF!</v>
      </c>
      <c r="G4" t="e">
        <f>#REF!</f>
        <v>#REF!</v>
      </c>
      <c r="H4" t="e">
        <f t="shared" ref="H4:L29" si="2">F4-G4</f>
        <v>#REF!</v>
      </c>
      <c r="J4" s="7">
        <v>2027</v>
      </c>
      <c r="K4" s="7">
        <v>20554.669636826802</v>
      </c>
      <c r="L4" t="e">
        <f t="shared" si="1"/>
        <v>#REF!</v>
      </c>
      <c r="O4" s="11">
        <v>2.7280000000000002E-2</v>
      </c>
      <c r="P4">
        <f t="shared" si="0"/>
        <v>1.02728</v>
      </c>
      <c r="Q4" t="e">
        <f>S3</f>
        <v>#REF!</v>
      </c>
      <c r="R4" t="e">
        <f>Q4*P4</f>
        <v>#REF!</v>
      </c>
      <c r="S4" t="e">
        <f>R4-K3</f>
        <v>#REF!</v>
      </c>
    </row>
    <row r="5" spans="1:19" ht="16" thickBot="1">
      <c r="A5" s="8" t="s">
        <v>3</v>
      </c>
      <c r="B5" s="9" t="s">
        <v>109</v>
      </c>
      <c r="C5" s="9" t="s">
        <v>110</v>
      </c>
      <c r="D5" s="9" t="s">
        <v>111</v>
      </c>
      <c r="F5" t="e">
        <f>H4*(1+#REF!)</f>
        <v>#REF!</v>
      </c>
      <c r="G5" t="e">
        <f>#REF!</f>
        <v>#REF!</v>
      </c>
      <c r="H5" t="e">
        <f t="shared" si="2"/>
        <v>#REF!</v>
      </c>
      <c r="J5" s="7">
        <v>2028</v>
      </c>
      <c r="K5" s="7">
        <v>19710.896483721248</v>
      </c>
      <c r="L5" t="e">
        <f t="shared" si="1"/>
        <v>#REF!</v>
      </c>
      <c r="O5" s="13">
        <v>2.7679999999999996E-2</v>
      </c>
      <c r="P5">
        <f t="shared" si="0"/>
        <v>1.0276799999999999</v>
      </c>
      <c r="Q5" t="e">
        <f t="shared" ref="Q5:Q21" si="3">S4</f>
        <v>#REF!</v>
      </c>
      <c r="R5" t="e">
        <f t="shared" ref="R5:R21" si="4">Q5*P5</f>
        <v>#REF!</v>
      </c>
      <c r="S5" t="e">
        <f t="shared" ref="S5:S21" si="5">R5-K4</f>
        <v>#REF!</v>
      </c>
    </row>
    <row r="6" spans="1:19" ht="16" thickTop="1">
      <c r="A6" s="10">
        <v>2025</v>
      </c>
      <c r="B6" s="11">
        <v>210178.71999999997</v>
      </c>
      <c r="C6" s="11">
        <v>210178.71999999997</v>
      </c>
      <c r="D6" s="11">
        <v>0</v>
      </c>
      <c r="F6" t="e">
        <f>H5*(1+#REF!)</f>
        <v>#REF!</v>
      </c>
      <c r="G6" t="e">
        <f>#REF!</f>
        <v>#REF!</v>
      </c>
      <c r="H6" t="e">
        <f t="shared" si="2"/>
        <v>#REF!</v>
      </c>
      <c r="J6" s="7">
        <v>2029</v>
      </c>
      <c r="K6" s="7">
        <v>21821.985054863668</v>
      </c>
      <c r="L6" t="e">
        <f t="shared" si="1"/>
        <v>#REF!</v>
      </c>
      <c r="O6" s="11">
        <v>2.785E-2</v>
      </c>
      <c r="P6">
        <f t="shared" si="0"/>
        <v>1.0278499999999999</v>
      </c>
      <c r="Q6" t="e">
        <f t="shared" si="3"/>
        <v>#REF!</v>
      </c>
      <c r="R6" t="e">
        <f t="shared" si="4"/>
        <v>#REF!</v>
      </c>
      <c r="S6" t="e">
        <f t="shared" si="5"/>
        <v>#REF!</v>
      </c>
    </row>
    <row r="7" spans="1:19">
      <c r="A7" s="12">
        <v>2026</v>
      </c>
      <c r="B7" s="13">
        <v>174880.29719888221</v>
      </c>
      <c r="C7" s="13">
        <v>210178.71999999997</v>
      </c>
      <c r="D7" s="13">
        <v>35298.422801117762</v>
      </c>
      <c r="F7" t="e">
        <f>H6*(1+#REF!)</f>
        <v>#REF!</v>
      </c>
      <c r="G7" t="e">
        <f>#REF!</f>
        <v>#REF!</v>
      </c>
      <c r="H7" t="e">
        <f t="shared" si="2"/>
        <v>#REF!</v>
      </c>
      <c r="J7" s="7">
        <v>2030</v>
      </c>
      <c r="K7" s="7">
        <v>20948.455686850411</v>
      </c>
      <c r="L7" t="e">
        <f t="shared" si="1"/>
        <v>#REF!</v>
      </c>
      <c r="O7" s="13">
        <v>2.827E-2</v>
      </c>
      <c r="P7">
        <f t="shared" si="0"/>
        <v>1.02827</v>
      </c>
      <c r="Q7" t="e">
        <f t="shared" si="3"/>
        <v>#REF!</v>
      </c>
      <c r="R7" t="e">
        <f t="shared" si="4"/>
        <v>#REF!</v>
      </c>
      <c r="S7" t="e">
        <f t="shared" si="5"/>
        <v>#REF!</v>
      </c>
    </row>
    <row r="8" spans="1:19">
      <c r="A8" s="10">
        <v>2027</v>
      </c>
      <c r="B8" s="11">
        <v>211303.25280585463</v>
      </c>
      <c r="C8" s="11">
        <v>210178.71999999997</v>
      </c>
      <c r="D8" s="11">
        <v>-1124.5328058546584</v>
      </c>
      <c r="F8" t="e">
        <f>H7*(1+#REF!)</f>
        <v>#REF!</v>
      </c>
      <c r="G8" t="e">
        <f>#REF!</f>
        <v>#REF!</v>
      </c>
      <c r="H8" t="e">
        <f t="shared" si="2"/>
        <v>#REF!</v>
      </c>
      <c r="J8" s="7">
        <v>2031</v>
      </c>
      <c r="K8" s="7">
        <v>23171.282849864463</v>
      </c>
      <c r="L8" t="e">
        <f t="shared" si="1"/>
        <v>#REF!</v>
      </c>
      <c r="O8" s="11">
        <v>2.8719999999999999E-2</v>
      </c>
      <c r="P8">
        <f t="shared" si="0"/>
        <v>1.0287200000000001</v>
      </c>
      <c r="Q8" t="e">
        <f t="shared" si="3"/>
        <v>#REF!</v>
      </c>
      <c r="R8" t="e">
        <f t="shared" si="4"/>
        <v>#REF!</v>
      </c>
      <c r="S8" t="e">
        <f t="shared" si="5"/>
        <v>#REF!</v>
      </c>
    </row>
    <row r="9" spans="1:19">
      <c r="A9" s="12">
        <v>2028</v>
      </c>
      <c r="B9" s="13">
        <v>175714.85653307891</v>
      </c>
      <c r="C9" s="13">
        <v>210178.71999999997</v>
      </c>
      <c r="D9" s="13">
        <v>34463.863466921059</v>
      </c>
      <c r="F9" t="e">
        <f>H8*(1+#REF!)</f>
        <v>#REF!</v>
      </c>
      <c r="G9" t="e">
        <f>#REF!</f>
        <v>#REF!</v>
      </c>
      <c r="H9" t="e">
        <f t="shared" si="2"/>
        <v>#REF!</v>
      </c>
      <c r="J9" s="7">
        <v>2032</v>
      </c>
      <c r="K9" s="7">
        <v>22267.348884150317</v>
      </c>
      <c r="L9" t="e">
        <f t="shared" si="1"/>
        <v>#REF!</v>
      </c>
      <c r="O9" s="13">
        <v>2.98E-2</v>
      </c>
      <c r="P9">
        <f t="shared" si="0"/>
        <v>1.0298</v>
      </c>
      <c r="Q9" t="e">
        <f t="shared" si="3"/>
        <v>#REF!</v>
      </c>
      <c r="R9" t="e">
        <f t="shared" si="4"/>
        <v>#REF!</v>
      </c>
      <c r="S9" t="e">
        <f t="shared" si="5"/>
        <v>#REF!</v>
      </c>
    </row>
    <row r="10" spans="1:19">
      <c r="A10" s="10">
        <v>2029</v>
      </c>
      <c r="B10" s="11">
        <v>211999.23620353223</v>
      </c>
      <c r="C10" s="11">
        <v>210178.71999999997</v>
      </c>
      <c r="D10" s="11">
        <v>-1820.5162035322574</v>
      </c>
      <c r="F10" t="e">
        <f>H9*(1+#REF!)</f>
        <v>#REF!</v>
      </c>
      <c r="G10" t="e">
        <f>#REF!</f>
        <v>#REF!</v>
      </c>
      <c r="H10" t="e">
        <f t="shared" si="2"/>
        <v>#REF!</v>
      </c>
      <c r="J10" s="7">
        <v>2033</v>
      </c>
      <c r="K10" s="7">
        <v>24608.051087261578</v>
      </c>
      <c r="L10" t="e">
        <f t="shared" si="1"/>
        <v>#REF!</v>
      </c>
      <c r="O10" s="11">
        <v>3.1040000000000002E-2</v>
      </c>
      <c r="P10">
        <f t="shared" si="0"/>
        <v>1.03104</v>
      </c>
      <c r="Q10" t="e">
        <f t="shared" si="3"/>
        <v>#REF!</v>
      </c>
      <c r="R10" t="e">
        <f t="shared" si="4"/>
        <v>#REF!</v>
      </c>
      <c r="S10" t="e">
        <f t="shared" si="5"/>
        <v>#REF!</v>
      </c>
    </row>
    <row r="11" spans="1:19">
      <c r="A11" s="12">
        <v>2030</v>
      </c>
      <c r="B11" s="13">
        <v>176176.89465511209</v>
      </c>
      <c r="C11" s="13">
        <v>210178.71999999997</v>
      </c>
      <c r="D11" s="13">
        <v>34001.825344887882</v>
      </c>
      <c r="F11" t="e">
        <f>H10*(1+#REF!)</f>
        <v>#REF!</v>
      </c>
      <c r="G11" t="e">
        <f>#REF!</f>
        <v>#REF!</v>
      </c>
      <c r="H11" t="e">
        <f t="shared" si="2"/>
        <v>#REF!</v>
      </c>
      <c r="J11" s="7">
        <v>2034</v>
      </c>
      <c r="K11" s="7">
        <v>23673.0890843667</v>
      </c>
      <c r="L11" t="e">
        <f t="shared" si="1"/>
        <v>#REF!</v>
      </c>
      <c r="O11" s="13">
        <v>3.1939999999999996E-2</v>
      </c>
      <c r="P11">
        <f t="shared" si="0"/>
        <v>1.0319400000000001</v>
      </c>
      <c r="Q11" t="e">
        <f t="shared" si="3"/>
        <v>#REF!</v>
      </c>
      <c r="R11" t="e">
        <f t="shared" si="4"/>
        <v>#REF!</v>
      </c>
      <c r="S11" t="e">
        <f t="shared" si="5"/>
        <v>#REF!</v>
      </c>
    </row>
    <row r="12" spans="1:19">
      <c r="A12" s="10">
        <v>2031</v>
      </c>
      <c r="B12" s="11">
        <v>211891.32887922629</v>
      </c>
      <c r="C12" s="11">
        <v>210178.71999999997</v>
      </c>
      <c r="D12" s="11">
        <v>-1712.6088792263181</v>
      </c>
      <c r="F12" t="e">
        <f>H11*(1+#REF!)</f>
        <v>#REF!</v>
      </c>
      <c r="G12" t="e">
        <f>#REF!</f>
        <v>#REF!</v>
      </c>
      <c r="H12" t="e">
        <f t="shared" si="2"/>
        <v>#REF!</v>
      </c>
      <c r="J12" s="7">
        <v>2035</v>
      </c>
      <c r="K12" s="7">
        <v>26138.153715562057</v>
      </c>
      <c r="L12" t="e">
        <f t="shared" si="1"/>
        <v>#REF!</v>
      </c>
      <c r="O12" s="11">
        <v>3.3029999999999997E-2</v>
      </c>
      <c r="P12">
        <f t="shared" si="0"/>
        <v>1.0330299999999999</v>
      </c>
      <c r="Q12" t="e">
        <f t="shared" si="3"/>
        <v>#REF!</v>
      </c>
      <c r="R12" t="e">
        <f t="shared" si="4"/>
        <v>#REF!</v>
      </c>
      <c r="S12" t="e">
        <f t="shared" si="5"/>
        <v>#REF!</v>
      </c>
    </row>
    <row r="13" spans="1:19">
      <c r="A13" s="12">
        <v>2032</v>
      </c>
      <c r="B13" s="13">
        <v>175141.99464459761</v>
      </c>
      <c r="C13" s="13">
        <v>210178.71999999997</v>
      </c>
      <c r="D13" s="13">
        <v>35036.725355402363</v>
      </c>
      <c r="F13" t="e">
        <f>H12*(1+#REF!)</f>
        <v>#REF!</v>
      </c>
      <c r="G13" t="e">
        <f>#REF!</f>
        <v>#REF!</v>
      </c>
      <c r="H13" t="e">
        <f t="shared" si="2"/>
        <v>#REF!</v>
      </c>
      <c r="J13" s="7">
        <v>2036</v>
      </c>
      <c r="K13" s="7">
        <v>25171.570387022519</v>
      </c>
      <c r="L13" t="e">
        <f t="shared" si="1"/>
        <v>#REF!</v>
      </c>
      <c r="O13" s="13">
        <v>3.3599999999999998E-2</v>
      </c>
      <c r="P13">
        <f t="shared" si="0"/>
        <v>1.0336000000000001</v>
      </c>
      <c r="Q13" t="e">
        <f t="shared" si="3"/>
        <v>#REF!</v>
      </c>
      <c r="R13" t="e">
        <f t="shared" si="4"/>
        <v>#REF!</v>
      </c>
      <c r="S13" t="e">
        <f t="shared" si="5"/>
        <v>#REF!</v>
      </c>
    </row>
    <row r="14" spans="1:19">
      <c r="A14" s="10">
        <v>2033</v>
      </c>
      <c r="B14" s="11">
        <v>208741.15226864998</v>
      </c>
      <c r="C14" s="11">
        <v>210178.71999999997</v>
      </c>
      <c r="D14" s="11">
        <v>1437.5677313499909</v>
      </c>
      <c r="F14" t="e">
        <f>H13*(1+#REF!)</f>
        <v>#REF!</v>
      </c>
      <c r="G14" t="e">
        <f>#REF!</f>
        <v>#REF!</v>
      </c>
      <c r="H14" t="e">
        <f t="shared" si="2"/>
        <v>#REF!</v>
      </c>
      <c r="J14" s="7">
        <v>2037</v>
      </c>
      <c r="K14" s="7">
        <v>27767.856691580939</v>
      </c>
      <c r="L14" t="e">
        <f t="shared" si="1"/>
        <v>#REF!</v>
      </c>
      <c r="O14" s="11">
        <v>3.4610000000000002E-2</v>
      </c>
      <c r="P14">
        <f t="shared" si="0"/>
        <v>1.03461</v>
      </c>
      <c r="Q14" t="e">
        <f t="shared" si="3"/>
        <v>#REF!</v>
      </c>
      <c r="R14" t="e">
        <f t="shared" si="4"/>
        <v>#REF!</v>
      </c>
      <c r="S14" t="e">
        <f t="shared" si="5"/>
        <v>#REF!</v>
      </c>
    </row>
    <row r="15" spans="1:19">
      <c r="A15" s="12">
        <v>2034</v>
      </c>
      <c r="B15" s="13">
        <v>172194.19386960354</v>
      </c>
      <c r="C15" s="13">
        <v>210178.71999999997</v>
      </c>
      <c r="D15" s="13">
        <v>37984.526130396436</v>
      </c>
      <c r="F15" t="e">
        <f>H14*(1+#REF!)</f>
        <v>#REF!</v>
      </c>
      <c r="G15" t="e">
        <f>#REF!</f>
        <v>#REF!</v>
      </c>
      <c r="H15" t="e">
        <f t="shared" si="2"/>
        <v>#REF!</v>
      </c>
      <c r="J15" s="7">
        <v>2038</v>
      </c>
      <c r="K15" s="7">
        <v>26769.094643768349</v>
      </c>
      <c r="L15" t="e">
        <f t="shared" si="1"/>
        <v>#REF!</v>
      </c>
      <c r="O15" s="13">
        <v>3.569E-2</v>
      </c>
      <c r="P15">
        <f t="shared" si="0"/>
        <v>1.03569</v>
      </c>
      <c r="Q15" t="e">
        <f t="shared" si="3"/>
        <v>#REF!</v>
      </c>
      <c r="R15" t="e">
        <f t="shared" si="4"/>
        <v>#REF!</v>
      </c>
      <c r="S15" t="e">
        <f t="shared" si="5"/>
        <v>#REF!</v>
      </c>
    </row>
    <row r="16" spans="1:19">
      <c r="A16" s="10">
        <v>2035</v>
      </c>
      <c r="B16" s="11">
        <v>204489.47771281551</v>
      </c>
      <c r="C16" s="11">
        <v>210178.71999999997</v>
      </c>
      <c r="D16" s="11">
        <v>5689.242287184461</v>
      </c>
      <c r="F16" t="e">
        <f>H15*(1+#REF!)</f>
        <v>#REF!</v>
      </c>
      <c r="G16" t="e">
        <f>#REF!</f>
        <v>#REF!</v>
      </c>
      <c r="H16" t="e">
        <f t="shared" si="2"/>
        <v>#REF!</v>
      </c>
      <c r="J16" s="7">
        <v>2039</v>
      </c>
      <c r="K16" s="7">
        <v>29503.85593824655</v>
      </c>
      <c r="L16" t="e">
        <f t="shared" si="1"/>
        <v>#REF!</v>
      </c>
      <c r="O16" s="11">
        <v>3.6740000000000002E-2</v>
      </c>
      <c r="P16">
        <f t="shared" si="0"/>
        <v>1.03674</v>
      </c>
      <c r="Q16" t="e">
        <f t="shared" si="3"/>
        <v>#REF!</v>
      </c>
      <c r="R16" t="e">
        <f t="shared" si="4"/>
        <v>#REF!</v>
      </c>
      <c r="S16" t="e">
        <f t="shared" si="5"/>
        <v>#REF!</v>
      </c>
    </row>
    <row r="17" spans="1:19">
      <c r="A17" s="12">
        <v>2036</v>
      </c>
      <c r="B17" s="13">
        <v>168791.47815679142</v>
      </c>
      <c r="C17" s="13">
        <v>210178.71999999997</v>
      </c>
      <c r="D17" s="13">
        <v>41387.241843208554</v>
      </c>
      <c r="F17" t="e">
        <f>H16*(1+#REF!)</f>
        <v>#REF!</v>
      </c>
      <c r="G17" t="e">
        <f>#REF!</f>
        <v>#REF!</v>
      </c>
      <c r="H17" t="e">
        <f t="shared" si="2"/>
        <v>#REF!</v>
      </c>
      <c r="J17" s="7">
        <v>2040</v>
      </c>
      <c r="K17" s="7">
        <v>28472.399998429992</v>
      </c>
      <c r="L17" t="e">
        <f t="shared" si="1"/>
        <v>#REF!</v>
      </c>
      <c r="O17" s="13">
        <v>3.7789999999999997E-2</v>
      </c>
      <c r="P17">
        <f t="shared" si="0"/>
        <v>1.03779</v>
      </c>
      <c r="Q17" t="e">
        <f t="shared" si="3"/>
        <v>#REF!</v>
      </c>
      <c r="R17" t="e">
        <f t="shared" si="4"/>
        <v>#REF!</v>
      </c>
      <c r="S17" t="e">
        <f t="shared" si="5"/>
        <v>#REF!</v>
      </c>
    </row>
    <row r="18" spans="1:19">
      <c r="A18" s="10">
        <v>2037</v>
      </c>
      <c r="B18" s="11">
        <v>199797.5792141002</v>
      </c>
      <c r="C18" s="11">
        <v>210178.71999999997</v>
      </c>
      <c r="D18" s="11">
        <v>10381.14078589977</v>
      </c>
      <c r="F18" t="e">
        <f>H17*(1+#REF!)</f>
        <v>#REF!</v>
      </c>
      <c r="G18" t="e">
        <f>#REF!</f>
        <v>#REF!</v>
      </c>
      <c r="H18" t="e">
        <f t="shared" si="2"/>
        <v>#REF!</v>
      </c>
      <c r="J18" s="7">
        <v>2041</v>
      </c>
      <c r="K18" s="7">
        <v>31353.307264259034</v>
      </c>
      <c r="L18" t="e">
        <f t="shared" si="1"/>
        <v>#REF!</v>
      </c>
      <c r="O18" s="11">
        <v>3.8759999999999996E-2</v>
      </c>
      <c r="P18">
        <f t="shared" si="0"/>
        <v>1.0387599999999999</v>
      </c>
      <c r="Q18" t="e">
        <f t="shared" si="3"/>
        <v>#REF!</v>
      </c>
      <c r="R18" t="e">
        <f t="shared" si="4"/>
        <v>#REF!</v>
      </c>
      <c r="S18" t="e">
        <f t="shared" si="5"/>
        <v>#REF!</v>
      </c>
    </row>
    <row r="19" spans="1:19">
      <c r="A19" s="12">
        <v>2038</v>
      </c>
      <c r="B19" s="13">
        <v>163563.13693456084</v>
      </c>
      <c r="C19" s="13">
        <v>210178.71999999997</v>
      </c>
      <c r="D19" s="13">
        <v>46615.583065439132</v>
      </c>
      <c r="F19" t="e">
        <f>H18*(1+#REF!)</f>
        <v>#REF!</v>
      </c>
      <c r="G19" t="e">
        <f>#REF!</f>
        <v>#REF!</v>
      </c>
      <c r="H19" t="e">
        <f t="shared" si="2"/>
        <v>#REF!</v>
      </c>
      <c r="J19" s="7">
        <v>2042</v>
      </c>
      <c r="K19" s="7">
        <v>30288.691438700964</v>
      </c>
      <c r="L19" t="e">
        <f t="shared" si="1"/>
        <v>#REF!</v>
      </c>
      <c r="O19" s="13">
        <v>3.943E-2</v>
      </c>
      <c r="P19">
        <f t="shared" si="0"/>
        <v>1.0394300000000001</v>
      </c>
      <c r="Q19" t="e">
        <f t="shared" si="3"/>
        <v>#REF!</v>
      </c>
      <c r="R19" t="e">
        <f t="shared" si="4"/>
        <v>#REF!</v>
      </c>
      <c r="S19" t="e">
        <f t="shared" si="5"/>
        <v>#REF!</v>
      </c>
    </row>
    <row r="20" spans="1:19">
      <c r="A20" s="10">
        <v>2039</v>
      </c>
      <c r="B20" s="11">
        <v>192606.48152920933</v>
      </c>
      <c r="C20" s="11">
        <v>210178.71999999997</v>
      </c>
      <c r="D20" s="11">
        <v>17572.238470790646</v>
      </c>
      <c r="F20" t="e">
        <f>H19*(1+#REF!)</f>
        <v>#REF!</v>
      </c>
      <c r="G20" t="e">
        <f>#REF!</f>
        <v>#REF!</v>
      </c>
      <c r="H20" t="e">
        <f t="shared" si="2"/>
        <v>#REF!</v>
      </c>
      <c r="J20" s="7">
        <v>2043</v>
      </c>
      <c r="K20" s="7">
        <v>33323.858384035571</v>
      </c>
      <c r="L20" t="e">
        <f t="shared" si="1"/>
        <v>#REF!</v>
      </c>
      <c r="O20" s="11">
        <v>4.0239999999999998E-2</v>
      </c>
      <c r="P20">
        <f t="shared" si="0"/>
        <v>1.0402400000000001</v>
      </c>
      <c r="Q20" t="e">
        <f t="shared" si="3"/>
        <v>#REF!</v>
      </c>
      <c r="R20" t="e">
        <f t="shared" si="4"/>
        <v>#REF!</v>
      </c>
      <c r="S20" t="e">
        <f t="shared" si="5"/>
        <v>#REF!</v>
      </c>
    </row>
    <row r="21" spans="1:19">
      <c r="A21" s="12">
        <v>2040</v>
      </c>
      <c r="B21" s="13">
        <v>157216.61142563529</v>
      </c>
      <c r="C21" s="13">
        <v>210178.71999999997</v>
      </c>
      <c r="D21" s="13">
        <v>52962.108574364684</v>
      </c>
      <c r="F21" t="e">
        <f>H20*(1+#REF!)</f>
        <v>#REF!</v>
      </c>
      <c r="G21" t="e">
        <f>#REF!</f>
        <v>#REF!</v>
      </c>
      <c r="H21" t="e">
        <f t="shared" si="2"/>
        <v>#REF!</v>
      </c>
      <c r="J21" s="7">
        <v>2044</v>
      </c>
      <c r="K21" s="7">
        <v>32225.673501859001</v>
      </c>
      <c r="L21" t="e">
        <f t="shared" si="1"/>
        <v>#REF!</v>
      </c>
      <c r="O21" s="15">
        <v>4.1020000000000001E-2</v>
      </c>
      <c r="P21">
        <f t="shared" si="0"/>
        <v>1.0410200000000001</v>
      </c>
      <c r="Q21" t="e">
        <f t="shared" si="3"/>
        <v>#REF!</v>
      </c>
      <c r="R21" t="e">
        <f t="shared" si="4"/>
        <v>#REF!</v>
      </c>
      <c r="S21" t="e">
        <f t="shared" si="5"/>
        <v>#REF!</v>
      </c>
    </row>
    <row r="22" spans="1:19">
      <c r="A22" s="10">
        <v>2041</v>
      </c>
      <c r="B22" s="11">
        <v>184507.45635146671</v>
      </c>
      <c r="C22" s="11">
        <v>210178.71999999997</v>
      </c>
      <c r="D22" s="11">
        <v>25671.263648533262</v>
      </c>
      <c r="J22" t="e">
        <f>H21*(1+#REF!)</f>
        <v>#REF!</v>
      </c>
      <c r="K22" t="e">
        <f>#REF!</f>
        <v>#REF!</v>
      </c>
      <c r="L22" t="e">
        <f t="shared" si="2"/>
        <v>#REF!</v>
      </c>
      <c r="N22" s="7">
        <v>2045</v>
      </c>
      <c r="O22" s="7">
        <v>33241.976346899988</v>
      </c>
      <c r="P22" t="e">
        <f t="shared" si="1"/>
        <v>#REF!</v>
      </c>
    </row>
    <row r="23" spans="1:19">
      <c r="A23" s="12">
        <v>2042</v>
      </c>
      <c r="B23" s="13">
        <v>151063.08590366476</v>
      </c>
      <c r="C23" s="13">
        <v>210178.71999999997</v>
      </c>
      <c r="D23" s="13">
        <v>59115.634096335212</v>
      </c>
      <c r="J23" t="e">
        <f>L22*(1+#REF!)</f>
        <v>#REF!</v>
      </c>
      <c r="K23" t="e">
        <f>#REF!</f>
        <v>#REF!</v>
      </c>
      <c r="L23" t="e">
        <f t="shared" si="2"/>
        <v>#REF!</v>
      </c>
      <c r="N23" s="7">
        <v>2046</v>
      </c>
      <c r="O23" s="7">
        <v>34291.585286987829</v>
      </c>
      <c r="P23" t="e">
        <f t="shared" si="1"/>
        <v>#REF!</v>
      </c>
    </row>
    <row r="24" spans="1:19">
      <c r="A24" s="10">
        <v>2043</v>
      </c>
      <c r="B24" s="11">
        <v>177064.41964024329</v>
      </c>
      <c r="C24" s="11">
        <v>210178.71999999997</v>
      </c>
      <c r="D24" s="11">
        <v>33114.300359756686</v>
      </c>
      <c r="J24" t="e">
        <f>L23*(1+#REF!)</f>
        <v>#REF!</v>
      </c>
      <c r="K24" t="e">
        <f>#REF!</f>
        <v>#REF!</v>
      </c>
      <c r="L24" t="e">
        <f t="shared" si="2"/>
        <v>#REF!</v>
      </c>
      <c r="N24" s="7">
        <v>2047</v>
      </c>
      <c r="O24" s="7">
        <v>35375.619883660023</v>
      </c>
      <c r="P24" t="e">
        <f t="shared" si="1"/>
        <v>#REF!</v>
      </c>
    </row>
    <row r="25" spans="1:19">
      <c r="A25" s="14">
        <v>2044</v>
      </c>
      <c r="B25" s="15">
        <v>144371.24995998261</v>
      </c>
      <c r="C25" s="15">
        <v>210178.71999999997</v>
      </c>
      <c r="D25" s="15">
        <v>65807.470040017361</v>
      </c>
      <c r="J25" t="e">
        <f>L24*(1+#REF!)</f>
        <v>#REF!</v>
      </c>
      <c r="K25" t="e">
        <f>#REF!</f>
        <v>#REF!</v>
      </c>
      <c r="L25" t="e">
        <f t="shared" si="2"/>
        <v>#REF!</v>
      </c>
      <c r="N25" s="7">
        <v>2048</v>
      </c>
      <c r="O25" s="7">
        <v>36495.237937005193</v>
      </c>
      <c r="P25" t="e">
        <f t="shared" si="1"/>
        <v>#REF!</v>
      </c>
    </row>
    <row r="26" spans="1:19">
      <c r="J26" t="e">
        <f>L25*(1+#REF!)</f>
        <v>#REF!</v>
      </c>
      <c r="K26" t="e">
        <f>#REF!</f>
        <v>#REF!</v>
      </c>
      <c r="L26" t="e">
        <f t="shared" si="2"/>
        <v>#REF!</v>
      </c>
      <c r="N26" s="7">
        <v>2049</v>
      </c>
      <c r="O26" s="7">
        <v>37651.636804465081</v>
      </c>
      <c r="P26" t="e">
        <f t="shared" si="1"/>
        <v>#REF!</v>
      </c>
    </row>
    <row r="27" spans="1:19">
      <c r="J27" t="e">
        <f>L26*(1+#REF!)</f>
        <v>#REF!</v>
      </c>
      <c r="K27" t="e">
        <f>#REF!</f>
        <v>#REF!</v>
      </c>
      <c r="L27" t="e">
        <f t="shared" si="2"/>
        <v>#REF!</v>
      </c>
      <c r="N27" s="7">
        <v>2050</v>
      </c>
      <c r="O27" s="7">
        <v>38846.054765386587</v>
      </c>
      <c r="P27" t="e">
        <f t="shared" si="1"/>
        <v>#REF!</v>
      </c>
    </row>
    <row r="28" spans="1:19">
      <c r="J28" t="e">
        <f>L27*(1+#REF!)</f>
        <v>#REF!</v>
      </c>
      <c r="K28" t="e">
        <f>#REF!</f>
        <v>#REF!</v>
      </c>
      <c r="L28" t="e">
        <f t="shared" si="2"/>
        <v>#REF!</v>
      </c>
      <c r="N28" s="7">
        <v>2051</v>
      </c>
      <c r="O28" s="7">
        <v>40079.772432916368</v>
      </c>
      <c r="P28" t="e">
        <f t="shared" si="1"/>
        <v>#REF!</v>
      </c>
    </row>
    <row r="29" spans="1:19">
      <c r="J29" t="e">
        <f>L28*(1+#REF!)</f>
        <v>#REF!</v>
      </c>
      <c r="K29" t="e">
        <f>#REF!</f>
        <v>#REF!</v>
      </c>
      <c r="L29" t="e">
        <f t="shared" si="2"/>
        <v>#REF!</v>
      </c>
      <c r="N29" s="7">
        <v>2052.5</v>
      </c>
      <c r="O29" s="7">
        <v>21003.47268613282</v>
      </c>
      <c r="P29" t="e">
        <f t="shared" si="1"/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dimension ref="A1:D1"/>
  <sheetViews>
    <sheetView workbookViewId="0">
      <selection activeCell="F13" sqref="F13"/>
    </sheetView>
  </sheetViews>
  <sheetFormatPr baseColWidth="10" defaultColWidth="8.83203125" defaultRowHeight="15"/>
  <cols>
    <col min="1" max="1" width="9.33203125" bestFit="1" customWidth="1"/>
    <col min="2" max="2" width="13.83203125" bestFit="1" customWidth="1"/>
    <col min="3" max="3" width="14.1640625" bestFit="1" customWidth="1"/>
    <col min="4" max="4" width="13.6640625" bestFit="1" customWidth="1"/>
    <col min="11" max="11" width="40.5" customWidth="1"/>
    <col min="12" max="12" width="54.6640625" customWidth="1"/>
    <col min="13" max="13" width="41.5" customWidth="1"/>
    <col min="14" max="14" width="21.5" customWidth="1"/>
    <col min="15" max="15" width="21.83203125" customWidth="1"/>
  </cols>
  <sheetData>
    <row r="1" spans="1:4">
      <c r="A1" s="7" t="s">
        <v>3</v>
      </c>
      <c r="B1" s="7" t="s">
        <v>106</v>
      </c>
      <c r="C1" s="7" t="s">
        <v>112</v>
      </c>
      <c r="D1" s="7" t="s">
        <v>113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A234-F937-409E-B406-87C890125365}">
  <dimension ref="A1:J500"/>
  <sheetViews>
    <sheetView workbookViewId="0">
      <selection activeCell="B11" sqref="B11"/>
    </sheetView>
  </sheetViews>
  <sheetFormatPr baseColWidth="10" defaultColWidth="9" defaultRowHeight="16"/>
  <cols>
    <col min="1" max="2" width="29.5" style="1" customWidth="1"/>
    <col min="3" max="3" width="23.6640625" style="1" customWidth="1"/>
    <col min="4" max="4" width="18.33203125" style="1" customWidth="1"/>
    <col min="5" max="5" width="15" style="1" customWidth="1"/>
    <col min="6" max="16384" width="9" style="1"/>
  </cols>
  <sheetData>
    <row r="1" spans="1:10">
      <c r="B1" s="151" t="s">
        <v>69</v>
      </c>
      <c r="C1" s="151"/>
      <c r="D1" s="151"/>
    </row>
    <row r="2" spans="1:10">
      <c r="A2" s="1" t="str" cm="1">
        <f t="array" ref="A2">IFERROR(INDEX(PV_Totals_By_Item[#All], ROW()-1, COLUMN()), "")</f>
        <v>Item Name</v>
      </c>
      <c r="B2" s="6" t="s">
        <v>88</v>
      </c>
      <c r="C2" s="6" t="s">
        <v>89</v>
      </c>
      <c r="D2" s="6" t="s">
        <v>90</v>
      </c>
      <c r="E2" s="1" t="str" cm="1">
        <f t="array" ref="E2">IFERROR(INDEX(PV_Totals_By_Item[#All], ROW()-1, COLUMN()), "")</f>
        <v/>
      </c>
      <c r="F2" s="1" t="str" cm="1">
        <f t="array" ref="F2">IFERROR(INDEX(PV_Totals_By_Item[#All], ROW()-1, COLUMN()), "")</f>
        <v/>
      </c>
      <c r="G2" s="1" t="str" cm="1">
        <f t="array" ref="G2">IFERROR(INDEX(PV_Totals_By_Item[#All], ROW()-1, COLUMN()), "")</f>
        <v/>
      </c>
      <c r="H2" s="1" t="str" cm="1">
        <f t="array" ref="H2">IFERROR(INDEX(PV_Totals_By_Item[#All], ROW()-1, COLUMN()), "")</f>
        <v/>
      </c>
      <c r="I2" s="1" t="str" cm="1">
        <f t="array" ref="I2">IFERROR(INDEX(PV_Totals_By_Item[#All], ROW()-1, COLUMN()), "")</f>
        <v/>
      </c>
      <c r="J2" s="1" t="str" cm="1">
        <f t="array" ref="J2">IFERROR(INDEX(PV_Totals_By_Item[#All], ROW()-1, COLUMN()), "")</f>
        <v/>
      </c>
    </row>
    <row r="3" spans="1:10">
      <c r="A3" s="1" t="str" cm="1">
        <f t="array" ref="A3">IFERROR(INDEX(PV_Totals_By_Item[#All], ROW()-1, COLUMN()), "")</f>
        <v>Grand Total</v>
      </c>
      <c r="B3" s="5" cm="1">
        <f t="array" ref="B3">IFERROR(INDEX(PV_Totals_By_Item[#All], ROW()-1, COLUMN()), "")</f>
        <v>0</v>
      </c>
      <c r="C3" s="5" cm="1">
        <f t="array" ref="C3">IFERROR(INDEX(PV_Totals_By_Item[#All], ROW()-1, COLUMN()), "")</f>
        <v>0</v>
      </c>
      <c r="D3" s="5" cm="1">
        <f t="array" ref="D3">IFERROR(INDEX(PV_Totals_By_Item[#All], ROW()-1, COLUMN()), "")</f>
        <v>0</v>
      </c>
      <c r="E3" s="1" t="str" cm="1">
        <f t="array" ref="E3">IFERROR(INDEX(PV_Totals_By_Item[#All], ROW()-1, COLUMN()), "")</f>
        <v/>
      </c>
      <c r="F3" s="1" t="str" cm="1">
        <f t="array" ref="F3">IFERROR(INDEX(PV_Totals_By_Item[#All], ROW()-1, COLUMN()), "")</f>
        <v/>
      </c>
      <c r="G3" s="1" t="str" cm="1">
        <f t="array" ref="G3">IFERROR(INDEX(PV_Totals_By_Item[#All], ROW()-1, COLUMN()), "")</f>
        <v/>
      </c>
      <c r="H3" s="1" t="str" cm="1">
        <f t="array" ref="H3">IFERROR(INDEX(PV_Totals_By_Item[#All], ROW()-1, COLUMN()), "")</f>
        <v/>
      </c>
      <c r="I3" s="1" t="str" cm="1">
        <f t="array" ref="I3">IFERROR(INDEX(PV_Totals_By_Item[#All], ROW()-1, COLUMN()), "")</f>
        <v/>
      </c>
      <c r="J3" s="1" t="str" cm="1">
        <f t="array" ref="J3">IFERROR(INDEX(PV_Totals_By_Item[#All], ROW()-1, COLUMN()), "")</f>
        <v/>
      </c>
    </row>
    <row r="4" spans="1:10">
      <c r="A4" s="1" cm="1">
        <f t="array" ref="A4">IFERROR(INDEX(PV_Totals_By_Item[#All], ROW()-1, COLUMN()), "")</f>
        <v>0</v>
      </c>
      <c r="B4" s="5" cm="1">
        <f t="array" ref="B4">IFERROR(INDEX(PV_Totals_By_Item[#All], ROW()-1, COLUMN()), "")</f>
        <v>0</v>
      </c>
      <c r="C4" s="5" cm="1">
        <f t="array" ref="C4">IFERROR(INDEX(PV_Totals_By_Item[#All], ROW()-1, COLUMN()), "")</f>
        <v>0</v>
      </c>
      <c r="D4" s="5" cm="1">
        <f t="array" ref="D4">IFERROR(INDEX(PV_Totals_By_Item[#All], ROW()-1, COLUMN()), "")</f>
        <v>0</v>
      </c>
      <c r="E4" s="1" t="str" cm="1">
        <f t="array" ref="E4">IFERROR(INDEX(PV_Totals_By_Item[#All], ROW()-1, COLUMN()), "")</f>
        <v/>
      </c>
      <c r="F4" s="1" t="str" cm="1">
        <f t="array" ref="F4">IFERROR(INDEX(PV_Totals_By_Item[#All], ROW()-1, COLUMN()), "")</f>
        <v/>
      </c>
      <c r="G4" s="1" t="str" cm="1">
        <f t="array" ref="G4">IFERROR(INDEX(PV_Totals_By_Item[#All], ROW()-1, COLUMN()), "")</f>
        <v/>
      </c>
      <c r="H4" s="1" t="str" cm="1">
        <f t="array" ref="H4">IFERROR(INDEX(PV_Totals_By_Item[#All], ROW()-1, COLUMN()), "")</f>
        <v/>
      </c>
      <c r="I4" s="1" t="str" cm="1">
        <f t="array" ref="I4">IFERROR(INDEX(PV_Totals_By_Item[#All], ROW()-1, COLUMN()), "")</f>
        <v/>
      </c>
      <c r="J4" s="1" t="str" cm="1">
        <f t="array" ref="J4">IFERROR(INDEX(PV_Totals_By_Item[#All], ROW()-1, COLUMN()), "")</f>
        <v/>
      </c>
    </row>
    <row r="5" spans="1:10">
      <c r="A5" s="1" t="str" cm="1">
        <f t="array" ref="A5">IFERROR(INDEX(PV_Totals_By_Item[#All], ROW()-1, COLUMN()), "")</f>
        <v/>
      </c>
      <c r="B5" s="5" t="str" cm="1">
        <f t="array" ref="B5">IFERROR(INDEX(PV_Totals_By_Item[#All], ROW()-1, COLUMN()), "")</f>
        <v/>
      </c>
      <c r="C5" s="5" t="str" cm="1">
        <f t="array" ref="C5">IFERROR(INDEX(PV_Totals_By_Item[#All], ROW()-1, COLUMN()), "")</f>
        <v/>
      </c>
      <c r="D5" s="5" t="str" cm="1">
        <f t="array" ref="D5">IFERROR(INDEX(PV_Totals_By_Item[#All], ROW()-1, COLUMN()), "")</f>
        <v/>
      </c>
      <c r="E5" s="1" t="str" cm="1">
        <f t="array" ref="E5">IFERROR(INDEX(PV_Totals_By_Item[#All], ROW()-1, COLUMN()), "")</f>
        <v/>
      </c>
      <c r="F5" s="1" t="str" cm="1">
        <f t="array" ref="F5">IFERROR(INDEX(PV_Totals_By_Item[#All], ROW()-1, COLUMN()), "")</f>
        <v/>
      </c>
      <c r="G5" s="1" t="str" cm="1">
        <f t="array" ref="G5">IFERROR(INDEX(PV_Totals_By_Item[#All], ROW()-1, COLUMN()), "")</f>
        <v/>
      </c>
      <c r="H5" s="1" t="str" cm="1">
        <f t="array" ref="H5">IFERROR(INDEX(PV_Totals_By_Item[#All], ROW()-1, COLUMN()), "")</f>
        <v/>
      </c>
      <c r="I5" s="1" t="str" cm="1">
        <f t="array" ref="I5">IFERROR(INDEX(PV_Totals_By_Item[#All], ROW()-1, COLUMN()), "")</f>
        <v/>
      </c>
      <c r="J5" s="1" t="str" cm="1">
        <f t="array" ref="J5">IFERROR(INDEX(PV_Totals_By_Item[#All], ROW()-1, COLUMN()), "")</f>
        <v/>
      </c>
    </row>
    <row r="6" spans="1:10">
      <c r="A6" s="1" t="str" cm="1">
        <f t="array" ref="A6">IFERROR(INDEX(PV_Totals_By_Item[#All], ROW()-1, COLUMN()), "")</f>
        <v/>
      </c>
      <c r="B6" s="5" t="str" cm="1">
        <f t="array" ref="B6">IFERROR(INDEX(PV_Totals_By_Item[#All], ROW()-1, COLUMN()), "")</f>
        <v/>
      </c>
      <c r="C6" s="5" t="str" cm="1">
        <f t="array" ref="C6">IFERROR(INDEX(PV_Totals_By_Item[#All], ROW()-1, COLUMN()), "")</f>
        <v/>
      </c>
      <c r="D6" s="1" t="str" cm="1">
        <f t="array" ref="D6">IFERROR(INDEX(PV_Totals_By_Item[#All], ROW()-1, COLUMN()), "")</f>
        <v/>
      </c>
      <c r="E6" s="1" t="str" cm="1">
        <f t="array" ref="E6">IFERROR(INDEX(PV_Totals_By_Item[#All], ROW()-1, COLUMN()), "")</f>
        <v/>
      </c>
      <c r="F6" s="1" t="str" cm="1">
        <f t="array" ref="F6">IFERROR(INDEX(PV_Totals_By_Item[#All], ROW()-1, COLUMN()), "")</f>
        <v/>
      </c>
      <c r="G6" s="1" t="str" cm="1">
        <f t="array" ref="G6">IFERROR(INDEX(PV_Totals_By_Item[#All], ROW()-1, COLUMN()), "")</f>
        <v/>
      </c>
      <c r="H6" s="1" t="str" cm="1">
        <f t="array" ref="H6">IFERROR(INDEX(PV_Totals_By_Item[#All], ROW()-1, COLUMN()), "")</f>
        <v/>
      </c>
      <c r="I6" s="1" t="str" cm="1">
        <f t="array" ref="I6">IFERROR(INDEX(PV_Totals_By_Item[#All], ROW()-1, COLUMN()), "")</f>
        <v/>
      </c>
      <c r="J6" s="1" t="str" cm="1">
        <f t="array" ref="J6">IFERROR(INDEX(PV_Totals_By_Item[#All], ROW()-1, COLUMN()), "")</f>
        <v/>
      </c>
    </row>
    <row r="7" spans="1:10">
      <c r="A7" s="1" t="str" cm="1">
        <f t="array" ref="A7">IFERROR(INDEX(PV_Totals_By_Item[#All], ROW()-1, COLUMN()), "")</f>
        <v/>
      </c>
      <c r="B7" s="5" t="str" cm="1">
        <f t="array" ref="B7">IFERROR(INDEX(PV_Totals_By_Item[#All], ROW()-1, COLUMN()), "")</f>
        <v/>
      </c>
      <c r="C7" s="5" t="str" cm="1">
        <f t="array" ref="C7">IFERROR(INDEX(PV_Totals_By_Item[#All], ROW()-1, COLUMN()), "")</f>
        <v/>
      </c>
      <c r="D7" s="1" t="str" cm="1">
        <f t="array" ref="D7">IFERROR(INDEX(PV_Totals_By_Item[#All], ROW()-1, COLUMN()), "")</f>
        <v/>
      </c>
      <c r="E7" s="1" t="str" cm="1">
        <f t="array" ref="E7">IFERROR(INDEX(PV_Totals_By_Item[#All], ROW()-1, COLUMN()), "")</f>
        <v/>
      </c>
      <c r="F7" s="1" t="str" cm="1">
        <f t="array" ref="F7">IFERROR(INDEX(PV_Totals_By_Item[#All], ROW()-1, COLUMN()), "")</f>
        <v/>
      </c>
      <c r="G7" s="1" t="str" cm="1">
        <f t="array" ref="G7">IFERROR(INDEX(PV_Totals_By_Item[#All], ROW()-1, COLUMN()), "")</f>
        <v/>
      </c>
      <c r="H7" s="1" t="str" cm="1">
        <f t="array" ref="H7">IFERROR(INDEX(PV_Totals_By_Item[#All], ROW()-1, COLUMN()), "")</f>
        <v/>
      </c>
      <c r="I7" s="1" t="str" cm="1">
        <f t="array" ref="I7">IFERROR(INDEX(PV_Totals_By_Item[#All], ROW()-1, COLUMN()), "")</f>
        <v/>
      </c>
      <c r="J7" s="1" t="str" cm="1">
        <f t="array" ref="J7">IFERROR(INDEX(PV_Totals_By_Item[#All], ROW()-1, COLUMN()), "")</f>
        <v/>
      </c>
    </row>
    <row r="8" spans="1:10">
      <c r="A8" s="1" t="s">
        <v>92</v>
      </c>
      <c r="B8" s="5" t="str" cm="1">
        <f t="array" ref="B8">IFERROR(INDEX(PV_Totals_By_Item[#All], ROW()-1, COLUMN()), "")</f>
        <v/>
      </c>
      <c r="C8" s="5" t="str" cm="1">
        <f t="array" ref="C8">IFERROR(INDEX(PV_Totals_By_Item[#All], ROW()-1, COLUMN()), "")</f>
        <v/>
      </c>
      <c r="D8" s="1" t="str" cm="1">
        <f t="array" ref="D8">IFERROR(INDEX(PV_Totals_By_Item[#All], ROW()-1, COLUMN()), "")</f>
        <v/>
      </c>
      <c r="E8" s="1" t="str" cm="1">
        <f t="array" ref="E8">IFERROR(INDEX(PV_Totals_By_Item[#All], ROW()-1, COLUMN()), "")</f>
        <v/>
      </c>
      <c r="F8" s="1" t="str" cm="1">
        <f t="array" ref="F8">IFERROR(INDEX(PV_Totals_By_Item[#All], ROW()-1, COLUMN()), "")</f>
        <v/>
      </c>
      <c r="G8" s="1" t="str" cm="1">
        <f t="array" ref="G8">IFERROR(INDEX(PV_Totals_By_Item[#All], ROW()-1, COLUMN()), "")</f>
        <v/>
      </c>
      <c r="H8" s="1" t="str" cm="1">
        <f t="array" ref="H8">IFERROR(INDEX(PV_Totals_By_Item[#All], ROW()-1, COLUMN()), "")</f>
        <v/>
      </c>
      <c r="I8" s="1" t="str" cm="1">
        <f t="array" ref="I8">IFERROR(INDEX(PV_Totals_By_Item[#All], ROW()-1, COLUMN()), "")</f>
        <v/>
      </c>
      <c r="J8" s="1" t="str" cm="1">
        <f t="array" ref="J8">IFERROR(INDEX(PV_Totals_By_Item[#All], ROW()-1, COLUMN()), "")</f>
        <v/>
      </c>
    </row>
    <row r="9" spans="1:10">
      <c r="A9" s="1" t="str" cm="1">
        <f t="array" ref="A9">IFERROR(INDEX(PV_Totals_By_Item[#All], ROW()-1, COLUMN()), "")</f>
        <v/>
      </c>
      <c r="B9" s="5" t="str" cm="1">
        <f t="array" ref="B9">IFERROR(INDEX(PV_Totals_By_Item[#All], ROW()-1, COLUMN()), "")</f>
        <v/>
      </c>
      <c r="C9" s="5" t="str" cm="1">
        <f t="array" ref="C9">IFERROR(INDEX(PV_Totals_By_Item[#All], ROW()-1, COLUMN()), "")</f>
        <v/>
      </c>
      <c r="D9" s="1" t="str" cm="1">
        <f t="array" ref="D9">IFERROR(INDEX(PV_Totals_By_Item[#All], ROW()-1, COLUMN()), "")</f>
        <v/>
      </c>
      <c r="E9" s="1" t="str" cm="1">
        <f t="array" ref="E9">IFERROR(INDEX(PV_Totals_By_Item[#All], ROW()-1, COLUMN()), "")</f>
        <v/>
      </c>
      <c r="F9" s="1" t="str" cm="1">
        <f t="array" ref="F9">IFERROR(INDEX(PV_Totals_By_Item[#All], ROW()-1, COLUMN()), "")</f>
        <v/>
      </c>
      <c r="G9" s="1" t="str" cm="1">
        <f t="array" ref="G9">IFERROR(INDEX(PV_Totals_By_Item[#All], ROW()-1, COLUMN()), "")</f>
        <v/>
      </c>
      <c r="H9" s="1" t="str" cm="1">
        <f t="array" ref="H9">IFERROR(INDEX(PV_Totals_By_Item[#All], ROW()-1, COLUMN()), "")</f>
        <v/>
      </c>
      <c r="I9" s="1" t="str" cm="1">
        <f t="array" ref="I9">IFERROR(INDEX(PV_Totals_By_Item[#All], ROW()-1, COLUMN()), "")</f>
        <v/>
      </c>
      <c r="J9" s="1" t="str" cm="1">
        <f t="array" ref="J9">IFERROR(INDEX(PV_Totals_By_Item[#All], ROW()-1, COLUMN()), "")</f>
        <v/>
      </c>
    </row>
    <row r="10" spans="1:10">
      <c r="A10" s="1" t="str" cm="1">
        <f t="array" ref="A10">IFERROR(INDEX(PV_Totals_By_Item[#All], ROW()-1, COLUMN()), "")</f>
        <v/>
      </c>
      <c r="B10" s="5" t="str" cm="1">
        <f t="array" ref="B10">IFERROR(INDEX(PV_Totals_By_Item[#All], ROW()-1, COLUMN()), "")</f>
        <v/>
      </c>
      <c r="C10" s="5" t="str" cm="1">
        <f t="array" ref="C10">IFERROR(INDEX(PV_Totals_By_Item[#All], ROW()-1, COLUMN()), "")</f>
        <v/>
      </c>
      <c r="D10" s="1" t="str" cm="1">
        <f t="array" ref="D10">IFERROR(INDEX(PV_Totals_By_Item[#All], ROW()-1, COLUMN()), "")</f>
        <v/>
      </c>
      <c r="E10" s="1" t="str" cm="1">
        <f t="array" ref="E10">IFERROR(INDEX(PV_Totals_By_Item[#All], ROW()-1, COLUMN()), "")</f>
        <v/>
      </c>
      <c r="F10" s="1" t="str" cm="1">
        <f t="array" ref="F10">IFERROR(INDEX(PV_Totals_By_Item[#All], ROW()-1, COLUMN()), "")</f>
        <v/>
      </c>
      <c r="G10" s="1" t="str" cm="1">
        <f t="array" ref="G10">IFERROR(INDEX(PV_Totals_By_Item[#All], ROW()-1, COLUMN()), "")</f>
        <v/>
      </c>
      <c r="H10" s="1" t="str" cm="1">
        <f t="array" ref="H10">IFERROR(INDEX(PV_Totals_By_Item[#All], ROW()-1, COLUMN()), "")</f>
        <v/>
      </c>
      <c r="I10" s="1" t="str" cm="1">
        <f t="array" ref="I10">IFERROR(INDEX(PV_Totals_By_Item[#All], ROW()-1, COLUMN()), "")</f>
        <v/>
      </c>
      <c r="J10" s="1" t="str" cm="1">
        <f t="array" ref="J10">IFERROR(INDEX(PV_Totals_By_Item[#All], ROW()-1, COLUMN()), "")</f>
        <v/>
      </c>
    </row>
    <row r="11" spans="1:10">
      <c r="A11" s="1" t="str" cm="1">
        <f t="array" ref="A11">IFERROR(INDEX(PV_Totals_By_Item[#All], ROW()-1, COLUMN()), "")</f>
        <v/>
      </c>
      <c r="B11" s="5" t="str" cm="1">
        <f t="array" ref="B11">IFERROR(INDEX(PV_Totals_By_Item[#All], ROW()-1, COLUMN()), "")</f>
        <v/>
      </c>
      <c r="C11" s="5" t="str" cm="1">
        <f t="array" ref="C11">IFERROR(INDEX(PV_Totals_By_Item[#All], ROW()-1, COLUMN()), "")</f>
        <v/>
      </c>
      <c r="D11" s="1" t="str" cm="1">
        <f t="array" ref="D11">IFERROR(INDEX(PV_Totals_By_Item[#All], ROW()-1, COLUMN()), "")</f>
        <v/>
      </c>
      <c r="E11" s="1" t="str" cm="1">
        <f t="array" ref="E11">IFERROR(INDEX(PV_Totals_By_Item[#All], ROW()-1, COLUMN()), "")</f>
        <v/>
      </c>
      <c r="F11" s="1" t="str" cm="1">
        <f t="array" ref="F11">IFERROR(INDEX(PV_Totals_By_Item[#All], ROW()-1, COLUMN()), "")</f>
        <v/>
      </c>
      <c r="G11" s="1" t="str" cm="1">
        <f t="array" ref="G11">IFERROR(INDEX(PV_Totals_By_Item[#All], ROW()-1, COLUMN()), "")</f>
        <v/>
      </c>
      <c r="H11" s="1" t="str" cm="1">
        <f t="array" ref="H11">IFERROR(INDEX(PV_Totals_By_Item[#All], ROW()-1, COLUMN()), "")</f>
        <v/>
      </c>
      <c r="I11" s="1" t="str" cm="1">
        <f t="array" ref="I11">IFERROR(INDEX(PV_Totals_By_Item[#All], ROW()-1, COLUMN()), "")</f>
        <v/>
      </c>
      <c r="J11" s="1" t="str" cm="1">
        <f t="array" ref="J11">IFERROR(INDEX(PV_Totals_By_Item[#All], ROW()-1, COLUMN()), "")</f>
        <v/>
      </c>
    </row>
    <row r="12" spans="1:10">
      <c r="A12" s="1" t="str" cm="1">
        <f t="array" ref="A12">IFERROR(INDEX(PV_Totals_By_Item[#All], ROW()-1, COLUMN()), "")</f>
        <v/>
      </c>
      <c r="B12" s="5" t="e">
        <f>B3-0.5*Query2!#REF!</f>
        <v>#REF!</v>
      </c>
      <c r="C12" s="5" t="str" cm="1">
        <f t="array" ref="C12">IFERROR(INDEX(PV_Totals_By_Item[#All], ROW()-1, COLUMN()), "")</f>
        <v/>
      </c>
      <c r="D12" s="1" t="str" cm="1">
        <f t="array" ref="D12">IFERROR(INDEX(PV_Totals_By_Item[#All], ROW()-1, COLUMN()), "")</f>
        <v/>
      </c>
      <c r="E12" s="1" t="str" cm="1">
        <f t="array" ref="E12">IFERROR(INDEX(PV_Totals_By_Item[#All], ROW()-1, COLUMN()), "")</f>
        <v/>
      </c>
      <c r="F12" s="1" t="str" cm="1">
        <f t="array" ref="F12">IFERROR(INDEX(PV_Totals_By_Item[#All], ROW()-1, COLUMN()), "")</f>
        <v/>
      </c>
      <c r="G12" s="1" t="str" cm="1">
        <f t="array" ref="G12">IFERROR(INDEX(PV_Totals_By_Item[#All], ROW()-1, COLUMN()), "")</f>
        <v/>
      </c>
      <c r="H12" s="1" t="str" cm="1">
        <f t="array" ref="H12">IFERROR(INDEX(PV_Totals_By_Item[#All], ROW()-1, COLUMN()), "")</f>
        <v/>
      </c>
      <c r="I12" s="1" t="str" cm="1">
        <f t="array" ref="I12">IFERROR(INDEX(PV_Totals_By_Item[#All], ROW()-1, COLUMN()), "")</f>
        <v/>
      </c>
      <c r="J12" s="1" t="str" cm="1">
        <f t="array" ref="J12">IFERROR(INDEX(PV_Totals_By_Item[#All], ROW()-1, COLUMN()), "")</f>
        <v/>
      </c>
    </row>
    <row r="13" spans="1:10">
      <c r="A13" s="1" t="str" cm="1">
        <f t="array" ref="A13">IFERROR(INDEX(PV_Totals_By_Item[#All], ROW()-1, COLUMN()), "")</f>
        <v/>
      </c>
      <c r="B13" s="5" t="str" cm="1">
        <f t="array" ref="B13">IFERROR(INDEX(PV_Totals_By_Item[#All], ROW()-1, COLUMN()), "")</f>
        <v/>
      </c>
      <c r="C13" s="5" t="str" cm="1">
        <f t="array" ref="C13">IFERROR(INDEX(PV_Totals_By_Item[#All], ROW()-1, COLUMN()), "")</f>
        <v/>
      </c>
      <c r="D13" s="1" t="str" cm="1">
        <f t="array" ref="D13">IFERROR(INDEX(PV_Totals_By_Item[#All], ROW()-1, COLUMN()), "")</f>
        <v/>
      </c>
      <c r="E13" s="1" t="str" cm="1">
        <f t="array" ref="E13">IFERROR(INDEX(PV_Totals_By_Item[#All], ROW()-1, COLUMN()), "")</f>
        <v/>
      </c>
      <c r="F13" s="1" t="str" cm="1">
        <f t="array" ref="F13">IFERROR(INDEX(PV_Totals_By_Item[#All], ROW()-1, COLUMN()), "")</f>
        <v/>
      </c>
      <c r="G13" s="1" t="str" cm="1">
        <f t="array" ref="G13">IFERROR(INDEX(PV_Totals_By_Item[#All], ROW()-1, COLUMN()), "")</f>
        <v/>
      </c>
      <c r="H13" s="1" t="str" cm="1">
        <f t="array" ref="H13">IFERROR(INDEX(PV_Totals_By_Item[#All], ROW()-1, COLUMN()), "")</f>
        <v/>
      </c>
      <c r="I13" s="1" t="str" cm="1">
        <f t="array" ref="I13">IFERROR(INDEX(PV_Totals_By_Item[#All], ROW()-1, COLUMN()), "")</f>
        <v/>
      </c>
      <c r="J13" s="1" t="str" cm="1">
        <f t="array" ref="J13">IFERROR(INDEX(PV_Totals_By_Item[#All], ROW()-1, COLUMN()), "")</f>
        <v/>
      </c>
    </row>
    <row r="14" spans="1:10">
      <c r="A14" s="1" t="str" cm="1">
        <f t="array" ref="A14">IFERROR(INDEX(PV_Totals_By_Item[#All], ROW()-1, COLUMN()), "")</f>
        <v/>
      </c>
      <c r="B14" s="5" t="str" cm="1">
        <f t="array" ref="B14">IFERROR(INDEX(PV_Totals_By_Item[#All], ROW()-1, COLUMN()), "")</f>
        <v/>
      </c>
      <c r="C14" s="5" t="str" cm="1">
        <f t="array" ref="C14">IFERROR(INDEX(PV_Totals_By_Item[#All], ROW()-1, COLUMN()), "")</f>
        <v/>
      </c>
      <c r="D14" s="1" t="str" cm="1">
        <f t="array" ref="D14">IFERROR(INDEX(PV_Totals_By_Item[#All], ROW()-1, COLUMN()), "")</f>
        <v/>
      </c>
      <c r="E14" s="1" t="str" cm="1">
        <f t="array" ref="E14">IFERROR(INDEX(PV_Totals_By_Item[#All], ROW()-1, COLUMN()), "")</f>
        <v/>
      </c>
      <c r="F14" s="1" t="str" cm="1">
        <f t="array" ref="F14">IFERROR(INDEX(PV_Totals_By_Item[#All], ROW()-1, COLUMN()), "")</f>
        <v/>
      </c>
      <c r="G14" s="1" t="str" cm="1">
        <f t="array" ref="G14">IFERROR(INDEX(PV_Totals_By_Item[#All], ROW()-1, COLUMN()), "")</f>
        <v/>
      </c>
      <c r="H14" s="1" t="str" cm="1">
        <f t="array" ref="H14">IFERROR(INDEX(PV_Totals_By_Item[#All], ROW()-1, COLUMN()), "")</f>
        <v/>
      </c>
      <c r="I14" s="1" t="str" cm="1">
        <f t="array" ref="I14">IFERROR(INDEX(PV_Totals_By_Item[#All], ROW()-1, COLUMN()), "")</f>
        <v/>
      </c>
      <c r="J14" s="1" t="str" cm="1">
        <f t="array" ref="J14">IFERROR(INDEX(PV_Totals_By_Item[#All], ROW()-1, COLUMN()), "")</f>
        <v/>
      </c>
    </row>
    <row r="15" spans="1:10">
      <c r="A15" s="1" t="str" cm="1">
        <f t="array" ref="A15">IFERROR(INDEX(PV_Totals_By_Item[#All], ROW()-1, COLUMN()), "")</f>
        <v/>
      </c>
      <c r="B15" s="5" t="str" cm="1">
        <f t="array" ref="B15">IFERROR(INDEX(PV_Totals_By_Item[#All], ROW()-1, COLUMN()), "")</f>
        <v/>
      </c>
      <c r="C15" s="5" t="str" cm="1">
        <f t="array" ref="C15">IFERROR(INDEX(PV_Totals_By_Item[#All], ROW()-1, COLUMN()), "")</f>
        <v/>
      </c>
      <c r="D15" s="1" t="str" cm="1">
        <f t="array" ref="D15">IFERROR(INDEX(PV_Totals_By_Item[#All], ROW()-1, COLUMN()), "")</f>
        <v/>
      </c>
      <c r="E15" s="1" t="str" cm="1">
        <f t="array" ref="E15">IFERROR(INDEX(PV_Totals_By_Item[#All], ROW()-1, COLUMN()), "")</f>
        <v/>
      </c>
      <c r="F15" s="1" t="str" cm="1">
        <f t="array" ref="F15">IFERROR(INDEX(PV_Totals_By_Item[#All], ROW()-1, COLUMN()), "")</f>
        <v/>
      </c>
      <c r="G15" s="1" t="str" cm="1">
        <f t="array" ref="G15">IFERROR(INDEX(PV_Totals_By_Item[#All], ROW()-1, COLUMN()), "")</f>
        <v/>
      </c>
      <c r="H15" s="1" t="str" cm="1">
        <f t="array" ref="H15">IFERROR(INDEX(PV_Totals_By_Item[#All], ROW()-1, COLUMN()), "")</f>
        <v/>
      </c>
      <c r="I15" s="1" t="str" cm="1">
        <f t="array" ref="I15">IFERROR(INDEX(PV_Totals_By_Item[#All], ROW()-1, COLUMN()), "")</f>
        <v/>
      </c>
      <c r="J15" s="1" t="str" cm="1">
        <f t="array" ref="J15">IFERROR(INDEX(PV_Totals_By_Item[#All], ROW()-1, COLUMN()), "")</f>
        <v/>
      </c>
    </row>
    <row r="16" spans="1:10">
      <c r="A16" s="1" t="str" cm="1">
        <f t="array" ref="A16">IFERROR(INDEX(PV_Totals_By_Item[#All], ROW()-1, COLUMN()), "")</f>
        <v/>
      </c>
      <c r="B16" s="5" t="str" cm="1">
        <f t="array" ref="B16">IFERROR(INDEX(PV_Totals_By_Item[#All], ROW()-1, COLUMN()), "")</f>
        <v/>
      </c>
      <c r="C16" s="5" t="str" cm="1">
        <f t="array" ref="C16">IFERROR(INDEX(PV_Totals_By_Item[#All], ROW()-1, COLUMN()), "")</f>
        <v/>
      </c>
      <c r="D16" s="1" t="str" cm="1">
        <f t="array" ref="D16">IFERROR(INDEX(PV_Totals_By_Item[#All], ROW()-1, COLUMN()), "")</f>
        <v/>
      </c>
      <c r="E16" s="1" t="str" cm="1">
        <f t="array" ref="E16">IFERROR(INDEX(PV_Totals_By_Item[#All], ROW()-1, COLUMN()), "")</f>
        <v/>
      </c>
      <c r="F16" s="1" t="str" cm="1">
        <f t="array" ref="F16">IFERROR(INDEX(PV_Totals_By_Item[#All], ROW()-1, COLUMN()), "")</f>
        <v/>
      </c>
      <c r="G16" s="1" t="str" cm="1">
        <f t="array" ref="G16">IFERROR(INDEX(PV_Totals_By_Item[#All], ROW()-1, COLUMN()), "")</f>
        <v/>
      </c>
      <c r="H16" s="1" t="str" cm="1">
        <f t="array" ref="H16">IFERROR(INDEX(PV_Totals_By_Item[#All], ROW()-1, COLUMN()), "")</f>
        <v/>
      </c>
      <c r="I16" s="1" t="str" cm="1">
        <f t="array" ref="I16">IFERROR(INDEX(PV_Totals_By_Item[#All], ROW()-1, COLUMN()), "")</f>
        <v/>
      </c>
      <c r="J16" s="1" t="str" cm="1">
        <f t="array" ref="J16">IFERROR(INDEX(PV_Totals_By_Item[#All], ROW()-1, COLUMN()), "")</f>
        <v/>
      </c>
    </row>
    <row r="17" spans="1:10">
      <c r="A17" s="1" t="str" cm="1">
        <f t="array" ref="A17">IFERROR(INDEX(PV_Totals_By_Item[#All], ROW()-1, COLUMN()), "")</f>
        <v/>
      </c>
      <c r="B17" s="5" t="str" cm="1">
        <f t="array" ref="B17">IFERROR(INDEX(PV_Totals_By_Item[#All], ROW()-1, COLUMN()), "")</f>
        <v/>
      </c>
      <c r="C17" s="5" t="str" cm="1">
        <f t="array" ref="C17">IFERROR(INDEX(PV_Totals_By_Item[#All], ROW()-1, COLUMN()), "")</f>
        <v/>
      </c>
      <c r="D17" s="1" t="str" cm="1">
        <f t="array" ref="D17">IFERROR(INDEX(PV_Totals_By_Item[#All], ROW()-1, COLUMN()), "")</f>
        <v/>
      </c>
      <c r="E17" s="1" t="str" cm="1">
        <f t="array" ref="E17">IFERROR(INDEX(PV_Totals_By_Item[#All], ROW()-1, COLUMN()), "")</f>
        <v/>
      </c>
      <c r="F17" s="1" t="str" cm="1">
        <f t="array" ref="F17">IFERROR(INDEX(PV_Totals_By_Item[#All], ROW()-1, COLUMN()), "")</f>
        <v/>
      </c>
      <c r="G17" s="1" t="str" cm="1">
        <f t="array" ref="G17">IFERROR(INDEX(PV_Totals_By_Item[#All], ROW()-1, COLUMN()), "")</f>
        <v/>
      </c>
      <c r="H17" s="1" t="str" cm="1">
        <f t="array" ref="H17">IFERROR(INDEX(PV_Totals_By_Item[#All], ROW()-1, COLUMN()), "")</f>
        <v/>
      </c>
      <c r="I17" s="1" t="str" cm="1">
        <f t="array" ref="I17">IFERROR(INDEX(PV_Totals_By_Item[#All], ROW()-1, COLUMN()), "")</f>
        <v/>
      </c>
      <c r="J17" s="1" t="str" cm="1">
        <f t="array" ref="J17">IFERROR(INDEX(PV_Totals_By_Item[#All], ROW()-1, COLUMN()), "")</f>
        <v/>
      </c>
    </row>
    <row r="18" spans="1:10">
      <c r="A18" s="1" t="str" cm="1">
        <f t="array" ref="A18">IFERROR(INDEX(PV_Totals_By_Item[#All], ROW()-1, COLUMN()), "")</f>
        <v/>
      </c>
      <c r="B18" s="5" t="str" cm="1">
        <f t="array" ref="B18">IFERROR(INDEX(PV_Totals_By_Item[#All], ROW()-1, COLUMN()), "")</f>
        <v/>
      </c>
      <c r="C18" s="5" t="str" cm="1">
        <f t="array" ref="C18">IFERROR(INDEX(PV_Totals_By_Item[#All], ROW()-1, COLUMN()), "")</f>
        <v/>
      </c>
      <c r="D18" s="1" t="str" cm="1">
        <f t="array" ref="D18">IFERROR(INDEX(PV_Totals_By_Item[#All], ROW()-1, COLUMN()), "")</f>
        <v/>
      </c>
      <c r="E18" s="1" t="str" cm="1">
        <f t="array" ref="E18">IFERROR(INDEX(PV_Totals_By_Item[#All], ROW()-1, COLUMN()), "")</f>
        <v/>
      </c>
      <c r="F18" s="1" t="str" cm="1">
        <f t="array" ref="F18">IFERROR(INDEX(PV_Totals_By_Item[#All], ROW()-1, COLUMN()), "")</f>
        <v/>
      </c>
      <c r="G18" s="1" t="str" cm="1">
        <f t="array" ref="G18">IFERROR(INDEX(PV_Totals_By_Item[#All], ROW()-1, COLUMN()), "")</f>
        <v/>
      </c>
      <c r="H18" s="1" t="str" cm="1">
        <f t="array" ref="H18">IFERROR(INDEX(PV_Totals_By_Item[#All], ROW()-1, COLUMN()), "")</f>
        <v/>
      </c>
      <c r="I18" s="1" t="str" cm="1">
        <f t="array" ref="I18">IFERROR(INDEX(PV_Totals_By_Item[#All], ROW()-1, COLUMN()), "")</f>
        <v/>
      </c>
      <c r="J18" s="1" t="str" cm="1">
        <f t="array" ref="J18">IFERROR(INDEX(PV_Totals_By_Item[#All], ROW()-1, COLUMN()), "")</f>
        <v/>
      </c>
    </row>
    <row r="19" spans="1:10">
      <c r="A19" s="1" t="str" cm="1">
        <f t="array" ref="A19">IFERROR(INDEX(PV_Totals_By_Item[#All], ROW()-1, COLUMN()), "")</f>
        <v/>
      </c>
      <c r="B19" s="5" t="str" cm="1">
        <f t="array" ref="B19">IFERROR(INDEX(PV_Totals_By_Item[#All], ROW()-1, COLUMN()), "")</f>
        <v/>
      </c>
      <c r="C19" s="5" t="str" cm="1">
        <f t="array" ref="C19">IFERROR(INDEX(PV_Totals_By_Item[#All], ROW()-1, COLUMN()), "")</f>
        <v/>
      </c>
      <c r="D19" s="1" t="str" cm="1">
        <f t="array" ref="D19">IFERROR(INDEX(PV_Totals_By_Item[#All], ROW()-1, COLUMN()), "")</f>
        <v/>
      </c>
      <c r="E19" s="1" t="str" cm="1">
        <f t="array" ref="E19">IFERROR(INDEX(PV_Totals_By_Item[#All], ROW()-1, COLUMN()), "")</f>
        <v/>
      </c>
      <c r="F19" s="1" t="str" cm="1">
        <f t="array" ref="F19">IFERROR(INDEX(PV_Totals_By_Item[#All], ROW()-1, COLUMN()), "")</f>
        <v/>
      </c>
      <c r="G19" s="1" t="str" cm="1">
        <f t="array" ref="G19">IFERROR(INDEX(PV_Totals_By_Item[#All], ROW()-1, COLUMN()), "")</f>
        <v/>
      </c>
      <c r="H19" s="1" t="str" cm="1">
        <f t="array" ref="H19">IFERROR(INDEX(PV_Totals_By_Item[#All], ROW()-1, COLUMN()), "")</f>
        <v/>
      </c>
      <c r="I19" s="1" t="str" cm="1">
        <f t="array" ref="I19">IFERROR(INDEX(PV_Totals_By_Item[#All], ROW()-1, COLUMN()), "")</f>
        <v/>
      </c>
      <c r="J19" s="1" t="str" cm="1">
        <f t="array" ref="J19">IFERROR(INDEX(PV_Totals_By_Item[#All], ROW()-1, COLUMN()), "")</f>
        <v/>
      </c>
    </row>
    <row r="20" spans="1:10">
      <c r="A20" s="1" t="str" cm="1">
        <f t="array" ref="A20">IFERROR(INDEX(PV_Totals_By_Item[#All], ROW()-1, COLUMN()), "")</f>
        <v/>
      </c>
      <c r="B20" s="5" t="str" cm="1">
        <f t="array" ref="B20">IFERROR(INDEX(PV_Totals_By_Item[#All], ROW()-1, COLUMN()), "")</f>
        <v/>
      </c>
      <c r="C20" s="5" t="str" cm="1">
        <f t="array" ref="C20">IFERROR(INDEX(PV_Totals_By_Item[#All], ROW()-1, COLUMN()), "")</f>
        <v/>
      </c>
      <c r="D20" s="1" t="str" cm="1">
        <f t="array" ref="D20">IFERROR(INDEX(PV_Totals_By_Item[#All], ROW()-1, COLUMN()), "")</f>
        <v/>
      </c>
      <c r="E20" s="1" t="str" cm="1">
        <f t="array" ref="E20">IFERROR(INDEX(PV_Totals_By_Item[#All], ROW()-1, COLUMN()), "")</f>
        <v/>
      </c>
      <c r="F20" s="1" t="str" cm="1">
        <f t="array" ref="F20">IFERROR(INDEX(PV_Totals_By_Item[#All], ROW()-1, COLUMN()), "")</f>
        <v/>
      </c>
      <c r="G20" s="1" t="str" cm="1">
        <f t="array" ref="G20">IFERROR(INDEX(PV_Totals_By_Item[#All], ROW()-1, COLUMN()), "")</f>
        <v/>
      </c>
      <c r="H20" s="1" t="str" cm="1">
        <f t="array" ref="H20">IFERROR(INDEX(PV_Totals_By_Item[#All], ROW()-1, COLUMN()), "")</f>
        <v/>
      </c>
      <c r="I20" s="1" t="str" cm="1">
        <f t="array" ref="I20">IFERROR(INDEX(PV_Totals_By_Item[#All], ROW()-1, COLUMN()), "")</f>
        <v/>
      </c>
      <c r="J20" s="1" t="str" cm="1">
        <f t="array" ref="J20">IFERROR(INDEX(PV_Totals_By_Item[#All], ROW()-1, COLUMN()), "")</f>
        <v/>
      </c>
    </row>
    <row r="21" spans="1:10">
      <c r="A21" s="1" t="str" cm="1">
        <f t="array" ref="A21">IFERROR(INDEX(PV_Totals_By_Item[#All], ROW()-1, COLUMN()), "")</f>
        <v/>
      </c>
      <c r="B21" s="5" t="str" cm="1">
        <f t="array" ref="B21">IFERROR(INDEX(PV_Totals_By_Item[#All], ROW()-1, COLUMN()), "")</f>
        <v/>
      </c>
      <c r="C21" s="5" t="str" cm="1">
        <f t="array" ref="C21">IFERROR(INDEX(PV_Totals_By_Item[#All], ROW()-1, COLUMN()), "")</f>
        <v/>
      </c>
      <c r="D21" s="1" t="str" cm="1">
        <f t="array" ref="D21">IFERROR(INDEX(PV_Totals_By_Item[#All], ROW()-1, COLUMN()), "")</f>
        <v/>
      </c>
      <c r="E21" s="1" t="str" cm="1">
        <f t="array" ref="E21">IFERROR(INDEX(PV_Totals_By_Item[#All], ROW()-1, COLUMN()), "")</f>
        <v/>
      </c>
      <c r="F21" s="1" t="str" cm="1">
        <f t="array" ref="F21">IFERROR(INDEX(PV_Totals_By_Item[#All], ROW()-1, COLUMN()), "")</f>
        <v/>
      </c>
      <c r="G21" s="1" t="str" cm="1">
        <f t="array" ref="G21">IFERROR(INDEX(PV_Totals_By_Item[#All], ROW()-1, COLUMN()), "")</f>
        <v/>
      </c>
      <c r="H21" s="1" t="str" cm="1">
        <f t="array" ref="H21">IFERROR(INDEX(PV_Totals_By_Item[#All], ROW()-1, COLUMN()), "")</f>
        <v/>
      </c>
      <c r="I21" s="1" t="str" cm="1">
        <f t="array" ref="I21">IFERROR(INDEX(PV_Totals_By_Item[#All], ROW()-1, COLUMN()), "")</f>
        <v/>
      </c>
      <c r="J21" s="1" t="str" cm="1">
        <f t="array" ref="J21">IFERROR(INDEX(PV_Totals_By_Item[#All], ROW()-1, COLUMN()), "")</f>
        <v/>
      </c>
    </row>
    <row r="22" spans="1:10">
      <c r="A22" s="1" t="str" cm="1">
        <f t="array" ref="A22">IFERROR(INDEX(PV_Totals_By_Item[#All], ROW()-1, COLUMN()), "")</f>
        <v/>
      </c>
      <c r="B22" s="5" t="str" cm="1">
        <f t="array" ref="B22">IFERROR(INDEX(PV_Totals_By_Item[#All], ROW()-1, COLUMN()), "")</f>
        <v/>
      </c>
      <c r="C22" s="5" t="str" cm="1">
        <f t="array" ref="C22">IFERROR(INDEX(PV_Totals_By_Item[#All], ROW()-1, COLUMN()), "")</f>
        <v/>
      </c>
      <c r="D22" s="1" t="str" cm="1">
        <f t="array" ref="D22">IFERROR(INDEX(PV_Totals_By_Item[#All], ROW()-1, COLUMN()), "")</f>
        <v/>
      </c>
      <c r="E22" s="1" t="str" cm="1">
        <f t="array" ref="E22">IFERROR(INDEX(PV_Totals_By_Item[#All], ROW()-1, COLUMN()), "")</f>
        <v/>
      </c>
      <c r="F22" s="1" t="str" cm="1">
        <f t="array" ref="F22">IFERROR(INDEX(PV_Totals_By_Item[#All], ROW()-1, COLUMN()), "")</f>
        <v/>
      </c>
      <c r="G22" s="1" t="str" cm="1">
        <f t="array" ref="G22">IFERROR(INDEX(PV_Totals_By_Item[#All], ROW()-1, COLUMN()), "")</f>
        <v/>
      </c>
      <c r="H22" s="1" t="str" cm="1">
        <f t="array" ref="H22">IFERROR(INDEX(PV_Totals_By_Item[#All], ROW()-1, COLUMN()), "")</f>
        <v/>
      </c>
      <c r="I22" s="1" t="str" cm="1">
        <f t="array" ref="I22">IFERROR(INDEX(PV_Totals_By_Item[#All], ROW()-1, COLUMN()), "")</f>
        <v/>
      </c>
      <c r="J22" s="1" t="str" cm="1">
        <f t="array" ref="J22">IFERROR(INDEX(PV_Totals_By_Item[#All], ROW()-1, COLUMN()), "")</f>
        <v/>
      </c>
    </row>
    <row r="23" spans="1:10">
      <c r="A23" s="1" t="str" cm="1">
        <f t="array" ref="A23">IFERROR(INDEX(PV_Totals_By_Item[#All], ROW()-1, COLUMN()), "")</f>
        <v/>
      </c>
      <c r="B23" s="5" t="str" cm="1">
        <f t="array" ref="B23">IFERROR(INDEX(PV_Totals_By_Item[#All], ROW()-1, COLUMN()), "")</f>
        <v/>
      </c>
      <c r="C23" s="5" t="str" cm="1">
        <f t="array" ref="C23">IFERROR(INDEX(PV_Totals_By_Item[#All], ROW()-1, COLUMN()), "")</f>
        <v/>
      </c>
      <c r="D23" s="1" t="str" cm="1">
        <f t="array" ref="D23">IFERROR(INDEX(PV_Totals_By_Item[#All], ROW()-1, COLUMN()), "")</f>
        <v/>
      </c>
      <c r="E23" s="1" t="str" cm="1">
        <f t="array" ref="E23">IFERROR(INDEX(PV_Totals_By_Item[#All], ROW()-1, COLUMN()), "")</f>
        <v/>
      </c>
      <c r="F23" s="1" t="str" cm="1">
        <f t="array" ref="F23">IFERROR(INDEX(PV_Totals_By_Item[#All], ROW()-1, COLUMN()), "")</f>
        <v/>
      </c>
      <c r="G23" s="1" t="str" cm="1">
        <f t="array" ref="G23">IFERROR(INDEX(PV_Totals_By_Item[#All], ROW()-1, COLUMN()), "")</f>
        <v/>
      </c>
      <c r="H23" s="1" t="str" cm="1">
        <f t="array" ref="H23">IFERROR(INDEX(PV_Totals_By_Item[#All], ROW()-1, COLUMN()), "")</f>
        <v/>
      </c>
      <c r="I23" s="1" t="str" cm="1">
        <f t="array" ref="I23">IFERROR(INDEX(PV_Totals_By_Item[#All], ROW()-1, COLUMN()), "")</f>
        <v/>
      </c>
      <c r="J23" s="1" t="str" cm="1">
        <f t="array" ref="J23">IFERROR(INDEX(PV_Totals_By_Item[#All], ROW()-1, COLUMN()), "")</f>
        <v/>
      </c>
    </row>
    <row r="24" spans="1:10">
      <c r="A24" s="1" t="str" cm="1">
        <f t="array" ref="A24">IFERROR(INDEX(PV_Totals_By_Item[#All], ROW()-1, COLUMN()), "")</f>
        <v/>
      </c>
      <c r="B24" s="5" t="str" cm="1">
        <f t="array" ref="B24">IFERROR(INDEX(PV_Totals_By_Item[#All], ROW()-1, COLUMN()), "")</f>
        <v/>
      </c>
      <c r="C24" s="5" t="str" cm="1">
        <f t="array" ref="C24">IFERROR(INDEX(PV_Totals_By_Item[#All], ROW()-1, COLUMN()), "")</f>
        <v/>
      </c>
      <c r="D24" s="1" t="str" cm="1">
        <f t="array" ref="D24">IFERROR(INDEX(PV_Totals_By_Item[#All], ROW()-1, COLUMN()), "")</f>
        <v/>
      </c>
      <c r="E24" s="1" t="str" cm="1">
        <f t="array" ref="E24">IFERROR(INDEX(PV_Totals_By_Item[#All], ROW()-1, COLUMN()), "")</f>
        <v/>
      </c>
      <c r="F24" s="1" t="str" cm="1">
        <f t="array" ref="F24">IFERROR(INDEX(PV_Totals_By_Item[#All], ROW()-1, COLUMN()), "")</f>
        <v/>
      </c>
      <c r="G24" s="1" t="str" cm="1">
        <f t="array" ref="G24">IFERROR(INDEX(PV_Totals_By_Item[#All], ROW()-1, COLUMN()), "")</f>
        <v/>
      </c>
      <c r="H24" s="1" t="str" cm="1">
        <f t="array" ref="H24">IFERROR(INDEX(PV_Totals_By_Item[#All], ROW()-1, COLUMN()), "")</f>
        <v/>
      </c>
      <c r="I24" s="1" t="str" cm="1">
        <f t="array" ref="I24">IFERROR(INDEX(PV_Totals_By_Item[#All], ROW()-1, COLUMN()), "")</f>
        <v/>
      </c>
      <c r="J24" s="1" t="str" cm="1">
        <f t="array" ref="J24">IFERROR(INDEX(PV_Totals_By_Item[#All], ROW()-1, COLUMN()), "")</f>
        <v/>
      </c>
    </row>
    <row r="25" spans="1:10">
      <c r="A25" s="1" t="str" cm="1">
        <f t="array" ref="A25">IFERROR(INDEX(PV_Totals_By_Item[#All], ROW()-1, COLUMN()), "")</f>
        <v/>
      </c>
      <c r="B25" s="5" t="str" cm="1">
        <f t="array" ref="B25">IFERROR(INDEX(PV_Totals_By_Item[#All], ROW()-1, COLUMN()), "")</f>
        <v/>
      </c>
      <c r="C25" s="5" t="str" cm="1">
        <f t="array" ref="C25">IFERROR(INDEX(PV_Totals_By_Item[#All], ROW()-1, COLUMN()), "")</f>
        <v/>
      </c>
      <c r="D25" s="1" t="str" cm="1">
        <f t="array" ref="D25">IFERROR(INDEX(PV_Totals_By_Item[#All], ROW()-1, COLUMN()), "")</f>
        <v/>
      </c>
      <c r="E25" s="1" t="str" cm="1">
        <f t="array" ref="E25">IFERROR(INDEX(PV_Totals_By_Item[#All], ROW()-1, COLUMN()), "")</f>
        <v/>
      </c>
      <c r="F25" s="1" t="str" cm="1">
        <f t="array" ref="F25">IFERROR(INDEX(PV_Totals_By_Item[#All], ROW()-1, COLUMN()), "")</f>
        <v/>
      </c>
      <c r="G25" s="1" t="str" cm="1">
        <f t="array" ref="G25">IFERROR(INDEX(PV_Totals_By_Item[#All], ROW()-1, COLUMN()), "")</f>
        <v/>
      </c>
      <c r="H25" s="1" t="str" cm="1">
        <f t="array" ref="H25">IFERROR(INDEX(PV_Totals_By_Item[#All], ROW()-1, COLUMN()), "")</f>
        <v/>
      </c>
      <c r="I25" s="1" t="str" cm="1">
        <f t="array" ref="I25">IFERROR(INDEX(PV_Totals_By_Item[#All], ROW()-1, COLUMN()), "")</f>
        <v/>
      </c>
      <c r="J25" s="1" t="str" cm="1">
        <f t="array" ref="J25">IFERROR(INDEX(PV_Totals_By_Item[#All], ROW()-1, COLUMN()), "")</f>
        <v/>
      </c>
    </row>
    <row r="26" spans="1:10">
      <c r="A26" s="1" t="str" cm="1">
        <f t="array" ref="A26">IFERROR(INDEX(PV_Totals_By_Item[#All], ROW()-1, COLUMN()), "")</f>
        <v/>
      </c>
      <c r="B26" s="5" t="str" cm="1">
        <f t="array" ref="B26">IFERROR(INDEX(PV_Totals_By_Item[#All], ROW()-1, COLUMN()), "")</f>
        <v/>
      </c>
      <c r="C26" s="5" t="str" cm="1">
        <f t="array" ref="C26">IFERROR(INDEX(PV_Totals_By_Item[#All], ROW()-1, COLUMN()), "")</f>
        <v/>
      </c>
      <c r="D26" s="1" t="str" cm="1">
        <f t="array" ref="D26">IFERROR(INDEX(PV_Totals_By_Item[#All], ROW()-1, COLUMN()), "")</f>
        <v/>
      </c>
      <c r="E26" s="1" t="str" cm="1">
        <f t="array" ref="E26">IFERROR(INDEX(PV_Totals_By_Item[#All], ROW()-1, COLUMN()), "")</f>
        <v/>
      </c>
      <c r="F26" s="1" t="str" cm="1">
        <f t="array" ref="F26">IFERROR(INDEX(PV_Totals_By_Item[#All], ROW()-1, COLUMN()), "")</f>
        <v/>
      </c>
      <c r="G26" s="1" t="str" cm="1">
        <f t="array" ref="G26">IFERROR(INDEX(PV_Totals_By_Item[#All], ROW()-1, COLUMN()), "")</f>
        <v/>
      </c>
      <c r="H26" s="1" t="str" cm="1">
        <f t="array" ref="H26">IFERROR(INDEX(PV_Totals_By_Item[#All], ROW()-1, COLUMN()), "")</f>
        <v/>
      </c>
      <c r="I26" s="1" t="str" cm="1">
        <f t="array" ref="I26">IFERROR(INDEX(PV_Totals_By_Item[#All], ROW()-1, COLUMN()), "")</f>
        <v/>
      </c>
      <c r="J26" s="1" t="str" cm="1">
        <f t="array" ref="J26">IFERROR(INDEX(PV_Totals_By_Item[#All], ROW()-1, COLUMN()), "")</f>
        <v/>
      </c>
    </row>
    <row r="27" spans="1:10">
      <c r="A27" s="1" t="str" cm="1">
        <f t="array" ref="A27">IFERROR(INDEX(PV_Totals_By_Item[#All], ROW()-1, COLUMN()), "")</f>
        <v/>
      </c>
      <c r="B27" s="5" t="str" cm="1">
        <f t="array" ref="B27">IFERROR(INDEX(PV_Totals_By_Item[#All], ROW()-1, COLUMN()), "")</f>
        <v/>
      </c>
      <c r="C27" s="5" t="str" cm="1">
        <f t="array" ref="C27">IFERROR(INDEX(PV_Totals_By_Item[#All], ROW()-1, COLUMN()), "")</f>
        <v/>
      </c>
      <c r="D27" s="1" t="str" cm="1">
        <f t="array" ref="D27">IFERROR(INDEX(PV_Totals_By_Item[#All], ROW()-1, COLUMN()), "")</f>
        <v/>
      </c>
      <c r="E27" s="1" t="str" cm="1">
        <f t="array" ref="E27">IFERROR(INDEX(PV_Totals_By_Item[#All], ROW()-1, COLUMN()), "")</f>
        <v/>
      </c>
      <c r="F27" s="1" t="str" cm="1">
        <f t="array" ref="F27">IFERROR(INDEX(PV_Totals_By_Item[#All], ROW()-1, COLUMN()), "")</f>
        <v/>
      </c>
      <c r="G27" s="1" t="str" cm="1">
        <f t="array" ref="G27">IFERROR(INDEX(PV_Totals_By_Item[#All], ROW()-1, COLUMN()), "")</f>
        <v/>
      </c>
      <c r="H27" s="1" t="str" cm="1">
        <f t="array" ref="H27">IFERROR(INDEX(PV_Totals_By_Item[#All], ROW()-1, COLUMN()), "")</f>
        <v/>
      </c>
      <c r="I27" s="1" t="str" cm="1">
        <f t="array" ref="I27">IFERROR(INDEX(PV_Totals_By_Item[#All], ROW()-1, COLUMN()), "")</f>
        <v/>
      </c>
      <c r="J27" s="1" t="str" cm="1">
        <f t="array" ref="J27">IFERROR(INDEX(PV_Totals_By_Item[#All], ROW()-1, COLUMN()), "")</f>
        <v/>
      </c>
    </row>
    <row r="28" spans="1:10">
      <c r="A28" s="1" t="str" cm="1">
        <f t="array" ref="A28">IFERROR(INDEX(PV_Totals_By_Item[#All], ROW()-1, COLUMN()), "")</f>
        <v/>
      </c>
      <c r="B28" s="5" t="str" cm="1">
        <f t="array" ref="B28">IFERROR(INDEX(PV_Totals_By_Item[#All], ROW()-1, COLUMN()), "")</f>
        <v/>
      </c>
      <c r="C28" s="5" t="str" cm="1">
        <f t="array" ref="C28">IFERROR(INDEX(PV_Totals_By_Item[#All], ROW()-1, COLUMN()), "")</f>
        <v/>
      </c>
      <c r="D28" s="1" t="str" cm="1">
        <f t="array" ref="D28">IFERROR(INDEX(PV_Totals_By_Item[#All], ROW()-1, COLUMN()), "")</f>
        <v/>
      </c>
      <c r="E28" s="1" t="str" cm="1">
        <f t="array" ref="E28">IFERROR(INDEX(PV_Totals_By_Item[#All], ROW()-1, COLUMN()), "")</f>
        <v/>
      </c>
      <c r="F28" s="1" t="str" cm="1">
        <f t="array" ref="F28">IFERROR(INDEX(PV_Totals_By_Item[#All], ROW()-1, COLUMN()), "")</f>
        <v/>
      </c>
      <c r="G28" s="1" t="str" cm="1">
        <f t="array" ref="G28">IFERROR(INDEX(PV_Totals_By_Item[#All], ROW()-1, COLUMN()), "")</f>
        <v/>
      </c>
      <c r="H28" s="1" t="str" cm="1">
        <f t="array" ref="H28">IFERROR(INDEX(PV_Totals_By_Item[#All], ROW()-1, COLUMN()), "")</f>
        <v/>
      </c>
      <c r="I28" s="1" t="str" cm="1">
        <f t="array" ref="I28">IFERROR(INDEX(PV_Totals_By_Item[#All], ROW()-1, COLUMN()), "")</f>
        <v/>
      </c>
      <c r="J28" s="1" t="str" cm="1">
        <f t="array" ref="J28">IFERROR(INDEX(PV_Totals_By_Item[#All], ROW()-1, COLUMN()), "")</f>
        <v/>
      </c>
    </row>
    <row r="29" spans="1:10">
      <c r="A29" s="1" t="str" cm="1">
        <f t="array" ref="A29">IFERROR(INDEX(PV_Totals_By_Item[#All], ROW()-1, COLUMN()), "")</f>
        <v/>
      </c>
      <c r="B29" s="5" t="str" cm="1">
        <f t="array" ref="B29">IFERROR(INDEX(PV_Totals_By_Item[#All], ROW()-1, COLUMN()), "")</f>
        <v/>
      </c>
      <c r="C29" s="5" t="str" cm="1">
        <f t="array" ref="C29">IFERROR(INDEX(PV_Totals_By_Item[#All], ROW()-1, COLUMN()), "")</f>
        <v/>
      </c>
      <c r="D29" s="1" t="str" cm="1">
        <f t="array" ref="D29">IFERROR(INDEX(PV_Totals_By_Item[#All], ROW()-1, COLUMN()), "")</f>
        <v/>
      </c>
      <c r="E29" s="1" t="str" cm="1">
        <f t="array" ref="E29">IFERROR(INDEX(PV_Totals_By_Item[#All], ROW()-1, COLUMN()), "")</f>
        <v/>
      </c>
      <c r="F29" s="1" t="str" cm="1">
        <f t="array" ref="F29">IFERROR(INDEX(PV_Totals_By_Item[#All], ROW()-1, COLUMN()), "")</f>
        <v/>
      </c>
      <c r="G29" s="1" t="str" cm="1">
        <f t="array" ref="G29">IFERROR(INDEX(PV_Totals_By_Item[#All], ROW()-1, COLUMN()), "")</f>
        <v/>
      </c>
      <c r="H29" s="1" t="str" cm="1">
        <f t="array" ref="H29">IFERROR(INDEX(PV_Totals_By_Item[#All], ROW()-1, COLUMN()), "")</f>
        <v/>
      </c>
      <c r="I29" s="1" t="str" cm="1">
        <f t="array" ref="I29">IFERROR(INDEX(PV_Totals_By_Item[#All], ROW()-1, COLUMN()), "")</f>
        <v/>
      </c>
      <c r="J29" s="1" t="str" cm="1">
        <f t="array" ref="J29">IFERROR(INDEX(PV_Totals_By_Item[#All], ROW()-1, COLUMN()), "")</f>
        <v/>
      </c>
    </row>
    <row r="30" spans="1:10">
      <c r="A30" s="1" t="str" cm="1">
        <f t="array" ref="A30">IFERROR(INDEX(PV_Totals_By_Item[#All], ROW()-1, COLUMN()), "")</f>
        <v/>
      </c>
      <c r="B30" s="5" t="str" cm="1">
        <f t="array" ref="B30">IFERROR(INDEX(PV_Totals_By_Item[#All], ROW()-1, COLUMN()), "")</f>
        <v/>
      </c>
      <c r="C30" s="5" t="str" cm="1">
        <f t="array" ref="C30">IFERROR(INDEX(PV_Totals_By_Item[#All], ROW()-1, COLUMN()), "")</f>
        <v/>
      </c>
      <c r="D30" s="1" t="str" cm="1">
        <f t="array" ref="D30">IFERROR(INDEX(PV_Totals_By_Item[#All], ROW()-1, COLUMN()), "")</f>
        <v/>
      </c>
      <c r="E30" s="1" t="str" cm="1">
        <f t="array" ref="E30">IFERROR(INDEX(PV_Totals_By_Item[#All], ROW()-1, COLUMN()), "")</f>
        <v/>
      </c>
      <c r="F30" s="1" t="str" cm="1">
        <f t="array" ref="F30">IFERROR(INDEX(PV_Totals_By_Item[#All], ROW()-1, COLUMN()), "")</f>
        <v/>
      </c>
      <c r="G30" s="1" t="str" cm="1">
        <f t="array" ref="G30">IFERROR(INDEX(PV_Totals_By_Item[#All], ROW()-1, COLUMN()), "")</f>
        <v/>
      </c>
      <c r="H30" s="1" t="str" cm="1">
        <f t="array" ref="H30">IFERROR(INDEX(PV_Totals_By_Item[#All], ROW()-1, COLUMN()), "")</f>
        <v/>
      </c>
      <c r="I30" s="1" t="str" cm="1">
        <f t="array" ref="I30">IFERROR(INDEX(PV_Totals_By_Item[#All], ROW()-1, COLUMN()), "")</f>
        <v/>
      </c>
      <c r="J30" s="1" t="str" cm="1">
        <f t="array" ref="J30">IFERROR(INDEX(PV_Totals_By_Item[#All], ROW()-1, COLUMN()), "")</f>
        <v/>
      </c>
    </row>
    <row r="31" spans="1:10">
      <c r="A31" s="1" t="str" cm="1">
        <f t="array" ref="A31">IFERROR(INDEX(PV_Totals_By_Item[#All], ROW()-1, COLUMN()), "")</f>
        <v/>
      </c>
      <c r="B31" s="5" t="str" cm="1">
        <f t="array" ref="B31">IFERROR(INDEX(PV_Totals_By_Item[#All], ROW()-1, COLUMN()), "")</f>
        <v/>
      </c>
      <c r="C31" s="5" t="str" cm="1">
        <f t="array" ref="C31">IFERROR(INDEX(PV_Totals_By_Item[#All], ROW()-1, COLUMN()), "")</f>
        <v/>
      </c>
      <c r="D31" s="1" t="str" cm="1">
        <f t="array" ref="D31">IFERROR(INDEX(PV_Totals_By_Item[#All], ROW()-1, COLUMN()), "")</f>
        <v/>
      </c>
      <c r="E31" s="1" t="str" cm="1">
        <f t="array" ref="E31">IFERROR(INDEX(PV_Totals_By_Item[#All], ROW()-1, COLUMN()), "")</f>
        <v/>
      </c>
      <c r="F31" s="1" t="str" cm="1">
        <f t="array" ref="F31">IFERROR(INDEX(PV_Totals_By_Item[#All], ROW()-1, COLUMN()), "")</f>
        <v/>
      </c>
      <c r="G31" s="1" t="str" cm="1">
        <f t="array" ref="G31">IFERROR(INDEX(PV_Totals_By_Item[#All], ROW()-1, COLUMN()), "")</f>
        <v/>
      </c>
      <c r="H31" s="1" t="str" cm="1">
        <f t="array" ref="H31">IFERROR(INDEX(PV_Totals_By_Item[#All], ROW()-1, COLUMN()), "")</f>
        <v/>
      </c>
      <c r="I31" s="1" t="str" cm="1">
        <f t="array" ref="I31">IFERROR(INDEX(PV_Totals_By_Item[#All], ROW()-1, COLUMN()), "")</f>
        <v/>
      </c>
      <c r="J31" s="1" t="str" cm="1">
        <f t="array" ref="J31">IFERROR(INDEX(PV_Totals_By_Item[#All], ROW()-1, COLUMN()), "")</f>
        <v/>
      </c>
    </row>
    <row r="32" spans="1:10">
      <c r="A32" s="1" t="str" cm="1">
        <f t="array" ref="A32">IFERROR(INDEX(PV_Totals_By_Item[#All], ROW()-1, COLUMN()), "")</f>
        <v/>
      </c>
      <c r="B32" s="5" t="str" cm="1">
        <f t="array" ref="B32">IFERROR(INDEX(PV_Totals_By_Item[#All], ROW()-1, COLUMN()), "")</f>
        <v/>
      </c>
      <c r="C32" s="5" t="str" cm="1">
        <f t="array" ref="C32">IFERROR(INDEX(PV_Totals_By_Item[#All], ROW()-1, COLUMN()), "")</f>
        <v/>
      </c>
      <c r="D32" s="1" t="str" cm="1">
        <f t="array" ref="D32">IFERROR(INDEX(PV_Totals_By_Item[#All], ROW()-1, COLUMN()), "")</f>
        <v/>
      </c>
      <c r="E32" s="1" t="str" cm="1">
        <f t="array" ref="E32">IFERROR(INDEX(PV_Totals_By_Item[#All], ROW()-1, COLUMN()), "")</f>
        <v/>
      </c>
      <c r="F32" s="1" t="str" cm="1">
        <f t="array" ref="F32">IFERROR(INDEX(PV_Totals_By_Item[#All], ROW()-1, COLUMN()), "")</f>
        <v/>
      </c>
      <c r="G32" s="1" t="str" cm="1">
        <f t="array" ref="G32">IFERROR(INDEX(PV_Totals_By_Item[#All], ROW()-1, COLUMN()), "")</f>
        <v/>
      </c>
      <c r="H32" s="1" t="str" cm="1">
        <f t="array" ref="H32">IFERROR(INDEX(PV_Totals_By_Item[#All], ROW()-1, COLUMN()), "")</f>
        <v/>
      </c>
      <c r="I32" s="1" t="str" cm="1">
        <f t="array" ref="I32">IFERROR(INDEX(PV_Totals_By_Item[#All], ROW()-1, COLUMN()), "")</f>
        <v/>
      </c>
      <c r="J32" s="1" t="str" cm="1">
        <f t="array" ref="J32">IFERROR(INDEX(PV_Totals_By_Item[#All], ROW()-1, COLUMN()), "")</f>
        <v/>
      </c>
    </row>
    <row r="33" spans="1:10">
      <c r="A33" s="1" t="str" cm="1">
        <f t="array" ref="A33">IFERROR(INDEX(PV_Totals_By_Item[#All], ROW()-1, COLUMN()), "")</f>
        <v/>
      </c>
      <c r="B33" s="5" t="str" cm="1">
        <f t="array" ref="B33">IFERROR(INDEX(PV_Totals_By_Item[#All], ROW()-1, COLUMN()), "")</f>
        <v/>
      </c>
      <c r="C33" s="5" t="str" cm="1">
        <f t="array" ref="C33">IFERROR(INDEX(PV_Totals_By_Item[#All], ROW()-1, COLUMN()), "")</f>
        <v/>
      </c>
      <c r="D33" s="1" t="str" cm="1">
        <f t="array" ref="D33">IFERROR(INDEX(PV_Totals_By_Item[#All], ROW()-1, COLUMN()), "")</f>
        <v/>
      </c>
      <c r="E33" s="1" t="str" cm="1">
        <f t="array" ref="E33">IFERROR(INDEX(PV_Totals_By_Item[#All], ROW()-1, COLUMN()), "")</f>
        <v/>
      </c>
      <c r="F33" s="1" t="str" cm="1">
        <f t="array" ref="F33">IFERROR(INDEX(PV_Totals_By_Item[#All], ROW()-1, COLUMN()), "")</f>
        <v/>
      </c>
      <c r="G33" s="1" t="str" cm="1">
        <f t="array" ref="G33">IFERROR(INDEX(PV_Totals_By_Item[#All], ROW()-1, COLUMN()), "")</f>
        <v/>
      </c>
      <c r="H33" s="1" t="str" cm="1">
        <f t="array" ref="H33">IFERROR(INDEX(PV_Totals_By_Item[#All], ROW()-1, COLUMN()), "")</f>
        <v/>
      </c>
      <c r="I33" s="1" t="str" cm="1">
        <f t="array" ref="I33">IFERROR(INDEX(PV_Totals_By_Item[#All], ROW()-1, COLUMN()), "")</f>
        <v/>
      </c>
      <c r="J33" s="1" t="str" cm="1">
        <f t="array" ref="J33">IFERROR(INDEX(PV_Totals_By_Item[#All], ROW()-1, COLUMN()), "")</f>
        <v/>
      </c>
    </row>
    <row r="34" spans="1:10">
      <c r="A34" s="1" t="str" cm="1">
        <f t="array" ref="A34">IFERROR(INDEX(PV_Totals_By_Item[#All], ROW()-1, COLUMN()), "")</f>
        <v/>
      </c>
      <c r="B34" s="5" t="str" cm="1">
        <f t="array" ref="B34">IFERROR(INDEX(PV_Totals_By_Item[#All], ROW()-1, COLUMN()), "")</f>
        <v/>
      </c>
      <c r="C34" s="5" t="str" cm="1">
        <f t="array" ref="C34">IFERROR(INDEX(PV_Totals_By_Item[#All], ROW()-1, COLUMN()), "")</f>
        <v/>
      </c>
      <c r="D34" s="1" t="str" cm="1">
        <f t="array" ref="D34">IFERROR(INDEX(PV_Totals_By_Item[#All], ROW()-1, COLUMN()), "")</f>
        <v/>
      </c>
      <c r="E34" s="1" t="str" cm="1">
        <f t="array" ref="E34">IFERROR(INDEX(PV_Totals_By_Item[#All], ROW()-1, COLUMN()), "")</f>
        <v/>
      </c>
      <c r="F34" s="1" t="str" cm="1">
        <f t="array" ref="F34">IFERROR(INDEX(PV_Totals_By_Item[#All], ROW()-1, COLUMN()), "")</f>
        <v/>
      </c>
      <c r="G34" s="1" t="str" cm="1">
        <f t="array" ref="G34">IFERROR(INDEX(PV_Totals_By_Item[#All], ROW()-1, COLUMN()), "")</f>
        <v/>
      </c>
      <c r="H34" s="1" t="str" cm="1">
        <f t="array" ref="H34">IFERROR(INDEX(PV_Totals_By_Item[#All], ROW()-1, COLUMN()), "")</f>
        <v/>
      </c>
      <c r="I34" s="1" t="str" cm="1">
        <f t="array" ref="I34">IFERROR(INDEX(PV_Totals_By_Item[#All], ROW()-1, COLUMN()), "")</f>
        <v/>
      </c>
      <c r="J34" s="1" t="str" cm="1">
        <f t="array" ref="J34">IFERROR(INDEX(PV_Totals_By_Item[#All], ROW()-1, COLUMN()), "")</f>
        <v/>
      </c>
    </row>
    <row r="35" spans="1:10">
      <c r="A35" s="1" t="str" cm="1">
        <f t="array" ref="A35">IFERROR(INDEX(PV_Totals_By_Item[#All], ROW()-1, COLUMN()), "")</f>
        <v/>
      </c>
      <c r="B35" s="5" t="str" cm="1">
        <f t="array" ref="B35">IFERROR(INDEX(PV_Totals_By_Item[#All], ROW()-1, COLUMN()), "")</f>
        <v/>
      </c>
      <c r="C35" s="5" t="str" cm="1">
        <f t="array" ref="C35">IFERROR(INDEX(PV_Totals_By_Item[#All], ROW()-1, COLUMN()), "")</f>
        <v/>
      </c>
      <c r="D35" s="1" t="str" cm="1">
        <f t="array" ref="D35">IFERROR(INDEX(PV_Totals_By_Item[#All], ROW()-1, COLUMN()), "")</f>
        <v/>
      </c>
      <c r="E35" s="1" t="str" cm="1">
        <f t="array" ref="E35">IFERROR(INDEX(PV_Totals_By_Item[#All], ROW()-1, COLUMN()), "")</f>
        <v/>
      </c>
      <c r="F35" s="1" t="str" cm="1">
        <f t="array" ref="F35">IFERROR(INDEX(PV_Totals_By_Item[#All], ROW()-1, COLUMN()), "")</f>
        <v/>
      </c>
      <c r="G35" s="1" t="str" cm="1">
        <f t="array" ref="G35">IFERROR(INDEX(PV_Totals_By_Item[#All], ROW()-1, COLUMN()), "")</f>
        <v/>
      </c>
      <c r="H35" s="1" t="str" cm="1">
        <f t="array" ref="H35">IFERROR(INDEX(PV_Totals_By_Item[#All], ROW()-1, COLUMN()), "")</f>
        <v/>
      </c>
      <c r="I35" s="1" t="str" cm="1">
        <f t="array" ref="I35">IFERROR(INDEX(PV_Totals_By_Item[#All], ROW()-1, COLUMN()), "")</f>
        <v/>
      </c>
      <c r="J35" s="1" t="str" cm="1">
        <f t="array" ref="J35">IFERROR(INDEX(PV_Totals_By_Item[#All], ROW()-1, COLUMN()), "")</f>
        <v/>
      </c>
    </row>
    <row r="36" spans="1:10">
      <c r="A36" s="1" t="str" cm="1">
        <f t="array" ref="A36">IFERROR(INDEX(PV_Totals_By_Item[#All], ROW()-1, COLUMN()), "")</f>
        <v/>
      </c>
      <c r="B36" s="5" t="str" cm="1">
        <f t="array" ref="B36">IFERROR(INDEX(PV_Totals_By_Item[#All], ROW()-1, COLUMN()), "")</f>
        <v/>
      </c>
      <c r="C36" s="5" t="str" cm="1">
        <f t="array" ref="C36">IFERROR(INDEX(PV_Totals_By_Item[#All], ROW()-1, COLUMN()), "")</f>
        <v/>
      </c>
      <c r="D36" s="1" t="str" cm="1">
        <f t="array" ref="D36">IFERROR(INDEX(PV_Totals_By_Item[#All], ROW()-1, COLUMN()), "")</f>
        <v/>
      </c>
      <c r="E36" s="1" t="str" cm="1">
        <f t="array" ref="E36">IFERROR(INDEX(PV_Totals_By_Item[#All], ROW()-1, COLUMN()), "")</f>
        <v/>
      </c>
      <c r="F36" s="1" t="str" cm="1">
        <f t="array" ref="F36">IFERROR(INDEX(PV_Totals_By_Item[#All], ROW()-1, COLUMN()), "")</f>
        <v/>
      </c>
      <c r="G36" s="1" t="str" cm="1">
        <f t="array" ref="G36">IFERROR(INDEX(PV_Totals_By_Item[#All], ROW()-1, COLUMN()), "")</f>
        <v/>
      </c>
      <c r="H36" s="1" t="str" cm="1">
        <f t="array" ref="H36">IFERROR(INDEX(PV_Totals_By_Item[#All], ROW()-1, COLUMN()), "")</f>
        <v/>
      </c>
      <c r="I36" s="1" t="str" cm="1">
        <f t="array" ref="I36">IFERROR(INDEX(PV_Totals_By_Item[#All], ROW()-1, COLUMN()), "")</f>
        <v/>
      </c>
      <c r="J36" s="1" t="str" cm="1">
        <f t="array" ref="J36">IFERROR(INDEX(PV_Totals_By_Item[#All], ROW()-1, COLUMN()), "")</f>
        <v/>
      </c>
    </row>
    <row r="37" spans="1:10">
      <c r="A37" s="1" t="str" cm="1">
        <f t="array" ref="A37">IFERROR(INDEX(PV_Totals_By_Item[#All], ROW()-1, COLUMN()), "")</f>
        <v/>
      </c>
      <c r="B37" s="5" t="str" cm="1">
        <f t="array" ref="B37">IFERROR(INDEX(PV_Totals_By_Item[#All], ROW()-1, COLUMN()), "")</f>
        <v/>
      </c>
      <c r="C37" s="5" t="str" cm="1">
        <f t="array" ref="C37">IFERROR(INDEX(PV_Totals_By_Item[#All], ROW()-1, COLUMN()), "")</f>
        <v/>
      </c>
      <c r="D37" s="1" t="str" cm="1">
        <f t="array" ref="D37">IFERROR(INDEX(PV_Totals_By_Item[#All], ROW()-1, COLUMN()), "")</f>
        <v/>
      </c>
      <c r="E37" s="1" t="str" cm="1">
        <f t="array" ref="E37">IFERROR(INDEX(PV_Totals_By_Item[#All], ROW()-1, COLUMN()), "")</f>
        <v/>
      </c>
      <c r="F37" s="1" t="str" cm="1">
        <f t="array" ref="F37">IFERROR(INDEX(PV_Totals_By_Item[#All], ROW()-1, COLUMN()), "")</f>
        <v/>
      </c>
      <c r="G37" s="1" t="str" cm="1">
        <f t="array" ref="G37">IFERROR(INDEX(PV_Totals_By_Item[#All], ROW()-1, COLUMN()), "")</f>
        <v/>
      </c>
      <c r="H37" s="1" t="str" cm="1">
        <f t="array" ref="H37">IFERROR(INDEX(PV_Totals_By_Item[#All], ROW()-1, COLUMN()), "")</f>
        <v/>
      </c>
      <c r="I37" s="1" t="str" cm="1">
        <f t="array" ref="I37">IFERROR(INDEX(PV_Totals_By_Item[#All], ROW()-1, COLUMN()), "")</f>
        <v/>
      </c>
      <c r="J37" s="1" t="str" cm="1">
        <f t="array" ref="J37">IFERROR(INDEX(PV_Totals_By_Item[#All], ROW()-1, COLUMN()), "")</f>
        <v/>
      </c>
    </row>
    <row r="38" spans="1:10">
      <c r="A38" s="1" t="str" cm="1">
        <f t="array" ref="A38">IFERROR(INDEX(PV_Totals_By_Item[#All], ROW()-1, COLUMN()), "")</f>
        <v/>
      </c>
      <c r="B38" s="5" t="str" cm="1">
        <f t="array" ref="B38">IFERROR(INDEX(PV_Totals_By_Item[#All], ROW()-1, COLUMN()), "")</f>
        <v/>
      </c>
      <c r="C38" s="5" t="str" cm="1">
        <f t="array" ref="C38">IFERROR(INDEX(PV_Totals_By_Item[#All], ROW()-1, COLUMN()), "")</f>
        <v/>
      </c>
      <c r="D38" s="1" t="str" cm="1">
        <f t="array" ref="D38">IFERROR(INDEX(PV_Totals_By_Item[#All], ROW()-1, COLUMN()), "")</f>
        <v/>
      </c>
      <c r="E38" s="1" t="str" cm="1">
        <f t="array" ref="E38">IFERROR(INDEX(PV_Totals_By_Item[#All], ROW()-1, COLUMN()), "")</f>
        <v/>
      </c>
      <c r="F38" s="1" t="str" cm="1">
        <f t="array" ref="F38">IFERROR(INDEX(PV_Totals_By_Item[#All], ROW()-1, COLUMN()), "")</f>
        <v/>
      </c>
      <c r="G38" s="1" t="str" cm="1">
        <f t="array" ref="G38">IFERROR(INDEX(PV_Totals_By_Item[#All], ROW()-1, COLUMN()), "")</f>
        <v/>
      </c>
      <c r="H38" s="1" t="str" cm="1">
        <f t="array" ref="H38">IFERROR(INDEX(PV_Totals_By_Item[#All], ROW()-1, COLUMN()), "")</f>
        <v/>
      </c>
      <c r="I38" s="1" t="str" cm="1">
        <f t="array" ref="I38">IFERROR(INDEX(PV_Totals_By_Item[#All], ROW()-1, COLUMN()), "")</f>
        <v/>
      </c>
      <c r="J38" s="1" t="str" cm="1">
        <f t="array" ref="J38">IFERROR(INDEX(PV_Totals_By_Item[#All], ROW()-1, COLUMN()), "")</f>
        <v/>
      </c>
    </row>
    <row r="39" spans="1:10">
      <c r="A39" s="1" t="str" cm="1">
        <f t="array" ref="A39">IFERROR(INDEX(PV_Totals_By_Item[#All], ROW()-1, COLUMN()), "")</f>
        <v/>
      </c>
      <c r="B39" s="5" t="str" cm="1">
        <f t="array" ref="B39">IFERROR(INDEX(PV_Totals_By_Item[#All], ROW()-1, COLUMN()), "")</f>
        <v/>
      </c>
      <c r="C39" s="5" t="str" cm="1">
        <f t="array" ref="C39">IFERROR(INDEX(PV_Totals_By_Item[#All], ROW()-1, COLUMN()), "")</f>
        <v/>
      </c>
      <c r="D39" s="1" t="str" cm="1">
        <f t="array" ref="D39">IFERROR(INDEX(PV_Totals_By_Item[#All], ROW()-1, COLUMN()), "")</f>
        <v/>
      </c>
      <c r="E39" s="1" t="str" cm="1">
        <f t="array" ref="E39">IFERROR(INDEX(PV_Totals_By_Item[#All], ROW()-1, COLUMN()), "")</f>
        <v/>
      </c>
      <c r="F39" s="1" t="str" cm="1">
        <f t="array" ref="F39">IFERROR(INDEX(PV_Totals_By_Item[#All], ROW()-1, COLUMN()), "")</f>
        <v/>
      </c>
      <c r="G39" s="1" t="str" cm="1">
        <f t="array" ref="G39">IFERROR(INDEX(PV_Totals_By_Item[#All], ROW()-1, COLUMN()), "")</f>
        <v/>
      </c>
      <c r="H39" s="1" t="str" cm="1">
        <f t="array" ref="H39">IFERROR(INDEX(PV_Totals_By_Item[#All], ROW()-1, COLUMN()), "")</f>
        <v/>
      </c>
      <c r="I39" s="1" t="str" cm="1">
        <f t="array" ref="I39">IFERROR(INDEX(PV_Totals_By_Item[#All], ROW()-1, COLUMN()), "")</f>
        <v/>
      </c>
      <c r="J39" s="1" t="str" cm="1">
        <f t="array" ref="J39">IFERROR(INDEX(PV_Totals_By_Item[#All], ROW()-1, COLUMN()), "")</f>
        <v/>
      </c>
    </row>
    <row r="40" spans="1:10">
      <c r="A40" s="1" t="str" cm="1">
        <f t="array" ref="A40">IFERROR(INDEX(PV_Totals_By_Item[#All], ROW()-1, COLUMN()), "")</f>
        <v/>
      </c>
      <c r="B40" s="5" t="str" cm="1">
        <f t="array" ref="B40">IFERROR(INDEX(PV_Totals_By_Item[#All], ROW()-1, COLUMN()), "")</f>
        <v/>
      </c>
      <c r="C40" s="5" t="str" cm="1">
        <f t="array" ref="C40">IFERROR(INDEX(PV_Totals_By_Item[#All], ROW()-1, COLUMN()), "")</f>
        <v/>
      </c>
      <c r="D40" s="1" t="str" cm="1">
        <f t="array" ref="D40">IFERROR(INDEX(PV_Totals_By_Item[#All], ROW()-1, COLUMN()), "")</f>
        <v/>
      </c>
      <c r="E40" s="1" t="str" cm="1">
        <f t="array" ref="E40">IFERROR(INDEX(PV_Totals_By_Item[#All], ROW()-1, COLUMN()), "")</f>
        <v/>
      </c>
      <c r="F40" s="1" t="str" cm="1">
        <f t="array" ref="F40">IFERROR(INDEX(PV_Totals_By_Item[#All], ROW()-1, COLUMN()), "")</f>
        <v/>
      </c>
      <c r="G40" s="1" t="str" cm="1">
        <f t="array" ref="G40">IFERROR(INDEX(PV_Totals_By_Item[#All], ROW()-1, COLUMN()), "")</f>
        <v/>
      </c>
      <c r="H40" s="1" t="str" cm="1">
        <f t="array" ref="H40">IFERROR(INDEX(PV_Totals_By_Item[#All], ROW()-1, COLUMN()), "")</f>
        <v/>
      </c>
      <c r="I40" s="1" t="str" cm="1">
        <f t="array" ref="I40">IFERROR(INDEX(PV_Totals_By_Item[#All], ROW()-1, COLUMN()), "")</f>
        <v/>
      </c>
      <c r="J40" s="1" t="str" cm="1">
        <f t="array" ref="J40">IFERROR(INDEX(PV_Totals_By_Item[#All], ROW()-1, COLUMN()), "")</f>
        <v/>
      </c>
    </row>
    <row r="41" spans="1:10">
      <c r="A41" s="1" t="str" cm="1">
        <f t="array" ref="A41">IFERROR(INDEX(PV_Totals_By_Item[#All], ROW()-1, COLUMN()), "")</f>
        <v/>
      </c>
      <c r="B41" s="5" t="str" cm="1">
        <f t="array" ref="B41">IFERROR(INDEX(PV_Totals_By_Item[#All], ROW()-1, COLUMN()), "")</f>
        <v/>
      </c>
      <c r="C41" s="5" t="str" cm="1">
        <f t="array" ref="C41">IFERROR(INDEX(PV_Totals_By_Item[#All], ROW()-1, COLUMN()), "")</f>
        <v/>
      </c>
      <c r="D41" s="1" t="str" cm="1">
        <f t="array" ref="D41">IFERROR(INDEX(PV_Totals_By_Item[#All], ROW()-1, COLUMN()), "")</f>
        <v/>
      </c>
      <c r="E41" s="1" t="str" cm="1">
        <f t="array" ref="E41">IFERROR(INDEX(PV_Totals_By_Item[#All], ROW()-1, COLUMN()), "")</f>
        <v/>
      </c>
      <c r="F41" s="1" t="str" cm="1">
        <f t="array" ref="F41">IFERROR(INDEX(PV_Totals_By_Item[#All], ROW()-1, COLUMN()), "")</f>
        <v/>
      </c>
      <c r="G41" s="1" t="str" cm="1">
        <f t="array" ref="G41">IFERROR(INDEX(PV_Totals_By_Item[#All], ROW()-1, COLUMN()), "")</f>
        <v/>
      </c>
      <c r="H41" s="1" t="str" cm="1">
        <f t="array" ref="H41">IFERROR(INDEX(PV_Totals_By_Item[#All], ROW()-1, COLUMN()), "")</f>
        <v/>
      </c>
      <c r="I41" s="1" t="str" cm="1">
        <f t="array" ref="I41">IFERROR(INDEX(PV_Totals_By_Item[#All], ROW()-1, COLUMN()), "")</f>
        <v/>
      </c>
      <c r="J41" s="1" t="str" cm="1">
        <f t="array" ref="J41">IFERROR(INDEX(PV_Totals_By_Item[#All], ROW()-1, COLUMN()), "")</f>
        <v/>
      </c>
    </row>
    <row r="42" spans="1:10">
      <c r="A42" s="1" t="str" cm="1">
        <f t="array" ref="A42">IFERROR(INDEX(PV_Totals_By_Item[#All], ROW()-1, COLUMN()), "")</f>
        <v/>
      </c>
      <c r="B42" s="5" t="str" cm="1">
        <f t="array" ref="B42">IFERROR(INDEX(PV_Totals_By_Item[#All], ROW()-1, COLUMN()), "")</f>
        <v/>
      </c>
      <c r="C42" s="5" t="str" cm="1">
        <f t="array" ref="C42">IFERROR(INDEX(PV_Totals_By_Item[#All], ROW()-1, COLUMN()), "")</f>
        <v/>
      </c>
      <c r="D42" s="1" t="str" cm="1">
        <f t="array" ref="D42">IFERROR(INDEX(PV_Totals_By_Item[#All], ROW()-1, COLUMN()), "")</f>
        <v/>
      </c>
      <c r="E42" s="1" t="str" cm="1">
        <f t="array" ref="E42">IFERROR(INDEX(PV_Totals_By_Item[#All], ROW()-1, COLUMN()), "")</f>
        <v/>
      </c>
      <c r="F42" s="1" t="str" cm="1">
        <f t="array" ref="F42">IFERROR(INDEX(PV_Totals_By_Item[#All], ROW()-1, COLUMN()), "")</f>
        <v/>
      </c>
      <c r="G42" s="1" t="str" cm="1">
        <f t="array" ref="G42">IFERROR(INDEX(PV_Totals_By_Item[#All], ROW()-1, COLUMN()), "")</f>
        <v/>
      </c>
      <c r="H42" s="1" t="str" cm="1">
        <f t="array" ref="H42">IFERROR(INDEX(PV_Totals_By_Item[#All], ROW()-1, COLUMN()), "")</f>
        <v/>
      </c>
      <c r="I42" s="1" t="str" cm="1">
        <f t="array" ref="I42">IFERROR(INDEX(PV_Totals_By_Item[#All], ROW()-1, COLUMN()), "")</f>
        <v/>
      </c>
      <c r="J42" s="1" t="str" cm="1">
        <f t="array" ref="J42">IFERROR(INDEX(PV_Totals_By_Item[#All], ROW()-1, COLUMN()), "")</f>
        <v/>
      </c>
    </row>
    <row r="43" spans="1:10">
      <c r="A43" s="1" t="str" cm="1">
        <f t="array" ref="A43">IFERROR(INDEX(PV_Totals_By_Item[#All], ROW()-1, COLUMN()), "")</f>
        <v/>
      </c>
      <c r="B43" s="5" t="str" cm="1">
        <f t="array" ref="B43">IFERROR(INDEX(PV_Totals_By_Item[#All], ROW()-1, COLUMN()), "")</f>
        <v/>
      </c>
      <c r="C43" s="5" t="str" cm="1">
        <f t="array" ref="C43">IFERROR(INDEX(PV_Totals_By_Item[#All], ROW()-1, COLUMN()), "")</f>
        <v/>
      </c>
      <c r="D43" s="1" t="str" cm="1">
        <f t="array" ref="D43">IFERROR(INDEX(PV_Totals_By_Item[#All], ROW()-1, COLUMN()), "")</f>
        <v/>
      </c>
      <c r="E43" s="1" t="str" cm="1">
        <f t="array" ref="E43">IFERROR(INDEX(PV_Totals_By_Item[#All], ROW()-1, COLUMN()), "")</f>
        <v/>
      </c>
      <c r="F43" s="1" t="str" cm="1">
        <f t="array" ref="F43">IFERROR(INDEX(PV_Totals_By_Item[#All], ROW()-1, COLUMN()), "")</f>
        <v/>
      </c>
      <c r="G43" s="1" t="str" cm="1">
        <f t="array" ref="G43">IFERROR(INDEX(PV_Totals_By_Item[#All], ROW()-1, COLUMN()), "")</f>
        <v/>
      </c>
      <c r="H43" s="1" t="str" cm="1">
        <f t="array" ref="H43">IFERROR(INDEX(PV_Totals_By_Item[#All], ROW()-1, COLUMN()), "")</f>
        <v/>
      </c>
      <c r="I43" s="1" t="str" cm="1">
        <f t="array" ref="I43">IFERROR(INDEX(PV_Totals_By_Item[#All], ROW()-1, COLUMN()), "")</f>
        <v/>
      </c>
      <c r="J43" s="1" t="str" cm="1">
        <f t="array" ref="J43">IFERROR(INDEX(PV_Totals_By_Item[#All], ROW()-1, COLUMN()), "")</f>
        <v/>
      </c>
    </row>
    <row r="44" spans="1:10">
      <c r="A44" s="1" t="str" cm="1">
        <f t="array" ref="A44">IFERROR(INDEX(PV_Totals_By_Item[#All], ROW()-1, COLUMN()), "")</f>
        <v/>
      </c>
      <c r="B44" s="5" t="str" cm="1">
        <f t="array" ref="B44">IFERROR(INDEX(PV_Totals_By_Item[#All], ROW()-1, COLUMN()), "")</f>
        <v/>
      </c>
      <c r="C44" s="5" t="str" cm="1">
        <f t="array" ref="C44">IFERROR(INDEX(PV_Totals_By_Item[#All], ROW()-1, COLUMN()), "")</f>
        <v/>
      </c>
      <c r="D44" s="1" t="str" cm="1">
        <f t="array" ref="D44">IFERROR(INDEX(PV_Totals_By_Item[#All], ROW()-1, COLUMN()), "")</f>
        <v/>
      </c>
      <c r="E44" s="1" t="str" cm="1">
        <f t="array" ref="E44">IFERROR(INDEX(PV_Totals_By_Item[#All], ROW()-1, COLUMN()), "")</f>
        <v/>
      </c>
      <c r="F44" s="1" t="str" cm="1">
        <f t="array" ref="F44">IFERROR(INDEX(PV_Totals_By_Item[#All], ROW()-1, COLUMN()), "")</f>
        <v/>
      </c>
      <c r="G44" s="1" t="str" cm="1">
        <f t="array" ref="G44">IFERROR(INDEX(PV_Totals_By_Item[#All], ROW()-1, COLUMN()), "")</f>
        <v/>
      </c>
      <c r="H44" s="1" t="str" cm="1">
        <f t="array" ref="H44">IFERROR(INDEX(PV_Totals_By_Item[#All], ROW()-1, COLUMN()), "")</f>
        <v/>
      </c>
      <c r="I44" s="1" t="str" cm="1">
        <f t="array" ref="I44">IFERROR(INDEX(PV_Totals_By_Item[#All], ROW()-1, COLUMN()), "")</f>
        <v/>
      </c>
      <c r="J44" s="1" t="str" cm="1">
        <f t="array" ref="J44">IFERROR(INDEX(PV_Totals_By_Item[#All], ROW()-1, COLUMN()), "")</f>
        <v/>
      </c>
    </row>
    <row r="45" spans="1:10">
      <c r="A45" s="1" t="str" cm="1">
        <f t="array" ref="A45">IFERROR(INDEX(PV_Totals_By_Item[#All], ROW()-1, COLUMN()), "")</f>
        <v/>
      </c>
      <c r="B45" s="5" t="str" cm="1">
        <f t="array" ref="B45">IFERROR(INDEX(PV_Totals_By_Item[#All], ROW()-1, COLUMN()), "")</f>
        <v/>
      </c>
      <c r="C45" s="5" t="str" cm="1">
        <f t="array" ref="C45">IFERROR(INDEX(PV_Totals_By_Item[#All], ROW()-1, COLUMN()), "")</f>
        <v/>
      </c>
      <c r="D45" s="1" t="str" cm="1">
        <f t="array" ref="D45">IFERROR(INDEX(PV_Totals_By_Item[#All], ROW()-1, COLUMN()), "")</f>
        <v/>
      </c>
      <c r="E45" s="1" t="str" cm="1">
        <f t="array" ref="E45">IFERROR(INDEX(PV_Totals_By_Item[#All], ROW()-1, COLUMN()), "")</f>
        <v/>
      </c>
      <c r="F45" s="1" t="str" cm="1">
        <f t="array" ref="F45">IFERROR(INDEX(PV_Totals_By_Item[#All], ROW()-1, COLUMN()), "")</f>
        <v/>
      </c>
      <c r="G45" s="1" t="str" cm="1">
        <f t="array" ref="G45">IFERROR(INDEX(PV_Totals_By_Item[#All], ROW()-1, COLUMN()), "")</f>
        <v/>
      </c>
      <c r="H45" s="1" t="str" cm="1">
        <f t="array" ref="H45">IFERROR(INDEX(PV_Totals_By_Item[#All], ROW()-1, COLUMN()), "")</f>
        <v/>
      </c>
      <c r="I45" s="1" t="str" cm="1">
        <f t="array" ref="I45">IFERROR(INDEX(PV_Totals_By_Item[#All], ROW()-1, COLUMN()), "")</f>
        <v/>
      </c>
      <c r="J45" s="1" t="str" cm="1">
        <f t="array" ref="J45">IFERROR(INDEX(PV_Totals_By_Item[#All], ROW()-1, COLUMN()), "")</f>
        <v/>
      </c>
    </row>
    <row r="46" spans="1:10">
      <c r="A46" s="1" t="str" cm="1">
        <f t="array" ref="A46">IFERROR(INDEX(PV_Totals_By_Item[#All], ROW()-1, COLUMN()), "")</f>
        <v/>
      </c>
      <c r="B46" s="5" t="str" cm="1">
        <f t="array" ref="B46">IFERROR(INDEX(PV_Totals_By_Item[#All], ROW()-1, COLUMN()), "")</f>
        <v/>
      </c>
      <c r="C46" s="5" t="str" cm="1">
        <f t="array" ref="C46">IFERROR(INDEX(PV_Totals_By_Item[#All], ROW()-1, COLUMN()), "")</f>
        <v/>
      </c>
      <c r="D46" s="1" t="str" cm="1">
        <f t="array" ref="D46">IFERROR(INDEX(PV_Totals_By_Item[#All], ROW()-1, COLUMN()), "")</f>
        <v/>
      </c>
      <c r="E46" s="1" t="str" cm="1">
        <f t="array" ref="E46">IFERROR(INDEX(PV_Totals_By_Item[#All], ROW()-1, COLUMN()), "")</f>
        <v/>
      </c>
      <c r="F46" s="1" t="str" cm="1">
        <f t="array" ref="F46">IFERROR(INDEX(PV_Totals_By_Item[#All], ROW()-1, COLUMN()), "")</f>
        <v/>
      </c>
      <c r="G46" s="1" t="str" cm="1">
        <f t="array" ref="G46">IFERROR(INDEX(PV_Totals_By_Item[#All], ROW()-1, COLUMN()), "")</f>
        <v/>
      </c>
      <c r="H46" s="1" t="str" cm="1">
        <f t="array" ref="H46">IFERROR(INDEX(PV_Totals_By_Item[#All], ROW()-1, COLUMN()), "")</f>
        <v/>
      </c>
      <c r="I46" s="1" t="str" cm="1">
        <f t="array" ref="I46">IFERROR(INDEX(PV_Totals_By_Item[#All], ROW()-1, COLUMN()), "")</f>
        <v/>
      </c>
      <c r="J46" s="1" t="str" cm="1">
        <f t="array" ref="J46">IFERROR(INDEX(PV_Totals_By_Item[#All], ROW()-1, COLUMN()), "")</f>
        <v/>
      </c>
    </row>
    <row r="47" spans="1:10">
      <c r="A47" s="1" t="str" cm="1">
        <f t="array" ref="A47">IFERROR(INDEX(PV_Totals_By_Item[#All], ROW()-1, COLUMN()), "")</f>
        <v/>
      </c>
      <c r="B47" s="5" t="str" cm="1">
        <f t="array" ref="B47">IFERROR(INDEX(PV_Totals_By_Item[#All], ROW()-1, COLUMN()), "")</f>
        <v/>
      </c>
      <c r="C47" s="5" t="str" cm="1">
        <f t="array" ref="C47">IFERROR(INDEX(PV_Totals_By_Item[#All], ROW()-1, COLUMN()), "")</f>
        <v/>
      </c>
      <c r="D47" s="1" t="str" cm="1">
        <f t="array" ref="D47">IFERROR(INDEX(PV_Totals_By_Item[#All], ROW()-1, COLUMN()), "")</f>
        <v/>
      </c>
      <c r="E47" s="1" t="str" cm="1">
        <f t="array" ref="E47">IFERROR(INDEX(PV_Totals_By_Item[#All], ROW()-1, COLUMN()), "")</f>
        <v/>
      </c>
      <c r="F47" s="1" t="str" cm="1">
        <f t="array" ref="F47">IFERROR(INDEX(PV_Totals_By_Item[#All], ROW()-1, COLUMN()), "")</f>
        <v/>
      </c>
      <c r="G47" s="1" t="str" cm="1">
        <f t="array" ref="G47">IFERROR(INDEX(PV_Totals_By_Item[#All], ROW()-1, COLUMN()), "")</f>
        <v/>
      </c>
      <c r="H47" s="1" t="str" cm="1">
        <f t="array" ref="H47">IFERROR(INDEX(PV_Totals_By_Item[#All], ROW()-1, COLUMN()), "")</f>
        <v/>
      </c>
      <c r="I47" s="1" t="str" cm="1">
        <f t="array" ref="I47">IFERROR(INDEX(PV_Totals_By_Item[#All], ROW()-1, COLUMN()), "")</f>
        <v/>
      </c>
      <c r="J47" s="1" t="str" cm="1">
        <f t="array" ref="J47">IFERROR(INDEX(PV_Totals_By_Item[#All], ROW()-1, COLUMN()), "")</f>
        <v/>
      </c>
    </row>
    <row r="48" spans="1:10">
      <c r="A48" s="1" t="str" cm="1">
        <f t="array" ref="A48">IFERROR(INDEX(PV_Totals_By_Item[#All], ROW()-1, COLUMN()), "")</f>
        <v/>
      </c>
      <c r="B48" s="5" t="str" cm="1">
        <f t="array" ref="B48">IFERROR(INDEX(PV_Totals_By_Item[#All], ROW()-1, COLUMN()), "")</f>
        <v/>
      </c>
      <c r="C48" s="5" t="str" cm="1">
        <f t="array" ref="C48">IFERROR(INDEX(PV_Totals_By_Item[#All], ROW()-1, COLUMN()), "")</f>
        <v/>
      </c>
      <c r="D48" s="1" t="str" cm="1">
        <f t="array" ref="D48">IFERROR(INDEX(PV_Totals_By_Item[#All], ROW()-1, COLUMN()), "")</f>
        <v/>
      </c>
      <c r="E48" s="1" t="str" cm="1">
        <f t="array" ref="E48">IFERROR(INDEX(PV_Totals_By_Item[#All], ROW()-1, COLUMN()), "")</f>
        <v/>
      </c>
      <c r="F48" s="1" t="str" cm="1">
        <f t="array" ref="F48">IFERROR(INDEX(PV_Totals_By_Item[#All], ROW()-1, COLUMN()), "")</f>
        <v/>
      </c>
      <c r="G48" s="1" t="str" cm="1">
        <f t="array" ref="G48">IFERROR(INDEX(PV_Totals_By_Item[#All], ROW()-1, COLUMN()), "")</f>
        <v/>
      </c>
      <c r="H48" s="1" t="str" cm="1">
        <f t="array" ref="H48">IFERROR(INDEX(PV_Totals_By_Item[#All], ROW()-1, COLUMN()), "")</f>
        <v/>
      </c>
      <c r="I48" s="1" t="str" cm="1">
        <f t="array" ref="I48">IFERROR(INDEX(PV_Totals_By_Item[#All], ROW()-1, COLUMN()), "")</f>
        <v/>
      </c>
      <c r="J48" s="1" t="str" cm="1">
        <f t="array" ref="J48">IFERROR(INDEX(PV_Totals_By_Item[#All], ROW()-1, COLUMN()), "")</f>
        <v/>
      </c>
    </row>
    <row r="49" spans="1:10">
      <c r="A49" s="1" t="str" cm="1">
        <f t="array" ref="A49">IFERROR(INDEX(PV_Totals_By_Item[#All], ROW()-1, COLUMN()), "")</f>
        <v/>
      </c>
      <c r="B49" s="5" t="str" cm="1">
        <f t="array" ref="B49">IFERROR(INDEX(PV_Totals_By_Item[#All], ROW()-1, COLUMN()), "")</f>
        <v/>
      </c>
      <c r="C49" s="5" t="str" cm="1">
        <f t="array" ref="C49">IFERROR(INDEX(PV_Totals_By_Item[#All], ROW()-1, COLUMN()), "")</f>
        <v/>
      </c>
      <c r="D49" s="1" t="str" cm="1">
        <f t="array" ref="D49">IFERROR(INDEX(PV_Totals_By_Item[#All], ROW()-1, COLUMN()), "")</f>
        <v/>
      </c>
      <c r="E49" s="1" t="str" cm="1">
        <f t="array" ref="E49">IFERROR(INDEX(PV_Totals_By_Item[#All], ROW()-1, COLUMN()), "")</f>
        <v/>
      </c>
      <c r="F49" s="1" t="str" cm="1">
        <f t="array" ref="F49">IFERROR(INDEX(PV_Totals_By_Item[#All], ROW()-1, COLUMN()), "")</f>
        <v/>
      </c>
      <c r="G49" s="1" t="str" cm="1">
        <f t="array" ref="G49">IFERROR(INDEX(PV_Totals_By_Item[#All], ROW()-1, COLUMN()), "")</f>
        <v/>
      </c>
      <c r="H49" s="1" t="str" cm="1">
        <f t="array" ref="H49">IFERROR(INDEX(PV_Totals_By_Item[#All], ROW()-1, COLUMN()), "")</f>
        <v/>
      </c>
      <c r="I49" s="1" t="str" cm="1">
        <f t="array" ref="I49">IFERROR(INDEX(PV_Totals_By_Item[#All], ROW()-1, COLUMN()), "")</f>
        <v/>
      </c>
      <c r="J49" s="1" t="str" cm="1">
        <f t="array" ref="J49">IFERROR(INDEX(PV_Totals_By_Item[#All], ROW()-1, COLUMN()), "")</f>
        <v/>
      </c>
    </row>
    <row r="50" spans="1:10">
      <c r="A50" s="1" t="str" cm="1">
        <f t="array" ref="A50">IFERROR(INDEX(PV_Totals_By_Item[#All], ROW()-1, COLUMN()), "")</f>
        <v/>
      </c>
      <c r="B50" s="5" t="str" cm="1">
        <f t="array" ref="B50">IFERROR(INDEX(PV_Totals_By_Item[#All], ROW()-1, COLUMN()), "")</f>
        <v/>
      </c>
      <c r="C50" s="5" t="str" cm="1">
        <f t="array" ref="C50">IFERROR(INDEX(PV_Totals_By_Item[#All], ROW()-1, COLUMN()), "")</f>
        <v/>
      </c>
      <c r="D50" s="1" t="str" cm="1">
        <f t="array" ref="D50">IFERROR(INDEX(PV_Totals_By_Item[#All], ROW()-1, COLUMN()), "")</f>
        <v/>
      </c>
      <c r="E50" s="1" t="str" cm="1">
        <f t="array" ref="E50">IFERROR(INDEX(PV_Totals_By_Item[#All], ROW()-1, COLUMN()), "")</f>
        <v/>
      </c>
      <c r="F50" s="1" t="str" cm="1">
        <f t="array" ref="F50">IFERROR(INDEX(PV_Totals_By_Item[#All], ROW()-1, COLUMN()), "")</f>
        <v/>
      </c>
      <c r="G50" s="1" t="str" cm="1">
        <f t="array" ref="G50">IFERROR(INDEX(PV_Totals_By_Item[#All], ROW()-1, COLUMN()), "")</f>
        <v/>
      </c>
      <c r="H50" s="1" t="str" cm="1">
        <f t="array" ref="H50">IFERROR(INDEX(PV_Totals_By_Item[#All], ROW()-1, COLUMN()), "")</f>
        <v/>
      </c>
      <c r="I50" s="1" t="str" cm="1">
        <f t="array" ref="I50">IFERROR(INDEX(PV_Totals_By_Item[#All], ROW()-1, COLUMN()), "")</f>
        <v/>
      </c>
      <c r="J50" s="1" t="str" cm="1">
        <f t="array" ref="J50">IFERROR(INDEX(PV_Totals_By_Item[#All], ROW()-1, COLUMN()), "")</f>
        <v/>
      </c>
    </row>
    <row r="51" spans="1:10">
      <c r="A51" s="1" t="str" cm="1">
        <f t="array" ref="A51">IFERROR(INDEX(PV_Totals_By_Item[#All], ROW()-1, COLUMN()), "")</f>
        <v/>
      </c>
      <c r="B51" s="5" t="str" cm="1">
        <f t="array" ref="B51">IFERROR(INDEX(PV_Totals_By_Item[#All], ROW()-1, COLUMN()), "")</f>
        <v/>
      </c>
      <c r="C51" s="5" t="str" cm="1">
        <f t="array" ref="C51">IFERROR(INDEX(PV_Totals_By_Item[#All], ROW()-1, COLUMN()), "")</f>
        <v/>
      </c>
      <c r="D51" s="1" t="str" cm="1">
        <f t="array" ref="D51">IFERROR(INDEX(PV_Totals_By_Item[#All], ROW()-1, COLUMN()), "")</f>
        <v/>
      </c>
      <c r="E51" s="1" t="str" cm="1">
        <f t="array" ref="E51">IFERROR(INDEX(PV_Totals_By_Item[#All], ROW()-1, COLUMN()), "")</f>
        <v/>
      </c>
      <c r="F51" s="1" t="str" cm="1">
        <f t="array" ref="F51">IFERROR(INDEX(PV_Totals_By_Item[#All], ROW()-1, COLUMN()), "")</f>
        <v/>
      </c>
      <c r="G51" s="1" t="str" cm="1">
        <f t="array" ref="G51">IFERROR(INDEX(PV_Totals_By_Item[#All], ROW()-1, COLUMN()), "")</f>
        <v/>
      </c>
      <c r="H51" s="1" t="str" cm="1">
        <f t="array" ref="H51">IFERROR(INDEX(PV_Totals_By_Item[#All], ROW()-1, COLUMN()), "")</f>
        <v/>
      </c>
      <c r="I51" s="1" t="str" cm="1">
        <f t="array" ref="I51">IFERROR(INDEX(PV_Totals_By_Item[#All], ROW()-1, COLUMN()), "")</f>
        <v/>
      </c>
      <c r="J51" s="1" t="str" cm="1">
        <f t="array" ref="J51">IFERROR(INDEX(PV_Totals_By_Item[#All], ROW()-1, COLUMN()), "")</f>
        <v/>
      </c>
    </row>
    <row r="52" spans="1:10">
      <c r="A52" s="1" t="str" cm="1">
        <f t="array" ref="A52">IFERROR(INDEX(PV_Totals_By_Item[#All], ROW()-1, COLUMN()), "")</f>
        <v/>
      </c>
      <c r="B52" s="5" t="str" cm="1">
        <f t="array" ref="B52">IFERROR(INDEX(PV_Totals_By_Item[#All], ROW()-1, COLUMN()), "")</f>
        <v/>
      </c>
      <c r="C52" s="5" t="str" cm="1">
        <f t="array" ref="C52">IFERROR(INDEX(PV_Totals_By_Item[#All], ROW()-1, COLUMN()), "")</f>
        <v/>
      </c>
      <c r="D52" s="1" t="str" cm="1">
        <f t="array" ref="D52">IFERROR(INDEX(PV_Totals_By_Item[#All], ROW()-1, COLUMN()), "")</f>
        <v/>
      </c>
      <c r="E52" s="1" t="str" cm="1">
        <f t="array" ref="E52">IFERROR(INDEX(PV_Totals_By_Item[#All], ROW()-1, COLUMN()), "")</f>
        <v/>
      </c>
      <c r="F52" s="1" t="str" cm="1">
        <f t="array" ref="F52">IFERROR(INDEX(PV_Totals_By_Item[#All], ROW()-1, COLUMN()), "")</f>
        <v/>
      </c>
      <c r="G52" s="1" t="str" cm="1">
        <f t="array" ref="G52">IFERROR(INDEX(PV_Totals_By_Item[#All], ROW()-1, COLUMN()), "")</f>
        <v/>
      </c>
      <c r="H52" s="1" t="str" cm="1">
        <f t="array" ref="H52">IFERROR(INDEX(PV_Totals_By_Item[#All], ROW()-1, COLUMN()), "")</f>
        <v/>
      </c>
      <c r="I52" s="1" t="str" cm="1">
        <f t="array" ref="I52">IFERROR(INDEX(PV_Totals_By_Item[#All], ROW()-1, COLUMN()), "")</f>
        <v/>
      </c>
      <c r="J52" s="1" t="str" cm="1">
        <f t="array" ref="J52">IFERROR(INDEX(PV_Totals_By_Item[#All], ROW()-1, COLUMN()), "")</f>
        <v/>
      </c>
    </row>
    <row r="53" spans="1:10">
      <c r="A53" s="1" t="str" cm="1">
        <f t="array" ref="A53">IFERROR(INDEX(PV_Totals_By_Item[#All], ROW()-1, COLUMN()), "")</f>
        <v/>
      </c>
      <c r="B53" s="5" t="str" cm="1">
        <f t="array" ref="B53">IFERROR(INDEX(PV_Totals_By_Item[#All], ROW()-1, COLUMN()), "")</f>
        <v/>
      </c>
      <c r="C53" s="5" t="str" cm="1">
        <f t="array" ref="C53">IFERROR(INDEX(PV_Totals_By_Item[#All], ROW()-1, COLUMN()), "")</f>
        <v/>
      </c>
      <c r="D53" s="1" t="str" cm="1">
        <f t="array" ref="D53">IFERROR(INDEX(PV_Totals_By_Item[#All], ROW()-1, COLUMN()), "")</f>
        <v/>
      </c>
      <c r="E53" s="1" t="str" cm="1">
        <f t="array" ref="E53">IFERROR(INDEX(PV_Totals_By_Item[#All], ROW()-1, COLUMN()), "")</f>
        <v/>
      </c>
      <c r="F53" s="1" t="str" cm="1">
        <f t="array" ref="F53">IFERROR(INDEX(PV_Totals_By_Item[#All], ROW()-1, COLUMN()), "")</f>
        <v/>
      </c>
      <c r="G53" s="1" t="str" cm="1">
        <f t="array" ref="G53">IFERROR(INDEX(PV_Totals_By_Item[#All], ROW()-1, COLUMN()), "")</f>
        <v/>
      </c>
      <c r="H53" s="1" t="str" cm="1">
        <f t="array" ref="H53">IFERROR(INDEX(PV_Totals_By_Item[#All], ROW()-1, COLUMN()), "")</f>
        <v/>
      </c>
      <c r="I53" s="1" t="str" cm="1">
        <f t="array" ref="I53">IFERROR(INDEX(PV_Totals_By_Item[#All], ROW()-1, COLUMN()), "")</f>
        <v/>
      </c>
      <c r="J53" s="1" t="str" cm="1">
        <f t="array" ref="J53">IFERROR(INDEX(PV_Totals_By_Item[#All], ROW()-1, COLUMN()), "")</f>
        <v/>
      </c>
    </row>
    <row r="54" spans="1:10">
      <c r="A54" s="1" t="str" cm="1">
        <f t="array" ref="A54">IFERROR(INDEX(PV_Totals_By_Item[#All], ROW()-1, COLUMN()), "")</f>
        <v/>
      </c>
      <c r="B54" s="5" t="str" cm="1">
        <f t="array" ref="B54">IFERROR(INDEX(PV_Totals_By_Item[#All], ROW()-1, COLUMN()), "")</f>
        <v/>
      </c>
      <c r="C54" s="5" t="str" cm="1">
        <f t="array" ref="C54">IFERROR(INDEX(PV_Totals_By_Item[#All], ROW()-1, COLUMN()), "")</f>
        <v/>
      </c>
      <c r="D54" s="1" t="str" cm="1">
        <f t="array" ref="D54">IFERROR(INDEX(PV_Totals_By_Item[#All], ROW()-1, COLUMN()), "")</f>
        <v/>
      </c>
      <c r="E54" s="1" t="str" cm="1">
        <f t="array" ref="E54">IFERROR(INDEX(PV_Totals_By_Item[#All], ROW()-1, COLUMN()), "")</f>
        <v/>
      </c>
      <c r="F54" s="1" t="str" cm="1">
        <f t="array" ref="F54">IFERROR(INDEX(PV_Totals_By_Item[#All], ROW()-1, COLUMN()), "")</f>
        <v/>
      </c>
      <c r="G54" s="1" t="str" cm="1">
        <f t="array" ref="G54">IFERROR(INDEX(PV_Totals_By_Item[#All], ROW()-1, COLUMN()), "")</f>
        <v/>
      </c>
      <c r="H54" s="1" t="str" cm="1">
        <f t="array" ref="H54">IFERROR(INDEX(PV_Totals_By_Item[#All], ROW()-1, COLUMN()), "")</f>
        <v/>
      </c>
      <c r="I54" s="1" t="str" cm="1">
        <f t="array" ref="I54">IFERROR(INDEX(PV_Totals_By_Item[#All], ROW()-1, COLUMN()), "")</f>
        <v/>
      </c>
      <c r="J54" s="1" t="str" cm="1">
        <f t="array" ref="J54">IFERROR(INDEX(PV_Totals_By_Item[#All], ROW()-1, COLUMN()), "")</f>
        <v/>
      </c>
    </row>
    <row r="55" spans="1:10">
      <c r="A55" s="1" t="str" cm="1">
        <f t="array" ref="A55">IFERROR(INDEX(PV_Totals_By_Item[#All], ROW()-1, COLUMN()), "")</f>
        <v/>
      </c>
      <c r="B55" s="5" t="str" cm="1">
        <f t="array" ref="B55">IFERROR(INDEX(PV_Totals_By_Item[#All], ROW()-1, COLUMN()), "")</f>
        <v/>
      </c>
      <c r="C55" s="5" t="str" cm="1">
        <f t="array" ref="C55">IFERROR(INDEX(PV_Totals_By_Item[#All], ROW()-1, COLUMN()), "")</f>
        <v/>
      </c>
      <c r="D55" s="1" t="str" cm="1">
        <f t="array" ref="D55">IFERROR(INDEX(PV_Totals_By_Item[#All], ROW()-1, COLUMN()), "")</f>
        <v/>
      </c>
      <c r="E55" s="1" t="str" cm="1">
        <f t="array" ref="E55">IFERROR(INDEX(PV_Totals_By_Item[#All], ROW()-1, COLUMN()), "")</f>
        <v/>
      </c>
      <c r="F55" s="1" t="str" cm="1">
        <f t="array" ref="F55">IFERROR(INDEX(PV_Totals_By_Item[#All], ROW()-1, COLUMN()), "")</f>
        <v/>
      </c>
      <c r="G55" s="1" t="str" cm="1">
        <f t="array" ref="G55">IFERROR(INDEX(PV_Totals_By_Item[#All], ROW()-1, COLUMN()), "")</f>
        <v/>
      </c>
      <c r="H55" s="1" t="str" cm="1">
        <f t="array" ref="H55">IFERROR(INDEX(PV_Totals_By_Item[#All], ROW()-1, COLUMN()), "")</f>
        <v/>
      </c>
      <c r="I55" s="1" t="str" cm="1">
        <f t="array" ref="I55">IFERROR(INDEX(PV_Totals_By_Item[#All], ROW()-1, COLUMN()), "")</f>
        <v/>
      </c>
      <c r="J55" s="1" t="str" cm="1">
        <f t="array" ref="J55">IFERROR(INDEX(PV_Totals_By_Item[#All], ROW()-1, COLUMN()), "")</f>
        <v/>
      </c>
    </row>
    <row r="56" spans="1:10">
      <c r="A56" s="1" t="str" cm="1">
        <f t="array" ref="A56">IFERROR(INDEX(PV_Totals_By_Item[#All], ROW()-1, COLUMN()), "")</f>
        <v/>
      </c>
      <c r="B56" s="5" t="str" cm="1">
        <f t="array" ref="B56">IFERROR(INDEX(PV_Totals_By_Item[#All], ROW()-1, COLUMN()), "")</f>
        <v/>
      </c>
      <c r="C56" s="5" t="str" cm="1">
        <f t="array" ref="C56">IFERROR(INDEX(PV_Totals_By_Item[#All], ROW()-1, COLUMN()), "")</f>
        <v/>
      </c>
      <c r="D56" s="1" t="str" cm="1">
        <f t="array" ref="D56">IFERROR(INDEX(PV_Totals_By_Item[#All], ROW()-1, COLUMN()), "")</f>
        <v/>
      </c>
      <c r="E56" s="1" t="str" cm="1">
        <f t="array" ref="E56">IFERROR(INDEX(PV_Totals_By_Item[#All], ROW()-1, COLUMN()), "")</f>
        <v/>
      </c>
      <c r="F56" s="1" t="str" cm="1">
        <f t="array" ref="F56">IFERROR(INDEX(PV_Totals_By_Item[#All], ROW()-1, COLUMN()), "")</f>
        <v/>
      </c>
      <c r="G56" s="1" t="str" cm="1">
        <f t="array" ref="G56">IFERROR(INDEX(PV_Totals_By_Item[#All], ROW()-1, COLUMN()), "")</f>
        <v/>
      </c>
      <c r="H56" s="1" t="str" cm="1">
        <f t="array" ref="H56">IFERROR(INDEX(PV_Totals_By_Item[#All], ROW()-1, COLUMN()), "")</f>
        <v/>
      </c>
      <c r="I56" s="1" t="str" cm="1">
        <f t="array" ref="I56">IFERROR(INDEX(PV_Totals_By_Item[#All], ROW()-1, COLUMN()), "")</f>
        <v/>
      </c>
      <c r="J56" s="1" t="str" cm="1">
        <f t="array" ref="J56">IFERROR(INDEX(PV_Totals_By_Item[#All], ROW()-1, COLUMN()), "")</f>
        <v/>
      </c>
    </row>
    <row r="57" spans="1:10">
      <c r="A57" s="1" t="str" cm="1">
        <f t="array" ref="A57">IFERROR(INDEX(PV_Totals_By_Item[#All], ROW()-1, COLUMN()), "")</f>
        <v/>
      </c>
      <c r="B57" s="5" t="str" cm="1">
        <f t="array" ref="B57">IFERROR(INDEX(PV_Totals_By_Item[#All], ROW()-1, COLUMN()), "")</f>
        <v/>
      </c>
      <c r="C57" s="5" t="str" cm="1">
        <f t="array" ref="C57">IFERROR(INDEX(PV_Totals_By_Item[#All], ROW()-1, COLUMN()), "")</f>
        <v/>
      </c>
      <c r="D57" s="1" t="str" cm="1">
        <f t="array" ref="D57">IFERROR(INDEX(PV_Totals_By_Item[#All], ROW()-1, COLUMN()), "")</f>
        <v/>
      </c>
      <c r="E57" s="1" t="str" cm="1">
        <f t="array" ref="E57">IFERROR(INDEX(PV_Totals_By_Item[#All], ROW()-1, COLUMN()), "")</f>
        <v/>
      </c>
      <c r="F57" s="1" t="str" cm="1">
        <f t="array" ref="F57">IFERROR(INDEX(PV_Totals_By_Item[#All], ROW()-1, COLUMN()), "")</f>
        <v/>
      </c>
      <c r="G57" s="1" t="str" cm="1">
        <f t="array" ref="G57">IFERROR(INDEX(PV_Totals_By_Item[#All], ROW()-1, COLUMN()), "")</f>
        <v/>
      </c>
      <c r="H57" s="1" t="str" cm="1">
        <f t="array" ref="H57">IFERROR(INDEX(PV_Totals_By_Item[#All], ROW()-1, COLUMN()), "")</f>
        <v/>
      </c>
      <c r="I57" s="1" t="str" cm="1">
        <f t="array" ref="I57">IFERROR(INDEX(PV_Totals_By_Item[#All], ROW()-1, COLUMN()), "")</f>
        <v/>
      </c>
      <c r="J57" s="1" t="str" cm="1">
        <f t="array" ref="J57">IFERROR(INDEX(PV_Totals_By_Item[#All], ROW()-1, COLUMN()), "")</f>
        <v/>
      </c>
    </row>
    <row r="58" spans="1:10">
      <c r="A58" s="1" t="str" cm="1">
        <f t="array" ref="A58">IFERROR(INDEX(PV_Totals_By_Item[#All], ROW()-1, COLUMN()), "")</f>
        <v/>
      </c>
      <c r="B58" s="5" t="str" cm="1">
        <f t="array" ref="B58">IFERROR(INDEX(PV_Totals_By_Item[#All], ROW()-1, COLUMN()), "")</f>
        <v/>
      </c>
      <c r="C58" s="5" t="str" cm="1">
        <f t="array" ref="C58">IFERROR(INDEX(PV_Totals_By_Item[#All], ROW()-1, COLUMN()), "")</f>
        <v/>
      </c>
      <c r="D58" s="1" t="str" cm="1">
        <f t="array" ref="D58">IFERROR(INDEX(PV_Totals_By_Item[#All], ROW()-1, COLUMN()), "")</f>
        <v/>
      </c>
      <c r="E58" s="1" t="str" cm="1">
        <f t="array" ref="E58">IFERROR(INDEX(PV_Totals_By_Item[#All], ROW()-1, COLUMN()), "")</f>
        <v/>
      </c>
      <c r="F58" s="1" t="str" cm="1">
        <f t="array" ref="F58">IFERROR(INDEX(PV_Totals_By_Item[#All], ROW()-1, COLUMN()), "")</f>
        <v/>
      </c>
      <c r="G58" s="1" t="str" cm="1">
        <f t="array" ref="G58">IFERROR(INDEX(PV_Totals_By_Item[#All], ROW()-1, COLUMN()), "")</f>
        <v/>
      </c>
      <c r="H58" s="1" t="str" cm="1">
        <f t="array" ref="H58">IFERROR(INDEX(PV_Totals_By_Item[#All], ROW()-1, COLUMN()), "")</f>
        <v/>
      </c>
      <c r="I58" s="1" t="str" cm="1">
        <f t="array" ref="I58">IFERROR(INDEX(PV_Totals_By_Item[#All], ROW()-1, COLUMN()), "")</f>
        <v/>
      </c>
      <c r="J58" s="1" t="str" cm="1">
        <f t="array" ref="J58">IFERROR(INDEX(PV_Totals_By_Item[#All], ROW()-1, COLUMN()), "")</f>
        <v/>
      </c>
    </row>
    <row r="59" spans="1:10">
      <c r="A59" s="1" t="str" cm="1">
        <f t="array" ref="A59">IFERROR(INDEX(PV_Totals_By_Item[#All], ROW()-1, COLUMN()), "")</f>
        <v/>
      </c>
      <c r="B59" s="5" t="str" cm="1">
        <f t="array" ref="B59">IFERROR(INDEX(PV_Totals_By_Item[#All], ROW()-1, COLUMN()), "")</f>
        <v/>
      </c>
      <c r="C59" s="5" t="str" cm="1">
        <f t="array" ref="C59">IFERROR(INDEX(PV_Totals_By_Item[#All], ROW()-1, COLUMN()), "")</f>
        <v/>
      </c>
      <c r="D59" s="1" t="str" cm="1">
        <f t="array" ref="D59">IFERROR(INDEX(PV_Totals_By_Item[#All], ROW()-1, COLUMN()), "")</f>
        <v/>
      </c>
      <c r="E59" s="1" t="str" cm="1">
        <f t="array" ref="E59">IFERROR(INDEX(PV_Totals_By_Item[#All], ROW()-1, COLUMN()), "")</f>
        <v/>
      </c>
      <c r="F59" s="1" t="str" cm="1">
        <f t="array" ref="F59">IFERROR(INDEX(PV_Totals_By_Item[#All], ROW()-1, COLUMN()), "")</f>
        <v/>
      </c>
      <c r="G59" s="1" t="str" cm="1">
        <f t="array" ref="G59">IFERROR(INDEX(PV_Totals_By_Item[#All], ROW()-1, COLUMN()), "")</f>
        <v/>
      </c>
      <c r="H59" s="1" t="str" cm="1">
        <f t="array" ref="H59">IFERROR(INDEX(PV_Totals_By_Item[#All], ROW()-1, COLUMN()), "")</f>
        <v/>
      </c>
      <c r="I59" s="1" t="str" cm="1">
        <f t="array" ref="I59">IFERROR(INDEX(PV_Totals_By_Item[#All], ROW()-1, COLUMN()), "")</f>
        <v/>
      </c>
      <c r="J59" s="1" t="str" cm="1">
        <f t="array" ref="J59">IFERROR(INDEX(PV_Totals_By_Item[#All], ROW()-1, COLUMN()), "")</f>
        <v/>
      </c>
    </row>
    <row r="60" spans="1:10">
      <c r="A60" s="1" t="str" cm="1">
        <f t="array" ref="A60">IFERROR(INDEX(PV_Totals_By_Item[#All], ROW()-1, COLUMN()), "")</f>
        <v/>
      </c>
      <c r="B60" s="5" t="str" cm="1">
        <f t="array" ref="B60">IFERROR(INDEX(PV_Totals_By_Item[#All], ROW()-1, COLUMN()), "")</f>
        <v/>
      </c>
      <c r="C60" s="5" t="str" cm="1">
        <f t="array" ref="C60">IFERROR(INDEX(PV_Totals_By_Item[#All], ROW()-1, COLUMN()), "")</f>
        <v/>
      </c>
      <c r="D60" s="1" t="str" cm="1">
        <f t="array" ref="D60">IFERROR(INDEX(PV_Totals_By_Item[#All], ROW()-1, COLUMN()), "")</f>
        <v/>
      </c>
      <c r="E60" s="1" t="str" cm="1">
        <f t="array" ref="E60">IFERROR(INDEX(PV_Totals_By_Item[#All], ROW()-1, COLUMN()), "")</f>
        <v/>
      </c>
      <c r="F60" s="1" t="str" cm="1">
        <f t="array" ref="F60">IFERROR(INDEX(PV_Totals_By_Item[#All], ROW()-1, COLUMN()), "")</f>
        <v/>
      </c>
      <c r="G60" s="1" t="str" cm="1">
        <f t="array" ref="G60">IFERROR(INDEX(PV_Totals_By_Item[#All], ROW()-1, COLUMN()), "")</f>
        <v/>
      </c>
      <c r="H60" s="1" t="str" cm="1">
        <f t="array" ref="H60">IFERROR(INDEX(PV_Totals_By_Item[#All], ROW()-1, COLUMN()), "")</f>
        <v/>
      </c>
      <c r="I60" s="1" t="str" cm="1">
        <f t="array" ref="I60">IFERROR(INDEX(PV_Totals_By_Item[#All], ROW()-1, COLUMN()), "")</f>
        <v/>
      </c>
      <c r="J60" s="1" t="str" cm="1">
        <f t="array" ref="J60">IFERROR(INDEX(PV_Totals_By_Item[#All], ROW()-1, COLUMN()), "")</f>
        <v/>
      </c>
    </row>
    <row r="61" spans="1:10">
      <c r="A61" s="1" t="str" cm="1">
        <f t="array" ref="A61">IFERROR(INDEX(PV_Totals_By_Item[#All], ROW()-1, COLUMN()), "")</f>
        <v/>
      </c>
      <c r="B61" s="5" t="str" cm="1">
        <f t="array" ref="B61">IFERROR(INDEX(PV_Totals_By_Item[#All], ROW()-1, COLUMN()), "")</f>
        <v/>
      </c>
      <c r="C61" s="5" t="str" cm="1">
        <f t="array" ref="C61">IFERROR(INDEX(PV_Totals_By_Item[#All], ROW()-1, COLUMN()), "")</f>
        <v/>
      </c>
      <c r="D61" s="1" t="str" cm="1">
        <f t="array" ref="D61">IFERROR(INDEX(PV_Totals_By_Item[#All], ROW()-1, COLUMN()), "")</f>
        <v/>
      </c>
      <c r="E61" s="1" t="str" cm="1">
        <f t="array" ref="E61">IFERROR(INDEX(PV_Totals_By_Item[#All], ROW()-1, COLUMN()), "")</f>
        <v/>
      </c>
      <c r="F61" s="1" t="str" cm="1">
        <f t="array" ref="F61">IFERROR(INDEX(PV_Totals_By_Item[#All], ROW()-1, COLUMN()), "")</f>
        <v/>
      </c>
      <c r="G61" s="1" t="str" cm="1">
        <f t="array" ref="G61">IFERROR(INDEX(PV_Totals_By_Item[#All], ROW()-1, COLUMN()), "")</f>
        <v/>
      </c>
      <c r="H61" s="1" t="str" cm="1">
        <f t="array" ref="H61">IFERROR(INDEX(PV_Totals_By_Item[#All], ROW()-1, COLUMN()), "")</f>
        <v/>
      </c>
      <c r="I61" s="1" t="str" cm="1">
        <f t="array" ref="I61">IFERROR(INDEX(PV_Totals_By_Item[#All], ROW()-1, COLUMN()), "")</f>
        <v/>
      </c>
      <c r="J61" s="1" t="str" cm="1">
        <f t="array" ref="J61">IFERROR(INDEX(PV_Totals_By_Item[#All], ROW()-1, COLUMN()), "")</f>
        <v/>
      </c>
    </row>
    <row r="62" spans="1:10">
      <c r="A62" s="1" t="str" cm="1">
        <f t="array" ref="A62">IFERROR(INDEX(PV_Totals_By_Item[#All], ROW()-1, COLUMN()), "")</f>
        <v/>
      </c>
      <c r="B62" s="5" t="str" cm="1">
        <f t="array" ref="B62">IFERROR(INDEX(PV_Totals_By_Item[#All], ROW()-1, COLUMN()), "")</f>
        <v/>
      </c>
      <c r="C62" s="5" t="str" cm="1">
        <f t="array" ref="C62">IFERROR(INDEX(PV_Totals_By_Item[#All], ROW()-1, COLUMN()), "")</f>
        <v/>
      </c>
      <c r="D62" s="1" t="str" cm="1">
        <f t="array" ref="D62">IFERROR(INDEX(PV_Totals_By_Item[#All], ROW()-1, COLUMN()), "")</f>
        <v/>
      </c>
      <c r="E62" s="1" t="str" cm="1">
        <f t="array" ref="E62">IFERROR(INDEX(PV_Totals_By_Item[#All], ROW()-1, COLUMN()), "")</f>
        <v/>
      </c>
      <c r="F62" s="1" t="str" cm="1">
        <f t="array" ref="F62">IFERROR(INDEX(PV_Totals_By_Item[#All], ROW()-1, COLUMN()), "")</f>
        <v/>
      </c>
      <c r="G62" s="1" t="str" cm="1">
        <f t="array" ref="G62">IFERROR(INDEX(PV_Totals_By_Item[#All], ROW()-1, COLUMN()), "")</f>
        <v/>
      </c>
      <c r="H62" s="1" t="str" cm="1">
        <f t="array" ref="H62">IFERROR(INDEX(PV_Totals_By_Item[#All], ROW()-1, COLUMN()), "")</f>
        <v/>
      </c>
      <c r="I62" s="1" t="str" cm="1">
        <f t="array" ref="I62">IFERROR(INDEX(PV_Totals_By_Item[#All], ROW()-1, COLUMN()), "")</f>
        <v/>
      </c>
      <c r="J62" s="1" t="str" cm="1">
        <f t="array" ref="J62">IFERROR(INDEX(PV_Totals_By_Item[#All], ROW()-1, COLUMN()), "")</f>
        <v/>
      </c>
    </row>
    <row r="63" spans="1:10">
      <c r="A63" s="1" t="str" cm="1">
        <f t="array" ref="A63">IFERROR(INDEX(PV_Totals_By_Item[#All], ROW()-1, COLUMN()), "")</f>
        <v/>
      </c>
      <c r="B63" s="5" t="str" cm="1">
        <f t="array" ref="B63">IFERROR(INDEX(PV_Totals_By_Item[#All], ROW()-1, COLUMN()), "")</f>
        <v/>
      </c>
      <c r="C63" s="5" t="str" cm="1">
        <f t="array" ref="C63">IFERROR(INDEX(PV_Totals_By_Item[#All], ROW()-1, COLUMN()), "")</f>
        <v/>
      </c>
      <c r="D63" s="1" t="str" cm="1">
        <f t="array" ref="D63">IFERROR(INDEX(PV_Totals_By_Item[#All], ROW()-1, COLUMN()), "")</f>
        <v/>
      </c>
      <c r="E63" s="1" t="str" cm="1">
        <f t="array" ref="E63">IFERROR(INDEX(PV_Totals_By_Item[#All], ROW()-1, COLUMN()), "")</f>
        <v/>
      </c>
      <c r="F63" s="1" t="str" cm="1">
        <f t="array" ref="F63">IFERROR(INDEX(PV_Totals_By_Item[#All], ROW()-1, COLUMN()), "")</f>
        <v/>
      </c>
      <c r="G63" s="1" t="str" cm="1">
        <f t="array" ref="G63">IFERROR(INDEX(PV_Totals_By_Item[#All], ROW()-1, COLUMN()), "")</f>
        <v/>
      </c>
      <c r="H63" s="1" t="str" cm="1">
        <f t="array" ref="H63">IFERROR(INDEX(PV_Totals_By_Item[#All], ROW()-1, COLUMN()), "")</f>
        <v/>
      </c>
      <c r="I63" s="1" t="str" cm="1">
        <f t="array" ref="I63">IFERROR(INDEX(PV_Totals_By_Item[#All], ROW()-1, COLUMN()), "")</f>
        <v/>
      </c>
      <c r="J63" s="1" t="str" cm="1">
        <f t="array" ref="J63">IFERROR(INDEX(PV_Totals_By_Item[#All], ROW()-1, COLUMN()), "")</f>
        <v/>
      </c>
    </row>
    <row r="64" spans="1:10">
      <c r="A64" s="1" t="str" cm="1">
        <f t="array" ref="A64">IFERROR(INDEX(PV_Totals_By_Item[#All], ROW()-1, COLUMN()), "")</f>
        <v/>
      </c>
      <c r="B64" s="5" t="str" cm="1">
        <f t="array" ref="B64">IFERROR(INDEX(PV_Totals_By_Item[#All], ROW()-1, COLUMN()), "")</f>
        <v/>
      </c>
      <c r="C64" s="5" t="str" cm="1">
        <f t="array" ref="C64">IFERROR(INDEX(PV_Totals_By_Item[#All], ROW()-1, COLUMN()), "")</f>
        <v/>
      </c>
      <c r="D64" s="1" t="str" cm="1">
        <f t="array" ref="D64">IFERROR(INDEX(PV_Totals_By_Item[#All], ROW()-1, COLUMN()), "")</f>
        <v/>
      </c>
      <c r="E64" s="1" t="str" cm="1">
        <f t="array" ref="E64">IFERROR(INDEX(PV_Totals_By_Item[#All], ROW()-1, COLUMN()), "")</f>
        <v/>
      </c>
      <c r="F64" s="1" t="str" cm="1">
        <f t="array" ref="F64">IFERROR(INDEX(PV_Totals_By_Item[#All], ROW()-1, COLUMN()), "")</f>
        <v/>
      </c>
      <c r="G64" s="1" t="str" cm="1">
        <f t="array" ref="G64">IFERROR(INDEX(PV_Totals_By_Item[#All], ROW()-1, COLUMN()), "")</f>
        <v/>
      </c>
      <c r="H64" s="1" t="str" cm="1">
        <f t="array" ref="H64">IFERROR(INDEX(PV_Totals_By_Item[#All], ROW()-1, COLUMN()), "")</f>
        <v/>
      </c>
      <c r="I64" s="1" t="str" cm="1">
        <f t="array" ref="I64">IFERROR(INDEX(PV_Totals_By_Item[#All], ROW()-1, COLUMN()), "")</f>
        <v/>
      </c>
      <c r="J64" s="1" t="str" cm="1">
        <f t="array" ref="J64">IFERROR(INDEX(PV_Totals_By_Item[#All], ROW()-1, COLUMN()), "")</f>
        <v/>
      </c>
    </row>
    <row r="65" spans="1:10">
      <c r="A65" s="1" t="str" cm="1">
        <f t="array" ref="A65">IFERROR(INDEX(PV_Totals_By_Item[#All], ROW()-1, COLUMN()), "")</f>
        <v/>
      </c>
      <c r="B65" s="5" t="str" cm="1">
        <f t="array" ref="B65">IFERROR(INDEX(PV_Totals_By_Item[#All], ROW()-1, COLUMN()), "")</f>
        <v/>
      </c>
      <c r="C65" s="5" t="str" cm="1">
        <f t="array" ref="C65">IFERROR(INDEX(PV_Totals_By_Item[#All], ROW()-1, COLUMN()), "")</f>
        <v/>
      </c>
      <c r="D65" s="1" t="str" cm="1">
        <f t="array" ref="D65">IFERROR(INDEX(PV_Totals_By_Item[#All], ROW()-1, COLUMN()), "")</f>
        <v/>
      </c>
      <c r="E65" s="1" t="str" cm="1">
        <f t="array" ref="E65">IFERROR(INDEX(PV_Totals_By_Item[#All], ROW()-1, COLUMN()), "")</f>
        <v/>
      </c>
      <c r="F65" s="1" t="str" cm="1">
        <f t="array" ref="F65">IFERROR(INDEX(PV_Totals_By_Item[#All], ROW()-1, COLUMN()), "")</f>
        <v/>
      </c>
      <c r="G65" s="1" t="str" cm="1">
        <f t="array" ref="G65">IFERROR(INDEX(PV_Totals_By_Item[#All], ROW()-1, COLUMN()), "")</f>
        <v/>
      </c>
      <c r="H65" s="1" t="str" cm="1">
        <f t="array" ref="H65">IFERROR(INDEX(PV_Totals_By_Item[#All], ROW()-1, COLUMN()), "")</f>
        <v/>
      </c>
      <c r="I65" s="1" t="str" cm="1">
        <f t="array" ref="I65">IFERROR(INDEX(PV_Totals_By_Item[#All], ROW()-1, COLUMN()), "")</f>
        <v/>
      </c>
      <c r="J65" s="1" t="str" cm="1">
        <f t="array" ref="J65">IFERROR(INDEX(PV_Totals_By_Item[#All], ROW()-1, COLUMN()), "")</f>
        <v/>
      </c>
    </row>
    <row r="66" spans="1:10">
      <c r="A66" s="1" t="str" cm="1">
        <f t="array" ref="A66">IFERROR(INDEX(PV_Totals_By_Item[#All], ROW()-1, COLUMN()), "")</f>
        <v/>
      </c>
      <c r="B66" s="5" t="str" cm="1">
        <f t="array" ref="B66">IFERROR(INDEX(PV_Totals_By_Item[#All], ROW()-1, COLUMN()), "")</f>
        <v/>
      </c>
      <c r="C66" s="5" t="str" cm="1">
        <f t="array" ref="C66">IFERROR(INDEX(PV_Totals_By_Item[#All], ROW()-1, COLUMN()), "")</f>
        <v/>
      </c>
      <c r="D66" s="1" t="str" cm="1">
        <f t="array" ref="D66">IFERROR(INDEX(PV_Totals_By_Item[#All], ROW()-1, COLUMN()), "")</f>
        <v/>
      </c>
      <c r="E66" s="1" t="str" cm="1">
        <f t="array" ref="E66">IFERROR(INDEX(PV_Totals_By_Item[#All], ROW()-1, COLUMN()), "")</f>
        <v/>
      </c>
      <c r="F66" s="1" t="str" cm="1">
        <f t="array" ref="F66">IFERROR(INDEX(PV_Totals_By_Item[#All], ROW()-1, COLUMN()), "")</f>
        <v/>
      </c>
      <c r="G66" s="1" t="str" cm="1">
        <f t="array" ref="G66">IFERROR(INDEX(PV_Totals_By_Item[#All], ROW()-1, COLUMN()), "")</f>
        <v/>
      </c>
      <c r="H66" s="1" t="str" cm="1">
        <f t="array" ref="H66">IFERROR(INDEX(PV_Totals_By_Item[#All], ROW()-1, COLUMN()), "")</f>
        <v/>
      </c>
      <c r="I66" s="1" t="str" cm="1">
        <f t="array" ref="I66">IFERROR(INDEX(PV_Totals_By_Item[#All], ROW()-1, COLUMN()), "")</f>
        <v/>
      </c>
      <c r="J66" s="1" t="str" cm="1">
        <f t="array" ref="J66">IFERROR(INDEX(PV_Totals_By_Item[#All], ROW()-1, COLUMN()), "")</f>
        <v/>
      </c>
    </row>
    <row r="67" spans="1:10">
      <c r="A67" s="1" t="str" cm="1">
        <f t="array" ref="A67">IFERROR(INDEX(PV_Totals_By_Item[#All], ROW()-1, COLUMN()), "")</f>
        <v/>
      </c>
      <c r="B67" s="5" t="str" cm="1">
        <f t="array" ref="B67">IFERROR(INDEX(PV_Totals_By_Item[#All], ROW()-1, COLUMN()), "")</f>
        <v/>
      </c>
      <c r="C67" s="5" t="str" cm="1">
        <f t="array" ref="C67">IFERROR(INDEX(PV_Totals_By_Item[#All], ROW()-1, COLUMN()), "")</f>
        <v/>
      </c>
      <c r="D67" s="1" t="str" cm="1">
        <f t="array" ref="D67">IFERROR(INDEX(PV_Totals_By_Item[#All], ROW()-1, COLUMN()), "")</f>
        <v/>
      </c>
      <c r="E67" s="1" t="str" cm="1">
        <f t="array" ref="E67">IFERROR(INDEX(PV_Totals_By_Item[#All], ROW()-1, COLUMN()), "")</f>
        <v/>
      </c>
      <c r="F67" s="1" t="str" cm="1">
        <f t="array" ref="F67">IFERROR(INDEX(PV_Totals_By_Item[#All], ROW()-1, COLUMN()), "")</f>
        <v/>
      </c>
      <c r="G67" s="1" t="str" cm="1">
        <f t="array" ref="G67">IFERROR(INDEX(PV_Totals_By_Item[#All], ROW()-1, COLUMN()), "")</f>
        <v/>
      </c>
      <c r="H67" s="1" t="str" cm="1">
        <f t="array" ref="H67">IFERROR(INDEX(PV_Totals_By_Item[#All], ROW()-1, COLUMN()), "")</f>
        <v/>
      </c>
      <c r="I67" s="1" t="str" cm="1">
        <f t="array" ref="I67">IFERROR(INDEX(PV_Totals_By_Item[#All], ROW()-1, COLUMN()), "")</f>
        <v/>
      </c>
      <c r="J67" s="1" t="str" cm="1">
        <f t="array" ref="J67">IFERROR(INDEX(PV_Totals_By_Item[#All], ROW()-1, COLUMN()), "")</f>
        <v/>
      </c>
    </row>
    <row r="68" spans="1:10">
      <c r="A68" s="1" t="str" cm="1">
        <f t="array" ref="A68">IFERROR(INDEX(PV_Totals_By_Item[#All], ROW()-1, COLUMN()), "")</f>
        <v/>
      </c>
      <c r="B68" s="5" t="str" cm="1">
        <f t="array" ref="B68">IFERROR(INDEX(PV_Totals_By_Item[#All], ROW()-1, COLUMN()), "")</f>
        <v/>
      </c>
      <c r="C68" s="5" t="str" cm="1">
        <f t="array" ref="C68">IFERROR(INDEX(PV_Totals_By_Item[#All], ROW()-1, COLUMN()), "")</f>
        <v/>
      </c>
      <c r="D68" s="1" t="str" cm="1">
        <f t="array" ref="D68">IFERROR(INDEX(PV_Totals_By_Item[#All], ROW()-1, COLUMN()), "")</f>
        <v/>
      </c>
      <c r="E68" s="1" t="str" cm="1">
        <f t="array" ref="E68">IFERROR(INDEX(PV_Totals_By_Item[#All], ROW()-1, COLUMN()), "")</f>
        <v/>
      </c>
      <c r="F68" s="1" t="str" cm="1">
        <f t="array" ref="F68">IFERROR(INDEX(PV_Totals_By_Item[#All], ROW()-1, COLUMN()), "")</f>
        <v/>
      </c>
      <c r="G68" s="1" t="str" cm="1">
        <f t="array" ref="G68">IFERROR(INDEX(PV_Totals_By_Item[#All], ROW()-1, COLUMN()), "")</f>
        <v/>
      </c>
      <c r="H68" s="1" t="str" cm="1">
        <f t="array" ref="H68">IFERROR(INDEX(PV_Totals_By_Item[#All], ROW()-1, COLUMN()), "")</f>
        <v/>
      </c>
      <c r="I68" s="1" t="str" cm="1">
        <f t="array" ref="I68">IFERROR(INDEX(PV_Totals_By_Item[#All], ROW()-1, COLUMN()), "")</f>
        <v/>
      </c>
      <c r="J68" s="1" t="str" cm="1">
        <f t="array" ref="J68">IFERROR(INDEX(PV_Totals_By_Item[#All], ROW()-1, COLUMN()), "")</f>
        <v/>
      </c>
    </row>
    <row r="69" spans="1:10">
      <c r="A69" s="1" t="str" cm="1">
        <f t="array" ref="A69">IFERROR(INDEX(PV_Totals_By_Item[#All], ROW()-1, COLUMN()), "")</f>
        <v/>
      </c>
      <c r="B69" s="5" t="str" cm="1">
        <f t="array" ref="B69">IFERROR(INDEX(PV_Totals_By_Item[#All], ROW()-1, COLUMN()), "")</f>
        <v/>
      </c>
      <c r="C69" s="5" t="str" cm="1">
        <f t="array" ref="C69">IFERROR(INDEX(PV_Totals_By_Item[#All], ROW()-1, COLUMN()), "")</f>
        <v/>
      </c>
      <c r="D69" s="1" t="str" cm="1">
        <f t="array" ref="D69">IFERROR(INDEX(PV_Totals_By_Item[#All], ROW()-1, COLUMN()), "")</f>
        <v/>
      </c>
      <c r="E69" s="1" t="str" cm="1">
        <f t="array" ref="E69">IFERROR(INDEX(PV_Totals_By_Item[#All], ROW()-1, COLUMN()), "")</f>
        <v/>
      </c>
      <c r="F69" s="1" t="str" cm="1">
        <f t="array" ref="F69">IFERROR(INDEX(PV_Totals_By_Item[#All], ROW()-1, COLUMN()), "")</f>
        <v/>
      </c>
      <c r="G69" s="1" t="str" cm="1">
        <f t="array" ref="G69">IFERROR(INDEX(PV_Totals_By_Item[#All], ROW()-1, COLUMN()), "")</f>
        <v/>
      </c>
      <c r="H69" s="1" t="str" cm="1">
        <f t="array" ref="H69">IFERROR(INDEX(PV_Totals_By_Item[#All], ROW()-1, COLUMN()), "")</f>
        <v/>
      </c>
      <c r="I69" s="1" t="str" cm="1">
        <f t="array" ref="I69">IFERROR(INDEX(PV_Totals_By_Item[#All], ROW()-1, COLUMN()), "")</f>
        <v/>
      </c>
      <c r="J69" s="1" t="str" cm="1">
        <f t="array" ref="J69">IFERROR(INDEX(PV_Totals_By_Item[#All], ROW()-1, COLUMN()), "")</f>
        <v/>
      </c>
    </row>
    <row r="70" spans="1:10">
      <c r="A70" s="1" t="str" cm="1">
        <f t="array" ref="A70">IFERROR(INDEX(PV_Totals_By_Item[#All], ROW()-1, COLUMN()), "")</f>
        <v/>
      </c>
      <c r="B70" s="5" t="str" cm="1">
        <f t="array" ref="B70">IFERROR(INDEX(PV_Totals_By_Item[#All], ROW()-1, COLUMN()), "")</f>
        <v/>
      </c>
      <c r="C70" s="5" t="str" cm="1">
        <f t="array" ref="C70">IFERROR(INDEX(PV_Totals_By_Item[#All], ROW()-1, COLUMN()), "")</f>
        <v/>
      </c>
      <c r="D70" s="1" t="str" cm="1">
        <f t="array" ref="D70">IFERROR(INDEX(PV_Totals_By_Item[#All], ROW()-1, COLUMN()), "")</f>
        <v/>
      </c>
      <c r="E70" s="1" t="str" cm="1">
        <f t="array" ref="E70">IFERROR(INDEX(PV_Totals_By_Item[#All], ROW()-1, COLUMN()), "")</f>
        <v/>
      </c>
      <c r="F70" s="1" t="str" cm="1">
        <f t="array" ref="F70">IFERROR(INDEX(PV_Totals_By_Item[#All], ROW()-1, COLUMN()), "")</f>
        <v/>
      </c>
      <c r="G70" s="1" t="str" cm="1">
        <f t="array" ref="G70">IFERROR(INDEX(PV_Totals_By_Item[#All], ROW()-1, COLUMN()), "")</f>
        <v/>
      </c>
      <c r="H70" s="1" t="str" cm="1">
        <f t="array" ref="H70">IFERROR(INDEX(PV_Totals_By_Item[#All], ROW()-1, COLUMN()), "")</f>
        <v/>
      </c>
      <c r="I70" s="1" t="str" cm="1">
        <f t="array" ref="I70">IFERROR(INDEX(PV_Totals_By_Item[#All], ROW()-1, COLUMN()), "")</f>
        <v/>
      </c>
      <c r="J70" s="1" t="str" cm="1">
        <f t="array" ref="J70">IFERROR(INDEX(PV_Totals_By_Item[#All], ROW()-1, COLUMN()), "")</f>
        <v/>
      </c>
    </row>
    <row r="71" spans="1:10">
      <c r="A71" s="1" t="str" cm="1">
        <f t="array" ref="A71">IFERROR(INDEX(PV_Totals_By_Item[#All], ROW()-1, COLUMN()), "")</f>
        <v/>
      </c>
      <c r="B71" s="5" t="str" cm="1">
        <f t="array" ref="B71">IFERROR(INDEX(PV_Totals_By_Item[#All], ROW()-1, COLUMN()), "")</f>
        <v/>
      </c>
      <c r="C71" s="5" t="str" cm="1">
        <f t="array" ref="C71">IFERROR(INDEX(PV_Totals_By_Item[#All], ROW()-1, COLUMN()), "")</f>
        <v/>
      </c>
      <c r="D71" s="1" t="str" cm="1">
        <f t="array" ref="D71">IFERROR(INDEX(PV_Totals_By_Item[#All], ROW()-1, COLUMN()), "")</f>
        <v/>
      </c>
      <c r="E71" s="1" t="str" cm="1">
        <f t="array" ref="E71">IFERROR(INDEX(PV_Totals_By_Item[#All], ROW()-1, COLUMN()), "")</f>
        <v/>
      </c>
      <c r="F71" s="1" t="str" cm="1">
        <f t="array" ref="F71">IFERROR(INDEX(PV_Totals_By_Item[#All], ROW()-1, COLUMN()), "")</f>
        <v/>
      </c>
      <c r="G71" s="1" t="str" cm="1">
        <f t="array" ref="G71">IFERROR(INDEX(PV_Totals_By_Item[#All], ROW()-1, COLUMN()), "")</f>
        <v/>
      </c>
      <c r="H71" s="1" t="str" cm="1">
        <f t="array" ref="H71">IFERROR(INDEX(PV_Totals_By_Item[#All], ROW()-1, COLUMN()), "")</f>
        <v/>
      </c>
      <c r="I71" s="1" t="str" cm="1">
        <f t="array" ref="I71">IFERROR(INDEX(PV_Totals_By_Item[#All], ROW()-1, COLUMN()), "")</f>
        <v/>
      </c>
      <c r="J71" s="1" t="str" cm="1">
        <f t="array" ref="J71">IFERROR(INDEX(PV_Totals_By_Item[#All], ROW()-1, COLUMN()), "")</f>
        <v/>
      </c>
    </row>
    <row r="72" spans="1:10">
      <c r="A72" s="1" t="str" cm="1">
        <f t="array" ref="A72">IFERROR(INDEX(PV_Totals_By_Item[#All], ROW()-1, COLUMN()), "")</f>
        <v/>
      </c>
      <c r="B72" s="5" t="str" cm="1">
        <f t="array" ref="B72">IFERROR(INDEX(PV_Totals_By_Item[#All], ROW()-1, COLUMN()), "")</f>
        <v/>
      </c>
      <c r="C72" s="5" t="str" cm="1">
        <f t="array" ref="C72">IFERROR(INDEX(PV_Totals_By_Item[#All], ROW()-1, COLUMN()), "")</f>
        <v/>
      </c>
      <c r="D72" s="1" t="str" cm="1">
        <f t="array" ref="D72">IFERROR(INDEX(PV_Totals_By_Item[#All], ROW()-1, COLUMN()), "")</f>
        <v/>
      </c>
      <c r="E72" s="1" t="str" cm="1">
        <f t="array" ref="E72">IFERROR(INDEX(PV_Totals_By_Item[#All], ROW()-1, COLUMN()), "")</f>
        <v/>
      </c>
      <c r="F72" s="1" t="str" cm="1">
        <f t="array" ref="F72">IFERROR(INDEX(PV_Totals_By_Item[#All], ROW()-1, COLUMN()), "")</f>
        <v/>
      </c>
      <c r="G72" s="1" t="str" cm="1">
        <f t="array" ref="G72">IFERROR(INDEX(PV_Totals_By_Item[#All], ROW()-1, COLUMN()), "")</f>
        <v/>
      </c>
      <c r="H72" s="1" t="str" cm="1">
        <f t="array" ref="H72">IFERROR(INDEX(PV_Totals_By_Item[#All], ROW()-1, COLUMN()), "")</f>
        <v/>
      </c>
      <c r="I72" s="1" t="str" cm="1">
        <f t="array" ref="I72">IFERROR(INDEX(PV_Totals_By_Item[#All], ROW()-1, COLUMN()), "")</f>
        <v/>
      </c>
      <c r="J72" s="1" t="str" cm="1">
        <f t="array" ref="J72">IFERROR(INDEX(PV_Totals_By_Item[#All], ROW()-1, COLUMN()), "")</f>
        <v/>
      </c>
    </row>
    <row r="73" spans="1:10">
      <c r="A73" s="1" t="str" cm="1">
        <f t="array" ref="A73">IFERROR(INDEX(PV_Totals_By_Item[#All], ROW()-1, COLUMN()), "")</f>
        <v/>
      </c>
      <c r="B73" s="5" t="str" cm="1">
        <f t="array" ref="B73">IFERROR(INDEX(PV_Totals_By_Item[#All], ROW()-1, COLUMN()), "")</f>
        <v/>
      </c>
      <c r="C73" s="5" t="str" cm="1">
        <f t="array" ref="C73">IFERROR(INDEX(PV_Totals_By_Item[#All], ROW()-1, COLUMN()), "")</f>
        <v/>
      </c>
      <c r="D73" s="1" t="str" cm="1">
        <f t="array" ref="D73">IFERROR(INDEX(PV_Totals_By_Item[#All], ROW()-1, COLUMN()), "")</f>
        <v/>
      </c>
      <c r="E73" s="1" t="str" cm="1">
        <f t="array" ref="E73">IFERROR(INDEX(PV_Totals_By_Item[#All], ROW()-1, COLUMN()), "")</f>
        <v/>
      </c>
      <c r="F73" s="1" t="str" cm="1">
        <f t="array" ref="F73">IFERROR(INDEX(PV_Totals_By_Item[#All], ROW()-1, COLUMN()), "")</f>
        <v/>
      </c>
      <c r="G73" s="1" t="str" cm="1">
        <f t="array" ref="G73">IFERROR(INDEX(PV_Totals_By_Item[#All], ROW()-1, COLUMN()), "")</f>
        <v/>
      </c>
      <c r="H73" s="1" t="str" cm="1">
        <f t="array" ref="H73">IFERROR(INDEX(PV_Totals_By_Item[#All], ROW()-1, COLUMN()), "")</f>
        <v/>
      </c>
      <c r="I73" s="1" t="str" cm="1">
        <f t="array" ref="I73">IFERROR(INDEX(PV_Totals_By_Item[#All], ROW()-1, COLUMN()), "")</f>
        <v/>
      </c>
      <c r="J73" s="1" t="str" cm="1">
        <f t="array" ref="J73">IFERROR(INDEX(PV_Totals_By_Item[#All], ROW()-1, COLUMN()), "")</f>
        <v/>
      </c>
    </row>
    <row r="74" spans="1:10">
      <c r="A74" s="1" t="str" cm="1">
        <f t="array" ref="A74">IFERROR(INDEX(PV_Totals_By_Item[#All], ROW()-1, COLUMN()), "")</f>
        <v/>
      </c>
      <c r="B74" s="5" t="str" cm="1">
        <f t="array" ref="B74">IFERROR(INDEX(PV_Totals_By_Item[#All], ROW()-1, COLUMN()), "")</f>
        <v/>
      </c>
      <c r="C74" s="5" t="str" cm="1">
        <f t="array" ref="C74">IFERROR(INDEX(PV_Totals_By_Item[#All], ROW()-1, COLUMN()), "")</f>
        <v/>
      </c>
      <c r="D74" s="1" t="str" cm="1">
        <f t="array" ref="D74">IFERROR(INDEX(PV_Totals_By_Item[#All], ROW()-1, COLUMN()), "")</f>
        <v/>
      </c>
      <c r="E74" s="1" t="str" cm="1">
        <f t="array" ref="E74">IFERROR(INDEX(PV_Totals_By_Item[#All], ROW()-1, COLUMN()), "")</f>
        <v/>
      </c>
      <c r="F74" s="1" t="str" cm="1">
        <f t="array" ref="F74">IFERROR(INDEX(PV_Totals_By_Item[#All], ROW()-1, COLUMN()), "")</f>
        <v/>
      </c>
      <c r="G74" s="1" t="str" cm="1">
        <f t="array" ref="G74">IFERROR(INDEX(PV_Totals_By_Item[#All], ROW()-1, COLUMN()), "")</f>
        <v/>
      </c>
      <c r="H74" s="1" t="str" cm="1">
        <f t="array" ref="H74">IFERROR(INDEX(PV_Totals_By_Item[#All], ROW()-1, COLUMN()), "")</f>
        <v/>
      </c>
      <c r="I74" s="1" t="str" cm="1">
        <f t="array" ref="I74">IFERROR(INDEX(PV_Totals_By_Item[#All], ROW()-1, COLUMN()), "")</f>
        <v/>
      </c>
      <c r="J74" s="1" t="str" cm="1">
        <f t="array" ref="J74">IFERROR(INDEX(PV_Totals_By_Item[#All], ROW()-1, COLUMN()), "")</f>
        <v/>
      </c>
    </row>
    <row r="75" spans="1:10">
      <c r="A75" s="1" t="str" cm="1">
        <f t="array" ref="A75">IFERROR(INDEX(PV_Totals_By_Item[#All], ROW()-1, COLUMN()), "")</f>
        <v/>
      </c>
      <c r="B75" s="5" t="str" cm="1">
        <f t="array" ref="B75">IFERROR(INDEX(PV_Totals_By_Item[#All], ROW()-1, COLUMN()), "")</f>
        <v/>
      </c>
      <c r="C75" s="5" t="str" cm="1">
        <f t="array" ref="C75">IFERROR(INDEX(PV_Totals_By_Item[#All], ROW()-1, COLUMN()), "")</f>
        <v/>
      </c>
      <c r="D75" s="1" t="str" cm="1">
        <f t="array" ref="D75">IFERROR(INDEX(PV_Totals_By_Item[#All], ROW()-1, COLUMN()), "")</f>
        <v/>
      </c>
      <c r="E75" s="1" t="str" cm="1">
        <f t="array" ref="E75">IFERROR(INDEX(PV_Totals_By_Item[#All], ROW()-1, COLUMN()), "")</f>
        <v/>
      </c>
      <c r="F75" s="1" t="str" cm="1">
        <f t="array" ref="F75">IFERROR(INDEX(PV_Totals_By_Item[#All], ROW()-1, COLUMN()), "")</f>
        <v/>
      </c>
      <c r="G75" s="1" t="str" cm="1">
        <f t="array" ref="G75">IFERROR(INDEX(PV_Totals_By_Item[#All], ROW()-1, COLUMN()), "")</f>
        <v/>
      </c>
      <c r="H75" s="1" t="str" cm="1">
        <f t="array" ref="H75">IFERROR(INDEX(PV_Totals_By_Item[#All], ROW()-1, COLUMN()), "")</f>
        <v/>
      </c>
      <c r="I75" s="1" t="str" cm="1">
        <f t="array" ref="I75">IFERROR(INDEX(PV_Totals_By_Item[#All], ROW()-1, COLUMN()), "")</f>
        <v/>
      </c>
      <c r="J75" s="1" t="str" cm="1">
        <f t="array" ref="J75">IFERROR(INDEX(PV_Totals_By_Item[#All], ROW()-1, COLUMN()), "")</f>
        <v/>
      </c>
    </row>
    <row r="76" spans="1:10">
      <c r="A76" s="1" t="str" cm="1">
        <f t="array" ref="A76">IFERROR(INDEX(PV_Totals_By_Item[#All], ROW()-1, COLUMN()), "")</f>
        <v/>
      </c>
      <c r="B76" s="5" t="str" cm="1">
        <f t="array" ref="B76">IFERROR(INDEX(PV_Totals_By_Item[#All], ROW()-1, COLUMN()), "")</f>
        <v/>
      </c>
      <c r="C76" s="5" t="str" cm="1">
        <f t="array" ref="C76">IFERROR(INDEX(PV_Totals_By_Item[#All], ROW()-1, COLUMN()), "")</f>
        <v/>
      </c>
      <c r="D76" s="1" t="str" cm="1">
        <f t="array" ref="D76">IFERROR(INDEX(PV_Totals_By_Item[#All], ROW()-1, COLUMN()), "")</f>
        <v/>
      </c>
      <c r="E76" s="1" t="str" cm="1">
        <f t="array" ref="E76">IFERROR(INDEX(PV_Totals_By_Item[#All], ROW()-1, COLUMN()), "")</f>
        <v/>
      </c>
      <c r="F76" s="1" t="str" cm="1">
        <f t="array" ref="F76">IFERROR(INDEX(PV_Totals_By_Item[#All], ROW()-1, COLUMN()), "")</f>
        <v/>
      </c>
      <c r="G76" s="1" t="str" cm="1">
        <f t="array" ref="G76">IFERROR(INDEX(PV_Totals_By_Item[#All], ROW()-1, COLUMN()), "")</f>
        <v/>
      </c>
      <c r="H76" s="1" t="str" cm="1">
        <f t="array" ref="H76">IFERROR(INDEX(PV_Totals_By_Item[#All], ROW()-1, COLUMN()), "")</f>
        <v/>
      </c>
      <c r="I76" s="1" t="str" cm="1">
        <f t="array" ref="I76">IFERROR(INDEX(PV_Totals_By_Item[#All], ROW()-1, COLUMN()), "")</f>
        <v/>
      </c>
      <c r="J76" s="1" t="str" cm="1">
        <f t="array" ref="J76">IFERROR(INDEX(PV_Totals_By_Item[#All], ROW()-1, COLUMN()), "")</f>
        <v/>
      </c>
    </row>
    <row r="77" spans="1:10">
      <c r="A77" s="1" t="str" cm="1">
        <f t="array" ref="A77">IFERROR(INDEX(PV_Totals_By_Item[#All], ROW()-1, COLUMN()), "")</f>
        <v/>
      </c>
      <c r="B77" s="5" t="str" cm="1">
        <f t="array" ref="B77">IFERROR(INDEX(PV_Totals_By_Item[#All], ROW()-1, COLUMN()), "")</f>
        <v/>
      </c>
      <c r="C77" s="5" t="str" cm="1">
        <f t="array" ref="C77">IFERROR(INDEX(PV_Totals_By_Item[#All], ROW()-1, COLUMN()), "")</f>
        <v/>
      </c>
      <c r="D77" s="1" t="str" cm="1">
        <f t="array" ref="D77">IFERROR(INDEX(PV_Totals_By_Item[#All], ROW()-1, COLUMN()), "")</f>
        <v/>
      </c>
      <c r="E77" s="1" t="str" cm="1">
        <f t="array" ref="E77">IFERROR(INDEX(PV_Totals_By_Item[#All], ROW()-1, COLUMN()), "")</f>
        <v/>
      </c>
      <c r="F77" s="1" t="str" cm="1">
        <f t="array" ref="F77">IFERROR(INDEX(PV_Totals_By_Item[#All], ROW()-1, COLUMN()), "")</f>
        <v/>
      </c>
      <c r="G77" s="1" t="str" cm="1">
        <f t="array" ref="G77">IFERROR(INDEX(PV_Totals_By_Item[#All], ROW()-1, COLUMN()), "")</f>
        <v/>
      </c>
      <c r="H77" s="1" t="str" cm="1">
        <f t="array" ref="H77">IFERROR(INDEX(PV_Totals_By_Item[#All], ROW()-1, COLUMN()), "")</f>
        <v/>
      </c>
      <c r="I77" s="1" t="str" cm="1">
        <f t="array" ref="I77">IFERROR(INDEX(PV_Totals_By_Item[#All], ROW()-1, COLUMN()), "")</f>
        <v/>
      </c>
      <c r="J77" s="1" t="str" cm="1">
        <f t="array" ref="J77">IFERROR(INDEX(PV_Totals_By_Item[#All], ROW()-1, COLUMN()), "")</f>
        <v/>
      </c>
    </row>
    <row r="78" spans="1:10">
      <c r="A78" s="1" t="str" cm="1">
        <f t="array" ref="A78">IFERROR(INDEX(PV_Totals_By_Item[#All], ROW()-1, COLUMN()), "")</f>
        <v/>
      </c>
      <c r="B78" s="5" t="str" cm="1">
        <f t="array" ref="B78">IFERROR(INDEX(PV_Totals_By_Item[#All], ROW()-1, COLUMN()), "")</f>
        <v/>
      </c>
      <c r="C78" s="5" t="str" cm="1">
        <f t="array" ref="C78">IFERROR(INDEX(PV_Totals_By_Item[#All], ROW()-1, COLUMN()), "")</f>
        <v/>
      </c>
      <c r="D78" s="1" t="str" cm="1">
        <f t="array" ref="D78">IFERROR(INDEX(PV_Totals_By_Item[#All], ROW()-1, COLUMN()), "")</f>
        <v/>
      </c>
      <c r="E78" s="1" t="str" cm="1">
        <f t="array" ref="E78">IFERROR(INDEX(PV_Totals_By_Item[#All], ROW()-1, COLUMN()), "")</f>
        <v/>
      </c>
      <c r="F78" s="1" t="str" cm="1">
        <f t="array" ref="F78">IFERROR(INDEX(PV_Totals_By_Item[#All], ROW()-1, COLUMN()), "")</f>
        <v/>
      </c>
      <c r="G78" s="1" t="str" cm="1">
        <f t="array" ref="G78">IFERROR(INDEX(PV_Totals_By_Item[#All], ROW()-1, COLUMN()), "")</f>
        <v/>
      </c>
      <c r="H78" s="1" t="str" cm="1">
        <f t="array" ref="H78">IFERROR(INDEX(PV_Totals_By_Item[#All], ROW()-1, COLUMN()), "")</f>
        <v/>
      </c>
      <c r="I78" s="1" t="str" cm="1">
        <f t="array" ref="I78">IFERROR(INDEX(PV_Totals_By_Item[#All], ROW()-1, COLUMN()), "")</f>
        <v/>
      </c>
      <c r="J78" s="1" t="str" cm="1">
        <f t="array" ref="J78">IFERROR(INDEX(PV_Totals_By_Item[#All], ROW()-1, COLUMN()), "")</f>
        <v/>
      </c>
    </row>
    <row r="79" spans="1:10">
      <c r="A79" s="1" t="str" cm="1">
        <f t="array" ref="A79">IFERROR(INDEX(PV_Totals_By_Item[#All], ROW()-1, COLUMN()), "")</f>
        <v/>
      </c>
      <c r="B79" s="5" t="str" cm="1">
        <f t="array" ref="B79">IFERROR(INDEX(PV_Totals_By_Item[#All], ROW()-1, COLUMN()), "")</f>
        <v/>
      </c>
      <c r="C79" s="5" t="str" cm="1">
        <f t="array" ref="C79">IFERROR(INDEX(PV_Totals_By_Item[#All], ROW()-1, COLUMN()), "")</f>
        <v/>
      </c>
      <c r="D79" s="1" t="str" cm="1">
        <f t="array" ref="D79">IFERROR(INDEX(PV_Totals_By_Item[#All], ROW()-1, COLUMN()), "")</f>
        <v/>
      </c>
      <c r="E79" s="1" t="str" cm="1">
        <f t="array" ref="E79">IFERROR(INDEX(PV_Totals_By_Item[#All], ROW()-1, COLUMN()), "")</f>
        <v/>
      </c>
      <c r="F79" s="1" t="str" cm="1">
        <f t="array" ref="F79">IFERROR(INDEX(PV_Totals_By_Item[#All], ROW()-1, COLUMN()), "")</f>
        <v/>
      </c>
      <c r="G79" s="1" t="str" cm="1">
        <f t="array" ref="G79">IFERROR(INDEX(PV_Totals_By_Item[#All], ROW()-1, COLUMN()), "")</f>
        <v/>
      </c>
      <c r="H79" s="1" t="str" cm="1">
        <f t="array" ref="H79">IFERROR(INDEX(PV_Totals_By_Item[#All], ROW()-1, COLUMN()), "")</f>
        <v/>
      </c>
      <c r="I79" s="1" t="str" cm="1">
        <f t="array" ref="I79">IFERROR(INDEX(PV_Totals_By_Item[#All], ROW()-1, COLUMN()), "")</f>
        <v/>
      </c>
      <c r="J79" s="1" t="str" cm="1">
        <f t="array" ref="J79">IFERROR(INDEX(PV_Totals_By_Item[#All], ROW()-1, COLUMN()), "")</f>
        <v/>
      </c>
    </row>
    <row r="80" spans="1:10">
      <c r="A80" s="1" t="str" cm="1">
        <f t="array" ref="A80">IFERROR(INDEX(PV_Totals_By_Item[#All], ROW()-1, COLUMN()), "")</f>
        <v/>
      </c>
      <c r="B80" s="5" t="str" cm="1">
        <f t="array" ref="B80">IFERROR(INDEX(PV_Totals_By_Item[#All], ROW()-1, COLUMN()), "")</f>
        <v/>
      </c>
      <c r="C80" s="5" t="str" cm="1">
        <f t="array" ref="C80">IFERROR(INDEX(PV_Totals_By_Item[#All], ROW()-1, COLUMN()), "")</f>
        <v/>
      </c>
      <c r="D80" s="1" t="str" cm="1">
        <f t="array" ref="D80">IFERROR(INDEX(PV_Totals_By_Item[#All], ROW()-1, COLUMN()), "")</f>
        <v/>
      </c>
      <c r="E80" s="1" t="str" cm="1">
        <f t="array" ref="E80">IFERROR(INDEX(PV_Totals_By_Item[#All], ROW()-1, COLUMN()), "")</f>
        <v/>
      </c>
      <c r="F80" s="1" t="str" cm="1">
        <f t="array" ref="F80">IFERROR(INDEX(PV_Totals_By_Item[#All], ROW()-1, COLUMN()), "")</f>
        <v/>
      </c>
      <c r="G80" s="1" t="str" cm="1">
        <f t="array" ref="G80">IFERROR(INDEX(PV_Totals_By_Item[#All], ROW()-1, COLUMN()), "")</f>
        <v/>
      </c>
      <c r="H80" s="1" t="str" cm="1">
        <f t="array" ref="H80">IFERROR(INDEX(PV_Totals_By_Item[#All], ROW()-1, COLUMN()), "")</f>
        <v/>
      </c>
      <c r="I80" s="1" t="str" cm="1">
        <f t="array" ref="I80">IFERROR(INDEX(PV_Totals_By_Item[#All], ROW()-1, COLUMN()), "")</f>
        <v/>
      </c>
      <c r="J80" s="1" t="str" cm="1">
        <f t="array" ref="J80">IFERROR(INDEX(PV_Totals_By_Item[#All], ROW()-1, COLUMN()), "")</f>
        <v/>
      </c>
    </row>
    <row r="81" spans="1:10">
      <c r="A81" s="1" t="str" cm="1">
        <f t="array" ref="A81">IFERROR(INDEX(PV_Totals_By_Item[#All], ROW()-1, COLUMN()), "")</f>
        <v/>
      </c>
      <c r="B81" s="5" t="str" cm="1">
        <f t="array" ref="B81">IFERROR(INDEX(PV_Totals_By_Item[#All], ROW()-1, COLUMN()), "")</f>
        <v/>
      </c>
      <c r="C81" s="5" t="str" cm="1">
        <f t="array" ref="C81">IFERROR(INDEX(PV_Totals_By_Item[#All], ROW()-1, COLUMN()), "")</f>
        <v/>
      </c>
      <c r="D81" s="1" t="str" cm="1">
        <f t="array" ref="D81">IFERROR(INDEX(PV_Totals_By_Item[#All], ROW()-1, COLUMN()), "")</f>
        <v/>
      </c>
      <c r="E81" s="1" t="str" cm="1">
        <f t="array" ref="E81">IFERROR(INDEX(PV_Totals_By_Item[#All], ROW()-1, COLUMN()), "")</f>
        <v/>
      </c>
      <c r="F81" s="1" t="str" cm="1">
        <f t="array" ref="F81">IFERROR(INDEX(PV_Totals_By_Item[#All], ROW()-1, COLUMN()), "")</f>
        <v/>
      </c>
      <c r="G81" s="1" t="str" cm="1">
        <f t="array" ref="G81">IFERROR(INDEX(PV_Totals_By_Item[#All], ROW()-1, COLUMN()), "")</f>
        <v/>
      </c>
      <c r="H81" s="1" t="str" cm="1">
        <f t="array" ref="H81">IFERROR(INDEX(PV_Totals_By_Item[#All], ROW()-1, COLUMN()), "")</f>
        <v/>
      </c>
      <c r="I81" s="1" t="str" cm="1">
        <f t="array" ref="I81">IFERROR(INDEX(PV_Totals_By_Item[#All], ROW()-1, COLUMN()), "")</f>
        <v/>
      </c>
      <c r="J81" s="1" t="str" cm="1">
        <f t="array" ref="J81">IFERROR(INDEX(PV_Totals_By_Item[#All], ROW()-1, COLUMN()), "")</f>
        <v/>
      </c>
    </row>
    <row r="82" spans="1:10">
      <c r="A82" s="1" t="str" cm="1">
        <f t="array" ref="A82">IFERROR(INDEX(PV_Totals_By_Item[#All], ROW()-1, COLUMN()), "")</f>
        <v/>
      </c>
      <c r="B82" s="5" t="str" cm="1">
        <f t="array" ref="B82">IFERROR(INDEX(PV_Totals_By_Item[#All], ROW()-1, COLUMN()), "")</f>
        <v/>
      </c>
      <c r="C82" s="5" t="str" cm="1">
        <f t="array" ref="C82">IFERROR(INDEX(PV_Totals_By_Item[#All], ROW()-1, COLUMN()), "")</f>
        <v/>
      </c>
      <c r="D82" s="1" t="str" cm="1">
        <f t="array" ref="D82">IFERROR(INDEX(PV_Totals_By_Item[#All], ROW()-1, COLUMN()), "")</f>
        <v/>
      </c>
      <c r="E82" s="1" t="str" cm="1">
        <f t="array" ref="E82">IFERROR(INDEX(PV_Totals_By_Item[#All], ROW()-1, COLUMN()), "")</f>
        <v/>
      </c>
      <c r="F82" s="1" t="str" cm="1">
        <f t="array" ref="F82">IFERROR(INDEX(PV_Totals_By_Item[#All], ROW()-1, COLUMN()), "")</f>
        <v/>
      </c>
      <c r="G82" s="1" t="str" cm="1">
        <f t="array" ref="G82">IFERROR(INDEX(PV_Totals_By_Item[#All], ROW()-1, COLUMN()), "")</f>
        <v/>
      </c>
      <c r="H82" s="1" t="str" cm="1">
        <f t="array" ref="H82">IFERROR(INDEX(PV_Totals_By_Item[#All], ROW()-1, COLUMN()), "")</f>
        <v/>
      </c>
      <c r="I82" s="1" t="str" cm="1">
        <f t="array" ref="I82">IFERROR(INDEX(PV_Totals_By_Item[#All], ROW()-1, COLUMN()), "")</f>
        <v/>
      </c>
      <c r="J82" s="1" t="str" cm="1">
        <f t="array" ref="J82">IFERROR(INDEX(PV_Totals_By_Item[#All], ROW()-1, COLUMN()), "")</f>
        <v/>
      </c>
    </row>
    <row r="83" spans="1:10">
      <c r="A83" s="1" t="str" cm="1">
        <f t="array" ref="A83">IFERROR(INDEX(PV_Totals_By_Item[#All], ROW()-1, COLUMN()), "")</f>
        <v/>
      </c>
      <c r="B83" s="5" t="str" cm="1">
        <f t="array" ref="B83">IFERROR(INDEX(PV_Totals_By_Item[#All], ROW()-1, COLUMN()), "")</f>
        <v/>
      </c>
      <c r="C83" s="5" t="str" cm="1">
        <f t="array" ref="C83">IFERROR(INDEX(PV_Totals_By_Item[#All], ROW()-1, COLUMN()), "")</f>
        <v/>
      </c>
      <c r="D83" s="1" t="str" cm="1">
        <f t="array" ref="D83">IFERROR(INDEX(PV_Totals_By_Item[#All], ROW()-1, COLUMN()), "")</f>
        <v/>
      </c>
      <c r="E83" s="1" t="str" cm="1">
        <f t="array" ref="E83">IFERROR(INDEX(PV_Totals_By_Item[#All], ROW()-1, COLUMN()), "")</f>
        <v/>
      </c>
      <c r="F83" s="1" t="str" cm="1">
        <f t="array" ref="F83">IFERROR(INDEX(PV_Totals_By_Item[#All], ROW()-1, COLUMN()), "")</f>
        <v/>
      </c>
      <c r="G83" s="1" t="str" cm="1">
        <f t="array" ref="G83">IFERROR(INDEX(PV_Totals_By_Item[#All], ROW()-1, COLUMN()), "")</f>
        <v/>
      </c>
      <c r="H83" s="1" t="str" cm="1">
        <f t="array" ref="H83">IFERROR(INDEX(PV_Totals_By_Item[#All], ROW()-1, COLUMN()), "")</f>
        <v/>
      </c>
      <c r="I83" s="1" t="str" cm="1">
        <f t="array" ref="I83">IFERROR(INDEX(PV_Totals_By_Item[#All], ROW()-1, COLUMN()), "")</f>
        <v/>
      </c>
      <c r="J83" s="1" t="str" cm="1">
        <f t="array" ref="J83">IFERROR(INDEX(PV_Totals_By_Item[#All], ROW()-1, COLUMN()), "")</f>
        <v/>
      </c>
    </row>
    <row r="84" spans="1:10">
      <c r="A84" s="1" t="str" cm="1">
        <f t="array" ref="A84">IFERROR(INDEX(PV_Totals_By_Item[#All], ROW()-1, COLUMN()), "")</f>
        <v/>
      </c>
      <c r="B84" s="5" t="str" cm="1">
        <f t="array" ref="B84">IFERROR(INDEX(PV_Totals_By_Item[#All], ROW()-1, COLUMN()), "")</f>
        <v/>
      </c>
      <c r="C84" s="5" t="str" cm="1">
        <f t="array" ref="C84">IFERROR(INDEX(PV_Totals_By_Item[#All], ROW()-1, COLUMN()), "")</f>
        <v/>
      </c>
      <c r="D84" s="1" t="str" cm="1">
        <f t="array" ref="D84">IFERROR(INDEX(PV_Totals_By_Item[#All], ROW()-1, COLUMN()), "")</f>
        <v/>
      </c>
      <c r="E84" s="1" t="str" cm="1">
        <f t="array" ref="E84">IFERROR(INDEX(PV_Totals_By_Item[#All], ROW()-1, COLUMN()), "")</f>
        <v/>
      </c>
      <c r="F84" s="1" t="str" cm="1">
        <f t="array" ref="F84">IFERROR(INDEX(PV_Totals_By_Item[#All], ROW()-1, COLUMN()), "")</f>
        <v/>
      </c>
      <c r="G84" s="1" t="str" cm="1">
        <f t="array" ref="G84">IFERROR(INDEX(PV_Totals_By_Item[#All], ROW()-1, COLUMN()), "")</f>
        <v/>
      </c>
      <c r="H84" s="1" t="str" cm="1">
        <f t="array" ref="H84">IFERROR(INDEX(PV_Totals_By_Item[#All], ROW()-1, COLUMN()), "")</f>
        <v/>
      </c>
      <c r="I84" s="1" t="str" cm="1">
        <f t="array" ref="I84">IFERROR(INDEX(PV_Totals_By_Item[#All], ROW()-1, COLUMN()), "")</f>
        <v/>
      </c>
      <c r="J84" s="1" t="str" cm="1">
        <f t="array" ref="J84">IFERROR(INDEX(PV_Totals_By_Item[#All], ROW()-1, COLUMN()), "")</f>
        <v/>
      </c>
    </row>
    <row r="85" spans="1:10">
      <c r="A85" s="1" t="str" cm="1">
        <f t="array" ref="A85">IFERROR(INDEX(PV_Totals_By_Item[#All], ROW()-1, COLUMN()), "")</f>
        <v/>
      </c>
      <c r="B85" s="5" t="str" cm="1">
        <f t="array" ref="B85">IFERROR(INDEX(PV_Totals_By_Item[#All], ROW()-1, COLUMN()), "")</f>
        <v/>
      </c>
      <c r="C85" s="5" t="str" cm="1">
        <f t="array" ref="C85">IFERROR(INDEX(PV_Totals_By_Item[#All], ROW()-1, COLUMN()), "")</f>
        <v/>
      </c>
      <c r="D85" s="1" t="str" cm="1">
        <f t="array" ref="D85">IFERROR(INDEX(PV_Totals_By_Item[#All], ROW()-1, COLUMN()), "")</f>
        <v/>
      </c>
      <c r="E85" s="1" t="str" cm="1">
        <f t="array" ref="E85">IFERROR(INDEX(PV_Totals_By_Item[#All], ROW()-1, COLUMN()), "")</f>
        <v/>
      </c>
      <c r="F85" s="1" t="str" cm="1">
        <f t="array" ref="F85">IFERROR(INDEX(PV_Totals_By_Item[#All], ROW()-1, COLUMN()), "")</f>
        <v/>
      </c>
      <c r="G85" s="1" t="str" cm="1">
        <f t="array" ref="G85">IFERROR(INDEX(PV_Totals_By_Item[#All], ROW()-1, COLUMN()), "")</f>
        <v/>
      </c>
      <c r="H85" s="1" t="str" cm="1">
        <f t="array" ref="H85">IFERROR(INDEX(PV_Totals_By_Item[#All], ROW()-1, COLUMN()), "")</f>
        <v/>
      </c>
      <c r="I85" s="1" t="str" cm="1">
        <f t="array" ref="I85">IFERROR(INDEX(PV_Totals_By_Item[#All], ROW()-1, COLUMN()), "")</f>
        <v/>
      </c>
      <c r="J85" s="1" t="str" cm="1">
        <f t="array" ref="J85">IFERROR(INDEX(PV_Totals_By_Item[#All], ROW()-1, COLUMN()), "")</f>
        <v/>
      </c>
    </row>
    <row r="86" spans="1:10">
      <c r="A86" s="1" t="str" cm="1">
        <f t="array" ref="A86">IFERROR(INDEX(PV_Totals_By_Item[#All], ROW()-1, COLUMN()), "")</f>
        <v/>
      </c>
      <c r="B86" s="5" t="str" cm="1">
        <f t="array" ref="B86">IFERROR(INDEX(PV_Totals_By_Item[#All], ROW()-1, COLUMN()), "")</f>
        <v/>
      </c>
      <c r="C86" s="5" t="str" cm="1">
        <f t="array" ref="C86">IFERROR(INDEX(PV_Totals_By_Item[#All], ROW()-1, COLUMN()), "")</f>
        <v/>
      </c>
      <c r="D86" s="1" t="str" cm="1">
        <f t="array" ref="D86">IFERROR(INDEX(PV_Totals_By_Item[#All], ROW()-1, COLUMN()), "")</f>
        <v/>
      </c>
      <c r="E86" s="1" t="str" cm="1">
        <f t="array" ref="E86">IFERROR(INDEX(PV_Totals_By_Item[#All], ROW()-1, COLUMN()), "")</f>
        <v/>
      </c>
      <c r="F86" s="1" t="str" cm="1">
        <f t="array" ref="F86">IFERROR(INDEX(PV_Totals_By_Item[#All], ROW()-1, COLUMN()), "")</f>
        <v/>
      </c>
      <c r="G86" s="1" t="str" cm="1">
        <f t="array" ref="G86">IFERROR(INDEX(PV_Totals_By_Item[#All], ROW()-1, COLUMN()), "")</f>
        <v/>
      </c>
      <c r="H86" s="1" t="str" cm="1">
        <f t="array" ref="H86">IFERROR(INDEX(PV_Totals_By_Item[#All], ROW()-1, COLUMN()), "")</f>
        <v/>
      </c>
      <c r="I86" s="1" t="str" cm="1">
        <f t="array" ref="I86">IFERROR(INDEX(PV_Totals_By_Item[#All], ROW()-1, COLUMN()), "")</f>
        <v/>
      </c>
      <c r="J86" s="1" t="str" cm="1">
        <f t="array" ref="J86">IFERROR(INDEX(PV_Totals_By_Item[#All], ROW()-1, COLUMN()), "")</f>
        <v/>
      </c>
    </row>
    <row r="87" spans="1:10">
      <c r="A87" s="1" t="str" cm="1">
        <f t="array" ref="A87">IFERROR(INDEX(PV_Totals_By_Item[#All], ROW()-1, COLUMN()), "")</f>
        <v/>
      </c>
      <c r="B87" s="5" t="str" cm="1">
        <f t="array" ref="B87">IFERROR(INDEX(PV_Totals_By_Item[#All], ROW()-1, COLUMN()), "")</f>
        <v/>
      </c>
      <c r="C87" s="5" t="str" cm="1">
        <f t="array" ref="C87">IFERROR(INDEX(PV_Totals_By_Item[#All], ROW()-1, COLUMN()), "")</f>
        <v/>
      </c>
      <c r="D87" s="1" t="str" cm="1">
        <f t="array" ref="D87">IFERROR(INDEX(PV_Totals_By_Item[#All], ROW()-1, COLUMN()), "")</f>
        <v/>
      </c>
      <c r="E87" s="1" t="str" cm="1">
        <f t="array" ref="E87">IFERROR(INDEX(PV_Totals_By_Item[#All], ROW()-1, COLUMN()), "")</f>
        <v/>
      </c>
      <c r="F87" s="1" t="str" cm="1">
        <f t="array" ref="F87">IFERROR(INDEX(PV_Totals_By_Item[#All], ROW()-1, COLUMN()), "")</f>
        <v/>
      </c>
      <c r="G87" s="1" t="str" cm="1">
        <f t="array" ref="G87">IFERROR(INDEX(PV_Totals_By_Item[#All], ROW()-1, COLUMN()), "")</f>
        <v/>
      </c>
      <c r="H87" s="1" t="str" cm="1">
        <f t="array" ref="H87">IFERROR(INDEX(PV_Totals_By_Item[#All], ROW()-1, COLUMN()), "")</f>
        <v/>
      </c>
      <c r="I87" s="1" t="str" cm="1">
        <f t="array" ref="I87">IFERROR(INDEX(PV_Totals_By_Item[#All], ROW()-1, COLUMN()), "")</f>
        <v/>
      </c>
      <c r="J87" s="1" t="str" cm="1">
        <f t="array" ref="J87">IFERROR(INDEX(PV_Totals_By_Item[#All], ROW()-1, COLUMN()), "")</f>
        <v/>
      </c>
    </row>
    <row r="88" spans="1:10">
      <c r="A88" s="1" t="str" cm="1">
        <f t="array" ref="A88">IFERROR(INDEX(PV_Totals_By_Item[#All], ROW()-1, COLUMN()), "")</f>
        <v/>
      </c>
      <c r="B88" s="5" t="str" cm="1">
        <f t="array" ref="B88">IFERROR(INDEX(PV_Totals_By_Item[#All], ROW()-1, COLUMN()), "")</f>
        <v/>
      </c>
      <c r="C88" s="5" t="str" cm="1">
        <f t="array" ref="C88">IFERROR(INDEX(PV_Totals_By_Item[#All], ROW()-1, COLUMN()), "")</f>
        <v/>
      </c>
      <c r="D88" s="1" t="str" cm="1">
        <f t="array" ref="D88">IFERROR(INDEX(PV_Totals_By_Item[#All], ROW()-1, COLUMN()), "")</f>
        <v/>
      </c>
      <c r="E88" s="1" t="str" cm="1">
        <f t="array" ref="E88">IFERROR(INDEX(PV_Totals_By_Item[#All], ROW()-1, COLUMN()), "")</f>
        <v/>
      </c>
      <c r="F88" s="1" t="str" cm="1">
        <f t="array" ref="F88">IFERROR(INDEX(PV_Totals_By_Item[#All], ROW()-1, COLUMN()), "")</f>
        <v/>
      </c>
      <c r="G88" s="1" t="str" cm="1">
        <f t="array" ref="G88">IFERROR(INDEX(PV_Totals_By_Item[#All], ROW()-1, COLUMN()), "")</f>
        <v/>
      </c>
      <c r="H88" s="1" t="str" cm="1">
        <f t="array" ref="H88">IFERROR(INDEX(PV_Totals_By_Item[#All], ROW()-1, COLUMN()), "")</f>
        <v/>
      </c>
      <c r="I88" s="1" t="str" cm="1">
        <f t="array" ref="I88">IFERROR(INDEX(PV_Totals_By_Item[#All], ROW()-1, COLUMN()), "")</f>
        <v/>
      </c>
      <c r="J88" s="1" t="str" cm="1">
        <f t="array" ref="J88">IFERROR(INDEX(PV_Totals_By_Item[#All], ROW()-1, COLUMN()), "")</f>
        <v/>
      </c>
    </row>
    <row r="89" spans="1:10">
      <c r="A89" s="1" t="str" cm="1">
        <f t="array" ref="A89">IFERROR(INDEX(PV_Totals_By_Item[#All], ROW()-1, COLUMN()), "")</f>
        <v/>
      </c>
      <c r="B89" s="5" t="str" cm="1">
        <f t="array" ref="B89">IFERROR(INDEX(PV_Totals_By_Item[#All], ROW()-1, COLUMN()), "")</f>
        <v/>
      </c>
      <c r="C89" s="5" t="str" cm="1">
        <f t="array" ref="C89">IFERROR(INDEX(PV_Totals_By_Item[#All], ROW()-1, COLUMN()), "")</f>
        <v/>
      </c>
      <c r="D89" s="1" t="str" cm="1">
        <f t="array" ref="D89">IFERROR(INDEX(PV_Totals_By_Item[#All], ROW()-1, COLUMN()), "")</f>
        <v/>
      </c>
      <c r="E89" s="1" t="str" cm="1">
        <f t="array" ref="E89">IFERROR(INDEX(PV_Totals_By_Item[#All], ROW()-1, COLUMN()), "")</f>
        <v/>
      </c>
      <c r="F89" s="1" t="str" cm="1">
        <f t="array" ref="F89">IFERROR(INDEX(PV_Totals_By_Item[#All], ROW()-1, COLUMN()), "")</f>
        <v/>
      </c>
      <c r="G89" s="1" t="str" cm="1">
        <f t="array" ref="G89">IFERROR(INDEX(PV_Totals_By_Item[#All], ROW()-1, COLUMN()), "")</f>
        <v/>
      </c>
      <c r="H89" s="1" t="str" cm="1">
        <f t="array" ref="H89">IFERROR(INDEX(PV_Totals_By_Item[#All], ROW()-1, COLUMN()), "")</f>
        <v/>
      </c>
      <c r="I89" s="1" t="str" cm="1">
        <f t="array" ref="I89">IFERROR(INDEX(PV_Totals_By_Item[#All], ROW()-1, COLUMN()), "")</f>
        <v/>
      </c>
      <c r="J89" s="1" t="str" cm="1">
        <f t="array" ref="J89">IFERROR(INDEX(PV_Totals_By_Item[#All], ROW()-1, COLUMN()), "")</f>
        <v/>
      </c>
    </row>
    <row r="90" spans="1:10">
      <c r="A90" s="1" t="str" cm="1">
        <f t="array" ref="A90">IFERROR(INDEX(PV_Totals_By_Item[#All], ROW()-1, COLUMN()), "")</f>
        <v/>
      </c>
      <c r="B90" s="5" t="str" cm="1">
        <f t="array" ref="B90">IFERROR(INDEX(PV_Totals_By_Item[#All], ROW()-1, COLUMN()), "")</f>
        <v/>
      </c>
      <c r="C90" s="5" t="str" cm="1">
        <f t="array" ref="C90">IFERROR(INDEX(PV_Totals_By_Item[#All], ROW()-1, COLUMN()), "")</f>
        <v/>
      </c>
      <c r="D90" s="1" t="str" cm="1">
        <f t="array" ref="D90">IFERROR(INDEX(PV_Totals_By_Item[#All], ROW()-1, COLUMN()), "")</f>
        <v/>
      </c>
      <c r="E90" s="1" t="str" cm="1">
        <f t="array" ref="E90">IFERROR(INDEX(PV_Totals_By_Item[#All], ROW()-1, COLUMN()), "")</f>
        <v/>
      </c>
      <c r="F90" s="1" t="str" cm="1">
        <f t="array" ref="F90">IFERROR(INDEX(PV_Totals_By_Item[#All], ROW()-1, COLUMN()), "")</f>
        <v/>
      </c>
      <c r="G90" s="1" t="str" cm="1">
        <f t="array" ref="G90">IFERROR(INDEX(PV_Totals_By_Item[#All], ROW()-1, COLUMN()), "")</f>
        <v/>
      </c>
      <c r="H90" s="1" t="str" cm="1">
        <f t="array" ref="H90">IFERROR(INDEX(PV_Totals_By_Item[#All], ROW()-1, COLUMN()), "")</f>
        <v/>
      </c>
      <c r="I90" s="1" t="str" cm="1">
        <f t="array" ref="I90">IFERROR(INDEX(PV_Totals_By_Item[#All], ROW()-1, COLUMN()), "")</f>
        <v/>
      </c>
      <c r="J90" s="1" t="str" cm="1">
        <f t="array" ref="J90">IFERROR(INDEX(PV_Totals_By_Item[#All], ROW()-1, COLUMN()), "")</f>
        <v/>
      </c>
    </row>
    <row r="91" spans="1:10">
      <c r="A91" s="1" t="str" cm="1">
        <f t="array" ref="A91">IFERROR(INDEX(PV_Totals_By_Item[#All], ROW()-1, COLUMN()), "")</f>
        <v/>
      </c>
      <c r="B91" s="5" t="str" cm="1">
        <f t="array" ref="B91">IFERROR(INDEX(PV_Totals_By_Item[#All], ROW()-1, COLUMN()), "")</f>
        <v/>
      </c>
      <c r="C91" s="5" t="str" cm="1">
        <f t="array" ref="C91">IFERROR(INDEX(PV_Totals_By_Item[#All], ROW()-1, COLUMN()), "")</f>
        <v/>
      </c>
      <c r="D91" s="1" t="str" cm="1">
        <f t="array" ref="D91">IFERROR(INDEX(PV_Totals_By_Item[#All], ROW()-1, COLUMN()), "")</f>
        <v/>
      </c>
      <c r="E91" s="1" t="str" cm="1">
        <f t="array" ref="E91">IFERROR(INDEX(PV_Totals_By_Item[#All], ROW()-1, COLUMN()), "")</f>
        <v/>
      </c>
      <c r="F91" s="1" t="str" cm="1">
        <f t="array" ref="F91">IFERROR(INDEX(PV_Totals_By_Item[#All], ROW()-1, COLUMN()), "")</f>
        <v/>
      </c>
      <c r="G91" s="1" t="str" cm="1">
        <f t="array" ref="G91">IFERROR(INDEX(PV_Totals_By_Item[#All], ROW()-1, COLUMN()), "")</f>
        <v/>
      </c>
      <c r="H91" s="1" t="str" cm="1">
        <f t="array" ref="H91">IFERROR(INDEX(PV_Totals_By_Item[#All], ROW()-1, COLUMN()), "")</f>
        <v/>
      </c>
      <c r="I91" s="1" t="str" cm="1">
        <f t="array" ref="I91">IFERROR(INDEX(PV_Totals_By_Item[#All], ROW()-1, COLUMN()), "")</f>
        <v/>
      </c>
      <c r="J91" s="1" t="str" cm="1">
        <f t="array" ref="J91">IFERROR(INDEX(PV_Totals_By_Item[#All], ROW()-1, COLUMN()), "")</f>
        <v/>
      </c>
    </row>
    <row r="92" spans="1:10">
      <c r="A92" s="1" t="str" cm="1">
        <f t="array" ref="A92">IFERROR(INDEX(PV_Totals_By_Item[#All], ROW()-1, COLUMN()), "")</f>
        <v/>
      </c>
      <c r="B92" s="5" t="str" cm="1">
        <f t="array" ref="B92">IFERROR(INDEX(PV_Totals_By_Item[#All], ROW()-1, COLUMN()), "")</f>
        <v/>
      </c>
      <c r="C92" s="5" t="str" cm="1">
        <f t="array" ref="C92">IFERROR(INDEX(PV_Totals_By_Item[#All], ROW()-1, COLUMN()), "")</f>
        <v/>
      </c>
      <c r="D92" s="1" t="str" cm="1">
        <f t="array" ref="D92">IFERROR(INDEX(PV_Totals_By_Item[#All], ROW()-1, COLUMN()), "")</f>
        <v/>
      </c>
      <c r="E92" s="1" t="str" cm="1">
        <f t="array" ref="E92">IFERROR(INDEX(PV_Totals_By_Item[#All], ROW()-1, COLUMN()), "")</f>
        <v/>
      </c>
      <c r="F92" s="1" t="str" cm="1">
        <f t="array" ref="F92">IFERROR(INDEX(PV_Totals_By_Item[#All], ROW()-1, COLUMN()), "")</f>
        <v/>
      </c>
      <c r="G92" s="1" t="str" cm="1">
        <f t="array" ref="G92">IFERROR(INDEX(PV_Totals_By_Item[#All], ROW()-1, COLUMN()), "")</f>
        <v/>
      </c>
      <c r="H92" s="1" t="str" cm="1">
        <f t="array" ref="H92">IFERROR(INDEX(PV_Totals_By_Item[#All], ROW()-1, COLUMN()), "")</f>
        <v/>
      </c>
      <c r="I92" s="1" t="str" cm="1">
        <f t="array" ref="I92">IFERROR(INDEX(PV_Totals_By_Item[#All], ROW()-1, COLUMN()), "")</f>
        <v/>
      </c>
      <c r="J92" s="1" t="str" cm="1">
        <f t="array" ref="J92">IFERROR(INDEX(PV_Totals_By_Item[#All], ROW()-1, COLUMN()), "")</f>
        <v/>
      </c>
    </row>
    <row r="93" spans="1:10">
      <c r="A93" s="1" t="str" cm="1">
        <f t="array" ref="A93">IFERROR(INDEX(PV_Totals_By_Item[#All], ROW()-1, COLUMN()), "")</f>
        <v/>
      </c>
      <c r="B93" s="5" t="str" cm="1">
        <f t="array" ref="B93">IFERROR(INDEX(PV_Totals_By_Item[#All], ROW()-1, COLUMN()), "")</f>
        <v/>
      </c>
      <c r="C93" s="5" t="str" cm="1">
        <f t="array" ref="C93">IFERROR(INDEX(PV_Totals_By_Item[#All], ROW()-1, COLUMN()), "")</f>
        <v/>
      </c>
      <c r="D93" s="1" t="str" cm="1">
        <f t="array" ref="D93">IFERROR(INDEX(PV_Totals_By_Item[#All], ROW()-1, COLUMN()), "")</f>
        <v/>
      </c>
      <c r="E93" s="1" t="str" cm="1">
        <f t="array" ref="E93">IFERROR(INDEX(PV_Totals_By_Item[#All], ROW()-1, COLUMN()), "")</f>
        <v/>
      </c>
      <c r="F93" s="1" t="str" cm="1">
        <f t="array" ref="F93">IFERROR(INDEX(PV_Totals_By_Item[#All], ROW()-1, COLUMN()), "")</f>
        <v/>
      </c>
      <c r="G93" s="1" t="str" cm="1">
        <f t="array" ref="G93">IFERROR(INDEX(PV_Totals_By_Item[#All], ROW()-1, COLUMN()), "")</f>
        <v/>
      </c>
      <c r="H93" s="1" t="str" cm="1">
        <f t="array" ref="H93">IFERROR(INDEX(PV_Totals_By_Item[#All], ROW()-1, COLUMN()), "")</f>
        <v/>
      </c>
      <c r="I93" s="1" t="str" cm="1">
        <f t="array" ref="I93">IFERROR(INDEX(PV_Totals_By_Item[#All], ROW()-1, COLUMN()), "")</f>
        <v/>
      </c>
      <c r="J93" s="1" t="str" cm="1">
        <f t="array" ref="J93">IFERROR(INDEX(PV_Totals_By_Item[#All], ROW()-1, COLUMN()), "")</f>
        <v/>
      </c>
    </row>
    <row r="94" spans="1:10">
      <c r="A94" s="1" t="str" cm="1">
        <f t="array" ref="A94">IFERROR(INDEX(PV_Totals_By_Item[#All], ROW()-1, COLUMN()), "")</f>
        <v/>
      </c>
      <c r="B94" s="5" t="str" cm="1">
        <f t="array" ref="B94">IFERROR(INDEX(PV_Totals_By_Item[#All], ROW()-1, COLUMN()), "")</f>
        <v/>
      </c>
      <c r="C94" s="5" t="str" cm="1">
        <f t="array" ref="C94">IFERROR(INDEX(PV_Totals_By_Item[#All], ROW()-1, COLUMN()), "")</f>
        <v/>
      </c>
      <c r="D94" s="1" t="str" cm="1">
        <f t="array" ref="D94">IFERROR(INDEX(PV_Totals_By_Item[#All], ROW()-1, COLUMN()), "")</f>
        <v/>
      </c>
      <c r="E94" s="1" t="str" cm="1">
        <f t="array" ref="E94">IFERROR(INDEX(PV_Totals_By_Item[#All], ROW()-1, COLUMN()), "")</f>
        <v/>
      </c>
      <c r="F94" s="1" t="str" cm="1">
        <f t="array" ref="F94">IFERROR(INDEX(PV_Totals_By_Item[#All], ROW()-1, COLUMN()), "")</f>
        <v/>
      </c>
      <c r="G94" s="1" t="str" cm="1">
        <f t="array" ref="G94">IFERROR(INDEX(PV_Totals_By_Item[#All], ROW()-1, COLUMN()), "")</f>
        <v/>
      </c>
      <c r="H94" s="1" t="str" cm="1">
        <f t="array" ref="H94">IFERROR(INDEX(PV_Totals_By_Item[#All], ROW()-1, COLUMN()), "")</f>
        <v/>
      </c>
      <c r="I94" s="1" t="str" cm="1">
        <f t="array" ref="I94">IFERROR(INDEX(PV_Totals_By_Item[#All], ROW()-1, COLUMN()), "")</f>
        <v/>
      </c>
      <c r="J94" s="1" t="str" cm="1">
        <f t="array" ref="J94">IFERROR(INDEX(PV_Totals_By_Item[#All], ROW()-1, COLUMN()), "")</f>
        <v/>
      </c>
    </row>
    <row r="95" spans="1:10">
      <c r="A95" s="1" t="str" cm="1">
        <f t="array" ref="A95">IFERROR(INDEX(PV_Totals_By_Item[#All], ROW()-1, COLUMN()), "")</f>
        <v/>
      </c>
      <c r="B95" s="5" t="str" cm="1">
        <f t="array" ref="B95">IFERROR(INDEX(PV_Totals_By_Item[#All], ROW()-1, COLUMN()), "")</f>
        <v/>
      </c>
      <c r="C95" s="5" t="str" cm="1">
        <f t="array" ref="C95">IFERROR(INDEX(PV_Totals_By_Item[#All], ROW()-1, COLUMN()), "")</f>
        <v/>
      </c>
      <c r="D95" s="1" t="str" cm="1">
        <f t="array" ref="D95">IFERROR(INDEX(PV_Totals_By_Item[#All], ROW()-1, COLUMN()), "")</f>
        <v/>
      </c>
      <c r="E95" s="1" t="str" cm="1">
        <f t="array" ref="E95">IFERROR(INDEX(PV_Totals_By_Item[#All], ROW()-1, COLUMN()), "")</f>
        <v/>
      </c>
      <c r="F95" s="1" t="str" cm="1">
        <f t="array" ref="F95">IFERROR(INDEX(PV_Totals_By_Item[#All], ROW()-1, COLUMN()), "")</f>
        <v/>
      </c>
      <c r="G95" s="1" t="str" cm="1">
        <f t="array" ref="G95">IFERROR(INDEX(PV_Totals_By_Item[#All], ROW()-1, COLUMN()), "")</f>
        <v/>
      </c>
      <c r="H95" s="1" t="str" cm="1">
        <f t="array" ref="H95">IFERROR(INDEX(PV_Totals_By_Item[#All], ROW()-1, COLUMN()), "")</f>
        <v/>
      </c>
      <c r="I95" s="1" t="str" cm="1">
        <f t="array" ref="I95">IFERROR(INDEX(PV_Totals_By_Item[#All], ROW()-1, COLUMN()), "")</f>
        <v/>
      </c>
      <c r="J95" s="1" t="str" cm="1">
        <f t="array" ref="J95">IFERROR(INDEX(PV_Totals_By_Item[#All], ROW()-1, COLUMN()), "")</f>
        <v/>
      </c>
    </row>
    <row r="96" spans="1:10">
      <c r="A96" s="1" t="str" cm="1">
        <f t="array" ref="A96">IFERROR(INDEX(PV_Totals_By_Item[#All], ROW()-1, COLUMN()), "")</f>
        <v/>
      </c>
      <c r="B96" s="5" t="str" cm="1">
        <f t="array" ref="B96">IFERROR(INDEX(PV_Totals_By_Item[#All], ROW()-1, COLUMN()), "")</f>
        <v/>
      </c>
      <c r="C96" s="5" t="str" cm="1">
        <f t="array" ref="C96">IFERROR(INDEX(PV_Totals_By_Item[#All], ROW()-1, COLUMN()), "")</f>
        <v/>
      </c>
      <c r="D96" s="1" t="str" cm="1">
        <f t="array" ref="D96">IFERROR(INDEX(PV_Totals_By_Item[#All], ROW()-1, COLUMN()), "")</f>
        <v/>
      </c>
      <c r="E96" s="1" t="str" cm="1">
        <f t="array" ref="E96">IFERROR(INDEX(PV_Totals_By_Item[#All], ROW()-1, COLUMN()), "")</f>
        <v/>
      </c>
      <c r="F96" s="1" t="str" cm="1">
        <f t="array" ref="F96">IFERROR(INDEX(PV_Totals_By_Item[#All], ROW()-1, COLUMN()), "")</f>
        <v/>
      </c>
      <c r="G96" s="1" t="str" cm="1">
        <f t="array" ref="G96">IFERROR(INDEX(PV_Totals_By_Item[#All], ROW()-1, COLUMN()), "")</f>
        <v/>
      </c>
      <c r="H96" s="1" t="str" cm="1">
        <f t="array" ref="H96">IFERROR(INDEX(PV_Totals_By_Item[#All], ROW()-1, COLUMN()), "")</f>
        <v/>
      </c>
      <c r="I96" s="1" t="str" cm="1">
        <f t="array" ref="I96">IFERROR(INDEX(PV_Totals_By_Item[#All], ROW()-1, COLUMN()), "")</f>
        <v/>
      </c>
      <c r="J96" s="1" t="str" cm="1">
        <f t="array" ref="J96">IFERROR(INDEX(PV_Totals_By_Item[#All], ROW()-1, COLUMN()), "")</f>
        <v/>
      </c>
    </row>
    <row r="97" spans="1:10">
      <c r="A97" s="1" t="str" cm="1">
        <f t="array" ref="A97">IFERROR(INDEX(PV_Totals_By_Item[#All], ROW()-1, COLUMN()), "")</f>
        <v/>
      </c>
      <c r="B97" s="5" t="str" cm="1">
        <f t="array" ref="B97">IFERROR(INDEX(PV_Totals_By_Item[#All], ROW()-1, COLUMN()), "")</f>
        <v/>
      </c>
      <c r="C97" s="5" t="str" cm="1">
        <f t="array" ref="C97">IFERROR(INDEX(PV_Totals_By_Item[#All], ROW()-1, COLUMN()), "")</f>
        <v/>
      </c>
      <c r="D97" s="1" t="str" cm="1">
        <f t="array" ref="D97">IFERROR(INDEX(PV_Totals_By_Item[#All], ROW()-1, COLUMN()), "")</f>
        <v/>
      </c>
      <c r="E97" s="1" t="str" cm="1">
        <f t="array" ref="E97">IFERROR(INDEX(PV_Totals_By_Item[#All], ROW()-1, COLUMN()), "")</f>
        <v/>
      </c>
      <c r="F97" s="1" t="str" cm="1">
        <f t="array" ref="F97">IFERROR(INDEX(PV_Totals_By_Item[#All], ROW()-1, COLUMN()), "")</f>
        <v/>
      </c>
      <c r="G97" s="1" t="str" cm="1">
        <f t="array" ref="G97">IFERROR(INDEX(PV_Totals_By_Item[#All], ROW()-1, COLUMN()), "")</f>
        <v/>
      </c>
      <c r="H97" s="1" t="str" cm="1">
        <f t="array" ref="H97">IFERROR(INDEX(PV_Totals_By_Item[#All], ROW()-1, COLUMN()), "")</f>
        <v/>
      </c>
      <c r="I97" s="1" t="str" cm="1">
        <f t="array" ref="I97">IFERROR(INDEX(PV_Totals_By_Item[#All], ROW()-1, COLUMN()), "")</f>
        <v/>
      </c>
      <c r="J97" s="1" t="str" cm="1">
        <f t="array" ref="J97">IFERROR(INDEX(PV_Totals_By_Item[#All], ROW()-1, COLUMN()), "")</f>
        <v/>
      </c>
    </row>
    <row r="98" spans="1:10">
      <c r="A98" s="1" t="str" cm="1">
        <f t="array" ref="A98">IFERROR(INDEX(PV_Totals_By_Item[#All], ROW()-1, COLUMN()), "")</f>
        <v/>
      </c>
      <c r="B98" s="5" t="str" cm="1">
        <f t="array" ref="B98">IFERROR(INDEX(PV_Totals_By_Item[#All], ROW()-1, COLUMN()), "")</f>
        <v/>
      </c>
      <c r="C98" s="5" t="str" cm="1">
        <f t="array" ref="C98">IFERROR(INDEX(PV_Totals_By_Item[#All], ROW()-1, COLUMN()), "")</f>
        <v/>
      </c>
      <c r="D98" s="1" t="str" cm="1">
        <f t="array" ref="D98">IFERROR(INDEX(PV_Totals_By_Item[#All], ROW()-1, COLUMN()), "")</f>
        <v/>
      </c>
      <c r="E98" s="1" t="str" cm="1">
        <f t="array" ref="E98">IFERROR(INDEX(PV_Totals_By_Item[#All], ROW()-1, COLUMN()), "")</f>
        <v/>
      </c>
      <c r="F98" s="1" t="str" cm="1">
        <f t="array" ref="F98">IFERROR(INDEX(PV_Totals_By_Item[#All], ROW()-1, COLUMN()), "")</f>
        <v/>
      </c>
      <c r="G98" s="1" t="str" cm="1">
        <f t="array" ref="G98">IFERROR(INDEX(PV_Totals_By_Item[#All], ROW()-1, COLUMN()), "")</f>
        <v/>
      </c>
      <c r="H98" s="1" t="str" cm="1">
        <f t="array" ref="H98">IFERROR(INDEX(PV_Totals_By_Item[#All], ROW()-1, COLUMN()), "")</f>
        <v/>
      </c>
      <c r="I98" s="1" t="str" cm="1">
        <f t="array" ref="I98">IFERROR(INDEX(PV_Totals_By_Item[#All], ROW()-1, COLUMN()), "")</f>
        <v/>
      </c>
      <c r="J98" s="1" t="str" cm="1">
        <f t="array" ref="J98">IFERROR(INDEX(PV_Totals_By_Item[#All], ROW()-1, COLUMN()), "")</f>
        <v/>
      </c>
    </row>
    <row r="99" spans="1:10">
      <c r="A99" s="1" t="str" cm="1">
        <f t="array" ref="A99">IFERROR(INDEX(PV_Totals_By_Item[#All], ROW()-1, COLUMN()), "")</f>
        <v/>
      </c>
      <c r="B99" s="5" t="str" cm="1">
        <f t="array" ref="B99">IFERROR(INDEX(PV_Totals_By_Item[#All], ROW()-1, COLUMN()), "")</f>
        <v/>
      </c>
      <c r="C99" s="5" t="str" cm="1">
        <f t="array" ref="C99">IFERROR(INDEX(PV_Totals_By_Item[#All], ROW()-1, COLUMN()), "")</f>
        <v/>
      </c>
      <c r="D99" s="1" t="str" cm="1">
        <f t="array" ref="D99">IFERROR(INDEX(PV_Totals_By_Item[#All], ROW()-1, COLUMN()), "")</f>
        <v/>
      </c>
      <c r="E99" s="1" t="str" cm="1">
        <f t="array" ref="E99">IFERROR(INDEX(PV_Totals_By_Item[#All], ROW()-1, COLUMN()), "")</f>
        <v/>
      </c>
      <c r="F99" s="1" t="str" cm="1">
        <f t="array" ref="F99">IFERROR(INDEX(PV_Totals_By_Item[#All], ROW()-1, COLUMN()), "")</f>
        <v/>
      </c>
      <c r="G99" s="1" t="str" cm="1">
        <f t="array" ref="G99">IFERROR(INDEX(PV_Totals_By_Item[#All], ROW()-1, COLUMN()), "")</f>
        <v/>
      </c>
      <c r="H99" s="1" t="str" cm="1">
        <f t="array" ref="H99">IFERROR(INDEX(PV_Totals_By_Item[#All], ROW()-1, COLUMN()), "")</f>
        <v/>
      </c>
      <c r="I99" s="1" t="str" cm="1">
        <f t="array" ref="I99">IFERROR(INDEX(PV_Totals_By_Item[#All], ROW()-1, COLUMN()), "")</f>
        <v/>
      </c>
      <c r="J99" s="1" t="str" cm="1">
        <f t="array" ref="J99">IFERROR(INDEX(PV_Totals_By_Item[#All], ROW()-1, COLUMN()), "")</f>
        <v/>
      </c>
    </row>
    <row r="100" spans="1:10">
      <c r="A100" s="1" t="str" cm="1">
        <f t="array" ref="A100">IFERROR(INDEX(PV_Totals_By_Item[#All], ROW()-1, COLUMN()), "")</f>
        <v/>
      </c>
      <c r="B100" s="5" t="str" cm="1">
        <f t="array" ref="B100">IFERROR(INDEX(PV_Totals_By_Item[#All], ROW()-1, COLUMN()), "")</f>
        <v/>
      </c>
      <c r="C100" s="5" t="str" cm="1">
        <f t="array" ref="C100">IFERROR(INDEX(PV_Totals_By_Item[#All], ROW()-1, COLUMN()), "")</f>
        <v/>
      </c>
      <c r="D100" s="1" t="str" cm="1">
        <f t="array" ref="D100">IFERROR(INDEX(PV_Totals_By_Item[#All], ROW()-1, COLUMN()), "")</f>
        <v/>
      </c>
      <c r="E100" s="1" t="str" cm="1">
        <f t="array" ref="E100">IFERROR(INDEX(PV_Totals_By_Item[#All], ROW()-1, COLUMN()), "")</f>
        <v/>
      </c>
      <c r="F100" s="1" t="str" cm="1">
        <f t="array" ref="F100">IFERROR(INDEX(PV_Totals_By_Item[#All], ROW()-1, COLUMN()), "")</f>
        <v/>
      </c>
      <c r="G100" s="1" t="str" cm="1">
        <f t="array" ref="G100">IFERROR(INDEX(PV_Totals_By_Item[#All], ROW()-1, COLUMN()), "")</f>
        <v/>
      </c>
      <c r="H100" s="1" t="str" cm="1">
        <f t="array" ref="H100">IFERROR(INDEX(PV_Totals_By_Item[#All], ROW()-1, COLUMN()), "")</f>
        <v/>
      </c>
      <c r="I100" s="1" t="str" cm="1">
        <f t="array" ref="I100">IFERROR(INDEX(PV_Totals_By_Item[#All], ROW()-1, COLUMN()), "")</f>
        <v/>
      </c>
      <c r="J100" s="1" t="str" cm="1">
        <f t="array" ref="J100">IFERROR(INDEX(PV_Totals_By_Item[#All], ROW()-1, COLUMN()), "")</f>
        <v/>
      </c>
    </row>
    <row r="101" spans="1:10">
      <c r="A101" s="1" t="str" cm="1">
        <f t="array" ref="A101">IFERROR(INDEX(PV_Totals_By_Item[#All], ROW()-1, COLUMN()), "")</f>
        <v/>
      </c>
      <c r="B101" s="5" t="str" cm="1">
        <f t="array" ref="B101">IFERROR(INDEX(PV_Totals_By_Item[#All], ROW()-1, COLUMN()), "")</f>
        <v/>
      </c>
      <c r="C101" s="5" t="str" cm="1">
        <f t="array" ref="C101">IFERROR(INDEX(PV_Totals_By_Item[#All], ROW()-1, COLUMN()), "")</f>
        <v/>
      </c>
      <c r="D101" s="1" t="str" cm="1">
        <f t="array" ref="D101">IFERROR(INDEX(PV_Totals_By_Item[#All], ROW()-1, COLUMN()), "")</f>
        <v/>
      </c>
      <c r="E101" s="1" t="str" cm="1">
        <f t="array" ref="E101">IFERROR(INDEX(PV_Totals_By_Item[#All], ROW()-1, COLUMN()), "")</f>
        <v/>
      </c>
      <c r="F101" s="1" t="str" cm="1">
        <f t="array" ref="F101">IFERROR(INDEX(PV_Totals_By_Item[#All], ROW()-1, COLUMN()), "")</f>
        <v/>
      </c>
      <c r="G101" s="1" t="str" cm="1">
        <f t="array" ref="G101">IFERROR(INDEX(PV_Totals_By_Item[#All], ROW()-1, COLUMN()), "")</f>
        <v/>
      </c>
      <c r="H101" s="1" t="str" cm="1">
        <f t="array" ref="H101">IFERROR(INDEX(PV_Totals_By_Item[#All], ROW()-1, COLUMN()), "")</f>
        <v/>
      </c>
      <c r="I101" s="1" t="str" cm="1">
        <f t="array" ref="I101">IFERROR(INDEX(PV_Totals_By_Item[#All], ROW()-1, COLUMN()), "")</f>
        <v/>
      </c>
      <c r="J101" s="1" t="str" cm="1">
        <f t="array" ref="J101">IFERROR(INDEX(PV_Totals_By_Item[#All], ROW()-1, COLUMN()), "")</f>
        <v/>
      </c>
    </row>
    <row r="102" spans="1:10">
      <c r="A102" s="1" t="str" cm="1">
        <f t="array" ref="A102">IFERROR(INDEX(PV_Totals_By_Item[#All], ROW()-1, COLUMN()), "")</f>
        <v/>
      </c>
      <c r="B102" s="5" t="str" cm="1">
        <f t="array" ref="B102">IFERROR(INDEX(PV_Totals_By_Item[#All], ROW()-1, COLUMN()), "")</f>
        <v/>
      </c>
      <c r="C102" s="5" t="str" cm="1">
        <f t="array" ref="C102">IFERROR(INDEX(PV_Totals_By_Item[#All], ROW()-1, COLUMN()), "")</f>
        <v/>
      </c>
      <c r="D102" s="1" t="str" cm="1">
        <f t="array" ref="D102">IFERROR(INDEX(PV_Totals_By_Item[#All], ROW()-1, COLUMN()), "")</f>
        <v/>
      </c>
      <c r="E102" s="1" t="str" cm="1">
        <f t="array" ref="E102">IFERROR(INDEX(PV_Totals_By_Item[#All], ROW()-1, COLUMN()), "")</f>
        <v/>
      </c>
      <c r="F102" s="1" t="str" cm="1">
        <f t="array" ref="F102">IFERROR(INDEX(PV_Totals_By_Item[#All], ROW()-1, COLUMN()), "")</f>
        <v/>
      </c>
      <c r="G102" s="1" t="str" cm="1">
        <f t="array" ref="G102">IFERROR(INDEX(PV_Totals_By_Item[#All], ROW()-1, COLUMN()), "")</f>
        <v/>
      </c>
      <c r="H102" s="1" t="str" cm="1">
        <f t="array" ref="H102">IFERROR(INDEX(PV_Totals_By_Item[#All], ROW()-1, COLUMN()), "")</f>
        <v/>
      </c>
      <c r="I102" s="1" t="str" cm="1">
        <f t="array" ref="I102">IFERROR(INDEX(PV_Totals_By_Item[#All], ROW()-1, COLUMN()), "")</f>
        <v/>
      </c>
      <c r="J102" s="1" t="str" cm="1">
        <f t="array" ref="J102">IFERROR(INDEX(PV_Totals_By_Item[#All], ROW()-1, COLUMN()), "")</f>
        <v/>
      </c>
    </row>
    <row r="103" spans="1:10">
      <c r="A103" s="1" t="str" cm="1">
        <f t="array" ref="A103">IFERROR(INDEX(PV_Totals_By_Item[#All], ROW()-1, COLUMN()), "")</f>
        <v/>
      </c>
      <c r="B103" s="5" t="str" cm="1">
        <f t="array" ref="B103">IFERROR(INDEX(PV_Totals_By_Item[#All], ROW()-1, COLUMN()), "")</f>
        <v/>
      </c>
      <c r="C103" s="5" t="str" cm="1">
        <f t="array" ref="C103">IFERROR(INDEX(PV_Totals_By_Item[#All], ROW()-1, COLUMN()), "")</f>
        <v/>
      </c>
      <c r="D103" s="1" t="str" cm="1">
        <f t="array" ref="D103">IFERROR(INDEX(PV_Totals_By_Item[#All], ROW()-1, COLUMN()), "")</f>
        <v/>
      </c>
      <c r="E103" s="1" t="str" cm="1">
        <f t="array" ref="E103">IFERROR(INDEX(PV_Totals_By_Item[#All], ROW()-1, COLUMN()), "")</f>
        <v/>
      </c>
      <c r="F103" s="1" t="str" cm="1">
        <f t="array" ref="F103">IFERROR(INDEX(PV_Totals_By_Item[#All], ROW()-1, COLUMN()), "")</f>
        <v/>
      </c>
      <c r="G103" s="1" t="str" cm="1">
        <f t="array" ref="G103">IFERROR(INDEX(PV_Totals_By_Item[#All], ROW()-1, COLUMN()), "")</f>
        <v/>
      </c>
      <c r="H103" s="1" t="str" cm="1">
        <f t="array" ref="H103">IFERROR(INDEX(PV_Totals_By_Item[#All], ROW()-1, COLUMN()), "")</f>
        <v/>
      </c>
      <c r="I103" s="1" t="str" cm="1">
        <f t="array" ref="I103">IFERROR(INDEX(PV_Totals_By_Item[#All], ROW()-1, COLUMN()), "")</f>
        <v/>
      </c>
      <c r="J103" s="1" t="str" cm="1">
        <f t="array" ref="J103">IFERROR(INDEX(PV_Totals_By_Item[#All], ROW()-1, COLUMN()), "")</f>
        <v/>
      </c>
    </row>
    <row r="104" spans="1:10">
      <c r="A104" s="1" t="str" cm="1">
        <f t="array" ref="A104">IFERROR(INDEX(PV_Totals_By_Item[#All], ROW()-1, COLUMN()), "")</f>
        <v/>
      </c>
      <c r="B104" s="5" t="str" cm="1">
        <f t="array" ref="B104">IFERROR(INDEX(PV_Totals_By_Item[#All], ROW()-1, COLUMN()), "")</f>
        <v/>
      </c>
      <c r="C104" s="5" t="str" cm="1">
        <f t="array" ref="C104">IFERROR(INDEX(PV_Totals_By_Item[#All], ROW()-1, COLUMN()), "")</f>
        <v/>
      </c>
      <c r="D104" s="1" t="str" cm="1">
        <f t="array" ref="D104">IFERROR(INDEX(PV_Totals_By_Item[#All], ROW()-1, COLUMN()), "")</f>
        <v/>
      </c>
      <c r="E104" s="1" t="str" cm="1">
        <f t="array" ref="E104">IFERROR(INDEX(PV_Totals_By_Item[#All], ROW()-1, COLUMN()), "")</f>
        <v/>
      </c>
      <c r="F104" s="1" t="str" cm="1">
        <f t="array" ref="F104">IFERROR(INDEX(PV_Totals_By_Item[#All], ROW()-1, COLUMN()), "")</f>
        <v/>
      </c>
      <c r="G104" s="1" t="str" cm="1">
        <f t="array" ref="G104">IFERROR(INDEX(PV_Totals_By_Item[#All], ROW()-1, COLUMN()), "")</f>
        <v/>
      </c>
      <c r="H104" s="1" t="str" cm="1">
        <f t="array" ref="H104">IFERROR(INDEX(PV_Totals_By_Item[#All], ROW()-1, COLUMN()), "")</f>
        <v/>
      </c>
      <c r="I104" s="1" t="str" cm="1">
        <f t="array" ref="I104">IFERROR(INDEX(PV_Totals_By_Item[#All], ROW()-1, COLUMN()), "")</f>
        <v/>
      </c>
      <c r="J104" s="1" t="str" cm="1">
        <f t="array" ref="J104">IFERROR(INDEX(PV_Totals_By_Item[#All], ROW()-1, COLUMN()), "")</f>
        <v/>
      </c>
    </row>
    <row r="105" spans="1:10">
      <c r="A105" s="1" t="str" cm="1">
        <f t="array" ref="A105">IFERROR(INDEX(PV_Totals_By_Item[#All], ROW()-1, COLUMN()), "")</f>
        <v/>
      </c>
      <c r="B105" s="5" t="str" cm="1">
        <f t="array" ref="B105">IFERROR(INDEX(PV_Totals_By_Item[#All], ROW()-1, COLUMN()), "")</f>
        <v/>
      </c>
      <c r="C105" s="5" t="str" cm="1">
        <f t="array" ref="C105">IFERROR(INDEX(PV_Totals_By_Item[#All], ROW()-1, COLUMN()), "")</f>
        <v/>
      </c>
      <c r="D105" s="1" t="str" cm="1">
        <f t="array" ref="D105">IFERROR(INDEX(PV_Totals_By_Item[#All], ROW()-1, COLUMN()), "")</f>
        <v/>
      </c>
      <c r="E105" s="1" t="str" cm="1">
        <f t="array" ref="E105">IFERROR(INDEX(PV_Totals_By_Item[#All], ROW()-1, COLUMN()), "")</f>
        <v/>
      </c>
      <c r="F105" s="1" t="str" cm="1">
        <f t="array" ref="F105">IFERROR(INDEX(PV_Totals_By_Item[#All], ROW()-1, COLUMN()), "")</f>
        <v/>
      </c>
      <c r="G105" s="1" t="str" cm="1">
        <f t="array" ref="G105">IFERROR(INDEX(PV_Totals_By_Item[#All], ROW()-1, COLUMN()), "")</f>
        <v/>
      </c>
      <c r="H105" s="1" t="str" cm="1">
        <f t="array" ref="H105">IFERROR(INDEX(PV_Totals_By_Item[#All], ROW()-1, COLUMN()), "")</f>
        <v/>
      </c>
      <c r="I105" s="1" t="str" cm="1">
        <f t="array" ref="I105">IFERROR(INDEX(PV_Totals_By_Item[#All], ROW()-1, COLUMN()), "")</f>
        <v/>
      </c>
      <c r="J105" s="1" t="str" cm="1">
        <f t="array" ref="J105">IFERROR(INDEX(PV_Totals_By_Item[#All], ROW()-1, COLUMN()), "")</f>
        <v/>
      </c>
    </row>
    <row r="106" spans="1:10">
      <c r="A106" s="1" t="str" cm="1">
        <f t="array" ref="A106">IFERROR(INDEX(PV_Totals_By_Item[#All], ROW()-1, COLUMN()), "")</f>
        <v/>
      </c>
      <c r="B106" s="5" t="str" cm="1">
        <f t="array" ref="B106">IFERROR(INDEX(PV_Totals_By_Item[#All], ROW()-1, COLUMN()), "")</f>
        <v/>
      </c>
      <c r="C106" s="5" t="str" cm="1">
        <f t="array" ref="C106">IFERROR(INDEX(PV_Totals_By_Item[#All], ROW()-1, COLUMN()), "")</f>
        <v/>
      </c>
      <c r="D106" s="1" t="str" cm="1">
        <f t="array" ref="D106">IFERROR(INDEX(PV_Totals_By_Item[#All], ROW()-1, COLUMN()), "")</f>
        <v/>
      </c>
      <c r="E106" s="1" t="str" cm="1">
        <f t="array" ref="E106">IFERROR(INDEX(PV_Totals_By_Item[#All], ROW()-1, COLUMN()), "")</f>
        <v/>
      </c>
      <c r="F106" s="1" t="str" cm="1">
        <f t="array" ref="F106">IFERROR(INDEX(PV_Totals_By_Item[#All], ROW()-1, COLUMN()), "")</f>
        <v/>
      </c>
      <c r="G106" s="1" t="str" cm="1">
        <f t="array" ref="G106">IFERROR(INDEX(PV_Totals_By_Item[#All], ROW()-1, COLUMN()), "")</f>
        <v/>
      </c>
      <c r="H106" s="1" t="str" cm="1">
        <f t="array" ref="H106">IFERROR(INDEX(PV_Totals_By_Item[#All], ROW()-1, COLUMN()), "")</f>
        <v/>
      </c>
      <c r="I106" s="1" t="str" cm="1">
        <f t="array" ref="I106">IFERROR(INDEX(PV_Totals_By_Item[#All], ROW()-1, COLUMN()), "")</f>
        <v/>
      </c>
      <c r="J106" s="1" t="str" cm="1">
        <f t="array" ref="J106">IFERROR(INDEX(PV_Totals_By_Item[#All], ROW()-1, COLUMN()), "")</f>
        <v/>
      </c>
    </row>
    <row r="107" spans="1:10">
      <c r="A107" s="1" t="str" cm="1">
        <f t="array" ref="A107">IFERROR(INDEX(PV_Totals_By_Item[#All], ROW()-1, COLUMN()), "")</f>
        <v/>
      </c>
      <c r="B107" s="5" t="str" cm="1">
        <f t="array" ref="B107">IFERROR(INDEX(PV_Totals_By_Item[#All], ROW()-1, COLUMN()), "")</f>
        <v/>
      </c>
      <c r="C107" s="5" t="str" cm="1">
        <f t="array" ref="C107">IFERROR(INDEX(PV_Totals_By_Item[#All], ROW()-1, COLUMN()), "")</f>
        <v/>
      </c>
      <c r="D107" s="1" t="str" cm="1">
        <f t="array" ref="D107">IFERROR(INDEX(PV_Totals_By_Item[#All], ROW()-1, COLUMN()), "")</f>
        <v/>
      </c>
      <c r="E107" s="1" t="str" cm="1">
        <f t="array" ref="E107">IFERROR(INDEX(PV_Totals_By_Item[#All], ROW()-1, COLUMN()), "")</f>
        <v/>
      </c>
      <c r="F107" s="1" t="str" cm="1">
        <f t="array" ref="F107">IFERROR(INDEX(PV_Totals_By_Item[#All], ROW()-1, COLUMN()), "")</f>
        <v/>
      </c>
      <c r="G107" s="1" t="str" cm="1">
        <f t="array" ref="G107">IFERROR(INDEX(PV_Totals_By_Item[#All], ROW()-1, COLUMN()), "")</f>
        <v/>
      </c>
      <c r="H107" s="1" t="str" cm="1">
        <f t="array" ref="H107">IFERROR(INDEX(PV_Totals_By_Item[#All], ROW()-1, COLUMN()), "")</f>
        <v/>
      </c>
      <c r="I107" s="1" t="str" cm="1">
        <f t="array" ref="I107">IFERROR(INDEX(PV_Totals_By_Item[#All], ROW()-1, COLUMN()), "")</f>
        <v/>
      </c>
      <c r="J107" s="1" t="str" cm="1">
        <f t="array" ref="J107">IFERROR(INDEX(PV_Totals_By_Item[#All], ROW()-1, COLUMN()), "")</f>
        <v/>
      </c>
    </row>
    <row r="108" spans="1:10">
      <c r="A108" s="1" t="str" cm="1">
        <f t="array" ref="A108">IFERROR(INDEX(PV_Totals_By_Item[#All], ROW()-1, COLUMN()), "")</f>
        <v/>
      </c>
      <c r="B108" s="5" t="str" cm="1">
        <f t="array" ref="B108">IFERROR(INDEX(PV_Totals_By_Item[#All], ROW()-1, COLUMN()), "")</f>
        <v/>
      </c>
      <c r="C108" s="5" t="str" cm="1">
        <f t="array" ref="C108">IFERROR(INDEX(PV_Totals_By_Item[#All], ROW()-1, COLUMN()), "")</f>
        <v/>
      </c>
      <c r="D108" s="1" t="str" cm="1">
        <f t="array" ref="D108">IFERROR(INDEX(PV_Totals_By_Item[#All], ROW()-1, COLUMN()), "")</f>
        <v/>
      </c>
      <c r="E108" s="1" t="str" cm="1">
        <f t="array" ref="E108">IFERROR(INDEX(PV_Totals_By_Item[#All], ROW()-1, COLUMN()), "")</f>
        <v/>
      </c>
      <c r="F108" s="1" t="str" cm="1">
        <f t="array" ref="F108">IFERROR(INDEX(PV_Totals_By_Item[#All], ROW()-1, COLUMN()), "")</f>
        <v/>
      </c>
      <c r="G108" s="1" t="str" cm="1">
        <f t="array" ref="G108">IFERROR(INDEX(PV_Totals_By_Item[#All], ROW()-1, COLUMN()), "")</f>
        <v/>
      </c>
      <c r="H108" s="1" t="str" cm="1">
        <f t="array" ref="H108">IFERROR(INDEX(PV_Totals_By_Item[#All], ROW()-1, COLUMN()), "")</f>
        <v/>
      </c>
      <c r="I108" s="1" t="str" cm="1">
        <f t="array" ref="I108">IFERROR(INDEX(PV_Totals_By_Item[#All], ROW()-1, COLUMN()), "")</f>
        <v/>
      </c>
      <c r="J108" s="1" t="str" cm="1">
        <f t="array" ref="J108">IFERROR(INDEX(PV_Totals_By_Item[#All], ROW()-1, COLUMN()), "")</f>
        <v/>
      </c>
    </row>
    <row r="109" spans="1:10">
      <c r="A109" s="1" t="str" cm="1">
        <f t="array" ref="A109">IFERROR(INDEX(PV_Totals_By_Item[#All], ROW()-1, COLUMN()), "")</f>
        <v/>
      </c>
      <c r="B109" s="5" t="str" cm="1">
        <f t="array" ref="B109">IFERROR(INDEX(PV_Totals_By_Item[#All], ROW()-1, COLUMN()), "")</f>
        <v/>
      </c>
      <c r="C109" s="5" t="str" cm="1">
        <f t="array" ref="C109">IFERROR(INDEX(PV_Totals_By_Item[#All], ROW()-1, COLUMN()), "")</f>
        <v/>
      </c>
      <c r="D109" s="1" t="str" cm="1">
        <f t="array" ref="D109">IFERROR(INDEX(PV_Totals_By_Item[#All], ROW()-1, COLUMN()), "")</f>
        <v/>
      </c>
      <c r="E109" s="1" t="str" cm="1">
        <f t="array" ref="E109">IFERROR(INDEX(PV_Totals_By_Item[#All], ROW()-1, COLUMN()), "")</f>
        <v/>
      </c>
      <c r="F109" s="1" t="str" cm="1">
        <f t="array" ref="F109">IFERROR(INDEX(PV_Totals_By_Item[#All], ROW()-1, COLUMN()), "")</f>
        <v/>
      </c>
      <c r="G109" s="1" t="str" cm="1">
        <f t="array" ref="G109">IFERROR(INDEX(PV_Totals_By_Item[#All], ROW()-1, COLUMN()), "")</f>
        <v/>
      </c>
      <c r="H109" s="1" t="str" cm="1">
        <f t="array" ref="H109">IFERROR(INDEX(PV_Totals_By_Item[#All], ROW()-1, COLUMN()), "")</f>
        <v/>
      </c>
      <c r="I109" s="1" t="str" cm="1">
        <f t="array" ref="I109">IFERROR(INDEX(PV_Totals_By_Item[#All], ROW()-1, COLUMN()), "")</f>
        <v/>
      </c>
      <c r="J109" s="1" t="str" cm="1">
        <f t="array" ref="J109">IFERROR(INDEX(PV_Totals_By_Item[#All], ROW()-1, COLUMN()), "")</f>
        <v/>
      </c>
    </row>
    <row r="110" spans="1:10">
      <c r="A110" s="1" t="str" cm="1">
        <f t="array" ref="A110">IFERROR(INDEX(PV_Totals_By_Item[#All], ROW()-1, COLUMN()), "")</f>
        <v/>
      </c>
      <c r="B110" s="5" t="str" cm="1">
        <f t="array" ref="B110">IFERROR(INDEX(PV_Totals_By_Item[#All], ROW()-1, COLUMN()), "")</f>
        <v/>
      </c>
      <c r="C110" s="5" t="str" cm="1">
        <f t="array" ref="C110">IFERROR(INDEX(PV_Totals_By_Item[#All], ROW()-1, COLUMN()), "")</f>
        <v/>
      </c>
      <c r="D110" s="1" t="str" cm="1">
        <f t="array" ref="D110">IFERROR(INDEX(PV_Totals_By_Item[#All], ROW()-1, COLUMN()), "")</f>
        <v/>
      </c>
      <c r="E110" s="1" t="str" cm="1">
        <f t="array" ref="E110">IFERROR(INDEX(PV_Totals_By_Item[#All], ROW()-1, COLUMN()), "")</f>
        <v/>
      </c>
      <c r="F110" s="1" t="str" cm="1">
        <f t="array" ref="F110">IFERROR(INDEX(PV_Totals_By_Item[#All], ROW()-1, COLUMN()), "")</f>
        <v/>
      </c>
      <c r="G110" s="1" t="str" cm="1">
        <f t="array" ref="G110">IFERROR(INDEX(PV_Totals_By_Item[#All], ROW()-1, COLUMN()), "")</f>
        <v/>
      </c>
      <c r="H110" s="1" t="str" cm="1">
        <f t="array" ref="H110">IFERROR(INDEX(PV_Totals_By_Item[#All], ROW()-1, COLUMN()), "")</f>
        <v/>
      </c>
      <c r="I110" s="1" t="str" cm="1">
        <f t="array" ref="I110">IFERROR(INDEX(PV_Totals_By_Item[#All], ROW()-1, COLUMN()), "")</f>
        <v/>
      </c>
      <c r="J110" s="1" t="str" cm="1">
        <f t="array" ref="J110">IFERROR(INDEX(PV_Totals_By_Item[#All], ROW()-1, COLUMN()), "")</f>
        <v/>
      </c>
    </row>
    <row r="111" spans="1:10">
      <c r="A111" s="1" t="str" cm="1">
        <f t="array" ref="A111">IFERROR(INDEX(PV_Totals_By_Item[#All], ROW()-1, COLUMN()), "")</f>
        <v/>
      </c>
      <c r="B111" s="5" t="str" cm="1">
        <f t="array" ref="B111">IFERROR(INDEX(PV_Totals_By_Item[#All], ROW()-1, COLUMN()), "")</f>
        <v/>
      </c>
      <c r="C111" s="5" t="str" cm="1">
        <f t="array" ref="C111">IFERROR(INDEX(PV_Totals_By_Item[#All], ROW()-1, COLUMN()), "")</f>
        <v/>
      </c>
      <c r="D111" s="1" t="str" cm="1">
        <f t="array" ref="D111">IFERROR(INDEX(PV_Totals_By_Item[#All], ROW()-1, COLUMN()), "")</f>
        <v/>
      </c>
      <c r="E111" s="1" t="str" cm="1">
        <f t="array" ref="E111">IFERROR(INDEX(PV_Totals_By_Item[#All], ROW()-1, COLUMN()), "")</f>
        <v/>
      </c>
      <c r="F111" s="1" t="str" cm="1">
        <f t="array" ref="F111">IFERROR(INDEX(PV_Totals_By_Item[#All], ROW()-1, COLUMN()), "")</f>
        <v/>
      </c>
      <c r="G111" s="1" t="str" cm="1">
        <f t="array" ref="G111">IFERROR(INDEX(PV_Totals_By_Item[#All], ROW()-1, COLUMN()), "")</f>
        <v/>
      </c>
      <c r="H111" s="1" t="str" cm="1">
        <f t="array" ref="H111">IFERROR(INDEX(PV_Totals_By_Item[#All], ROW()-1, COLUMN()), "")</f>
        <v/>
      </c>
      <c r="I111" s="1" t="str" cm="1">
        <f t="array" ref="I111">IFERROR(INDEX(PV_Totals_By_Item[#All], ROW()-1, COLUMN()), "")</f>
        <v/>
      </c>
      <c r="J111" s="1" t="str" cm="1">
        <f t="array" ref="J111">IFERROR(INDEX(PV_Totals_By_Item[#All], ROW()-1, COLUMN()), "")</f>
        <v/>
      </c>
    </row>
    <row r="112" spans="1:10">
      <c r="A112" s="1" t="str" cm="1">
        <f t="array" ref="A112">IFERROR(INDEX(PV_Totals_By_Item[#All], ROW()-1, COLUMN()), "")</f>
        <v/>
      </c>
      <c r="B112" s="5" t="str" cm="1">
        <f t="array" ref="B112">IFERROR(INDEX(PV_Totals_By_Item[#All], ROW()-1, COLUMN()), "")</f>
        <v/>
      </c>
      <c r="C112" s="5" t="str" cm="1">
        <f t="array" ref="C112">IFERROR(INDEX(PV_Totals_By_Item[#All], ROW()-1, COLUMN()), "")</f>
        <v/>
      </c>
      <c r="D112" s="1" t="str" cm="1">
        <f t="array" ref="D112">IFERROR(INDEX(PV_Totals_By_Item[#All], ROW()-1, COLUMN()), "")</f>
        <v/>
      </c>
      <c r="E112" s="1" t="str" cm="1">
        <f t="array" ref="E112">IFERROR(INDEX(PV_Totals_By_Item[#All], ROW()-1, COLUMN()), "")</f>
        <v/>
      </c>
      <c r="F112" s="1" t="str" cm="1">
        <f t="array" ref="F112">IFERROR(INDEX(PV_Totals_By_Item[#All], ROW()-1, COLUMN()), "")</f>
        <v/>
      </c>
      <c r="G112" s="1" t="str" cm="1">
        <f t="array" ref="G112">IFERROR(INDEX(PV_Totals_By_Item[#All], ROW()-1, COLUMN()), "")</f>
        <v/>
      </c>
      <c r="H112" s="1" t="str" cm="1">
        <f t="array" ref="H112">IFERROR(INDEX(PV_Totals_By_Item[#All], ROW()-1, COLUMN()), "")</f>
        <v/>
      </c>
      <c r="I112" s="1" t="str" cm="1">
        <f t="array" ref="I112">IFERROR(INDEX(PV_Totals_By_Item[#All], ROW()-1, COLUMN()), "")</f>
        <v/>
      </c>
      <c r="J112" s="1" t="str" cm="1">
        <f t="array" ref="J112">IFERROR(INDEX(PV_Totals_By_Item[#All], ROW()-1, COLUMN()), "")</f>
        <v/>
      </c>
    </row>
    <row r="113" spans="1:10">
      <c r="A113" s="1" t="str" cm="1">
        <f t="array" ref="A113">IFERROR(INDEX(PV_Totals_By_Item[#All], ROW()-1, COLUMN()), "")</f>
        <v/>
      </c>
      <c r="B113" s="5" t="str" cm="1">
        <f t="array" ref="B113">IFERROR(INDEX(PV_Totals_By_Item[#All], ROW()-1, COLUMN()), "")</f>
        <v/>
      </c>
      <c r="C113" s="5" t="str" cm="1">
        <f t="array" ref="C113">IFERROR(INDEX(PV_Totals_By_Item[#All], ROW()-1, COLUMN()), "")</f>
        <v/>
      </c>
      <c r="D113" s="1" t="str" cm="1">
        <f t="array" ref="D113">IFERROR(INDEX(PV_Totals_By_Item[#All], ROW()-1, COLUMN()), "")</f>
        <v/>
      </c>
      <c r="E113" s="1" t="str" cm="1">
        <f t="array" ref="E113">IFERROR(INDEX(PV_Totals_By_Item[#All], ROW()-1, COLUMN()), "")</f>
        <v/>
      </c>
      <c r="F113" s="1" t="str" cm="1">
        <f t="array" ref="F113">IFERROR(INDEX(PV_Totals_By_Item[#All], ROW()-1, COLUMN()), "")</f>
        <v/>
      </c>
      <c r="G113" s="1" t="str" cm="1">
        <f t="array" ref="G113">IFERROR(INDEX(PV_Totals_By_Item[#All], ROW()-1, COLUMN()), "")</f>
        <v/>
      </c>
      <c r="H113" s="1" t="str" cm="1">
        <f t="array" ref="H113">IFERROR(INDEX(PV_Totals_By_Item[#All], ROW()-1, COLUMN()), "")</f>
        <v/>
      </c>
      <c r="I113" s="1" t="str" cm="1">
        <f t="array" ref="I113">IFERROR(INDEX(PV_Totals_By_Item[#All], ROW()-1, COLUMN()), "")</f>
        <v/>
      </c>
      <c r="J113" s="1" t="str" cm="1">
        <f t="array" ref="J113">IFERROR(INDEX(PV_Totals_By_Item[#All], ROW()-1, COLUMN()), "")</f>
        <v/>
      </c>
    </row>
    <row r="114" spans="1:10">
      <c r="A114" s="1" t="str" cm="1">
        <f t="array" ref="A114">IFERROR(INDEX(PV_Totals_By_Item[#All], ROW()-1, COLUMN()), "")</f>
        <v/>
      </c>
      <c r="B114" s="5" t="str" cm="1">
        <f t="array" ref="B114">IFERROR(INDEX(PV_Totals_By_Item[#All], ROW()-1, COLUMN()), "")</f>
        <v/>
      </c>
      <c r="C114" s="5" t="str" cm="1">
        <f t="array" ref="C114">IFERROR(INDEX(PV_Totals_By_Item[#All], ROW()-1, COLUMN()), "")</f>
        <v/>
      </c>
      <c r="D114" s="1" t="str" cm="1">
        <f t="array" ref="D114">IFERROR(INDEX(PV_Totals_By_Item[#All], ROW()-1, COLUMN()), "")</f>
        <v/>
      </c>
      <c r="E114" s="1" t="str" cm="1">
        <f t="array" ref="E114">IFERROR(INDEX(PV_Totals_By_Item[#All], ROW()-1, COLUMN()), "")</f>
        <v/>
      </c>
      <c r="F114" s="1" t="str" cm="1">
        <f t="array" ref="F114">IFERROR(INDEX(PV_Totals_By_Item[#All], ROW()-1, COLUMN()), "")</f>
        <v/>
      </c>
      <c r="G114" s="1" t="str" cm="1">
        <f t="array" ref="G114">IFERROR(INDEX(PV_Totals_By_Item[#All], ROW()-1, COLUMN()), "")</f>
        <v/>
      </c>
      <c r="H114" s="1" t="str" cm="1">
        <f t="array" ref="H114">IFERROR(INDEX(PV_Totals_By_Item[#All], ROW()-1, COLUMN()), "")</f>
        <v/>
      </c>
      <c r="I114" s="1" t="str" cm="1">
        <f t="array" ref="I114">IFERROR(INDEX(PV_Totals_By_Item[#All], ROW()-1, COLUMN()), "")</f>
        <v/>
      </c>
      <c r="J114" s="1" t="str" cm="1">
        <f t="array" ref="J114">IFERROR(INDEX(PV_Totals_By_Item[#All], ROW()-1, COLUMN()), "")</f>
        <v/>
      </c>
    </row>
    <row r="115" spans="1:10">
      <c r="A115" s="1" t="str" cm="1">
        <f t="array" ref="A115">IFERROR(INDEX(PV_Totals_By_Item[#All], ROW()-1, COLUMN()), "")</f>
        <v/>
      </c>
      <c r="B115" s="5" t="str" cm="1">
        <f t="array" ref="B115">IFERROR(INDEX(PV_Totals_By_Item[#All], ROW()-1, COLUMN()), "")</f>
        <v/>
      </c>
      <c r="C115" s="5" t="str" cm="1">
        <f t="array" ref="C115">IFERROR(INDEX(PV_Totals_By_Item[#All], ROW()-1, COLUMN()), "")</f>
        <v/>
      </c>
      <c r="D115" s="1" t="str" cm="1">
        <f t="array" ref="D115">IFERROR(INDEX(PV_Totals_By_Item[#All], ROW()-1, COLUMN()), "")</f>
        <v/>
      </c>
      <c r="E115" s="1" t="str" cm="1">
        <f t="array" ref="E115">IFERROR(INDEX(PV_Totals_By_Item[#All], ROW()-1, COLUMN()), "")</f>
        <v/>
      </c>
      <c r="F115" s="1" t="str" cm="1">
        <f t="array" ref="F115">IFERROR(INDEX(PV_Totals_By_Item[#All], ROW()-1, COLUMN()), "")</f>
        <v/>
      </c>
      <c r="G115" s="1" t="str" cm="1">
        <f t="array" ref="G115">IFERROR(INDEX(PV_Totals_By_Item[#All], ROW()-1, COLUMN()), "")</f>
        <v/>
      </c>
      <c r="H115" s="1" t="str" cm="1">
        <f t="array" ref="H115">IFERROR(INDEX(PV_Totals_By_Item[#All], ROW()-1, COLUMN()), "")</f>
        <v/>
      </c>
      <c r="I115" s="1" t="str" cm="1">
        <f t="array" ref="I115">IFERROR(INDEX(PV_Totals_By_Item[#All], ROW()-1, COLUMN()), "")</f>
        <v/>
      </c>
      <c r="J115" s="1" t="str" cm="1">
        <f t="array" ref="J115">IFERROR(INDEX(PV_Totals_By_Item[#All], ROW()-1, COLUMN()), "")</f>
        <v/>
      </c>
    </row>
    <row r="116" spans="1:10">
      <c r="A116" s="1" t="str" cm="1">
        <f t="array" ref="A116">IFERROR(INDEX(PV_Totals_By_Item[#All], ROW()-1, COLUMN()), "")</f>
        <v/>
      </c>
      <c r="B116" s="5" t="str" cm="1">
        <f t="array" ref="B116">IFERROR(INDEX(PV_Totals_By_Item[#All], ROW()-1, COLUMN()), "")</f>
        <v/>
      </c>
      <c r="C116" s="5" t="str" cm="1">
        <f t="array" ref="C116">IFERROR(INDEX(PV_Totals_By_Item[#All], ROW()-1, COLUMN()), "")</f>
        <v/>
      </c>
      <c r="D116" s="1" t="str" cm="1">
        <f t="array" ref="D116">IFERROR(INDEX(PV_Totals_By_Item[#All], ROW()-1, COLUMN()), "")</f>
        <v/>
      </c>
      <c r="E116" s="1" t="str" cm="1">
        <f t="array" ref="E116">IFERROR(INDEX(PV_Totals_By_Item[#All], ROW()-1, COLUMN()), "")</f>
        <v/>
      </c>
      <c r="F116" s="1" t="str" cm="1">
        <f t="array" ref="F116">IFERROR(INDEX(PV_Totals_By_Item[#All], ROW()-1, COLUMN()), "")</f>
        <v/>
      </c>
      <c r="G116" s="1" t="str" cm="1">
        <f t="array" ref="G116">IFERROR(INDEX(PV_Totals_By_Item[#All], ROW()-1, COLUMN()), "")</f>
        <v/>
      </c>
      <c r="H116" s="1" t="str" cm="1">
        <f t="array" ref="H116">IFERROR(INDEX(PV_Totals_By_Item[#All], ROW()-1, COLUMN()), "")</f>
        <v/>
      </c>
      <c r="I116" s="1" t="str" cm="1">
        <f t="array" ref="I116">IFERROR(INDEX(PV_Totals_By_Item[#All], ROW()-1, COLUMN()), "")</f>
        <v/>
      </c>
      <c r="J116" s="1" t="str" cm="1">
        <f t="array" ref="J116">IFERROR(INDEX(PV_Totals_By_Item[#All], ROW()-1, COLUMN()), "")</f>
        <v/>
      </c>
    </row>
    <row r="117" spans="1:10">
      <c r="A117" s="1" t="str" cm="1">
        <f t="array" ref="A117">IFERROR(INDEX(PV_Totals_By_Item[#All], ROW()-1, COLUMN()), "")</f>
        <v/>
      </c>
      <c r="B117" s="5" t="str" cm="1">
        <f t="array" ref="B117">IFERROR(INDEX(PV_Totals_By_Item[#All], ROW()-1, COLUMN()), "")</f>
        <v/>
      </c>
      <c r="C117" s="5" t="str" cm="1">
        <f t="array" ref="C117">IFERROR(INDEX(PV_Totals_By_Item[#All], ROW()-1, COLUMN()), "")</f>
        <v/>
      </c>
      <c r="D117" s="1" t="str" cm="1">
        <f t="array" ref="D117">IFERROR(INDEX(PV_Totals_By_Item[#All], ROW()-1, COLUMN()), "")</f>
        <v/>
      </c>
      <c r="E117" s="1" t="str" cm="1">
        <f t="array" ref="E117">IFERROR(INDEX(PV_Totals_By_Item[#All], ROW()-1, COLUMN()), "")</f>
        <v/>
      </c>
      <c r="F117" s="1" t="str" cm="1">
        <f t="array" ref="F117">IFERROR(INDEX(PV_Totals_By_Item[#All], ROW()-1, COLUMN()), "")</f>
        <v/>
      </c>
      <c r="G117" s="1" t="str" cm="1">
        <f t="array" ref="G117">IFERROR(INDEX(PV_Totals_By_Item[#All], ROW()-1, COLUMN()), "")</f>
        <v/>
      </c>
      <c r="H117" s="1" t="str" cm="1">
        <f t="array" ref="H117">IFERROR(INDEX(PV_Totals_By_Item[#All], ROW()-1, COLUMN()), "")</f>
        <v/>
      </c>
      <c r="I117" s="1" t="str" cm="1">
        <f t="array" ref="I117">IFERROR(INDEX(PV_Totals_By_Item[#All], ROW()-1, COLUMN()), "")</f>
        <v/>
      </c>
      <c r="J117" s="1" t="str" cm="1">
        <f t="array" ref="J117">IFERROR(INDEX(PV_Totals_By_Item[#All], ROW()-1, COLUMN()), "")</f>
        <v/>
      </c>
    </row>
    <row r="118" spans="1:10">
      <c r="A118" s="1" t="str" cm="1">
        <f t="array" ref="A118">IFERROR(INDEX(PV_Totals_By_Item[#All], ROW()-1, COLUMN()), "")</f>
        <v/>
      </c>
      <c r="B118" s="5" t="str" cm="1">
        <f t="array" ref="B118">IFERROR(INDEX(PV_Totals_By_Item[#All], ROW()-1, COLUMN()), "")</f>
        <v/>
      </c>
      <c r="C118" s="5" t="str" cm="1">
        <f t="array" ref="C118">IFERROR(INDEX(PV_Totals_By_Item[#All], ROW()-1, COLUMN()), "")</f>
        <v/>
      </c>
      <c r="D118" s="1" t="str" cm="1">
        <f t="array" ref="D118">IFERROR(INDEX(PV_Totals_By_Item[#All], ROW()-1, COLUMN()), "")</f>
        <v/>
      </c>
      <c r="E118" s="1" t="str" cm="1">
        <f t="array" ref="E118">IFERROR(INDEX(PV_Totals_By_Item[#All], ROW()-1, COLUMN()), "")</f>
        <v/>
      </c>
      <c r="F118" s="1" t="str" cm="1">
        <f t="array" ref="F118">IFERROR(INDEX(PV_Totals_By_Item[#All], ROW()-1, COLUMN()), "")</f>
        <v/>
      </c>
      <c r="G118" s="1" t="str" cm="1">
        <f t="array" ref="G118">IFERROR(INDEX(PV_Totals_By_Item[#All], ROW()-1, COLUMN()), "")</f>
        <v/>
      </c>
      <c r="H118" s="1" t="str" cm="1">
        <f t="array" ref="H118">IFERROR(INDEX(PV_Totals_By_Item[#All], ROW()-1, COLUMN()), "")</f>
        <v/>
      </c>
      <c r="I118" s="1" t="str" cm="1">
        <f t="array" ref="I118">IFERROR(INDEX(PV_Totals_By_Item[#All], ROW()-1, COLUMN()), "")</f>
        <v/>
      </c>
      <c r="J118" s="1" t="str" cm="1">
        <f t="array" ref="J118">IFERROR(INDEX(PV_Totals_By_Item[#All], ROW()-1, COLUMN()), "")</f>
        <v/>
      </c>
    </row>
    <row r="119" spans="1:10">
      <c r="A119" s="1" t="str" cm="1">
        <f t="array" ref="A119">IFERROR(INDEX(PV_Totals_By_Item[#All], ROW()-1, COLUMN()), "")</f>
        <v/>
      </c>
      <c r="B119" s="5" t="str" cm="1">
        <f t="array" ref="B119">IFERROR(INDEX(PV_Totals_By_Item[#All], ROW()-1, COLUMN()), "")</f>
        <v/>
      </c>
      <c r="C119" s="5" t="str" cm="1">
        <f t="array" ref="C119">IFERROR(INDEX(PV_Totals_By_Item[#All], ROW()-1, COLUMN()), "")</f>
        <v/>
      </c>
      <c r="D119" s="1" t="str" cm="1">
        <f t="array" ref="D119">IFERROR(INDEX(PV_Totals_By_Item[#All], ROW()-1, COLUMN()), "")</f>
        <v/>
      </c>
      <c r="E119" s="1" t="str" cm="1">
        <f t="array" ref="E119">IFERROR(INDEX(PV_Totals_By_Item[#All], ROW()-1, COLUMN()), "")</f>
        <v/>
      </c>
      <c r="F119" s="1" t="str" cm="1">
        <f t="array" ref="F119">IFERROR(INDEX(PV_Totals_By_Item[#All], ROW()-1, COLUMN()), "")</f>
        <v/>
      </c>
      <c r="G119" s="1" t="str" cm="1">
        <f t="array" ref="G119">IFERROR(INDEX(PV_Totals_By_Item[#All], ROW()-1, COLUMN()), "")</f>
        <v/>
      </c>
      <c r="H119" s="1" t="str" cm="1">
        <f t="array" ref="H119">IFERROR(INDEX(PV_Totals_By_Item[#All], ROW()-1, COLUMN()), "")</f>
        <v/>
      </c>
      <c r="I119" s="1" t="str" cm="1">
        <f t="array" ref="I119">IFERROR(INDEX(PV_Totals_By_Item[#All], ROW()-1, COLUMN()), "")</f>
        <v/>
      </c>
      <c r="J119" s="1" t="str" cm="1">
        <f t="array" ref="J119">IFERROR(INDEX(PV_Totals_By_Item[#All], ROW()-1, COLUMN()), "")</f>
        <v/>
      </c>
    </row>
    <row r="120" spans="1:10">
      <c r="A120" s="1" t="str" cm="1">
        <f t="array" ref="A120">IFERROR(INDEX(PV_Totals_By_Item[#All], ROW()-1, COLUMN()), "")</f>
        <v/>
      </c>
      <c r="B120" s="5" t="str" cm="1">
        <f t="array" ref="B120">IFERROR(INDEX(PV_Totals_By_Item[#All], ROW()-1, COLUMN()), "")</f>
        <v/>
      </c>
      <c r="C120" s="5" t="str" cm="1">
        <f t="array" ref="C120">IFERROR(INDEX(PV_Totals_By_Item[#All], ROW()-1, COLUMN()), "")</f>
        <v/>
      </c>
      <c r="D120" s="1" t="str" cm="1">
        <f t="array" ref="D120">IFERROR(INDEX(PV_Totals_By_Item[#All], ROW()-1, COLUMN()), "")</f>
        <v/>
      </c>
      <c r="E120" s="1" t="str" cm="1">
        <f t="array" ref="E120">IFERROR(INDEX(PV_Totals_By_Item[#All], ROW()-1, COLUMN()), "")</f>
        <v/>
      </c>
      <c r="F120" s="1" t="str" cm="1">
        <f t="array" ref="F120">IFERROR(INDEX(PV_Totals_By_Item[#All], ROW()-1, COLUMN()), "")</f>
        <v/>
      </c>
      <c r="G120" s="1" t="str" cm="1">
        <f t="array" ref="G120">IFERROR(INDEX(PV_Totals_By_Item[#All], ROW()-1, COLUMN()), "")</f>
        <v/>
      </c>
      <c r="H120" s="1" t="str" cm="1">
        <f t="array" ref="H120">IFERROR(INDEX(PV_Totals_By_Item[#All], ROW()-1, COLUMN()), "")</f>
        <v/>
      </c>
      <c r="I120" s="1" t="str" cm="1">
        <f t="array" ref="I120">IFERROR(INDEX(PV_Totals_By_Item[#All], ROW()-1, COLUMN()), "")</f>
        <v/>
      </c>
      <c r="J120" s="1" t="str" cm="1">
        <f t="array" ref="J120">IFERROR(INDEX(PV_Totals_By_Item[#All], ROW()-1, COLUMN()), "")</f>
        <v/>
      </c>
    </row>
    <row r="121" spans="1:10">
      <c r="A121" s="1" t="str" cm="1">
        <f t="array" ref="A121">IFERROR(INDEX(PV_Totals_By_Item[#All], ROW()-1, COLUMN()), "")</f>
        <v/>
      </c>
      <c r="B121" s="5" t="str" cm="1">
        <f t="array" ref="B121">IFERROR(INDEX(PV_Totals_By_Item[#All], ROW()-1, COLUMN()), "")</f>
        <v/>
      </c>
      <c r="C121" s="5" t="str" cm="1">
        <f t="array" ref="C121">IFERROR(INDEX(PV_Totals_By_Item[#All], ROW()-1, COLUMN()), "")</f>
        <v/>
      </c>
      <c r="D121" s="1" t="str" cm="1">
        <f t="array" ref="D121">IFERROR(INDEX(PV_Totals_By_Item[#All], ROW()-1, COLUMN()), "")</f>
        <v/>
      </c>
      <c r="E121" s="1" t="str" cm="1">
        <f t="array" ref="E121">IFERROR(INDEX(PV_Totals_By_Item[#All], ROW()-1, COLUMN()), "")</f>
        <v/>
      </c>
      <c r="F121" s="1" t="str" cm="1">
        <f t="array" ref="F121">IFERROR(INDEX(PV_Totals_By_Item[#All], ROW()-1, COLUMN()), "")</f>
        <v/>
      </c>
      <c r="G121" s="1" t="str" cm="1">
        <f t="array" ref="G121">IFERROR(INDEX(PV_Totals_By_Item[#All], ROW()-1, COLUMN()), "")</f>
        <v/>
      </c>
      <c r="H121" s="1" t="str" cm="1">
        <f t="array" ref="H121">IFERROR(INDEX(PV_Totals_By_Item[#All], ROW()-1, COLUMN()), "")</f>
        <v/>
      </c>
      <c r="I121" s="1" t="str" cm="1">
        <f t="array" ref="I121">IFERROR(INDEX(PV_Totals_By_Item[#All], ROW()-1, COLUMN()), "")</f>
        <v/>
      </c>
      <c r="J121" s="1" t="str" cm="1">
        <f t="array" ref="J121">IFERROR(INDEX(PV_Totals_By_Item[#All], ROW()-1, COLUMN()), "")</f>
        <v/>
      </c>
    </row>
    <row r="122" spans="1:10">
      <c r="A122" s="1" t="str" cm="1">
        <f t="array" ref="A122">IFERROR(INDEX(PV_Totals_By_Item[#All], ROW()-1, COLUMN()), "")</f>
        <v/>
      </c>
      <c r="B122" s="5" t="str" cm="1">
        <f t="array" ref="B122">IFERROR(INDEX(PV_Totals_By_Item[#All], ROW()-1, COLUMN()), "")</f>
        <v/>
      </c>
      <c r="C122" s="5" t="str" cm="1">
        <f t="array" ref="C122">IFERROR(INDEX(PV_Totals_By_Item[#All], ROW()-1, COLUMN()), "")</f>
        <v/>
      </c>
      <c r="D122" s="1" t="str" cm="1">
        <f t="array" ref="D122">IFERROR(INDEX(PV_Totals_By_Item[#All], ROW()-1, COLUMN()), "")</f>
        <v/>
      </c>
      <c r="E122" s="1" t="str" cm="1">
        <f t="array" ref="E122">IFERROR(INDEX(PV_Totals_By_Item[#All], ROW()-1, COLUMN()), "")</f>
        <v/>
      </c>
      <c r="F122" s="1" t="str" cm="1">
        <f t="array" ref="F122">IFERROR(INDEX(PV_Totals_By_Item[#All], ROW()-1, COLUMN()), "")</f>
        <v/>
      </c>
      <c r="G122" s="1" t="str" cm="1">
        <f t="array" ref="G122">IFERROR(INDEX(PV_Totals_By_Item[#All], ROW()-1, COLUMN()), "")</f>
        <v/>
      </c>
      <c r="H122" s="1" t="str" cm="1">
        <f t="array" ref="H122">IFERROR(INDEX(PV_Totals_By_Item[#All], ROW()-1, COLUMN()), "")</f>
        <v/>
      </c>
      <c r="I122" s="1" t="str" cm="1">
        <f t="array" ref="I122">IFERROR(INDEX(PV_Totals_By_Item[#All], ROW()-1, COLUMN()), "")</f>
        <v/>
      </c>
      <c r="J122" s="1" t="str" cm="1">
        <f t="array" ref="J122">IFERROR(INDEX(PV_Totals_By_Item[#All], ROW()-1, COLUMN()), "")</f>
        <v/>
      </c>
    </row>
    <row r="123" spans="1:10">
      <c r="A123" s="1" t="str" cm="1">
        <f t="array" ref="A123">IFERROR(INDEX(PV_Totals_By_Item[#All], ROW()-1, COLUMN()), "")</f>
        <v/>
      </c>
      <c r="B123" s="5" t="str" cm="1">
        <f t="array" ref="B123">IFERROR(INDEX(PV_Totals_By_Item[#All], ROW()-1, COLUMN()), "")</f>
        <v/>
      </c>
      <c r="C123" s="5" t="str" cm="1">
        <f t="array" ref="C123">IFERROR(INDEX(PV_Totals_By_Item[#All], ROW()-1, COLUMN()), "")</f>
        <v/>
      </c>
      <c r="D123" s="1" t="str" cm="1">
        <f t="array" ref="D123">IFERROR(INDEX(PV_Totals_By_Item[#All], ROW()-1, COLUMN()), "")</f>
        <v/>
      </c>
      <c r="E123" s="1" t="str" cm="1">
        <f t="array" ref="E123">IFERROR(INDEX(PV_Totals_By_Item[#All], ROW()-1, COLUMN()), "")</f>
        <v/>
      </c>
      <c r="F123" s="1" t="str" cm="1">
        <f t="array" ref="F123">IFERROR(INDEX(PV_Totals_By_Item[#All], ROW()-1, COLUMN()), "")</f>
        <v/>
      </c>
      <c r="G123" s="1" t="str" cm="1">
        <f t="array" ref="G123">IFERROR(INDEX(PV_Totals_By_Item[#All], ROW()-1, COLUMN()), "")</f>
        <v/>
      </c>
      <c r="H123" s="1" t="str" cm="1">
        <f t="array" ref="H123">IFERROR(INDEX(PV_Totals_By_Item[#All], ROW()-1, COLUMN()), "")</f>
        <v/>
      </c>
      <c r="I123" s="1" t="str" cm="1">
        <f t="array" ref="I123">IFERROR(INDEX(PV_Totals_By_Item[#All], ROW()-1, COLUMN()), "")</f>
        <v/>
      </c>
      <c r="J123" s="1" t="str" cm="1">
        <f t="array" ref="J123">IFERROR(INDEX(PV_Totals_By_Item[#All], ROW()-1, COLUMN()), "")</f>
        <v/>
      </c>
    </row>
    <row r="124" spans="1:10">
      <c r="A124" s="1" t="str" cm="1">
        <f t="array" ref="A124">IFERROR(INDEX(PV_Totals_By_Item[#All], ROW()-1, COLUMN()), "")</f>
        <v/>
      </c>
      <c r="B124" s="5" t="str" cm="1">
        <f t="array" ref="B124">IFERROR(INDEX(PV_Totals_By_Item[#All], ROW()-1, COLUMN()), "")</f>
        <v/>
      </c>
      <c r="C124" s="5" t="str" cm="1">
        <f t="array" ref="C124">IFERROR(INDEX(PV_Totals_By_Item[#All], ROW()-1, COLUMN()), "")</f>
        <v/>
      </c>
      <c r="D124" s="1" t="str" cm="1">
        <f t="array" ref="D124">IFERROR(INDEX(PV_Totals_By_Item[#All], ROW()-1, COLUMN()), "")</f>
        <v/>
      </c>
      <c r="E124" s="1" t="str" cm="1">
        <f t="array" ref="E124">IFERROR(INDEX(PV_Totals_By_Item[#All], ROW()-1, COLUMN()), "")</f>
        <v/>
      </c>
      <c r="F124" s="1" t="str" cm="1">
        <f t="array" ref="F124">IFERROR(INDEX(PV_Totals_By_Item[#All], ROW()-1, COLUMN()), "")</f>
        <v/>
      </c>
      <c r="G124" s="1" t="str" cm="1">
        <f t="array" ref="G124">IFERROR(INDEX(PV_Totals_By_Item[#All], ROW()-1, COLUMN()), "")</f>
        <v/>
      </c>
      <c r="H124" s="1" t="str" cm="1">
        <f t="array" ref="H124">IFERROR(INDEX(PV_Totals_By_Item[#All], ROW()-1, COLUMN()), "")</f>
        <v/>
      </c>
      <c r="I124" s="1" t="str" cm="1">
        <f t="array" ref="I124">IFERROR(INDEX(PV_Totals_By_Item[#All], ROW()-1, COLUMN()), "")</f>
        <v/>
      </c>
      <c r="J124" s="1" t="str" cm="1">
        <f t="array" ref="J124">IFERROR(INDEX(PV_Totals_By_Item[#All], ROW()-1, COLUMN()), "")</f>
        <v/>
      </c>
    </row>
    <row r="125" spans="1:10">
      <c r="A125" s="1" t="str" cm="1">
        <f t="array" ref="A125">IFERROR(INDEX(PV_Totals_By_Item[#All], ROW()-1, COLUMN()), "")</f>
        <v/>
      </c>
      <c r="B125" s="5" t="str" cm="1">
        <f t="array" ref="B125">IFERROR(INDEX(PV_Totals_By_Item[#All], ROW()-1, COLUMN()), "")</f>
        <v/>
      </c>
      <c r="C125" s="5" t="str" cm="1">
        <f t="array" ref="C125">IFERROR(INDEX(PV_Totals_By_Item[#All], ROW()-1, COLUMN()), "")</f>
        <v/>
      </c>
      <c r="D125" s="1" t="str" cm="1">
        <f t="array" ref="D125">IFERROR(INDEX(PV_Totals_By_Item[#All], ROW()-1, COLUMN()), "")</f>
        <v/>
      </c>
      <c r="E125" s="1" t="str" cm="1">
        <f t="array" ref="E125">IFERROR(INDEX(PV_Totals_By_Item[#All], ROW()-1, COLUMN()), "")</f>
        <v/>
      </c>
      <c r="F125" s="1" t="str" cm="1">
        <f t="array" ref="F125">IFERROR(INDEX(PV_Totals_By_Item[#All], ROW()-1, COLUMN()), "")</f>
        <v/>
      </c>
      <c r="G125" s="1" t="str" cm="1">
        <f t="array" ref="G125">IFERROR(INDEX(PV_Totals_By_Item[#All], ROW()-1, COLUMN()), "")</f>
        <v/>
      </c>
      <c r="H125" s="1" t="str" cm="1">
        <f t="array" ref="H125">IFERROR(INDEX(PV_Totals_By_Item[#All], ROW()-1, COLUMN()), "")</f>
        <v/>
      </c>
      <c r="I125" s="1" t="str" cm="1">
        <f t="array" ref="I125">IFERROR(INDEX(PV_Totals_By_Item[#All], ROW()-1, COLUMN()), "")</f>
        <v/>
      </c>
      <c r="J125" s="1" t="str" cm="1">
        <f t="array" ref="J125">IFERROR(INDEX(PV_Totals_By_Item[#All], ROW()-1, COLUMN()), "")</f>
        <v/>
      </c>
    </row>
    <row r="126" spans="1:10">
      <c r="A126" s="1" t="str" cm="1">
        <f t="array" ref="A126">IFERROR(INDEX(PV_Totals_By_Item[#All], ROW()-1, COLUMN()), "")</f>
        <v/>
      </c>
      <c r="B126" s="5" t="str" cm="1">
        <f t="array" ref="B126">IFERROR(INDEX(PV_Totals_By_Item[#All], ROW()-1, COLUMN()), "")</f>
        <v/>
      </c>
      <c r="C126" s="5" t="str" cm="1">
        <f t="array" ref="C126">IFERROR(INDEX(PV_Totals_By_Item[#All], ROW()-1, COLUMN()), "")</f>
        <v/>
      </c>
      <c r="D126" s="1" t="str" cm="1">
        <f t="array" ref="D126">IFERROR(INDEX(PV_Totals_By_Item[#All], ROW()-1, COLUMN()), "")</f>
        <v/>
      </c>
      <c r="E126" s="1" t="str" cm="1">
        <f t="array" ref="E126">IFERROR(INDEX(PV_Totals_By_Item[#All], ROW()-1, COLUMN()), "")</f>
        <v/>
      </c>
      <c r="F126" s="1" t="str" cm="1">
        <f t="array" ref="F126">IFERROR(INDEX(PV_Totals_By_Item[#All], ROW()-1, COLUMN()), "")</f>
        <v/>
      </c>
      <c r="G126" s="1" t="str" cm="1">
        <f t="array" ref="G126">IFERROR(INDEX(PV_Totals_By_Item[#All], ROW()-1, COLUMN()), "")</f>
        <v/>
      </c>
      <c r="H126" s="1" t="str" cm="1">
        <f t="array" ref="H126">IFERROR(INDEX(PV_Totals_By_Item[#All], ROW()-1, COLUMN()), "")</f>
        <v/>
      </c>
      <c r="I126" s="1" t="str" cm="1">
        <f t="array" ref="I126">IFERROR(INDEX(PV_Totals_By_Item[#All], ROW()-1, COLUMN()), "")</f>
        <v/>
      </c>
      <c r="J126" s="1" t="str" cm="1">
        <f t="array" ref="J126">IFERROR(INDEX(PV_Totals_By_Item[#All], ROW()-1, COLUMN()), "")</f>
        <v/>
      </c>
    </row>
    <row r="127" spans="1:10">
      <c r="A127" s="1" t="str" cm="1">
        <f t="array" ref="A127">IFERROR(INDEX(PV_Totals_By_Item[#All], ROW()-1, COLUMN()), "")</f>
        <v/>
      </c>
      <c r="B127" s="5" t="str" cm="1">
        <f t="array" ref="B127">IFERROR(INDEX(PV_Totals_By_Item[#All], ROW()-1, COLUMN()), "")</f>
        <v/>
      </c>
      <c r="C127" s="5" t="str" cm="1">
        <f t="array" ref="C127">IFERROR(INDEX(PV_Totals_By_Item[#All], ROW()-1, COLUMN()), "")</f>
        <v/>
      </c>
      <c r="D127" s="1" t="str" cm="1">
        <f t="array" ref="D127">IFERROR(INDEX(PV_Totals_By_Item[#All], ROW()-1, COLUMN()), "")</f>
        <v/>
      </c>
      <c r="E127" s="1" t="str" cm="1">
        <f t="array" ref="E127">IFERROR(INDEX(PV_Totals_By_Item[#All], ROW()-1, COLUMN()), "")</f>
        <v/>
      </c>
      <c r="F127" s="1" t="str" cm="1">
        <f t="array" ref="F127">IFERROR(INDEX(PV_Totals_By_Item[#All], ROW()-1, COLUMN()), "")</f>
        <v/>
      </c>
      <c r="G127" s="1" t="str" cm="1">
        <f t="array" ref="G127">IFERROR(INDEX(PV_Totals_By_Item[#All], ROW()-1, COLUMN()), "")</f>
        <v/>
      </c>
      <c r="H127" s="1" t="str" cm="1">
        <f t="array" ref="H127">IFERROR(INDEX(PV_Totals_By_Item[#All], ROW()-1, COLUMN()), "")</f>
        <v/>
      </c>
      <c r="I127" s="1" t="str" cm="1">
        <f t="array" ref="I127">IFERROR(INDEX(PV_Totals_By_Item[#All], ROW()-1, COLUMN()), "")</f>
        <v/>
      </c>
      <c r="J127" s="1" t="str" cm="1">
        <f t="array" ref="J127">IFERROR(INDEX(PV_Totals_By_Item[#All], ROW()-1, COLUMN()), "")</f>
        <v/>
      </c>
    </row>
    <row r="128" spans="1:10">
      <c r="A128" s="1" t="str" cm="1">
        <f t="array" ref="A128">IFERROR(INDEX(PV_Totals_By_Item[#All], ROW()-1, COLUMN()), "")</f>
        <v/>
      </c>
      <c r="B128" s="5" t="str" cm="1">
        <f t="array" ref="B128">IFERROR(INDEX(PV_Totals_By_Item[#All], ROW()-1, COLUMN()), "")</f>
        <v/>
      </c>
      <c r="C128" s="5" t="str" cm="1">
        <f t="array" ref="C128">IFERROR(INDEX(PV_Totals_By_Item[#All], ROW()-1, COLUMN()), "")</f>
        <v/>
      </c>
      <c r="D128" s="1" t="str" cm="1">
        <f t="array" ref="D128">IFERROR(INDEX(PV_Totals_By_Item[#All], ROW()-1, COLUMN()), "")</f>
        <v/>
      </c>
      <c r="E128" s="1" t="str" cm="1">
        <f t="array" ref="E128">IFERROR(INDEX(PV_Totals_By_Item[#All], ROW()-1, COLUMN()), "")</f>
        <v/>
      </c>
      <c r="F128" s="1" t="str" cm="1">
        <f t="array" ref="F128">IFERROR(INDEX(PV_Totals_By_Item[#All], ROW()-1, COLUMN()), "")</f>
        <v/>
      </c>
      <c r="G128" s="1" t="str" cm="1">
        <f t="array" ref="G128">IFERROR(INDEX(PV_Totals_By_Item[#All], ROW()-1, COLUMN()), "")</f>
        <v/>
      </c>
      <c r="H128" s="1" t="str" cm="1">
        <f t="array" ref="H128">IFERROR(INDEX(PV_Totals_By_Item[#All], ROW()-1, COLUMN()), "")</f>
        <v/>
      </c>
      <c r="I128" s="1" t="str" cm="1">
        <f t="array" ref="I128">IFERROR(INDEX(PV_Totals_By_Item[#All], ROW()-1, COLUMN()), "")</f>
        <v/>
      </c>
      <c r="J128" s="1" t="str" cm="1">
        <f t="array" ref="J128">IFERROR(INDEX(PV_Totals_By_Item[#All], ROW()-1, COLUMN()), "")</f>
        <v/>
      </c>
    </row>
    <row r="129" spans="1:10">
      <c r="A129" s="1" t="str" cm="1">
        <f t="array" ref="A129">IFERROR(INDEX(PV_Totals_By_Item[#All], ROW()-1, COLUMN()), "")</f>
        <v/>
      </c>
      <c r="B129" s="5" t="str" cm="1">
        <f t="array" ref="B129">IFERROR(INDEX(PV_Totals_By_Item[#All], ROW()-1, COLUMN()), "")</f>
        <v/>
      </c>
      <c r="C129" s="5" t="str" cm="1">
        <f t="array" ref="C129">IFERROR(INDEX(PV_Totals_By_Item[#All], ROW()-1, COLUMN()), "")</f>
        <v/>
      </c>
      <c r="D129" s="1" t="str" cm="1">
        <f t="array" ref="D129">IFERROR(INDEX(PV_Totals_By_Item[#All], ROW()-1, COLUMN()), "")</f>
        <v/>
      </c>
      <c r="E129" s="1" t="str" cm="1">
        <f t="array" ref="E129">IFERROR(INDEX(PV_Totals_By_Item[#All], ROW()-1, COLUMN()), "")</f>
        <v/>
      </c>
      <c r="F129" s="1" t="str" cm="1">
        <f t="array" ref="F129">IFERROR(INDEX(PV_Totals_By_Item[#All], ROW()-1, COLUMN()), "")</f>
        <v/>
      </c>
      <c r="G129" s="1" t="str" cm="1">
        <f t="array" ref="G129">IFERROR(INDEX(PV_Totals_By_Item[#All], ROW()-1, COLUMN()), "")</f>
        <v/>
      </c>
      <c r="H129" s="1" t="str" cm="1">
        <f t="array" ref="H129">IFERROR(INDEX(PV_Totals_By_Item[#All], ROW()-1, COLUMN()), "")</f>
        <v/>
      </c>
      <c r="I129" s="1" t="str" cm="1">
        <f t="array" ref="I129">IFERROR(INDEX(PV_Totals_By_Item[#All], ROW()-1, COLUMN()), "")</f>
        <v/>
      </c>
      <c r="J129" s="1" t="str" cm="1">
        <f t="array" ref="J129">IFERROR(INDEX(PV_Totals_By_Item[#All], ROW()-1, COLUMN()), "")</f>
        <v/>
      </c>
    </row>
    <row r="130" spans="1:10">
      <c r="A130" s="1" t="str" cm="1">
        <f t="array" ref="A130">IFERROR(INDEX(PV_Totals_By_Item[#All], ROW()-1, COLUMN()), "")</f>
        <v/>
      </c>
      <c r="B130" s="5" t="str" cm="1">
        <f t="array" ref="B130">IFERROR(INDEX(PV_Totals_By_Item[#All], ROW()-1, COLUMN()), "")</f>
        <v/>
      </c>
      <c r="C130" s="5" t="str" cm="1">
        <f t="array" ref="C130">IFERROR(INDEX(PV_Totals_By_Item[#All], ROW()-1, COLUMN()), "")</f>
        <v/>
      </c>
      <c r="D130" s="1" t="str" cm="1">
        <f t="array" ref="D130">IFERROR(INDEX(PV_Totals_By_Item[#All], ROW()-1, COLUMN()), "")</f>
        <v/>
      </c>
      <c r="E130" s="1" t="str" cm="1">
        <f t="array" ref="E130">IFERROR(INDEX(PV_Totals_By_Item[#All], ROW()-1, COLUMN()), "")</f>
        <v/>
      </c>
      <c r="F130" s="1" t="str" cm="1">
        <f t="array" ref="F130">IFERROR(INDEX(PV_Totals_By_Item[#All], ROW()-1, COLUMN()), "")</f>
        <v/>
      </c>
      <c r="G130" s="1" t="str" cm="1">
        <f t="array" ref="G130">IFERROR(INDEX(PV_Totals_By_Item[#All], ROW()-1, COLUMN()), "")</f>
        <v/>
      </c>
      <c r="H130" s="1" t="str" cm="1">
        <f t="array" ref="H130">IFERROR(INDEX(PV_Totals_By_Item[#All], ROW()-1, COLUMN()), "")</f>
        <v/>
      </c>
      <c r="I130" s="1" t="str" cm="1">
        <f t="array" ref="I130">IFERROR(INDEX(PV_Totals_By_Item[#All], ROW()-1, COLUMN()), "")</f>
        <v/>
      </c>
      <c r="J130" s="1" t="str" cm="1">
        <f t="array" ref="J130">IFERROR(INDEX(PV_Totals_By_Item[#All], ROW()-1, COLUMN()), "")</f>
        <v/>
      </c>
    </row>
    <row r="131" spans="1:10">
      <c r="A131" s="1" t="str" cm="1">
        <f t="array" ref="A131">IFERROR(INDEX(PV_Totals_By_Item[#All], ROW()-1, COLUMN()), "")</f>
        <v/>
      </c>
      <c r="B131" s="5" t="str" cm="1">
        <f t="array" ref="B131">IFERROR(INDEX(PV_Totals_By_Item[#All], ROW()-1, COLUMN()), "")</f>
        <v/>
      </c>
      <c r="C131" s="5" t="str" cm="1">
        <f t="array" ref="C131">IFERROR(INDEX(PV_Totals_By_Item[#All], ROW()-1, COLUMN()), "")</f>
        <v/>
      </c>
      <c r="D131" s="1" t="str" cm="1">
        <f t="array" ref="D131">IFERROR(INDEX(PV_Totals_By_Item[#All], ROW()-1, COLUMN()), "")</f>
        <v/>
      </c>
      <c r="E131" s="1" t="str" cm="1">
        <f t="array" ref="E131">IFERROR(INDEX(PV_Totals_By_Item[#All], ROW()-1, COLUMN()), "")</f>
        <v/>
      </c>
      <c r="F131" s="1" t="str" cm="1">
        <f t="array" ref="F131">IFERROR(INDEX(PV_Totals_By_Item[#All], ROW()-1, COLUMN()), "")</f>
        <v/>
      </c>
      <c r="G131" s="1" t="str" cm="1">
        <f t="array" ref="G131">IFERROR(INDEX(PV_Totals_By_Item[#All], ROW()-1, COLUMN()), "")</f>
        <v/>
      </c>
      <c r="H131" s="1" t="str" cm="1">
        <f t="array" ref="H131">IFERROR(INDEX(PV_Totals_By_Item[#All], ROW()-1, COLUMN()), "")</f>
        <v/>
      </c>
      <c r="I131" s="1" t="str" cm="1">
        <f t="array" ref="I131">IFERROR(INDEX(PV_Totals_By_Item[#All], ROW()-1, COLUMN()), "")</f>
        <v/>
      </c>
      <c r="J131" s="1" t="str" cm="1">
        <f t="array" ref="J131">IFERROR(INDEX(PV_Totals_By_Item[#All], ROW()-1, COLUMN()), "")</f>
        <v/>
      </c>
    </row>
    <row r="132" spans="1:10">
      <c r="A132" s="1" t="str" cm="1">
        <f t="array" ref="A132">IFERROR(INDEX(PV_Totals_By_Item[#All], ROW()-1, COLUMN()), "")</f>
        <v/>
      </c>
      <c r="B132" s="5" t="str" cm="1">
        <f t="array" ref="B132">IFERROR(INDEX(PV_Totals_By_Item[#All], ROW()-1, COLUMN()), "")</f>
        <v/>
      </c>
      <c r="C132" s="5" t="str" cm="1">
        <f t="array" ref="C132">IFERROR(INDEX(PV_Totals_By_Item[#All], ROW()-1, COLUMN()), "")</f>
        <v/>
      </c>
      <c r="D132" s="1" t="str" cm="1">
        <f t="array" ref="D132">IFERROR(INDEX(PV_Totals_By_Item[#All], ROW()-1, COLUMN()), "")</f>
        <v/>
      </c>
      <c r="E132" s="1" t="str" cm="1">
        <f t="array" ref="E132">IFERROR(INDEX(PV_Totals_By_Item[#All], ROW()-1, COLUMN()), "")</f>
        <v/>
      </c>
      <c r="F132" s="1" t="str" cm="1">
        <f t="array" ref="F132">IFERROR(INDEX(PV_Totals_By_Item[#All], ROW()-1, COLUMN()), "")</f>
        <v/>
      </c>
      <c r="G132" s="1" t="str" cm="1">
        <f t="array" ref="G132">IFERROR(INDEX(PV_Totals_By_Item[#All], ROW()-1, COLUMN()), "")</f>
        <v/>
      </c>
      <c r="H132" s="1" t="str" cm="1">
        <f t="array" ref="H132">IFERROR(INDEX(PV_Totals_By_Item[#All], ROW()-1, COLUMN()), "")</f>
        <v/>
      </c>
      <c r="I132" s="1" t="str" cm="1">
        <f t="array" ref="I132">IFERROR(INDEX(PV_Totals_By_Item[#All], ROW()-1, COLUMN()), "")</f>
        <v/>
      </c>
      <c r="J132" s="1" t="str" cm="1">
        <f t="array" ref="J132">IFERROR(INDEX(PV_Totals_By_Item[#All], ROW()-1, COLUMN()), "")</f>
        <v/>
      </c>
    </row>
    <row r="133" spans="1:10">
      <c r="A133" s="1" t="str" cm="1">
        <f t="array" ref="A133">IFERROR(INDEX(PV_Totals_By_Item[#All], ROW()-1, COLUMN()), "")</f>
        <v/>
      </c>
      <c r="B133" s="5" t="str" cm="1">
        <f t="array" ref="B133">IFERROR(INDEX(PV_Totals_By_Item[#All], ROW()-1, COLUMN()), "")</f>
        <v/>
      </c>
      <c r="C133" s="5" t="str" cm="1">
        <f t="array" ref="C133">IFERROR(INDEX(PV_Totals_By_Item[#All], ROW()-1, COLUMN()), "")</f>
        <v/>
      </c>
      <c r="D133" s="1" t="str" cm="1">
        <f t="array" ref="D133">IFERROR(INDEX(PV_Totals_By_Item[#All], ROW()-1, COLUMN()), "")</f>
        <v/>
      </c>
      <c r="E133" s="1" t="str" cm="1">
        <f t="array" ref="E133">IFERROR(INDEX(PV_Totals_By_Item[#All], ROW()-1, COLUMN()), "")</f>
        <v/>
      </c>
      <c r="F133" s="1" t="str" cm="1">
        <f t="array" ref="F133">IFERROR(INDEX(PV_Totals_By_Item[#All], ROW()-1, COLUMN()), "")</f>
        <v/>
      </c>
      <c r="G133" s="1" t="str" cm="1">
        <f t="array" ref="G133">IFERROR(INDEX(PV_Totals_By_Item[#All], ROW()-1, COLUMN()), "")</f>
        <v/>
      </c>
      <c r="H133" s="1" t="str" cm="1">
        <f t="array" ref="H133">IFERROR(INDEX(PV_Totals_By_Item[#All], ROW()-1, COLUMN()), "")</f>
        <v/>
      </c>
      <c r="I133" s="1" t="str" cm="1">
        <f t="array" ref="I133">IFERROR(INDEX(PV_Totals_By_Item[#All], ROW()-1, COLUMN()), "")</f>
        <v/>
      </c>
      <c r="J133" s="1" t="str" cm="1">
        <f t="array" ref="J133">IFERROR(INDEX(PV_Totals_By_Item[#All], ROW()-1, COLUMN()), "")</f>
        <v/>
      </c>
    </row>
    <row r="134" spans="1:10">
      <c r="A134" s="1" t="str" cm="1">
        <f t="array" ref="A134">IFERROR(INDEX(PV_Totals_By_Item[#All], ROW()-1, COLUMN()), "")</f>
        <v/>
      </c>
      <c r="B134" s="5" t="str" cm="1">
        <f t="array" ref="B134">IFERROR(INDEX(PV_Totals_By_Item[#All], ROW()-1, COLUMN()), "")</f>
        <v/>
      </c>
      <c r="C134" s="5" t="str" cm="1">
        <f t="array" ref="C134">IFERROR(INDEX(PV_Totals_By_Item[#All], ROW()-1, COLUMN()), "")</f>
        <v/>
      </c>
      <c r="D134" s="1" t="str" cm="1">
        <f t="array" ref="D134">IFERROR(INDEX(PV_Totals_By_Item[#All], ROW()-1, COLUMN()), "")</f>
        <v/>
      </c>
      <c r="E134" s="1" t="str" cm="1">
        <f t="array" ref="E134">IFERROR(INDEX(PV_Totals_By_Item[#All], ROW()-1, COLUMN()), "")</f>
        <v/>
      </c>
      <c r="F134" s="1" t="str" cm="1">
        <f t="array" ref="F134">IFERROR(INDEX(PV_Totals_By_Item[#All], ROW()-1, COLUMN()), "")</f>
        <v/>
      </c>
      <c r="G134" s="1" t="str" cm="1">
        <f t="array" ref="G134">IFERROR(INDEX(PV_Totals_By_Item[#All], ROW()-1, COLUMN()), "")</f>
        <v/>
      </c>
      <c r="H134" s="1" t="str" cm="1">
        <f t="array" ref="H134">IFERROR(INDEX(PV_Totals_By_Item[#All], ROW()-1, COLUMN()), "")</f>
        <v/>
      </c>
      <c r="I134" s="1" t="str" cm="1">
        <f t="array" ref="I134">IFERROR(INDEX(PV_Totals_By_Item[#All], ROW()-1, COLUMN()), "")</f>
        <v/>
      </c>
      <c r="J134" s="1" t="str" cm="1">
        <f t="array" ref="J134">IFERROR(INDEX(PV_Totals_By_Item[#All], ROW()-1, COLUMN()), "")</f>
        <v/>
      </c>
    </row>
    <row r="135" spans="1:10">
      <c r="A135" s="1" t="str" cm="1">
        <f t="array" ref="A135">IFERROR(INDEX(PV_Totals_By_Item[#All], ROW()-1, COLUMN()), "")</f>
        <v/>
      </c>
      <c r="B135" s="5" t="str" cm="1">
        <f t="array" ref="B135">IFERROR(INDEX(PV_Totals_By_Item[#All], ROW()-1, COLUMN()), "")</f>
        <v/>
      </c>
      <c r="C135" s="5" t="str" cm="1">
        <f t="array" ref="C135">IFERROR(INDEX(PV_Totals_By_Item[#All], ROW()-1, COLUMN()), "")</f>
        <v/>
      </c>
      <c r="D135" s="1" t="str" cm="1">
        <f t="array" ref="D135">IFERROR(INDEX(PV_Totals_By_Item[#All], ROW()-1, COLUMN()), "")</f>
        <v/>
      </c>
      <c r="E135" s="1" t="str" cm="1">
        <f t="array" ref="E135">IFERROR(INDEX(PV_Totals_By_Item[#All], ROW()-1, COLUMN()), "")</f>
        <v/>
      </c>
      <c r="F135" s="1" t="str" cm="1">
        <f t="array" ref="F135">IFERROR(INDEX(PV_Totals_By_Item[#All], ROW()-1, COLUMN()), "")</f>
        <v/>
      </c>
      <c r="G135" s="1" t="str" cm="1">
        <f t="array" ref="G135">IFERROR(INDEX(PV_Totals_By_Item[#All], ROW()-1, COLUMN()), "")</f>
        <v/>
      </c>
      <c r="H135" s="1" t="str" cm="1">
        <f t="array" ref="H135">IFERROR(INDEX(PV_Totals_By_Item[#All], ROW()-1, COLUMN()), "")</f>
        <v/>
      </c>
      <c r="I135" s="1" t="str" cm="1">
        <f t="array" ref="I135">IFERROR(INDEX(PV_Totals_By_Item[#All], ROW()-1, COLUMN()), "")</f>
        <v/>
      </c>
      <c r="J135" s="1" t="str" cm="1">
        <f t="array" ref="J135">IFERROR(INDEX(PV_Totals_By_Item[#All], ROW()-1, COLUMN()), "")</f>
        <v/>
      </c>
    </row>
    <row r="136" spans="1:10">
      <c r="A136" s="1" t="str" cm="1">
        <f t="array" ref="A136">IFERROR(INDEX(PV_Totals_By_Item[#All], ROW()-1, COLUMN()), "")</f>
        <v/>
      </c>
      <c r="B136" s="5" t="str" cm="1">
        <f t="array" ref="B136">IFERROR(INDEX(PV_Totals_By_Item[#All], ROW()-1, COLUMN()), "")</f>
        <v/>
      </c>
      <c r="C136" s="5" t="str" cm="1">
        <f t="array" ref="C136">IFERROR(INDEX(PV_Totals_By_Item[#All], ROW()-1, COLUMN()), "")</f>
        <v/>
      </c>
      <c r="D136" s="1" t="str" cm="1">
        <f t="array" ref="D136">IFERROR(INDEX(PV_Totals_By_Item[#All], ROW()-1, COLUMN()), "")</f>
        <v/>
      </c>
      <c r="E136" s="1" t="str" cm="1">
        <f t="array" ref="E136">IFERROR(INDEX(PV_Totals_By_Item[#All], ROW()-1, COLUMN()), "")</f>
        <v/>
      </c>
      <c r="F136" s="1" t="str" cm="1">
        <f t="array" ref="F136">IFERROR(INDEX(PV_Totals_By_Item[#All], ROW()-1, COLUMN()), "")</f>
        <v/>
      </c>
      <c r="G136" s="1" t="str" cm="1">
        <f t="array" ref="G136">IFERROR(INDEX(PV_Totals_By_Item[#All], ROW()-1, COLUMN()), "")</f>
        <v/>
      </c>
      <c r="H136" s="1" t="str" cm="1">
        <f t="array" ref="H136">IFERROR(INDEX(PV_Totals_By_Item[#All], ROW()-1, COLUMN()), "")</f>
        <v/>
      </c>
      <c r="I136" s="1" t="str" cm="1">
        <f t="array" ref="I136">IFERROR(INDEX(PV_Totals_By_Item[#All], ROW()-1, COLUMN()), "")</f>
        <v/>
      </c>
      <c r="J136" s="1" t="str" cm="1">
        <f t="array" ref="J136">IFERROR(INDEX(PV_Totals_By_Item[#All], ROW()-1, COLUMN()), "")</f>
        <v/>
      </c>
    </row>
    <row r="137" spans="1:10">
      <c r="A137" s="1" t="str" cm="1">
        <f t="array" ref="A137">IFERROR(INDEX(PV_Totals_By_Item[#All], ROW()-1, COLUMN()), "")</f>
        <v/>
      </c>
      <c r="B137" s="5" t="str" cm="1">
        <f t="array" ref="B137">IFERROR(INDEX(PV_Totals_By_Item[#All], ROW()-1, COLUMN()), "")</f>
        <v/>
      </c>
      <c r="C137" s="5" t="str" cm="1">
        <f t="array" ref="C137">IFERROR(INDEX(PV_Totals_By_Item[#All], ROW()-1, COLUMN()), "")</f>
        <v/>
      </c>
      <c r="D137" s="1" t="str" cm="1">
        <f t="array" ref="D137">IFERROR(INDEX(PV_Totals_By_Item[#All], ROW()-1, COLUMN()), "")</f>
        <v/>
      </c>
      <c r="E137" s="1" t="str" cm="1">
        <f t="array" ref="E137">IFERROR(INDEX(PV_Totals_By_Item[#All], ROW()-1, COLUMN()), "")</f>
        <v/>
      </c>
      <c r="F137" s="1" t="str" cm="1">
        <f t="array" ref="F137">IFERROR(INDEX(PV_Totals_By_Item[#All], ROW()-1, COLUMN()), "")</f>
        <v/>
      </c>
      <c r="G137" s="1" t="str" cm="1">
        <f t="array" ref="G137">IFERROR(INDEX(PV_Totals_By_Item[#All], ROW()-1, COLUMN()), "")</f>
        <v/>
      </c>
      <c r="H137" s="1" t="str" cm="1">
        <f t="array" ref="H137">IFERROR(INDEX(PV_Totals_By_Item[#All], ROW()-1, COLUMN()), "")</f>
        <v/>
      </c>
      <c r="I137" s="1" t="str" cm="1">
        <f t="array" ref="I137">IFERROR(INDEX(PV_Totals_By_Item[#All], ROW()-1, COLUMN()), "")</f>
        <v/>
      </c>
      <c r="J137" s="1" t="str" cm="1">
        <f t="array" ref="J137">IFERROR(INDEX(PV_Totals_By_Item[#All], ROW()-1, COLUMN()), "")</f>
        <v/>
      </c>
    </row>
    <row r="138" spans="1:10">
      <c r="A138" s="1" t="str" cm="1">
        <f t="array" ref="A138">IFERROR(INDEX(PV_Totals_By_Item[#All], ROW()-1, COLUMN()), "")</f>
        <v/>
      </c>
      <c r="B138" s="5" t="str" cm="1">
        <f t="array" ref="B138">IFERROR(INDEX(PV_Totals_By_Item[#All], ROW()-1, COLUMN()), "")</f>
        <v/>
      </c>
      <c r="C138" s="5" t="str" cm="1">
        <f t="array" ref="C138">IFERROR(INDEX(PV_Totals_By_Item[#All], ROW()-1, COLUMN()), "")</f>
        <v/>
      </c>
      <c r="D138" s="1" t="str" cm="1">
        <f t="array" ref="D138">IFERROR(INDEX(PV_Totals_By_Item[#All], ROW()-1, COLUMN()), "")</f>
        <v/>
      </c>
      <c r="E138" s="1" t="str" cm="1">
        <f t="array" ref="E138">IFERROR(INDEX(PV_Totals_By_Item[#All], ROW()-1, COLUMN()), "")</f>
        <v/>
      </c>
      <c r="F138" s="1" t="str" cm="1">
        <f t="array" ref="F138">IFERROR(INDEX(PV_Totals_By_Item[#All], ROW()-1, COLUMN()), "")</f>
        <v/>
      </c>
      <c r="G138" s="1" t="str" cm="1">
        <f t="array" ref="G138">IFERROR(INDEX(PV_Totals_By_Item[#All], ROW()-1, COLUMN()), "")</f>
        <v/>
      </c>
      <c r="H138" s="1" t="str" cm="1">
        <f t="array" ref="H138">IFERROR(INDEX(PV_Totals_By_Item[#All], ROW()-1, COLUMN()), "")</f>
        <v/>
      </c>
      <c r="I138" s="1" t="str" cm="1">
        <f t="array" ref="I138">IFERROR(INDEX(PV_Totals_By_Item[#All], ROW()-1, COLUMN()), "")</f>
        <v/>
      </c>
      <c r="J138" s="1" t="str" cm="1">
        <f t="array" ref="J138">IFERROR(INDEX(PV_Totals_By_Item[#All], ROW()-1, COLUMN()), "")</f>
        <v/>
      </c>
    </row>
    <row r="139" spans="1:10">
      <c r="A139" s="1" t="str" cm="1">
        <f t="array" ref="A139">IFERROR(INDEX(PV_Totals_By_Item[#All], ROW()-1, COLUMN()), "")</f>
        <v/>
      </c>
      <c r="B139" s="5" t="str" cm="1">
        <f t="array" ref="B139">IFERROR(INDEX(PV_Totals_By_Item[#All], ROW()-1, COLUMN()), "")</f>
        <v/>
      </c>
      <c r="C139" s="5" t="str" cm="1">
        <f t="array" ref="C139">IFERROR(INDEX(PV_Totals_By_Item[#All], ROW()-1, COLUMN()), "")</f>
        <v/>
      </c>
      <c r="D139" s="1" t="str" cm="1">
        <f t="array" ref="D139">IFERROR(INDEX(PV_Totals_By_Item[#All], ROW()-1, COLUMN()), "")</f>
        <v/>
      </c>
      <c r="E139" s="1" t="str" cm="1">
        <f t="array" ref="E139">IFERROR(INDEX(PV_Totals_By_Item[#All], ROW()-1, COLUMN()), "")</f>
        <v/>
      </c>
      <c r="F139" s="1" t="str" cm="1">
        <f t="array" ref="F139">IFERROR(INDEX(PV_Totals_By_Item[#All], ROW()-1, COLUMN()), "")</f>
        <v/>
      </c>
      <c r="G139" s="1" t="str" cm="1">
        <f t="array" ref="G139">IFERROR(INDEX(PV_Totals_By_Item[#All], ROW()-1, COLUMN()), "")</f>
        <v/>
      </c>
      <c r="H139" s="1" t="str" cm="1">
        <f t="array" ref="H139">IFERROR(INDEX(PV_Totals_By_Item[#All], ROW()-1, COLUMN()), "")</f>
        <v/>
      </c>
      <c r="I139" s="1" t="str" cm="1">
        <f t="array" ref="I139">IFERROR(INDEX(PV_Totals_By_Item[#All], ROW()-1, COLUMN()), "")</f>
        <v/>
      </c>
      <c r="J139" s="1" t="str" cm="1">
        <f t="array" ref="J139">IFERROR(INDEX(PV_Totals_By_Item[#All], ROW()-1, COLUMN()), "")</f>
        <v/>
      </c>
    </row>
    <row r="140" spans="1:10">
      <c r="A140" s="1" t="str" cm="1">
        <f t="array" ref="A140">IFERROR(INDEX(PV_Totals_By_Item[#All], ROW()-1, COLUMN()), "")</f>
        <v/>
      </c>
      <c r="B140" s="5" t="str" cm="1">
        <f t="array" ref="B140">IFERROR(INDEX(PV_Totals_By_Item[#All], ROW()-1, COLUMN()), "")</f>
        <v/>
      </c>
      <c r="C140" s="5" t="str" cm="1">
        <f t="array" ref="C140">IFERROR(INDEX(PV_Totals_By_Item[#All], ROW()-1, COLUMN()), "")</f>
        <v/>
      </c>
      <c r="D140" s="1" t="str" cm="1">
        <f t="array" ref="D140">IFERROR(INDEX(PV_Totals_By_Item[#All], ROW()-1, COLUMN()), "")</f>
        <v/>
      </c>
      <c r="E140" s="1" t="str" cm="1">
        <f t="array" ref="E140">IFERROR(INDEX(PV_Totals_By_Item[#All], ROW()-1, COLUMN()), "")</f>
        <v/>
      </c>
      <c r="F140" s="1" t="str" cm="1">
        <f t="array" ref="F140">IFERROR(INDEX(PV_Totals_By_Item[#All], ROW()-1, COLUMN()), "")</f>
        <v/>
      </c>
      <c r="G140" s="1" t="str" cm="1">
        <f t="array" ref="G140">IFERROR(INDEX(PV_Totals_By_Item[#All], ROW()-1, COLUMN()), "")</f>
        <v/>
      </c>
      <c r="H140" s="1" t="str" cm="1">
        <f t="array" ref="H140">IFERROR(INDEX(PV_Totals_By_Item[#All], ROW()-1, COLUMN()), "")</f>
        <v/>
      </c>
      <c r="I140" s="1" t="str" cm="1">
        <f t="array" ref="I140">IFERROR(INDEX(PV_Totals_By_Item[#All], ROW()-1, COLUMN()), "")</f>
        <v/>
      </c>
      <c r="J140" s="1" t="str" cm="1">
        <f t="array" ref="J140">IFERROR(INDEX(PV_Totals_By_Item[#All], ROW()-1, COLUMN()), "")</f>
        <v/>
      </c>
    </row>
    <row r="141" spans="1:10">
      <c r="A141" s="1" t="str" cm="1">
        <f t="array" ref="A141">IFERROR(INDEX(PV_Totals_By_Item[#All], ROW()-1, COLUMN()), "")</f>
        <v/>
      </c>
      <c r="B141" s="5" t="str" cm="1">
        <f t="array" ref="B141">IFERROR(INDEX(PV_Totals_By_Item[#All], ROW()-1, COLUMN()), "")</f>
        <v/>
      </c>
      <c r="C141" s="5" t="str" cm="1">
        <f t="array" ref="C141">IFERROR(INDEX(PV_Totals_By_Item[#All], ROW()-1, COLUMN()), "")</f>
        <v/>
      </c>
      <c r="D141" s="1" t="str" cm="1">
        <f t="array" ref="D141">IFERROR(INDEX(PV_Totals_By_Item[#All], ROW()-1, COLUMN()), "")</f>
        <v/>
      </c>
      <c r="E141" s="1" t="str" cm="1">
        <f t="array" ref="E141">IFERROR(INDEX(PV_Totals_By_Item[#All], ROW()-1, COLUMN()), "")</f>
        <v/>
      </c>
      <c r="F141" s="1" t="str" cm="1">
        <f t="array" ref="F141">IFERROR(INDEX(PV_Totals_By_Item[#All], ROW()-1, COLUMN()), "")</f>
        <v/>
      </c>
      <c r="G141" s="1" t="str" cm="1">
        <f t="array" ref="G141">IFERROR(INDEX(PV_Totals_By_Item[#All], ROW()-1, COLUMN()), "")</f>
        <v/>
      </c>
      <c r="H141" s="1" t="str" cm="1">
        <f t="array" ref="H141">IFERROR(INDEX(PV_Totals_By_Item[#All], ROW()-1, COLUMN()), "")</f>
        <v/>
      </c>
      <c r="I141" s="1" t="str" cm="1">
        <f t="array" ref="I141">IFERROR(INDEX(PV_Totals_By_Item[#All], ROW()-1, COLUMN()), "")</f>
        <v/>
      </c>
      <c r="J141" s="1" t="str" cm="1">
        <f t="array" ref="J141">IFERROR(INDEX(PV_Totals_By_Item[#All], ROW()-1, COLUMN()), "")</f>
        <v/>
      </c>
    </row>
    <row r="142" spans="1:10">
      <c r="A142" s="1" t="str" cm="1">
        <f t="array" ref="A142">IFERROR(INDEX(PV_Totals_By_Item[#All], ROW()-1, COLUMN()), "")</f>
        <v/>
      </c>
      <c r="B142" s="5" t="str" cm="1">
        <f t="array" ref="B142">IFERROR(INDEX(PV_Totals_By_Item[#All], ROW()-1, COLUMN()), "")</f>
        <v/>
      </c>
      <c r="C142" s="5" t="str" cm="1">
        <f t="array" ref="C142">IFERROR(INDEX(PV_Totals_By_Item[#All], ROW()-1, COLUMN()), "")</f>
        <v/>
      </c>
      <c r="D142" s="1" t="str" cm="1">
        <f t="array" ref="D142">IFERROR(INDEX(PV_Totals_By_Item[#All], ROW()-1, COLUMN()), "")</f>
        <v/>
      </c>
      <c r="E142" s="1" t="str" cm="1">
        <f t="array" ref="E142">IFERROR(INDEX(PV_Totals_By_Item[#All], ROW()-1, COLUMN()), "")</f>
        <v/>
      </c>
      <c r="F142" s="1" t="str" cm="1">
        <f t="array" ref="F142">IFERROR(INDEX(PV_Totals_By_Item[#All], ROW()-1, COLUMN()), "")</f>
        <v/>
      </c>
      <c r="G142" s="1" t="str" cm="1">
        <f t="array" ref="G142">IFERROR(INDEX(PV_Totals_By_Item[#All], ROW()-1, COLUMN()), "")</f>
        <v/>
      </c>
      <c r="H142" s="1" t="str" cm="1">
        <f t="array" ref="H142">IFERROR(INDEX(PV_Totals_By_Item[#All], ROW()-1, COLUMN()), "")</f>
        <v/>
      </c>
      <c r="I142" s="1" t="str" cm="1">
        <f t="array" ref="I142">IFERROR(INDEX(PV_Totals_By_Item[#All], ROW()-1, COLUMN()), "")</f>
        <v/>
      </c>
      <c r="J142" s="1" t="str" cm="1">
        <f t="array" ref="J142">IFERROR(INDEX(PV_Totals_By_Item[#All], ROW()-1, COLUMN()), "")</f>
        <v/>
      </c>
    </row>
    <row r="143" spans="1:10">
      <c r="A143" s="1" t="str" cm="1">
        <f t="array" ref="A143">IFERROR(INDEX(PV_Totals_By_Item[#All], ROW()-1, COLUMN()), "")</f>
        <v/>
      </c>
      <c r="B143" s="5" t="str" cm="1">
        <f t="array" ref="B143">IFERROR(INDEX(PV_Totals_By_Item[#All], ROW()-1, COLUMN()), "")</f>
        <v/>
      </c>
      <c r="C143" s="5" t="str" cm="1">
        <f t="array" ref="C143">IFERROR(INDEX(PV_Totals_By_Item[#All], ROW()-1, COLUMN()), "")</f>
        <v/>
      </c>
      <c r="D143" s="1" t="str" cm="1">
        <f t="array" ref="D143">IFERROR(INDEX(PV_Totals_By_Item[#All], ROW()-1, COLUMN()), "")</f>
        <v/>
      </c>
      <c r="E143" s="1" t="str" cm="1">
        <f t="array" ref="E143">IFERROR(INDEX(PV_Totals_By_Item[#All], ROW()-1, COLUMN()), "")</f>
        <v/>
      </c>
      <c r="F143" s="1" t="str" cm="1">
        <f t="array" ref="F143">IFERROR(INDEX(PV_Totals_By_Item[#All], ROW()-1, COLUMN()), "")</f>
        <v/>
      </c>
      <c r="G143" s="1" t="str" cm="1">
        <f t="array" ref="G143">IFERROR(INDEX(PV_Totals_By_Item[#All], ROW()-1, COLUMN()), "")</f>
        <v/>
      </c>
      <c r="H143" s="1" t="str" cm="1">
        <f t="array" ref="H143">IFERROR(INDEX(PV_Totals_By_Item[#All], ROW()-1, COLUMN()), "")</f>
        <v/>
      </c>
      <c r="I143" s="1" t="str" cm="1">
        <f t="array" ref="I143">IFERROR(INDEX(PV_Totals_By_Item[#All], ROW()-1, COLUMN()), "")</f>
        <v/>
      </c>
      <c r="J143" s="1" t="str" cm="1">
        <f t="array" ref="J143">IFERROR(INDEX(PV_Totals_By_Item[#All], ROW()-1, COLUMN()), "")</f>
        <v/>
      </c>
    </row>
    <row r="144" spans="1:10">
      <c r="A144" s="1" t="str" cm="1">
        <f t="array" ref="A144">IFERROR(INDEX(PV_Totals_By_Item[#All], ROW()-1, COLUMN()), "")</f>
        <v/>
      </c>
      <c r="B144" s="5" t="str" cm="1">
        <f t="array" ref="B144">IFERROR(INDEX(PV_Totals_By_Item[#All], ROW()-1, COLUMN()), "")</f>
        <v/>
      </c>
      <c r="C144" s="5" t="str" cm="1">
        <f t="array" ref="C144">IFERROR(INDEX(PV_Totals_By_Item[#All], ROW()-1, COLUMN()), "")</f>
        <v/>
      </c>
      <c r="D144" s="1" t="str" cm="1">
        <f t="array" ref="D144">IFERROR(INDEX(PV_Totals_By_Item[#All], ROW()-1, COLUMN()), "")</f>
        <v/>
      </c>
      <c r="E144" s="1" t="str" cm="1">
        <f t="array" ref="E144">IFERROR(INDEX(PV_Totals_By_Item[#All], ROW()-1, COLUMN()), "")</f>
        <v/>
      </c>
      <c r="F144" s="1" t="str" cm="1">
        <f t="array" ref="F144">IFERROR(INDEX(PV_Totals_By_Item[#All], ROW()-1, COLUMN()), "")</f>
        <v/>
      </c>
      <c r="G144" s="1" t="str" cm="1">
        <f t="array" ref="G144">IFERROR(INDEX(PV_Totals_By_Item[#All], ROW()-1, COLUMN()), "")</f>
        <v/>
      </c>
      <c r="H144" s="1" t="str" cm="1">
        <f t="array" ref="H144">IFERROR(INDEX(PV_Totals_By_Item[#All], ROW()-1, COLUMN()), "")</f>
        <v/>
      </c>
      <c r="I144" s="1" t="str" cm="1">
        <f t="array" ref="I144">IFERROR(INDEX(PV_Totals_By_Item[#All], ROW()-1, COLUMN()), "")</f>
        <v/>
      </c>
      <c r="J144" s="1" t="str" cm="1">
        <f t="array" ref="J144">IFERROR(INDEX(PV_Totals_By_Item[#All], ROW()-1, COLUMN()), "")</f>
        <v/>
      </c>
    </row>
    <row r="145" spans="1:10">
      <c r="A145" s="1" t="str" cm="1">
        <f t="array" ref="A145">IFERROR(INDEX(PV_Totals_By_Item[#All], ROW()-1, COLUMN()), "")</f>
        <v/>
      </c>
      <c r="B145" s="5" t="str" cm="1">
        <f t="array" ref="B145">IFERROR(INDEX(PV_Totals_By_Item[#All], ROW()-1, COLUMN()), "")</f>
        <v/>
      </c>
      <c r="C145" s="5" t="str" cm="1">
        <f t="array" ref="C145">IFERROR(INDEX(PV_Totals_By_Item[#All], ROW()-1, COLUMN()), "")</f>
        <v/>
      </c>
      <c r="D145" s="1" t="str" cm="1">
        <f t="array" ref="D145">IFERROR(INDEX(PV_Totals_By_Item[#All], ROW()-1, COLUMN()), "")</f>
        <v/>
      </c>
      <c r="E145" s="1" t="str" cm="1">
        <f t="array" ref="E145">IFERROR(INDEX(PV_Totals_By_Item[#All], ROW()-1, COLUMN()), "")</f>
        <v/>
      </c>
      <c r="F145" s="1" t="str" cm="1">
        <f t="array" ref="F145">IFERROR(INDEX(PV_Totals_By_Item[#All], ROW()-1, COLUMN()), "")</f>
        <v/>
      </c>
      <c r="G145" s="1" t="str" cm="1">
        <f t="array" ref="G145">IFERROR(INDEX(PV_Totals_By_Item[#All], ROW()-1, COLUMN()), "")</f>
        <v/>
      </c>
      <c r="H145" s="1" t="str" cm="1">
        <f t="array" ref="H145">IFERROR(INDEX(PV_Totals_By_Item[#All], ROW()-1, COLUMN()), "")</f>
        <v/>
      </c>
      <c r="I145" s="1" t="str" cm="1">
        <f t="array" ref="I145">IFERROR(INDEX(PV_Totals_By_Item[#All], ROW()-1, COLUMN()), "")</f>
        <v/>
      </c>
      <c r="J145" s="1" t="str" cm="1">
        <f t="array" ref="J145">IFERROR(INDEX(PV_Totals_By_Item[#All], ROW()-1, COLUMN()), "")</f>
        <v/>
      </c>
    </row>
    <row r="146" spans="1:10">
      <c r="A146" s="1" t="str" cm="1">
        <f t="array" ref="A146">IFERROR(INDEX(PV_Totals_By_Item[#All], ROW()-1, COLUMN()), "")</f>
        <v/>
      </c>
      <c r="B146" s="5" t="str" cm="1">
        <f t="array" ref="B146">IFERROR(INDEX(PV_Totals_By_Item[#All], ROW()-1, COLUMN()), "")</f>
        <v/>
      </c>
      <c r="C146" s="5" t="str" cm="1">
        <f t="array" ref="C146">IFERROR(INDEX(PV_Totals_By_Item[#All], ROW()-1, COLUMN()), "")</f>
        <v/>
      </c>
      <c r="D146" s="1" t="str" cm="1">
        <f t="array" ref="D146">IFERROR(INDEX(PV_Totals_By_Item[#All], ROW()-1, COLUMN()), "")</f>
        <v/>
      </c>
      <c r="E146" s="1" t="str" cm="1">
        <f t="array" ref="E146">IFERROR(INDEX(PV_Totals_By_Item[#All], ROW()-1, COLUMN()), "")</f>
        <v/>
      </c>
      <c r="F146" s="1" t="str" cm="1">
        <f t="array" ref="F146">IFERROR(INDEX(PV_Totals_By_Item[#All], ROW()-1, COLUMN()), "")</f>
        <v/>
      </c>
      <c r="G146" s="1" t="str" cm="1">
        <f t="array" ref="G146">IFERROR(INDEX(PV_Totals_By_Item[#All], ROW()-1, COLUMN()), "")</f>
        <v/>
      </c>
      <c r="H146" s="1" t="str" cm="1">
        <f t="array" ref="H146">IFERROR(INDEX(PV_Totals_By_Item[#All], ROW()-1, COLUMN()), "")</f>
        <v/>
      </c>
      <c r="I146" s="1" t="str" cm="1">
        <f t="array" ref="I146">IFERROR(INDEX(PV_Totals_By_Item[#All], ROW()-1, COLUMN()), "")</f>
        <v/>
      </c>
      <c r="J146" s="1" t="str" cm="1">
        <f t="array" ref="J146">IFERROR(INDEX(PV_Totals_By_Item[#All], ROW()-1, COLUMN()), "")</f>
        <v/>
      </c>
    </row>
    <row r="147" spans="1:10">
      <c r="A147" s="1" t="str" cm="1">
        <f t="array" ref="A147">IFERROR(INDEX(PV_Totals_By_Item[#All], ROW()-1, COLUMN()), "")</f>
        <v/>
      </c>
      <c r="B147" s="5" t="str" cm="1">
        <f t="array" ref="B147">IFERROR(INDEX(PV_Totals_By_Item[#All], ROW()-1, COLUMN()), "")</f>
        <v/>
      </c>
      <c r="C147" s="5" t="str" cm="1">
        <f t="array" ref="C147">IFERROR(INDEX(PV_Totals_By_Item[#All], ROW()-1, COLUMN()), "")</f>
        <v/>
      </c>
      <c r="D147" s="1" t="str" cm="1">
        <f t="array" ref="D147">IFERROR(INDEX(PV_Totals_By_Item[#All], ROW()-1, COLUMN()), "")</f>
        <v/>
      </c>
      <c r="E147" s="1" t="str" cm="1">
        <f t="array" ref="E147">IFERROR(INDEX(PV_Totals_By_Item[#All], ROW()-1, COLUMN()), "")</f>
        <v/>
      </c>
      <c r="F147" s="1" t="str" cm="1">
        <f t="array" ref="F147">IFERROR(INDEX(PV_Totals_By_Item[#All], ROW()-1, COLUMN()), "")</f>
        <v/>
      </c>
      <c r="G147" s="1" t="str" cm="1">
        <f t="array" ref="G147">IFERROR(INDEX(PV_Totals_By_Item[#All], ROW()-1, COLUMN()), "")</f>
        <v/>
      </c>
      <c r="H147" s="1" t="str" cm="1">
        <f t="array" ref="H147">IFERROR(INDEX(PV_Totals_By_Item[#All], ROW()-1, COLUMN()), "")</f>
        <v/>
      </c>
      <c r="I147" s="1" t="str" cm="1">
        <f t="array" ref="I147">IFERROR(INDEX(PV_Totals_By_Item[#All], ROW()-1, COLUMN()), "")</f>
        <v/>
      </c>
      <c r="J147" s="1" t="str" cm="1">
        <f t="array" ref="J147">IFERROR(INDEX(PV_Totals_By_Item[#All], ROW()-1, COLUMN()), "")</f>
        <v/>
      </c>
    </row>
    <row r="148" spans="1:10">
      <c r="A148" s="1" t="str" cm="1">
        <f t="array" ref="A148">IFERROR(INDEX(PV_Totals_By_Item[#All], ROW()-1, COLUMN()), "")</f>
        <v/>
      </c>
      <c r="B148" s="5" t="str" cm="1">
        <f t="array" ref="B148">IFERROR(INDEX(PV_Totals_By_Item[#All], ROW()-1, COLUMN()), "")</f>
        <v/>
      </c>
      <c r="C148" s="5" t="str" cm="1">
        <f t="array" ref="C148">IFERROR(INDEX(PV_Totals_By_Item[#All], ROW()-1, COLUMN()), "")</f>
        <v/>
      </c>
      <c r="D148" s="1" t="str" cm="1">
        <f t="array" ref="D148">IFERROR(INDEX(PV_Totals_By_Item[#All], ROW()-1, COLUMN()), "")</f>
        <v/>
      </c>
      <c r="E148" s="1" t="str" cm="1">
        <f t="array" ref="E148">IFERROR(INDEX(PV_Totals_By_Item[#All], ROW()-1, COLUMN()), "")</f>
        <v/>
      </c>
      <c r="F148" s="1" t="str" cm="1">
        <f t="array" ref="F148">IFERROR(INDEX(PV_Totals_By_Item[#All], ROW()-1, COLUMN()), "")</f>
        <v/>
      </c>
      <c r="G148" s="1" t="str" cm="1">
        <f t="array" ref="G148">IFERROR(INDEX(PV_Totals_By_Item[#All], ROW()-1, COLUMN()), "")</f>
        <v/>
      </c>
      <c r="H148" s="1" t="str" cm="1">
        <f t="array" ref="H148">IFERROR(INDEX(PV_Totals_By_Item[#All], ROW()-1, COLUMN()), "")</f>
        <v/>
      </c>
      <c r="I148" s="1" t="str" cm="1">
        <f t="array" ref="I148">IFERROR(INDEX(PV_Totals_By_Item[#All], ROW()-1, COLUMN()), "")</f>
        <v/>
      </c>
      <c r="J148" s="1" t="str" cm="1">
        <f t="array" ref="J148">IFERROR(INDEX(PV_Totals_By_Item[#All], ROW()-1, COLUMN()), "")</f>
        <v/>
      </c>
    </row>
    <row r="149" spans="1:10">
      <c r="A149" s="1" t="str" cm="1">
        <f t="array" ref="A149">IFERROR(INDEX(PV_Totals_By_Item[#All], ROW()-1, COLUMN()), "")</f>
        <v/>
      </c>
      <c r="B149" s="5" t="str" cm="1">
        <f t="array" ref="B149">IFERROR(INDEX(PV_Totals_By_Item[#All], ROW()-1, COLUMN()), "")</f>
        <v/>
      </c>
      <c r="C149" s="5" t="str" cm="1">
        <f t="array" ref="C149">IFERROR(INDEX(PV_Totals_By_Item[#All], ROW()-1, COLUMN()), "")</f>
        <v/>
      </c>
      <c r="D149" s="1" t="str" cm="1">
        <f t="array" ref="D149">IFERROR(INDEX(PV_Totals_By_Item[#All], ROW()-1, COLUMN()), "")</f>
        <v/>
      </c>
      <c r="E149" s="1" t="str" cm="1">
        <f t="array" ref="E149">IFERROR(INDEX(PV_Totals_By_Item[#All], ROW()-1, COLUMN()), "")</f>
        <v/>
      </c>
      <c r="F149" s="1" t="str" cm="1">
        <f t="array" ref="F149">IFERROR(INDEX(PV_Totals_By_Item[#All], ROW()-1, COLUMN()), "")</f>
        <v/>
      </c>
      <c r="G149" s="1" t="str" cm="1">
        <f t="array" ref="G149">IFERROR(INDEX(PV_Totals_By_Item[#All], ROW()-1, COLUMN()), "")</f>
        <v/>
      </c>
      <c r="H149" s="1" t="str" cm="1">
        <f t="array" ref="H149">IFERROR(INDEX(PV_Totals_By_Item[#All], ROW()-1, COLUMN()), "")</f>
        <v/>
      </c>
      <c r="I149" s="1" t="str" cm="1">
        <f t="array" ref="I149">IFERROR(INDEX(PV_Totals_By_Item[#All], ROW()-1, COLUMN()), "")</f>
        <v/>
      </c>
      <c r="J149" s="1" t="str" cm="1">
        <f t="array" ref="J149">IFERROR(INDEX(PV_Totals_By_Item[#All], ROW()-1, COLUMN()), "")</f>
        <v/>
      </c>
    </row>
    <row r="150" spans="1:10">
      <c r="A150" s="1" t="str" cm="1">
        <f t="array" ref="A150">IFERROR(INDEX(PV_Totals_By_Item[#All], ROW()-1, COLUMN()), "")</f>
        <v/>
      </c>
      <c r="B150" s="5" t="str" cm="1">
        <f t="array" ref="B150">IFERROR(INDEX(PV_Totals_By_Item[#All], ROW()-1, COLUMN()), "")</f>
        <v/>
      </c>
      <c r="C150" s="5" t="str" cm="1">
        <f t="array" ref="C150">IFERROR(INDEX(PV_Totals_By_Item[#All], ROW()-1, COLUMN()), "")</f>
        <v/>
      </c>
      <c r="D150" s="1" t="str" cm="1">
        <f t="array" ref="D150">IFERROR(INDEX(PV_Totals_By_Item[#All], ROW()-1, COLUMN()), "")</f>
        <v/>
      </c>
      <c r="E150" s="1" t="str" cm="1">
        <f t="array" ref="E150">IFERROR(INDEX(PV_Totals_By_Item[#All], ROW()-1, COLUMN()), "")</f>
        <v/>
      </c>
      <c r="F150" s="1" t="str" cm="1">
        <f t="array" ref="F150">IFERROR(INDEX(PV_Totals_By_Item[#All], ROW()-1, COLUMN()), "")</f>
        <v/>
      </c>
      <c r="G150" s="1" t="str" cm="1">
        <f t="array" ref="G150">IFERROR(INDEX(PV_Totals_By_Item[#All], ROW()-1, COLUMN()), "")</f>
        <v/>
      </c>
      <c r="H150" s="1" t="str" cm="1">
        <f t="array" ref="H150">IFERROR(INDEX(PV_Totals_By_Item[#All], ROW()-1, COLUMN()), "")</f>
        <v/>
      </c>
      <c r="I150" s="1" t="str" cm="1">
        <f t="array" ref="I150">IFERROR(INDEX(PV_Totals_By_Item[#All], ROW()-1, COLUMN()), "")</f>
        <v/>
      </c>
      <c r="J150" s="1" t="str" cm="1">
        <f t="array" ref="J150">IFERROR(INDEX(PV_Totals_By_Item[#All], ROW()-1, COLUMN()), "")</f>
        <v/>
      </c>
    </row>
    <row r="151" spans="1:10">
      <c r="A151" s="1" t="str" cm="1">
        <f t="array" ref="A151">IFERROR(INDEX(PV_Totals_By_Item[#All], ROW()-1, COLUMN()), "")</f>
        <v/>
      </c>
      <c r="B151" s="5" t="str" cm="1">
        <f t="array" ref="B151">IFERROR(INDEX(PV_Totals_By_Item[#All], ROW()-1, COLUMN()), "")</f>
        <v/>
      </c>
      <c r="C151" s="5" t="str" cm="1">
        <f t="array" ref="C151">IFERROR(INDEX(PV_Totals_By_Item[#All], ROW()-1, COLUMN()), "")</f>
        <v/>
      </c>
      <c r="D151" s="1" t="str" cm="1">
        <f t="array" ref="D151">IFERROR(INDEX(PV_Totals_By_Item[#All], ROW()-1, COLUMN()), "")</f>
        <v/>
      </c>
      <c r="E151" s="1" t="str" cm="1">
        <f t="array" ref="E151">IFERROR(INDEX(PV_Totals_By_Item[#All], ROW()-1, COLUMN()), "")</f>
        <v/>
      </c>
      <c r="F151" s="1" t="str" cm="1">
        <f t="array" ref="F151">IFERROR(INDEX(PV_Totals_By_Item[#All], ROW()-1, COLUMN()), "")</f>
        <v/>
      </c>
      <c r="G151" s="1" t="str" cm="1">
        <f t="array" ref="G151">IFERROR(INDEX(PV_Totals_By_Item[#All], ROW()-1, COLUMN()), "")</f>
        <v/>
      </c>
      <c r="H151" s="1" t="str" cm="1">
        <f t="array" ref="H151">IFERROR(INDEX(PV_Totals_By_Item[#All], ROW()-1, COLUMN()), "")</f>
        <v/>
      </c>
      <c r="I151" s="1" t="str" cm="1">
        <f t="array" ref="I151">IFERROR(INDEX(PV_Totals_By_Item[#All], ROW()-1, COLUMN()), "")</f>
        <v/>
      </c>
      <c r="J151" s="1" t="str" cm="1">
        <f t="array" ref="J151">IFERROR(INDEX(PV_Totals_By_Item[#All], ROW()-1, COLUMN()), "")</f>
        <v/>
      </c>
    </row>
    <row r="152" spans="1:10">
      <c r="A152" s="1" t="str" cm="1">
        <f t="array" ref="A152">IFERROR(INDEX(PV_Totals_By_Item[#All], ROW()-1, COLUMN()), "")</f>
        <v/>
      </c>
      <c r="B152" s="5" t="str" cm="1">
        <f t="array" ref="B152">IFERROR(INDEX(PV_Totals_By_Item[#All], ROW()-1, COLUMN()), "")</f>
        <v/>
      </c>
      <c r="C152" s="5" t="str" cm="1">
        <f t="array" ref="C152">IFERROR(INDEX(PV_Totals_By_Item[#All], ROW()-1, COLUMN()), "")</f>
        <v/>
      </c>
      <c r="D152" s="1" t="str" cm="1">
        <f t="array" ref="D152">IFERROR(INDEX(PV_Totals_By_Item[#All], ROW()-1, COLUMN()), "")</f>
        <v/>
      </c>
      <c r="E152" s="1" t="str" cm="1">
        <f t="array" ref="E152">IFERROR(INDEX(PV_Totals_By_Item[#All], ROW()-1, COLUMN()), "")</f>
        <v/>
      </c>
      <c r="F152" s="1" t="str" cm="1">
        <f t="array" ref="F152">IFERROR(INDEX(PV_Totals_By_Item[#All], ROW()-1, COLUMN()), "")</f>
        <v/>
      </c>
      <c r="G152" s="1" t="str" cm="1">
        <f t="array" ref="G152">IFERROR(INDEX(PV_Totals_By_Item[#All], ROW()-1, COLUMN()), "")</f>
        <v/>
      </c>
      <c r="H152" s="1" t="str" cm="1">
        <f t="array" ref="H152">IFERROR(INDEX(PV_Totals_By_Item[#All], ROW()-1, COLUMN()), "")</f>
        <v/>
      </c>
      <c r="I152" s="1" t="str" cm="1">
        <f t="array" ref="I152">IFERROR(INDEX(PV_Totals_By_Item[#All], ROW()-1, COLUMN()), "")</f>
        <v/>
      </c>
      <c r="J152" s="1" t="str" cm="1">
        <f t="array" ref="J152">IFERROR(INDEX(PV_Totals_By_Item[#All], ROW()-1, COLUMN()), "")</f>
        <v/>
      </c>
    </row>
    <row r="153" spans="1:10">
      <c r="A153" s="1" t="str" cm="1">
        <f t="array" ref="A153">IFERROR(INDEX(PV_Totals_By_Item[#All], ROW()-1, COLUMN()), "")</f>
        <v/>
      </c>
      <c r="B153" s="5" t="str" cm="1">
        <f t="array" ref="B153">IFERROR(INDEX(PV_Totals_By_Item[#All], ROW()-1, COLUMN()), "")</f>
        <v/>
      </c>
      <c r="C153" s="5" t="str" cm="1">
        <f t="array" ref="C153">IFERROR(INDEX(PV_Totals_By_Item[#All], ROW()-1, COLUMN()), "")</f>
        <v/>
      </c>
      <c r="D153" s="1" t="str" cm="1">
        <f t="array" ref="D153">IFERROR(INDEX(PV_Totals_By_Item[#All], ROW()-1, COLUMN()), "")</f>
        <v/>
      </c>
      <c r="E153" s="1" t="str" cm="1">
        <f t="array" ref="E153">IFERROR(INDEX(PV_Totals_By_Item[#All], ROW()-1, COLUMN()), "")</f>
        <v/>
      </c>
      <c r="F153" s="1" t="str" cm="1">
        <f t="array" ref="F153">IFERROR(INDEX(PV_Totals_By_Item[#All], ROW()-1, COLUMN()), "")</f>
        <v/>
      </c>
      <c r="G153" s="1" t="str" cm="1">
        <f t="array" ref="G153">IFERROR(INDEX(PV_Totals_By_Item[#All], ROW()-1, COLUMN()), "")</f>
        <v/>
      </c>
      <c r="H153" s="1" t="str" cm="1">
        <f t="array" ref="H153">IFERROR(INDEX(PV_Totals_By_Item[#All], ROW()-1, COLUMN()), "")</f>
        <v/>
      </c>
      <c r="I153" s="1" t="str" cm="1">
        <f t="array" ref="I153">IFERROR(INDEX(PV_Totals_By_Item[#All], ROW()-1, COLUMN()), "")</f>
        <v/>
      </c>
      <c r="J153" s="1" t="str" cm="1">
        <f t="array" ref="J153">IFERROR(INDEX(PV_Totals_By_Item[#All], ROW()-1, COLUMN()), "")</f>
        <v/>
      </c>
    </row>
    <row r="154" spans="1:10">
      <c r="A154" s="1" t="str" cm="1">
        <f t="array" ref="A154">IFERROR(INDEX(PV_Totals_By_Item[#All], ROW()-1, COLUMN()), "")</f>
        <v/>
      </c>
      <c r="B154" s="5" t="str" cm="1">
        <f t="array" ref="B154">IFERROR(INDEX(PV_Totals_By_Item[#All], ROW()-1, COLUMN()), "")</f>
        <v/>
      </c>
      <c r="C154" s="5" t="str" cm="1">
        <f t="array" ref="C154">IFERROR(INDEX(PV_Totals_By_Item[#All], ROW()-1, COLUMN()), "")</f>
        <v/>
      </c>
      <c r="D154" s="1" t="str" cm="1">
        <f t="array" ref="D154">IFERROR(INDEX(PV_Totals_By_Item[#All], ROW()-1, COLUMN()), "")</f>
        <v/>
      </c>
      <c r="E154" s="1" t="str" cm="1">
        <f t="array" ref="E154">IFERROR(INDEX(PV_Totals_By_Item[#All], ROW()-1, COLUMN()), "")</f>
        <v/>
      </c>
      <c r="F154" s="1" t="str" cm="1">
        <f t="array" ref="F154">IFERROR(INDEX(PV_Totals_By_Item[#All], ROW()-1, COLUMN()), "")</f>
        <v/>
      </c>
      <c r="G154" s="1" t="str" cm="1">
        <f t="array" ref="G154">IFERROR(INDEX(PV_Totals_By_Item[#All], ROW()-1, COLUMN()), "")</f>
        <v/>
      </c>
      <c r="H154" s="1" t="str" cm="1">
        <f t="array" ref="H154">IFERROR(INDEX(PV_Totals_By_Item[#All], ROW()-1, COLUMN()), "")</f>
        <v/>
      </c>
      <c r="I154" s="1" t="str" cm="1">
        <f t="array" ref="I154">IFERROR(INDEX(PV_Totals_By_Item[#All], ROW()-1, COLUMN()), "")</f>
        <v/>
      </c>
      <c r="J154" s="1" t="str" cm="1">
        <f t="array" ref="J154">IFERROR(INDEX(PV_Totals_By_Item[#All], ROW()-1, COLUMN()), "")</f>
        <v/>
      </c>
    </row>
    <row r="155" spans="1:10">
      <c r="A155" s="1" t="str" cm="1">
        <f t="array" ref="A155">IFERROR(INDEX(PV_Totals_By_Item[#All], ROW()-1, COLUMN()), "")</f>
        <v/>
      </c>
      <c r="B155" s="5" t="str" cm="1">
        <f t="array" ref="B155">IFERROR(INDEX(PV_Totals_By_Item[#All], ROW()-1, COLUMN()), "")</f>
        <v/>
      </c>
      <c r="C155" s="5" t="str" cm="1">
        <f t="array" ref="C155">IFERROR(INDEX(PV_Totals_By_Item[#All], ROW()-1, COLUMN()), "")</f>
        <v/>
      </c>
      <c r="D155" s="1" t="str" cm="1">
        <f t="array" ref="D155">IFERROR(INDEX(PV_Totals_By_Item[#All], ROW()-1, COLUMN()), "")</f>
        <v/>
      </c>
      <c r="E155" s="1" t="str" cm="1">
        <f t="array" ref="E155">IFERROR(INDEX(PV_Totals_By_Item[#All], ROW()-1, COLUMN()), "")</f>
        <v/>
      </c>
      <c r="F155" s="1" t="str" cm="1">
        <f t="array" ref="F155">IFERROR(INDEX(PV_Totals_By_Item[#All], ROW()-1, COLUMN()), "")</f>
        <v/>
      </c>
      <c r="G155" s="1" t="str" cm="1">
        <f t="array" ref="G155">IFERROR(INDEX(PV_Totals_By_Item[#All], ROW()-1, COLUMN()), "")</f>
        <v/>
      </c>
      <c r="H155" s="1" t="str" cm="1">
        <f t="array" ref="H155">IFERROR(INDEX(PV_Totals_By_Item[#All], ROW()-1, COLUMN()), "")</f>
        <v/>
      </c>
      <c r="I155" s="1" t="str" cm="1">
        <f t="array" ref="I155">IFERROR(INDEX(PV_Totals_By_Item[#All], ROW()-1, COLUMN()), "")</f>
        <v/>
      </c>
      <c r="J155" s="1" t="str" cm="1">
        <f t="array" ref="J155">IFERROR(INDEX(PV_Totals_By_Item[#All], ROW()-1, COLUMN()), "")</f>
        <v/>
      </c>
    </row>
    <row r="156" spans="1:10">
      <c r="A156" s="1" t="str" cm="1">
        <f t="array" ref="A156">IFERROR(INDEX(PV_Totals_By_Item[#All], ROW()-1, COLUMN()), "")</f>
        <v/>
      </c>
      <c r="B156" s="5" t="str" cm="1">
        <f t="array" ref="B156">IFERROR(INDEX(PV_Totals_By_Item[#All], ROW()-1, COLUMN()), "")</f>
        <v/>
      </c>
      <c r="C156" s="5" t="str" cm="1">
        <f t="array" ref="C156">IFERROR(INDEX(PV_Totals_By_Item[#All], ROW()-1, COLUMN()), "")</f>
        <v/>
      </c>
      <c r="D156" s="1" t="str" cm="1">
        <f t="array" ref="D156">IFERROR(INDEX(PV_Totals_By_Item[#All], ROW()-1, COLUMN()), "")</f>
        <v/>
      </c>
      <c r="E156" s="1" t="str" cm="1">
        <f t="array" ref="E156">IFERROR(INDEX(PV_Totals_By_Item[#All], ROW()-1, COLUMN()), "")</f>
        <v/>
      </c>
      <c r="F156" s="1" t="str" cm="1">
        <f t="array" ref="F156">IFERROR(INDEX(PV_Totals_By_Item[#All], ROW()-1, COLUMN()), "")</f>
        <v/>
      </c>
      <c r="G156" s="1" t="str" cm="1">
        <f t="array" ref="G156">IFERROR(INDEX(PV_Totals_By_Item[#All], ROW()-1, COLUMN()), "")</f>
        <v/>
      </c>
      <c r="H156" s="1" t="str" cm="1">
        <f t="array" ref="H156">IFERROR(INDEX(PV_Totals_By_Item[#All], ROW()-1, COLUMN()), "")</f>
        <v/>
      </c>
      <c r="I156" s="1" t="str" cm="1">
        <f t="array" ref="I156">IFERROR(INDEX(PV_Totals_By_Item[#All], ROW()-1, COLUMN()), "")</f>
        <v/>
      </c>
      <c r="J156" s="1" t="str" cm="1">
        <f t="array" ref="J156">IFERROR(INDEX(PV_Totals_By_Item[#All], ROW()-1, COLUMN()), "")</f>
        <v/>
      </c>
    </row>
    <row r="157" spans="1:10">
      <c r="A157" s="1" t="str" cm="1">
        <f t="array" ref="A157">IFERROR(INDEX(PV_Totals_By_Item[#All], ROW()-1, COLUMN()), "")</f>
        <v/>
      </c>
      <c r="B157" s="5" t="str" cm="1">
        <f t="array" ref="B157">IFERROR(INDEX(PV_Totals_By_Item[#All], ROW()-1, COLUMN()), "")</f>
        <v/>
      </c>
      <c r="C157" s="5" t="str" cm="1">
        <f t="array" ref="C157">IFERROR(INDEX(PV_Totals_By_Item[#All], ROW()-1, COLUMN()), "")</f>
        <v/>
      </c>
      <c r="D157" s="1" t="str" cm="1">
        <f t="array" ref="D157">IFERROR(INDEX(PV_Totals_By_Item[#All], ROW()-1, COLUMN()), "")</f>
        <v/>
      </c>
      <c r="E157" s="1" t="str" cm="1">
        <f t="array" ref="E157">IFERROR(INDEX(PV_Totals_By_Item[#All], ROW()-1, COLUMN()), "")</f>
        <v/>
      </c>
      <c r="F157" s="1" t="str" cm="1">
        <f t="array" ref="F157">IFERROR(INDEX(PV_Totals_By_Item[#All], ROW()-1, COLUMN()), "")</f>
        <v/>
      </c>
      <c r="G157" s="1" t="str" cm="1">
        <f t="array" ref="G157">IFERROR(INDEX(PV_Totals_By_Item[#All], ROW()-1, COLUMN()), "")</f>
        <v/>
      </c>
      <c r="H157" s="1" t="str" cm="1">
        <f t="array" ref="H157">IFERROR(INDEX(PV_Totals_By_Item[#All], ROW()-1, COLUMN()), "")</f>
        <v/>
      </c>
      <c r="I157" s="1" t="str" cm="1">
        <f t="array" ref="I157">IFERROR(INDEX(PV_Totals_By_Item[#All], ROW()-1, COLUMN()), "")</f>
        <v/>
      </c>
      <c r="J157" s="1" t="str" cm="1">
        <f t="array" ref="J157">IFERROR(INDEX(PV_Totals_By_Item[#All], ROW()-1, COLUMN()), "")</f>
        <v/>
      </c>
    </row>
    <row r="158" spans="1:10">
      <c r="A158" s="1" t="str" cm="1">
        <f t="array" ref="A158">IFERROR(INDEX(PV_Totals_By_Item[#All], ROW()-1, COLUMN()), "")</f>
        <v/>
      </c>
      <c r="B158" s="5" t="str" cm="1">
        <f t="array" ref="B158">IFERROR(INDEX(PV_Totals_By_Item[#All], ROW()-1, COLUMN()), "")</f>
        <v/>
      </c>
      <c r="C158" s="5" t="str" cm="1">
        <f t="array" ref="C158">IFERROR(INDEX(PV_Totals_By_Item[#All], ROW()-1, COLUMN()), "")</f>
        <v/>
      </c>
      <c r="D158" s="1" t="str" cm="1">
        <f t="array" ref="D158">IFERROR(INDEX(PV_Totals_By_Item[#All], ROW()-1, COLUMN()), "")</f>
        <v/>
      </c>
      <c r="E158" s="1" t="str" cm="1">
        <f t="array" ref="E158">IFERROR(INDEX(PV_Totals_By_Item[#All], ROW()-1, COLUMN()), "")</f>
        <v/>
      </c>
      <c r="F158" s="1" t="str" cm="1">
        <f t="array" ref="F158">IFERROR(INDEX(PV_Totals_By_Item[#All], ROW()-1, COLUMN()), "")</f>
        <v/>
      </c>
      <c r="G158" s="1" t="str" cm="1">
        <f t="array" ref="G158">IFERROR(INDEX(PV_Totals_By_Item[#All], ROW()-1, COLUMN()), "")</f>
        <v/>
      </c>
      <c r="H158" s="1" t="str" cm="1">
        <f t="array" ref="H158">IFERROR(INDEX(PV_Totals_By_Item[#All], ROW()-1, COLUMN()), "")</f>
        <v/>
      </c>
      <c r="I158" s="1" t="str" cm="1">
        <f t="array" ref="I158">IFERROR(INDEX(PV_Totals_By_Item[#All], ROW()-1, COLUMN()), "")</f>
        <v/>
      </c>
      <c r="J158" s="1" t="str" cm="1">
        <f t="array" ref="J158">IFERROR(INDEX(PV_Totals_By_Item[#All], ROW()-1, COLUMN()), "")</f>
        <v/>
      </c>
    </row>
    <row r="159" spans="1:10">
      <c r="A159" s="1" t="str" cm="1">
        <f t="array" ref="A159">IFERROR(INDEX(PV_Totals_By_Item[#All], ROW()-1, COLUMN()), "")</f>
        <v/>
      </c>
      <c r="B159" s="5" t="str" cm="1">
        <f t="array" ref="B159">IFERROR(INDEX(PV_Totals_By_Item[#All], ROW()-1, COLUMN()), "")</f>
        <v/>
      </c>
      <c r="C159" s="5" t="str" cm="1">
        <f t="array" ref="C159">IFERROR(INDEX(PV_Totals_By_Item[#All], ROW()-1, COLUMN()), "")</f>
        <v/>
      </c>
      <c r="D159" s="1" t="str" cm="1">
        <f t="array" ref="D159">IFERROR(INDEX(PV_Totals_By_Item[#All], ROW()-1, COLUMN()), "")</f>
        <v/>
      </c>
      <c r="E159" s="1" t="str" cm="1">
        <f t="array" ref="E159">IFERROR(INDEX(PV_Totals_By_Item[#All], ROW()-1, COLUMN()), "")</f>
        <v/>
      </c>
      <c r="F159" s="1" t="str" cm="1">
        <f t="array" ref="F159">IFERROR(INDEX(PV_Totals_By_Item[#All], ROW()-1, COLUMN()), "")</f>
        <v/>
      </c>
      <c r="G159" s="1" t="str" cm="1">
        <f t="array" ref="G159">IFERROR(INDEX(PV_Totals_By_Item[#All], ROW()-1, COLUMN()), "")</f>
        <v/>
      </c>
      <c r="H159" s="1" t="str" cm="1">
        <f t="array" ref="H159">IFERROR(INDEX(PV_Totals_By_Item[#All], ROW()-1, COLUMN()), "")</f>
        <v/>
      </c>
      <c r="I159" s="1" t="str" cm="1">
        <f t="array" ref="I159">IFERROR(INDEX(PV_Totals_By_Item[#All], ROW()-1, COLUMN()), "")</f>
        <v/>
      </c>
      <c r="J159" s="1" t="str" cm="1">
        <f t="array" ref="J159">IFERROR(INDEX(PV_Totals_By_Item[#All], ROW()-1, COLUMN()), "")</f>
        <v/>
      </c>
    </row>
    <row r="160" spans="1:10">
      <c r="A160" s="1" t="str" cm="1">
        <f t="array" ref="A160">IFERROR(INDEX(PV_Totals_By_Item[#All], ROW()-1, COLUMN()), "")</f>
        <v/>
      </c>
      <c r="B160" s="5" t="str" cm="1">
        <f t="array" ref="B160">IFERROR(INDEX(PV_Totals_By_Item[#All], ROW()-1, COLUMN()), "")</f>
        <v/>
      </c>
      <c r="C160" s="5" t="str" cm="1">
        <f t="array" ref="C160">IFERROR(INDEX(PV_Totals_By_Item[#All], ROW()-1, COLUMN()), "")</f>
        <v/>
      </c>
      <c r="D160" s="1" t="str" cm="1">
        <f t="array" ref="D160">IFERROR(INDEX(PV_Totals_By_Item[#All], ROW()-1, COLUMN()), "")</f>
        <v/>
      </c>
      <c r="E160" s="1" t="str" cm="1">
        <f t="array" ref="E160">IFERROR(INDEX(PV_Totals_By_Item[#All], ROW()-1, COLUMN()), "")</f>
        <v/>
      </c>
      <c r="F160" s="1" t="str" cm="1">
        <f t="array" ref="F160">IFERROR(INDEX(PV_Totals_By_Item[#All], ROW()-1, COLUMN()), "")</f>
        <v/>
      </c>
      <c r="G160" s="1" t="str" cm="1">
        <f t="array" ref="G160">IFERROR(INDEX(PV_Totals_By_Item[#All], ROW()-1, COLUMN()), "")</f>
        <v/>
      </c>
      <c r="H160" s="1" t="str" cm="1">
        <f t="array" ref="H160">IFERROR(INDEX(PV_Totals_By_Item[#All], ROW()-1, COLUMN()), "")</f>
        <v/>
      </c>
      <c r="I160" s="1" t="str" cm="1">
        <f t="array" ref="I160">IFERROR(INDEX(PV_Totals_By_Item[#All], ROW()-1, COLUMN()), "")</f>
        <v/>
      </c>
      <c r="J160" s="1" t="str" cm="1">
        <f t="array" ref="J160">IFERROR(INDEX(PV_Totals_By_Item[#All], ROW()-1, COLUMN()), "")</f>
        <v/>
      </c>
    </row>
    <row r="161" spans="1:10">
      <c r="A161" s="1" t="str" cm="1">
        <f t="array" ref="A161">IFERROR(INDEX(PV_Totals_By_Item[#All], ROW()-1, COLUMN()), "")</f>
        <v/>
      </c>
      <c r="B161" s="5" t="str" cm="1">
        <f t="array" ref="B161">IFERROR(INDEX(PV_Totals_By_Item[#All], ROW()-1, COLUMN()), "")</f>
        <v/>
      </c>
      <c r="C161" s="5" t="str" cm="1">
        <f t="array" ref="C161">IFERROR(INDEX(PV_Totals_By_Item[#All], ROW()-1, COLUMN()), "")</f>
        <v/>
      </c>
      <c r="D161" s="1" t="str" cm="1">
        <f t="array" ref="D161">IFERROR(INDEX(PV_Totals_By_Item[#All], ROW()-1, COLUMN()), "")</f>
        <v/>
      </c>
      <c r="E161" s="1" t="str" cm="1">
        <f t="array" ref="E161">IFERROR(INDEX(PV_Totals_By_Item[#All], ROW()-1, COLUMN()), "")</f>
        <v/>
      </c>
      <c r="F161" s="1" t="str" cm="1">
        <f t="array" ref="F161">IFERROR(INDEX(PV_Totals_By_Item[#All], ROW()-1, COLUMN()), "")</f>
        <v/>
      </c>
      <c r="G161" s="1" t="str" cm="1">
        <f t="array" ref="G161">IFERROR(INDEX(PV_Totals_By_Item[#All], ROW()-1, COLUMN()), "")</f>
        <v/>
      </c>
      <c r="H161" s="1" t="str" cm="1">
        <f t="array" ref="H161">IFERROR(INDEX(PV_Totals_By_Item[#All], ROW()-1, COLUMN()), "")</f>
        <v/>
      </c>
      <c r="I161" s="1" t="str" cm="1">
        <f t="array" ref="I161">IFERROR(INDEX(PV_Totals_By_Item[#All], ROW()-1, COLUMN()), "")</f>
        <v/>
      </c>
      <c r="J161" s="1" t="str" cm="1">
        <f t="array" ref="J161">IFERROR(INDEX(PV_Totals_By_Item[#All], ROW()-1, COLUMN()), "")</f>
        <v/>
      </c>
    </row>
    <row r="162" spans="1:10">
      <c r="A162" s="1" t="str" cm="1">
        <f t="array" ref="A162">IFERROR(INDEX(PV_Totals_By_Item[#All], ROW()-1, COLUMN()), "")</f>
        <v/>
      </c>
      <c r="B162" s="5" t="str" cm="1">
        <f t="array" ref="B162">IFERROR(INDEX(PV_Totals_By_Item[#All], ROW()-1, COLUMN()), "")</f>
        <v/>
      </c>
      <c r="C162" s="5" t="str" cm="1">
        <f t="array" ref="C162">IFERROR(INDEX(PV_Totals_By_Item[#All], ROW()-1, COLUMN()), "")</f>
        <v/>
      </c>
      <c r="D162" s="1" t="str" cm="1">
        <f t="array" ref="D162">IFERROR(INDEX(PV_Totals_By_Item[#All], ROW()-1, COLUMN()), "")</f>
        <v/>
      </c>
      <c r="E162" s="1" t="str" cm="1">
        <f t="array" ref="E162">IFERROR(INDEX(PV_Totals_By_Item[#All], ROW()-1, COLUMN()), "")</f>
        <v/>
      </c>
      <c r="F162" s="1" t="str" cm="1">
        <f t="array" ref="F162">IFERROR(INDEX(PV_Totals_By_Item[#All], ROW()-1, COLUMN()), "")</f>
        <v/>
      </c>
      <c r="G162" s="1" t="str" cm="1">
        <f t="array" ref="G162">IFERROR(INDEX(PV_Totals_By_Item[#All], ROW()-1, COLUMN()), "")</f>
        <v/>
      </c>
      <c r="H162" s="1" t="str" cm="1">
        <f t="array" ref="H162">IFERROR(INDEX(PV_Totals_By_Item[#All], ROW()-1, COLUMN()), "")</f>
        <v/>
      </c>
      <c r="I162" s="1" t="str" cm="1">
        <f t="array" ref="I162">IFERROR(INDEX(PV_Totals_By_Item[#All], ROW()-1, COLUMN()), "")</f>
        <v/>
      </c>
      <c r="J162" s="1" t="str" cm="1">
        <f t="array" ref="J162">IFERROR(INDEX(PV_Totals_By_Item[#All], ROW()-1, COLUMN()), "")</f>
        <v/>
      </c>
    </row>
    <row r="163" spans="1:10">
      <c r="A163" s="1" t="str" cm="1">
        <f t="array" ref="A163">IFERROR(INDEX(PV_Totals_By_Item[#All], ROW()-1, COLUMN()), "")</f>
        <v/>
      </c>
      <c r="B163" s="5" t="str" cm="1">
        <f t="array" ref="B163">IFERROR(INDEX(PV_Totals_By_Item[#All], ROW()-1, COLUMN()), "")</f>
        <v/>
      </c>
      <c r="C163" s="5" t="str" cm="1">
        <f t="array" ref="C163">IFERROR(INDEX(PV_Totals_By_Item[#All], ROW()-1, COLUMN()), "")</f>
        <v/>
      </c>
      <c r="D163" s="1" t="str" cm="1">
        <f t="array" ref="D163">IFERROR(INDEX(PV_Totals_By_Item[#All], ROW()-1, COLUMN()), "")</f>
        <v/>
      </c>
      <c r="E163" s="1" t="str" cm="1">
        <f t="array" ref="E163">IFERROR(INDEX(PV_Totals_By_Item[#All], ROW()-1, COLUMN()), "")</f>
        <v/>
      </c>
      <c r="F163" s="1" t="str" cm="1">
        <f t="array" ref="F163">IFERROR(INDEX(PV_Totals_By_Item[#All], ROW()-1, COLUMN()), "")</f>
        <v/>
      </c>
      <c r="G163" s="1" t="str" cm="1">
        <f t="array" ref="G163">IFERROR(INDEX(PV_Totals_By_Item[#All], ROW()-1, COLUMN()), "")</f>
        <v/>
      </c>
      <c r="H163" s="1" t="str" cm="1">
        <f t="array" ref="H163">IFERROR(INDEX(PV_Totals_By_Item[#All], ROW()-1, COLUMN()), "")</f>
        <v/>
      </c>
      <c r="I163" s="1" t="str" cm="1">
        <f t="array" ref="I163">IFERROR(INDEX(PV_Totals_By_Item[#All], ROW()-1, COLUMN()), "")</f>
        <v/>
      </c>
      <c r="J163" s="1" t="str" cm="1">
        <f t="array" ref="J163">IFERROR(INDEX(PV_Totals_By_Item[#All], ROW()-1, COLUMN()), "")</f>
        <v/>
      </c>
    </row>
    <row r="164" spans="1:10">
      <c r="A164" s="1" t="str" cm="1">
        <f t="array" ref="A164">IFERROR(INDEX(PV_Totals_By_Item[#All], ROW()-1, COLUMN()), "")</f>
        <v/>
      </c>
      <c r="B164" s="5" t="str" cm="1">
        <f t="array" ref="B164">IFERROR(INDEX(PV_Totals_By_Item[#All], ROW()-1, COLUMN()), "")</f>
        <v/>
      </c>
      <c r="C164" s="5" t="str" cm="1">
        <f t="array" ref="C164">IFERROR(INDEX(PV_Totals_By_Item[#All], ROW()-1, COLUMN()), "")</f>
        <v/>
      </c>
      <c r="D164" s="1" t="str" cm="1">
        <f t="array" ref="D164">IFERROR(INDEX(PV_Totals_By_Item[#All], ROW()-1, COLUMN()), "")</f>
        <v/>
      </c>
      <c r="E164" s="1" t="str" cm="1">
        <f t="array" ref="E164">IFERROR(INDEX(PV_Totals_By_Item[#All], ROW()-1, COLUMN()), "")</f>
        <v/>
      </c>
      <c r="F164" s="1" t="str" cm="1">
        <f t="array" ref="F164">IFERROR(INDEX(PV_Totals_By_Item[#All], ROW()-1, COLUMN()), "")</f>
        <v/>
      </c>
      <c r="G164" s="1" t="str" cm="1">
        <f t="array" ref="G164">IFERROR(INDEX(PV_Totals_By_Item[#All], ROW()-1, COLUMN()), "")</f>
        <v/>
      </c>
      <c r="H164" s="1" t="str" cm="1">
        <f t="array" ref="H164">IFERROR(INDEX(PV_Totals_By_Item[#All], ROW()-1, COLUMN()), "")</f>
        <v/>
      </c>
      <c r="I164" s="1" t="str" cm="1">
        <f t="array" ref="I164">IFERROR(INDEX(PV_Totals_By_Item[#All], ROW()-1, COLUMN()), "")</f>
        <v/>
      </c>
      <c r="J164" s="1" t="str" cm="1">
        <f t="array" ref="J164">IFERROR(INDEX(PV_Totals_By_Item[#All], ROW()-1, COLUMN()), "")</f>
        <v/>
      </c>
    </row>
    <row r="165" spans="1:10">
      <c r="A165" s="1" t="str" cm="1">
        <f t="array" ref="A165">IFERROR(INDEX(PV_Totals_By_Item[#All], ROW()-1, COLUMN()), "")</f>
        <v/>
      </c>
      <c r="B165" s="5" t="str" cm="1">
        <f t="array" ref="B165">IFERROR(INDEX(PV_Totals_By_Item[#All], ROW()-1, COLUMN()), "")</f>
        <v/>
      </c>
      <c r="C165" s="5" t="str" cm="1">
        <f t="array" ref="C165">IFERROR(INDEX(PV_Totals_By_Item[#All], ROW()-1, COLUMN()), "")</f>
        <v/>
      </c>
      <c r="D165" s="1" t="str" cm="1">
        <f t="array" ref="D165">IFERROR(INDEX(PV_Totals_By_Item[#All], ROW()-1, COLUMN()), "")</f>
        <v/>
      </c>
      <c r="E165" s="1" t="str" cm="1">
        <f t="array" ref="E165">IFERROR(INDEX(PV_Totals_By_Item[#All], ROW()-1, COLUMN()), "")</f>
        <v/>
      </c>
      <c r="F165" s="1" t="str" cm="1">
        <f t="array" ref="F165">IFERROR(INDEX(PV_Totals_By_Item[#All], ROW()-1, COLUMN()), "")</f>
        <v/>
      </c>
      <c r="G165" s="1" t="str" cm="1">
        <f t="array" ref="G165">IFERROR(INDEX(PV_Totals_By_Item[#All], ROW()-1, COLUMN()), "")</f>
        <v/>
      </c>
      <c r="H165" s="1" t="str" cm="1">
        <f t="array" ref="H165">IFERROR(INDEX(PV_Totals_By_Item[#All], ROW()-1, COLUMN()), "")</f>
        <v/>
      </c>
      <c r="I165" s="1" t="str" cm="1">
        <f t="array" ref="I165">IFERROR(INDEX(PV_Totals_By_Item[#All], ROW()-1, COLUMN()), "")</f>
        <v/>
      </c>
      <c r="J165" s="1" t="str" cm="1">
        <f t="array" ref="J165">IFERROR(INDEX(PV_Totals_By_Item[#All], ROW()-1, COLUMN()), "")</f>
        <v/>
      </c>
    </row>
    <row r="166" spans="1:10">
      <c r="A166" s="1" t="str" cm="1">
        <f t="array" ref="A166">IFERROR(INDEX(PV_Totals_By_Item[#All], ROW()-1, COLUMN()), "")</f>
        <v/>
      </c>
      <c r="B166" s="5" t="str" cm="1">
        <f t="array" ref="B166">IFERROR(INDEX(PV_Totals_By_Item[#All], ROW()-1, COLUMN()), "")</f>
        <v/>
      </c>
      <c r="C166" s="5" t="str" cm="1">
        <f t="array" ref="C166">IFERROR(INDEX(PV_Totals_By_Item[#All], ROW()-1, COLUMN()), "")</f>
        <v/>
      </c>
      <c r="D166" s="1" t="str" cm="1">
        <f t="array" ref="D166">IFERROR(INDEX(PV_Totals_By_Item[#All], ROW()-1, COLUMN()), "")</f>
        <v/>
      </c>
      <c r="E166" s="1" t="str" cm="1">
        <f t="array" ref="E166">IFERROR(INDEX(PV_Totals_By_Item[#All], ROW()-1, COLUMN()), "")</f>
        <v/>
      </c>
      <c r="F166" s="1" t="str" cm="1">
        <f t="array" ref="F166">IFERROR(INDEX(PV_Totals_By_Item[#All], ROW()-1, COLUMN()), "")</f>
        <v/>
      </c>
      <c r="G166" s="1" t="str" cm="1">
        <f t="array" ref="G166">IFERROR(INDEX(PV_Totals_By_Item[#All], ROW()-1, COLUMN()), "")</f>
        <v/>
      </c>
      <c r="H166" s="1" t="str" cm="1">
        <f t="array" ref="H166">IFERROR(INDEX(PV_Totals_By_Item[#All], ROW()-1, COLUMN()), "")</f>
        <v/>
      </c>
      <c r="I166" s="1" t="str" cm="1">
        <f t="array" ref="I166">IFERROR(INDEX(PV_Totals_By_Item[#All], ROW()-1, COLUMN()), "")</f>
        <v/>
      </c>
      <c r="J166" s="1" t="str" cm="1">
        <f t="array" ref="J166">IFERROR(INDEX(PV_Totals_By_Item[#All], ROW()-1, COLUMN()), "")</f>
        <v/>
      </c>
    </row>
    <row r="167" spans="1:10">
      <c r="A167" s="1" t="str" cm="1">
        <f t="array" ref="A167">IFERROR(INDEX(PV_Totals_By_Item[#All], ROW()-1, COLUMN()), "")</f>
        <v/>
      </c>
      <c r="B167" s="5" t="str" cm="1">
        <f t="array" ref="B167">IFERROR(INDEX(PV_Totals_By_Item[#All], ROW()-1, COLUMN()), "")</f>
        <v/>
      </c>
      <c r="C167" s="5" t="str" cm="1">
        <f t="array" ref="C167">IFERROR(INDEX(PV_Totals_By_Item[#All], ROW()-1, COLUMN()), "")</f>
        <v/>
      </c>
      <c r="D167" s="1" t="str" cm="1">
        <f t="array" ref="D167">IFERROR(INDEX(PV_Totals_By_Item[#All], ROW()-1, COLUMN()), "")</f>
        <v/>
      </c>
      <c r="E167" s="1" t="str" cm="1">
        <f t="array" ref="E167">IFERROR(INDEX(PV_Totals_By_Item[#All], ROW()-1, COLUMN()), "")</f>
        <v/>
      </c>
      <c r="F167" s="1" t="str" cm="1">
        <f t="array" ref="F167">IFERROR(INDEX(PV_Totals_By_Item[#All], ROW()-1, COLUMN()), "")</f>
        <v/>
      </c>
      <c r="G167" s="1" t="str" cm="1">
        <f t="array" ref="G167">IFERROR(INDEX(PV_Totals_By_Item[#All], ROW()-1, COLUMN()), "")</f>
        <v/>
      </c>
      <c r="H167" s="1" t="str" cm="1">
        <f t="array" ref="H167">IFERROR(INDEX(PV_Totals_By_Item[#All], ROW()-1, COLUMN()), "")</f>
        <v/>
      </c>
      <c r="I167" s="1" t="str" cm="1">
        <f t="array" ref="I167">IFERROR(INDEX(PV_Totals_By_Item[#All], ROW()-1, COLUMN()), "")</f>
        <v/>
      </c>
      <c r="J167" s="1" t="str" cm="1">
        <f t="array" ref="J167">IFERROR(INDEX(PV_Totals_By_Item[#All], ROW()-1, COLUMN()), "")</f>
        <v/>
      </c>
    </row>
    <row r="168" spans="1:10">
      <c r="A168" s="1" t="str" cm="1">
        <f t="array" ref="A168">IFERROR(INDEX(PV_Totals_By_Item[#All], ROW()-1, COLUMN()), "")</f>
        <v/>
      </c>
      <c r="B168" s="5" t="str" cm="1">
        <f t="array" ref="B168">IFERROR(INDEX(PV_Totals_By_Item[#All], ROW()-1, COLUMN()), "")</f>
        <v/>
      </c>
      <c r="C168" s="5" t="str" cm="1">
        <f t="array" ref="C168">IFERROR(INDEX(PV_Totals_By_Item[#All], ROW()-1, COLUMN()), "")</f>
        <v/>
      </c>
      <c r="D168" s="1" t="str" cm="1">
        <f t="array" ref="D168">IFERROR(INDEX(PV_Totals_By_Item[#All], ROW()-1, COLUMN()), "")</f>
        <v/>
      </c>
      <c r="E168" s="1" t="str" cm="1">
        <f t="array" ref="E168">IFERROR(INDEX(PV_Totals_By_Item[#All], ROW()-1, COLUMN()), "")</f>
        <v/>
      </c>
      <c r="F168" s="1" t="str" cm="1">
        <f t="array" ref="F168">IFERROR(INDEX(PV_Totals_By_Item[#All], ROW()-1, COLUMN()), "")</f>
        <v/>
      </c>
      <c r="G168" s="1" t="str" cm="1">
        <f t="array" ref="G168">IFERROR(INDEX(PV_Totals_By_Item[#All], ROW()-1, COLUMN()), "")</f>
        <v/>
      </c>
      <c r="H168" s="1" t="str" cm="1">
        <f t="array" ref="H168">IFERROR(INDEX(PV_Totals_By_Item[#All], ROW()-1, COLUMN()), "")</f>
        <v/>
      </c>
      <c r="I168" s="1" t="str" cm="1">
        <f t="array" ref="I168">IFERROR(INDEX(PV_Totals_By_Item[#All], ROW()-1, COLUMN()), "")</f>
        <v/>
      </c>
      <c r="J168" s="1" t="str" cm="1">
        <f t="array" ref="J168">IFERROR(INDEX(PV_Totals_By_Item[#All], ROW()-1, COLUMN()), "")</f>
        <v/>
      </c>
    </row>
    <row r="169" spans="1:10">
      <c r="A169" s="1" t="str" cm="1">
        <f t="array" ref="A169">IFERROR(INDEX(PV_Totals_By_Item[#All], ROW()-1, COLUMN()), "")</f>
        <v/>
      </c>
      <c r="B169" s="5" t="str" cm="1">
        <f t="array" ref="B169">IFERROR(INDEX(PV_Totals_By_Item[#All], ROW()-1, COLUMN()), "")</f>
        <v/>
      </c>
      <c r="C169" s="5" t="str" cm="1">
        <f t="array" ref="C169">IFERROR(INDEX(PV_Totals_By_Item[#All], ROW()-1, COLUMN()), "")</f>
        <v/>
      </c>
      <c r="D169" s="1" t="str" cm="1">
        <f t="array" ref="D169">IFERROR(INDEX(PV_Totals_By_Item[#All], ROW()-1, COLUMN()), "")</f>
        <v/>
      </c>
      <c r="E169" s="1" t="str" cm="1">
        <f t="array" ref="E169">IFERROR(INDEX(PV_Totals_By_Item[#All], ROW()-1, COLUMN()), "")</f>
        <v/>
      </c>
      <c r="F169" s="1" t="str" cm="1">
        <f t="array" ref="F169">IFERROR(INDEX(PV_Totals_By_Item[#All], ROW()-1, COLUMN()), "")</f>
        <v/>
      </c>
      <c r="G169" s="1" t="str" cm="1">
        <f t="array" ref="G169">IFERROR(INDEX(PV_Totals_By_Item[#All], ROW()-1, COLUMN()), "")</f>
        <v/>
      </c>
      <c r="H169" s="1" t="str" cm="1">
        <f t="array" ref="H169">IFERROR(INDEX(PV_Totals_By_Item[#All], ROW()-1, COLUMN()), "")</f>
        <v/>
      </c>
      <c r="I169" s="1" t="str" cm="1">
        <f t="array" ref="I169">IFERROR(INDEX(PV_Totals_By_Item[#All], ROW()-1, COLUMN()), "")</f>
        <v/>
      </c>
      <c r="J169" s="1" t="str" cm="1">
        <f t="array" ref="J169">IFERROR(INDEX(PV_Totals_By_Item[#All], ROW()-1, COLUMN()), "")</f>
        <v/>
      </c>
    </row>
    <row r="170" spans="1:10">
      <c r="A170" s="1" t="str" cm="1">
        <f t="array" ref="A170">IFERROR(INDEX(PV_Totals_By_Item[#All], ROW()-1, COLUMN()), "")</f>
        <v/>
      </c>
      <c r="B170" s="5" t="str" cm="1">
        <f t="array" ref="B170">IFERROR(INDEX(PV_Totals_By_Item[#All], ROW()-1, COLUMN()), "")</f>
        <v/>
      </c>
      <c r="C170" s="5" t="str" cm="1">
        <f t="array" ref="C170">IFERROR(INDEX(PV_Totals_By_Item[#All], ROW()-1, COLUMN()), "")</f>
        <v/>
      </c>
      <c r="D170" s="1" t="str" cm="1">
        <f t="array" ref="D170">IFERROR(INDEX(PV_Totals_By_Item[#All], ROW()-1, COLUMN()), "")</f>
        <v/>
      </c>
      <c r="E170" s="1" t="str" cm="1">
        <f t="array" ref="E170">IFERROR(INDEX(PV_Totals_By_Item[#All], ROW()-1, COLUMN()), "")</f>
        <v/>
      </c>
      <c r="F170" s="1" t="str" cm="1">
        <f t="array" ref="F170">IFERROR(INDEX(PV_Totals_By_Item[#All], ROW()-1, COLUMN()), "")</f>
        <v/>
      </c>
      <c r="G170" s="1" t="str" cm="1">
        <f t="array" ref="G170">IFERROR(INDEX(PV_Totals_By_Item[#All], ROW()-1, COLUMN()), "")</f>
        <v/>
      </c>
      <c r="H170" s="1" t="str" cm="1">
        <f t="array" ref="H170">IFERROR(INDEX(PV_Totals_By_Item[#All], ROW()-1, COLUMN()), "")</f>
        <v/>
      </c>
      <c r="I170" s="1" t="str" cm="1">
        <f t="array" ref="I170">IFERROR(INDEX(PV_Totals_By_Item[#All], ROW()-1, COLUMN()), "")</f>
        <v/>
      </c>
      <c r="J170" s="1" t="str" cm="1">
        <f t="array" ref="J170">IFERROR(INDEX(PV_Totals_By_Item[#All], ROW()-1, COLUMN()), "")</f>
        <v/>
      </c>
    </row>
    <row r="171" spans="1:10">
      <c r="A171" s="1" t="str" cm="1">
        <f t="array" ref="A171">IFERROR(INDEX(PV_Totals_By_Item[#All], ROW()-1, COLUMN()), "")</f>
        <v/>
      </c>
      <c r="B171" s="5" t="str" cm="1">
        <f t="array" ref="B171">IFERROR(INDEX(PV_Totals_By_Item[#All], ROW()-1, COLUMN()), "")</f>
        <v/>
      </c>
      <c r="C171" s="5" t="str" cm="1">
        <f t="array" ref="C171">IFERROR(INDEX(PV_Totals_By_Item[#All], ROW()-1, COLUMN()), "")</f>
        <v/>
      </c>
      <c r="D171" s="1" t="str" cm="1">
        <f t="array" ref="D171">IFERROR(INDEX(PV_Totals_By_Item[#All], ROW()-1, COLUMN()), "")</f>
        <v/>
      </c>
      <c r="E171" s="1" t="str" cm="1">
        <f t="array" ref="E171">IFERROR(INDEX(PV_Totals_By_Item[#All], ROW()-1, COLUMN()), "")</f>
        <v/>
      </c>
      <c r="F171" s="1" t="str" cm="1">
        <f t="array" ref="F171">IFERROR(INDEX(PV_Totals_By_Item[#All], ROW()-1, COLUMN()), "")</f>
        <v/>
      </c>
      <c r="G171" s="1" t="str" cm="1">
        <f t="array" ref="G171">IFERROR(INDEX(PV_Totals_By_Item[#All], ROW()-1, COLUMN()), "")</f>
        <v/>
      </c>
      <c r="H171" s="1" t="str" cm="1">
        <f t="array" ref="H171">IFERROR(INDEX(PV_Totals_By_Item[#All], ROW()-1, COLUMN()), "")</f>
        <v/>
      </c>
      <c r="I171" s="1" t="str" cm="1">
        <f t="array" ref="I171">IFERROR(INDEX(PV_Totals_By_Item[#All], ROW()-1, COLUMN()), "")</f>
        <v/>
      </c>
      <c r="J171" s="1" t="str" cm="1">
        <f t="array" ref="J171">IFERROR(INDEX(PV_Totals_By_Item[#All], ROW()-1, COLUMN()), "")</f>
        <v/>
      </c>
    </row>
    <row r="172" spans="1:10">
      <c r="A172" s="1" t="str" cm="1">
        <f t="array" ref="A172">IFERROR(INDEX(PV_Totals_By_Item[#All], ROW()-1, COLUMN()), "")</f>
        <v/>
      </c>
      <c r="B172" s="5" t="str" cm="1">
        <f t="array" ref="B172">IFERROR(INDEX(PV_Totals_By_Item[#All], ROW()-1, COLUMN()), "")</f>
        <v/>
      </c>
      <c r="C172" s="5" t="str" cm="1">
        <f t="array" ref="C172">IFERROR(INDEX(PV_Totals_By_Item[#All], ROW()-1, COLUMN()), "")</f>
        <v/>
      </c>
      <c r="D172" s="1" t="str" cm="1">
        <f t="array" ref="D172">IFERROR(INDEX(PV_Totals_By_Item[#All], ROW()-1, COLUMN()), "")</f>
        <v/>
      </c>
      <c r="E172" s="1" t="str" cm="1">
        <f t="array" ref="E172">IFERROR(INDEX(PV_Totals_By_Item[#All], ROW()-1, COLUMN()), "")</f>
        <v/>
      </c>
      <c r="F172" s="1" t="str" cm="1">
        <f t="array" ref="F172">IFERROR(INDEX(PV_Totals_By_Item[#All], ROW()-1, COLUMN()), "")</f>
        <v/>
      </c>
      <c r="G172" s="1" t="str" cm="1">
        <f t="array" ref="G172">IFERROR(INDEX(PV_Totals_By_Item[#All], ROW()-1, COLUMN()), "")</f>
        <v/>
      </c>
      <c r="H172" s="1" t="str" cm="1">
        <f t="array" ref="H172">IFERROR(INDEX(PV_Totals_By_Item[#All], ROW()-1, COLUMN()), "")</f>
        <v/>
      </c>
      <c r="I172" s="1" t="str" cm="1">
        <f t="array" ref="I172">IFERROR(INDEX(PV_Totals_By_Item[#All], ROW()-1, COLUMN()), "")</f>
        <v/>
      </c>
      <c r="J172" s="1" t="str" cm="1">
        <f t="array" ref="J172">IFERROR(INDEX(PV_Totals_By_Item[#All], ROW()-1, COLUMN()), "")</f>
        <v/>
      </c>
    </row>
    <row r="173" spans="1:10">
      <c r="A173" s="1" t="str" cm="1">
        <f t="array" ref="A173">IFERROR(INDEX(PV_Totals_By_Item[#All], ROW()-1, COLUMN()), "")</f>
        <v/>
      </c>
      <c r="B173" s="5" t="str" cm="1">
        <f t="array" ref="B173">IFERROR(INDEX(PV_Totals_By_Item[#All], ROW()-1, COLUMN()), "")</f>
        <v/>
      </c>
      <c r="C173" s="5" t="str" cm="1">
        <f t="array" ref="C173">IFERROR(INDEX(PV_Totals_By_Item[#All], ROW()-1, COLUMN()), "")</f>
        <v/>
      </c>
      <c r="D173" s="1" t="str" cm="1">
        <f t="array" ref="D173">IFERROR(INDEX(PV_Totals_By_Item[#All], ROW()-1, COLUMN()), "")</f>
        <v/>
      </c>
      <c r="E173" s="1" t="str" cm="1">
        <f t="array" ref="E173">IFERROR(INDEX(PV_Totals_By_Item[#All], ROW()-1, COLUMN()), "")</f>
        <v/>
      </c>
      <c r="F173" s="1" t="str" cm="1">
        <f t="array" ref="F173">IFERROR(INDEX(PV_Totals_By_Item[#All], ROW()-1, COLUMN()), "")</f>
        <v/>
      </c>
      <c r="G173" s="1" t="str" cm="1">
        <f t="array" ref="G173">IFERROR(INDEX(PV_Totals_By_Item[#All], ROW()-1, COLUMN()), "")</f>
        <v/>
      </c>
      <c r="H173" s="1" t="str" cm="1">
        <f t="array" ref="H173">IFERROR(INDEX(PV_Totals_By_Item[#All], ROW()-1, COLUMN()), "")</f>
        <v/>
      </c>
      <c r="I173" s="1" t="str" cm="1">
        <f t="array" ref="I173">IFERROR(INDEX(PV_Totals_By_Item[#All], ROW()-1, COLUMN()), "")</f>
        <v/>
      </c>
      <c r="J173" s="1" t="str" cm="1">
        <f t="array" ref="J173">IFERROR(INDEX(PV_Totals_By_Item[#All], ROW()-1, COLUMN()), "")</f>
        <v/>
      </c>
    </row>
    <row r="174" spans="1:10">
      <c r="A174" s="1" t="str" cm="1">
        <f t="array" ref="A174">IFERROR(INDEX(PV_Totals_By_Item[#All], ROW()-1, COLUMN()), "")</f>
        <v/>
      </c>
      <c r="B174" s="5" t="str" cm="1">
        <f t="array" ref="B174">IFERROR(INDEX(PV_Totals_By_Item[#All], ROW()-1, COLUMN()), "")</f>
        <v/>
      </c>
      <c r="C174" s="5" t="str" cm="1">
        <f t="array" ref="C174">IFERROR(INDEX(PV_Totals_By_Item[#All], ROW()-1, COLUMN()), "")</f>
        <v/>
      </c>
      <c r="D174" s="1" t="str" cm="1">
        <f t="array" ref="D174">IFERROR(INDEX(PV_Totals_By_Item[#All], ROW()-1, COLUMN()), "")</f>
        <v/>
      </c>
      <c r="E174" s="1" t="str" cm="1">
        <f t="array" ref="E174">IFERROR(INDEX(PV_Totals_By_Item[#All], ROW()-1, COLUMN()), "")</f>
        <v/>
      </c>
      <c r="F174" s="1" t="str" cm="1">
        <f t="array" ref="F174">IFERROR(INDEX(PV_Totals_By_Item[#All], ROW()-1, COLUMN()), "")</f>
        <v/>
      </c>
      <c r="G174" s="1" t="str" cm="1">
        <f t="array" ref="G174">IFERROR(INDEX(PV_Totals_By_Item[#All], ROW()-1, COLUMN()), "")</f>
        <v/>
      </c>
      <c r="H174" s="1" t="str" cm="1">
        <f t="array" ref="H174">IFERROR(INDEX(PV_Totals_By_Item[#All], ROW()-1, COLUMN()), "")</f>
        <v/>
      </c>
      <c r="I174" s="1" t="str" cm="1">
        <f t="array" ref="I174">IFERROR(INDEX(PV_Totals_By_Item[#All], ROW()-1, COLUMN()), "")</f>
        <v/>
      </c>
      <c r="J174" s="1" t="str" cm="1">
        <f t="array" ref="J174">IFERROR(INDEX(PV_Totals_By_Item[#All], ROW()-1, COLUMN()), "")</f>
        <v/>
      </c>
    </row>
    <row r="175" spans="1:10">
      <c r="A175" s="1" t="str" cm="1">
        <f t="array" ref="A175">IFERROR(INDEX(PV_Totals_By_Item[#All], ROW()-1, COLUMN()), "")</f>
        <v/>
      </c>
      <c r="B175" s="5" t="str" cm="1">
        <f t="array" ref="B175">IFERROR(INDEX(PV_Totals_By_Item[#All], ROW()-1, COLUMN()), "")</f>
        <v/>
      </c>
      <c r="C175" s="5" t="str" cm="1">
        <f t="array" ref="C175">IFERROR(INDEX(PV_Totals_By_Item[#All], ROW()-1, COLUMN()), "")</f>
        <v/>
      </c>
      <c r="D175" s="1" t="str" cm="1">
        <f t="array" ref="D175">IFERROR(INDEX(PV_Totals_By_Item[#All], ROW()-1, COLUMN()), "")</f>
        <v/>
      </c>
      <c r="E175" s="1" t="str" cm="1">
        <f t="array" ref="E175">IFERROR(INDEX(PV_Totals_By_Item[#All], ROW()-1, COLUMN()), "")</f>
        <v/>
      </c>
      <c r="F175" s="1" t="str" cm="1">
        <f t="array" ref="F175">IFERROR(INDEX(PV_Totals_By_Item[#All], ROW()-1, COLUMN()), "")</f>
        <v/>
      </c>
      <c r="G175" s="1" t="str" cm="1">
        <f t="array" ref="G175">IFERROR(INDEX(PV_Totals_By_Item[#All], ROW()-1, COLUMN()), "")</f>
        <v/>
      </c>
      <c r="H175" s="1" t="str" cm="1">
        <f t="array" ref="H175">IFERROR(INDEX(PV_Totals_By_Item[#All], ROW()-1, COLUMN()), "")</f>
        <v/>
      </c>
      <c r="I175" s="1" t="str" cm="1">
        <f t="array" ref="I175">IFERROR(INDEX(PV_Totals_By_Item[#All], ROW()-1, COLUMN()), "")</f>
        <v/>
      </c>
      <c r="J175" s="1" t="str" cm="1">
        <f t="array" ref="J175">IFERROR(INDEX(PV_Totals_By_Item[#All], ROW()-1, COLUMN()), "")</f>
        <v/>
      </c>
    </row>
    <row r="176" spans="1:10">
      <c r="A176" s="1" t="str" cm="1">
        <f t="array" ref="A176">IFERROR(INDEX(PV_Totals_By_Item[#All], ROW()-1, COLUMN()), "")</f>
        <v/>
      </c>
      <c r="B176" s="5" t="str" cm="1">
        <f t="array" ref="B176">IFERROR(INDEX(PV_Totals_By_Item[#All], ROW()-1, COLUMN()), "")</f>
        <v/>
      </c>
      <c r="C176" s="5" t="str" cm="1">
        <f t="array" ref="C176">IFERROR(INDEX(PV_Totals_By_Item[#All], ROW()-1, COLUMN()), "")</f>
        <v/>
      </c>
      <c r="D176" s="1" t="str" cm="1">
        <f t="array" ref="D176">IFERROR(INDEX(PV_Totals_By_Item[#All], ROW()-1, COLUMN()), "")</f>
        <v/>
      </c>
      <c r="E176" s="1" t="str" cm="1">
        <f t="array" ref="E176">IFERROR(INDEX(PV_Totals_By_Item[#All], ROW()-1, COLUMN()), "")</f>
        <v/>
      </c>
      <c r="F176" s="1" t="str" cm="1">
        <f t="array" ref="F176">IFERROR(INDEX(PV_Totals_By_Item[#All], ROW()-1, COLUMN()), "")</f>
        <v/>
      </c>
      <c r="G176" s="1" t="str" cm="1">
        <f t="array" ref="G176">IFERROR(INDEX(PV_Totals_By_Item[#All], ROW()-1, COLUMN()), "")</f>
        <v/>
      </c>
      <c r="H176" s="1" t="str" cm="1">
        <f t="array" ref="H176">IFERROR(INDEX(PV_Totals_By_Item[#All], ROW()-1, COLUMN()), "")</f>
        <v/>
      </c>
      <c r="I176" s="1" t="str" cm="1">
        <f t="array" ref="I176">IFERROR(INDEX(PV_Totals_By_Item[#All], ROW()-1, COLUMN()), "")</f>
        <v/>
      </c>
      <c r="J176" s="1" t="str" cm="1">
        <f t="array" ref="J176">IFERROR(INDEX(PV_Totals_By_Item[#All], ROW()-1, COLUMN()), "")</f>
        <v/>
      </c>
    </row>
    <row r="177" spans="1:10">
      <c r="A177" s="1" t="str" cm="1">
        <f t="array" ref="A177">IFERROR(INDEX(PV_Totals_By_Item[#All], ROW()-1, COLUMN()), "")</f>
        <v/>
      </c>
      <c r="B177" s="5" t="str" cm="1">
        <f t="array" ref="B177">IFERROR(INDEX(PV_Totals_By_Item[#All], ROW()-1, COLUMN()), "")</f>
        <v/>
      </c>
      <c r="C177" s="5" t="str" cm="1">
        <f t="array" ref="C177">IFERROR(INDEX(PV_Totals_By_Item[#All], ROW()-1, COLUMN()), "")</f>
        <v/>
      </c>
      <c r="D177" s="1" t="str" cm="1">
        <f t="array" ref="D177">IFERROR(INDEX(PV_Totals_By_Item[#All], ROW()-1, COLUMN()), "")</f>
        <v/>
      </c>
      <c r="E177" s="1" t="str" cm="1">
        <f t="array" ref="E177">IFERROR(INDEX(PV_Totals_By_Item[#All], ROW()-1, COLUMN()), "")</f>
        <v/>
      </c>
      <c r="F177" s="1" t="str" cm="1">
        <f t="array" ref="F177">IFERROR(INDEX(PV_Totals_By_Item[#All], ROW()-1, COLUMN()), "")</f>
        <v/>
      </c>
      <c r="G177" s="1" t="str" cm="1">
        <f t="array" ref="G177">IFERROR(INDEX(PV_Totals_By_Item[#All], ROW()-1, COLUMN()), "")</f>
        <v/>
      </c>
      <c r="H177" s="1" t="str" cm="1">
        <f t="array" ref="H177">IFERROR(INDEX(PV_Totals_By_Item[#All], ROW()-1, COLUMN()), "")</f>
        <v/>
      </c>
      <c r="I177" s="1" t="str" cm="1">
        <f t="array" ref="I177">IFERROR(INDEX(PV_Totals_By_Item[#All], ROW()-1, COLUMN()), "")</f>
        <v/>
      </c>
      <c r="J177" s="1" t="str" cm="1">
        <f t="array" ref="J177">IFERROR(INDEX(PV_Totals_By_Item[#All], ROW()-1, COLUMN()), "")</f>
        <v/>
      </c>
    </row>
    <row r="178" spans="1:10">
      <c r="A178" s="1" t="str" cm="1">
        <f t="array" ref="A178">IFERROR(INDEX(PV_Totals_By_Item[#All], ROW()-1, COLUMN()), "")</f>
        <v/>
      </c>
      <c r="B178" s="5" t="str" cm="1">
        <f t="array" ref="B178">IFERROR(INDEX(PV_Totals_By_Item[#All], ROW()-1, COLUMN()), "")</f>
        <v/>
      </c>
      <c r="C178" s="5" t="str" cm="1">
        <f t="array" ref="C178">IFERROR(INDEX(PV_Totals_By_Item[#All], ROW()-1, COLUMN()), "")</f>
        <v/>
      </c>
      <c r="D178" s="1" t="str" cm="1">
        <f t="array" ref="D178">IFERROR(INDEX(PV_Totals_By_Item[#All], ROW()-1, COLUMN()), "")</f>
        <v/>
      </c>
      <c r="E178" s="1" t="str" cm="1">
        <f t="array" ref="E178">IFERROR(INDEX(PV_Totals_By_Item[#All], ROW()-1, COLUMN()), "")</f>
        <v/>
      </c>
      <c r="F178" s="1" t="str" cm="1">
        <f t="array" ref="F178">IFERROR(INDEX(PV_Totals_By_Item[#All], ROW()-1, COLUMN()), "")</f>
        <v/>
      </c>
      <c r="G178" s="1" t="str" cm="1">
        <f t="array" ref="G178">IFERROR(INDEX(PV_Totals_By_Item[#All], ROW()-1, COLUMN()), "")</f>
        <v/>
      </c>
      <c r="H178" s="1" t="str" cm="1">
        <f t="array" ref="H178">IFERROR(INDEX(PV_Totals_By_Item[#All], ROW()-1, COLUMN()), "")</f>
        <v/>
      </c>
      <c r="I178" s="1" t="str" cm="1">
        <f t="array" ref="I178">IFERROR(INDEX(PV_Totals_By_Item[#All], ROW()-1, COLUMN()), "")</f>
        <v/>
      </c>
      <c r="J178" s="1" t="str" cm="1">
        <f t="array" ref="J178">IFERROR(INDEX(PV_Totals_By_Item[#All], ROW()-1, COLUMN()), "")</f>
        <v/>
      </c>
    </row>
    <row r="179" spans="1:10">
      <c r="A179" s="1" t="str" cm="1">
        <f t="array" ref="A179">IFERROR(INDEX(PV_Totals_By_Item[#All], ROW()-1, COLUMN()), "")</f>
        <v/>
      </c>
      <c r="B179" s="5" t="str" cm="1">
        <f t="array" ref="B179">IFERROR(INDEX(PV_Totals_By_Item[#All], ROW()-1, COLUMN()), "")</f>
        <v/>
      </c>
      <c r="C179" s="5" t="str" cm="1">
        <f t="array" ref="C179">IFERROR(INDEX(PV_Totals_By_Item[#All], ROW()-1, COLUMN()), "")</f>
        <v/>
      </c>
      <c r="D179" s="1" t="str" cm="1">
        <f t="array" ref="D179">IFERROR(INDEX(PV_Totals_By_Item[#All], ROW()-1, COLUMN()), "")</f>
        <v/>
      </c>
      <c r="E179" s="1" t="str" cm="1">
        <f t="array" ref="E179">IFERROR(INDEX(PV_Totals_By_Item[#All], ROW()-1, COLUMN()), "")</f>
        <v/>
      </c>
      <c r="F179" s="1" t="str" cm="1">
        <f t="array" ref="F179">IFERROR(INDEX(PV_Totals_By_Item[#All], ROW()-1, COLUMN()), "")</f>
        <v/>
      </c>
      <c r="G179" s="1" t="str" cm="1">
        <f t="array" ref="G179">IFERROR(INDEX(PV_Totals_By_Item[#All], ROW()-1, COLUMN()), "")</f>
        <v/>
      </c>
      <c r="H179" s="1" t="str" cm="1">
        <f t="array" ref="H179">IFERROR(INDEX(PV_Totals_By_Item[#All], ROW()-1, COLUMN()), "")</f>
        <v/>
      </c>
      <c r="I179" s="1" t="str" cm="1">
        <f t="array" ref="I179">IFERROR(INDEX(PV_Totals_By_Item[#All], ROW()-1, COLUMN()), "")</f>
        <v/>
      </c>
      <c r="J179" s="1" t="str" cm="1">
        <f t="array" ref="J179">IFERROR(INDEX(PV_Totals_By_Item[#All], ROW()-1, COLUMN()), "")</f>
        <v/>
      </c>
    </row>
    <row r="180" spans="1:10">
      <c r="A180" s="1" t="str" cm="1">
        <f t="array" ref="A180">IFERROR(INDEX(PV_Totals_By_Item[#All], ROW()-1, COLUMN()), "")</f>
        <v/>
      </c>
      <c r="B180" s="5" t="str" cm="1">
        <f t="array" ref="B180">IFERROR(INDEX(PV_Totals_By_Item[#All], ROW()-1, COLUMN()), "")</f>
        <v/>
      </c>
      <c r="C180" s="5" t="str" cm="1">
        <f t="array" ref="C180">IFERROR(INDEX(PV_Totals_By_Item[#All], ROW()-1, COLUMN()), "")</f>
        <v/>
      </c>
      <c r="D180" s="1" t="str" cm="1">
        <f t="array" ref="D180">IFERROR(INDEX(PV_Totals_By_Item[#All], ROW()-1, COLUMN()), "")</f>
        <v/>
      </c>
      <c r="E180" s="1" t="str" cm="1">
        <f t="array" ref="E180">IFERROR(INDEX(PV_Totals_By_Item[#All], ROW()-1, COLUMN()), "")</f>
        <v/>
      </c>
      <c r="F180" s="1" t="str" cm="1">
        <f t="array" ref="F180">IFERROR(INDEX(PV_Totals_By_Item[#All], ROW()-1, COLUMN()), "")</f>
        <v/>
      </c>
      <c r="G180" s="1" t="str" cm="1">
        <f t="array" ref="G180">IFERROR(INDEX(PV_Totals_By_Item[#All], ROW()-1, COLUMN()), "")</f>
        <v/>
      </c>
      <c r="H180" s="1" t="str" cm="1">
        <f t="array" ref="H180">IFERROR(INDEX(PV_Totals_By_Item[#All], ROW()-1, COLUMN()), "")</f>
        <v/>
      </c>
      <c r="I180" s="1" t="str" cm="1">
        <f t="array" ref="I180">IFERROR(INDEX(PV_Totals_By_Item[#All], ROW()-1, COLUMN()), "")</f>
        <v/>
      </c>
      <c r="J180" s="1" t="str" cm="1">
        <f t="array" ref="J180">IFERROR(INDEX(PV_Totals_By_Item[#All], ROW()-1, COLUMN()), "")</f>
        <v/>
      </c>
    </row>
    <row r="181" spans="1:10">
      <c r="A181" s="1" t="str" cm="1">
        <f t="array" ref="A181">IFERROR(INDEX(PV_Totals_By_Item[#All], ROW()-1, COLUMN()), "")</f>
        <v/>
      </c>
      <c r="B181" s="5" t="str" cm="1">
        <f t="array" ref="B181">IFERROR(INDEX(PV_Totals_By_Item[#All], ROW()-1, COLUMN()), "")</f>
        <v/>
      </c>
      <c r="C181" s="5" t="str" cm="1">
        <f t="array" ref="C181">IFERROR(INDEX(PV_Totals_By_Item[#All], ROW()-1, COLUMN()), "")</f>
        <v/>
      </c>
      <c r="D181" s="1" t="str" cm="1">
        <f t="array" ref="D181">IFERROR(INDEX(PV_Totals_By_Item[#All], ROW()-1, COLUMN()), "")</f>
        <v/>
      </c>
      <c r="E181" s="1" t="str" cm="1">
        <f t="array" ref="E181">IFERROR(INDEX(PV_Totals_By_Item[#All], ROW()-1, COLUMN()), "")</f>
        <v/>
      </c>
      <c r="F181" s="1" t="str" cm="1">
        <f t="array" ref="F181">IFERROR(INDEX(PV_Totals_By_Item[#All], ROW()-1, COLUMN()), "")</f>
        <v/>
      </c>
      <c r="G181" s="1" t="str" cm="1">
        <f t="array" ref="G181">IFERROR(INDEX(PV_Totals_By_Item[#All], ROW()-1, COLUMN()), "")</f>
        <v/>
      </c>
      <c r="H181" s="1" t="str" cm="1">
        <f t="array" ref="H181">IFERROR(INDEX(PV_Totals_By_Item[#All], ROW()-1, COLUMN()), "")</f>
        <v/>
      </c>
      <c r="I181" s="1" t="str" cm="1">
        <f t="array" ref="I181">IFERROR(INDEX(PV_Totals_By_Item[#All], ROW()-1, COLUMN()), "")</f>
        <v/>
      </c>
      <c r="J181" s="1" t="str" cm="1">
        <f t="array" ref="J181">IFERROR(INDEX(PV_Totals_By_Item[#All], ROW()-1, COLUMN()), "")</f>
        <v/>
      </c>
    </row>
    <row r="182" spans="1:10">
      <c r="A182" s="1" t="str" cm="1">
        <f t="array" ref="A182">IFERROR(INDEX(PV_Totals_By_Item[#All], ROW()-1, COLUMN()), "")</f>
        <v/>
      </c>
      <c r="B182" s="5" t="str" cm="1">
        <f t="array" ref="B182">IFERROR(INDEX(PV_Totals_By_Item[#All], ROW()-1, COLUMN()), "")</f>
        <v/>
      </c>
      <c r="C182" s="5" t="str" cm="1">
        <f t="array" ref="C182">IFERROR(INDEX(PV_Totals_By_Item[#All], ROW()-1, COLUMN()), "")</f>
        <v/>
      </c>
      <c r="D182" s="1" t="str" cm="1">
        <f t="array" ref="D182">IFERROR(INDEX(PV_Totals_By_Item[#All], ROW()-1, COLUMN()), "")</f>
        <v/>
      </c>
      <c r="E182" s="1" t="str" cm="1">
        <f t="array" ref="E182">IFERROR(INDEX(PV_Totals_By_Item[#All], ROW()-1, COLUMN()), "")</f>
        <v/>
      </c>
      <c r="F182" s="1" t="str" cm="1">
        <f t="array" ref="F182">IFERROR(INDEX(PV_Totals_By_Item[#All], ROW()-1, COLUMN()), "")</f>
        <v/>
      </c>
      <c r="G182" s="1" t="str" cm="1">
        <f t="array" ref="G182">IFERROR(INDEX(PV_Totals_By_Item[#All], ROW()-1, COLUMN()), "")</f>
        <v/>
      </c>
      <c r="H182" s="1" t="str" cm="1">
        <f t="array" ref="H182">IFERROR(INDEX(PV_Totals_By_Item[#All], ROW()-1, COLUMN()), "")</f>
        <v/>
      </c>
      <c r="I182" s="1" t="str" cm="1">
        <f t="array" ref="I182">IFERROR(INDEX(PV_Totals_By_Item[#All], ROW()-1, COLUMN()), "")</f>
        <v/>
      </c>
      <c r="J182" s="1" t="str" cm="1">
        <f t="array" ref="J182">IFERROR(INDEX(PV_Totals_By_Item[#All], ROW()-1, COLUMN()), "")</f>
        <v/>
      </c>
    </row>
    <row r="183" spans="1:10">
      <c r="A183" s="1" t="str" cm="1">
        <f t="array" ref="A183">IFERROR(INDEX(PV_Totals_By_Item[#All], ROW()-1, COLUMN()), "")</f>
        <v/>
      </c>
      <c r="B183" s="5" t="str" cm="1">
        <f t="array" ref="B183">IFERROR(INDEX(PV_Totals_By_Item[#All], ROW()-1, COLUMN()), "")</f>
        <v/>
      </c>
      <c r="C183" s="5" t="str" cm="1">
        <f t="array" ref="C183">IFERROR(INDEX(PV_Totals_By_Item[#All], ROW()-1, COLUMN()), "")</f>
        <v/>
      </c>
      <c r="D183" s="1" t="str" cm="1">
        <f t="array" ref="D183">IFERROR(INDEX(PV_Totals_By_Item[#All], ROW()-1, COLUMN()), "")</f>
        <v/>
      </c>
      <c r="E183" s="1" t="str" cm="1">
        <f t="array" ref="E183">IFERROR(INDEX(PV_Totals_By_Item[#All], ROW()-1, COLUMN()), "")</f>
        <v/>
      </c>
      <c r="F183" s="1" t="str" cm="1">
        <f t="array" ref="F183">IFERROR(INDEX(PV_Totals_By_Item[#All], ROW()-1, COLUMN()), "")</f>
        <v/>
      </c>
      <c r="G183" s="1" t="str" cm="1">
        <f t="array" ref="G183">IFERROR(INDEX(PV_Totals_By_Item[#All], ROW()-1, COLUMN()), "")</f>
        <v/>
      </c>
      <c r="H183" s="1" t="str" cm="1">
        <f t="array" ref="H183">IFERROR(INDEX(PV_Totals_By_Item[#All], ROW()-1, COLUMN()), "")</f>
        <v/>
      </c>
      <c r="I183" s="1" t="str" cm="1">
        <f t="array" ref="I183">IFERROR(INDEX(PV_Totals_By_Item[#All], ROW()-1, COLUMN()), "")</f>
        <v/>
      </c>
      <c r="J183" s="1" t="str" cm="1">
        <f t="array" ref="J183">IFERROR(INDEX(PV_Totals_By_Item[#All], ROW()-1, COLUMN()), "")</f>
        <v/>
      </c>
    </row>
    <row r="184" spans="1:10">
      <c r="A184" s="1" t="str" cm="1">
        <f t="array" ref="A184">IFERROR(INDEX(PV_Totals_By_Item[#All], ROW()-1, COLUMN()), "")</f>
        <v/>
      </c>
      <c r="B184" s="5" t="str" cm="1">
        <f t="array" ref="B184">IFERROR(INDEX(PV_Totals_By_Item[#All], ROW()-1, COLUMN()), "")</f>
        <v/>
      </c>
      <c r="C184" s="5" t="str" cm="1">
        <f t="array" ref="C184">IFERROR(INDEX(PV_Totals_By_Item[#All], ROW()-1, COLUMN()), "")</f>
        <v/>
      </c>
      <c r="D184" s="1" t="str" cm="1">
        <f t="array" ref="D184">IFERROR(INDEX(PV_Totals_By_Item[#All], ROW()-1, COLUMN()), "")</f>
        <v/>
      </c>
      <c r="E184" s="1" t="str" cm="1">
        <f t="array" ref="E184">IFERROR(INDEX(PV_Totals_By_Item[#All], ROW()-1, COLUMN()), "")</f>
        <v/>
      </c>
      <c r="F184" s="1" t="str" cm="1">
        <f t="array" ref="F184">IFERROR(INDEX(PV_Totals_By_Item[#All], ROW()-1, COLUMN()), "")</f>
        <v/>
      </c>
      <c r="G184" s="1" t="str" cm="1">
        <f t="array" ref="G184">IFERROR(INDEX(PV_Totals_By_Item[#All], ROW()-1, COLUMN()), "")</f>
        <v/>
      </c>
      <c r="H184" s="1" t="str" cm="1">
        <f t="array" ref="H184">IFERROR(INDEX(PV_Totals_By_Item[#All], ROW()-1, COLUMN()), "")</f>
        <v/>
      </c>
      <c r="I184" s="1" t="str" cm="1">
        <f t="array" ref="I184">IFERROR(INDEX(PV_Totals_By_Item[#All], ROW()-1, COLUMN()), "")</f>
        <v/>
      </c>
      <c r="J184" s="1" t="str" cm="1">
        <f t="array" ref="J184">IFERROR(INDEX(PV_Totals_By_Item[#All], ROW()-1, COLUMN()), "")</f>
        <v/>
      </c>
    </row>
    <row r="185" spans="1:10">
      <c r="A185" s="1" t="str" cm="1">
        <f t="array" ref="A185">IFERROR(INDEX(PV_Totals_By_Item[#All], ROW()-1, COLUMN()), "")</f>
        <v/>
      </c>
      <c r="B185" s="5" t="str" cm="1">
        <f t="array" ref="B185">IFERROR(INDEX(PV_Totals_By_Item[#All], ROW()-1, COLUMN()), "")</f>
        <v/>
      </c>
      <c r="C185" s="5" t="str" cm="1">
        <f t="array" ref="C185">IFERROR(INDEX(PV_Totals_By_Item[#All], ROW()-1, COLUMN()), "")</f>
        <v/>
      </c>
      <c r="D185" s="1" t="str" cm="1">
        <f t="array" ref="D185">IFERROR(INDEX(PV_Totals_By_Item[#All], ROW()-1, COLUMN()), "")</f>
        <v/>
      </c>
      <c r="E185" s="1" t="str" cm="1">
        <f t="array" ref="E185">IFERROR(INDEX(PV_Totals_By_Item[#All], ROW()-1, COLUMN()), "")</f>
        <v/>
      </c>
      <c r="F185" s="1" t="str" cm="1">
        <f t="array" ref="F185">IFERROR(INDEX(PV_Totals_By_Item[#All], ROW()-1, COLUMN()), "")</f>
        <v/>
      </c>
      <c r="G185" s="1" t="str" cm="1">
        <f t="array" ref="G185">IFERROR(INDEX(PV_Totals_By_Item[#All], ROW()-1, COLUMN()), "")</f>
        <v/>
      </c>
      <c r="H185" s="1" t="str" cm="1">
        <f t="array" ref="H185">IFERROR(INDEX(PV_Totals_By_Item[#All], ROW()-1, COLUMN()), "")</f>
        <v/>
      </c>
      <c r="I185" s="1" t="str" cm="1">
        <f t="array" ref="I185">IFERROR(INDEX(PV_Totals_By_Item[#All], ROW()-1, COLUMN()), "")</f>
        <v/>
      </c>
      <c r="J185" s="1" t="str" cm="1">
        <f t="array" ref="J185">IFERROR(INDEX(PV_Totals_By_Item[#All], ROW()-1, COLUMN()), "")</f>
        <v/>
      </c>
    </row>
    <row r="186" spans="1:10">
      <c r="A186" s="1" t="str" cm="1">
        <f t="array" ref="A186">IFERROR(INDEX(PV_Totals_By_Item[#All], ROW()-1, COLUMN()), "")</f>
        <v/>
      </c>
      <c r="B186" s="5" t="str" cm="1">
        <f t="array" ref="B186">IFERROR(INDEX(PV_Totals_By_Item[#All], ROW()-1, COLUMN()), "")</f>
        <v/>
      </c>
      <c r="C186" s="5" t="str" cm="1">
        <f t="array" ref="C186">IFERROR(INDEX(PV_Totals_By_Item[#All], ROW()-1, COLUMN()), "")</f>
        <v/>
      </c>
      <c r="D186" s="1" t="str" cm="1">
        <f t="array" ref="D186">IFERROR(INDEX(PV_Totals_By_Item[#All], ROW()-1, COLUMN()), "")</f>
        <v/>
      </c>
      <c r="E186" s="1" t="str" cm="1">
        <f t="array" ref="E186">IFERROR(INDEX(PV_Totals_By_Item[#All], ROW()-1, COLUMN()), "")</f>
        <v/>
      </c>
      <c r="F186" s="1" t="str" cm="1">
        <f t="array" ref="F186">IFERROR(INDEX(PV_Totals_By_Item[#All], ROW()-1, COLUMN()), "")</f>
        <v/>
      </c>
      <c r="G186" s="1" t="str" cm="1">
        <f t="array" ref="G186">IFERROR(INDEX(PV_Totals_By_Item[#All], ROW()-1, COLUMN()), "")</f>
        <v/>
      </c>
      <c r="H186" s="1" t="str" cm="1">
        <f t="array" ref="H186">IFERROR(INDEX(PV_Totals_By_Item[#All], ROW()-1, COLUMN()), "")</f>
        <v/>
      </c>
      <c r="I186" s="1" t="str" cm="1">
        <f t="array" ref="I186">IFERROR(INDEX(PV_Totals_By_Item[#All], ROW()-1, COLUMN()), "")</f>
        <v/>
      </c>
      <c r="J186" s="1" t="str" cm="1">
        <f t="array" ref="J186">IFERROR(INDEX(PV_Totals_By_Item[#All], ROW()-1, COLUMN()), "")</f>
        <v/>
      </c>
    </row>
    <row r="187" spans="1:10">
      <c r="A187" s="1" t="str" cm="1">
        <f t="array" ref="A187">IFERROR(INDEX(PV_Totals_By_Item[#All], ROW()-1, COLUMN()), "")</f>
        <v/>
      </c>
      <c r="B187" s="5" t="str" cm="1">
        <f t="array" ref="B187">IFERROR(INDEX(PV_Totals_By_Item[#All], ROW()-1, COLUMN()), "")</f>
        <v/>
      </c>
      <c r="C187" s="5" t="str" cm="1">
        <f t="array" ref="C187">IFERROR(INDEX(PV_Totals_By_Item[#All], ROW()-1, COLUMN()), "")</f>
        <v/>
      </c>
      <c r="D187" s="1" t="str" cm="1">
        <f t="array" ref="D187">IFERROR(INDEX(PV_Totals_By_Item[#All], ROW()-1, COLUMN()), "")</f>
        <v/>
      </c>
      <c r="E187" s="1" t="str" cm="1">
        <f t="array" ref="E187">IFERROR(INDEX(PV_Totals_By_Item[#All], ROW()-1, COLUMN()), "")</f>
        <v/>
      </c>
      <c r="F187" s="1" t="str" cm="1">
        <f t="array" ref="F187">IFERROR(INDEX(PV_Totals_By_Item[#All], ROW()-1, COLUMN()), "")</f>
        <v/>
      </c>
      <c r="G187" s="1" t="str" cm="1">
        <f t="array" ref="G187">IFERROR(INDEX(PV_Totals_By_Item[#All], ROW()-1, COLUMN()), "")</f>
        <v/>
      </c>
      <c r="H187" s="1" t="str" cm="1">
        <f t="array" ref="H187">IFERROR(INDEX(PV_Totals_By_Item[#All], ROW()-1, COLUMN()), "")</f>
        <v/>
      </c>
      <c r="I187" s="1" t="str" cm="1">
        <f t="array" ref="I187">IFERROR(INDEX(PV_Totals_By_Item[#All], ROW()-1, COLUMN()), "")</f>
        <v/>
      </c>
      <c r="J187" s="1" t="str" cm="1">
        <f t="array" ref="J187">IFERROR(INDEX(PV_Totals_By_Item[#All], ROW()-1, COLUMN()), "")</f>
        <v/>
      </c>
    </row>
    <row r="188" spans="1:10">
      <c r="A188" s="1" t="str" cm="1">
        <f t="array" ref="A188">IFERROR(INDEX(PV_Totals_By_Item[#All], ROW()-1, COLUMN()), "")</f>
        <v/>
      </c>
      <c r="B188" s="5" t="str" cm="1">
        <f t="array" ref="B188">IFERROR(INDEX(PV_Totals_By_Item[#All], ROW()-1, COLUMN()), "")</f>
        <v/>
      </c>
      <c r="C188" s="5" t="str" cm="1">
        <f t="array" ref="C188">IFERROR(INDEX(PV_Totals_By_Item[#All], ROW()-1, COLUMN()), "")</f>
        <v/>
      </c>
      <c r="D188" s="1" t="str" cm="1">
        <f t="array" ref="D188">IFERROR(INDEX(PV_Totals_By_Item[#All], ROW()-1, COLUMN()), "")</f>
        <v/>
      </c>
      <c r="E188" s="1" t="str" cm="1">
        <f t="array" ref="E188">IFERROR(INDEX(PV_Totals_By_Item[#All], ROW()-1, COLUMN()), "")</f>
        <v/>
      </c>
      <c r="F188" s="1" t="str" cm="1">
        <f t="array" ref="F188">IFERROR(INDEX(PV_Totals_By_Item[#All], ROW()-1, COLUMN()), "")</f>
        <v/>
      </c>
      <c r="G188" s="1" t="str" cm="1">
        <f t="array" ref="G188">IFERROR(INDEX(PV_Totals_By_Item[#All], ROW()-1, COLUMN()), "")</f>
        <v/>
      </c>
      <c r="H188" s="1" t="str" cm="1">
        <f t="array" ref="H188">IFERROR(INDEX(PV_Totals_By_Item[#All], ROW()-1, COLUMN()), "")</f>
        <v/>
      </c>
      <c r="I188" s="1" t="str" cm="1">
        <f t="array" ref="I188">IFERROR(INDEX(PV_Totals_By_Item[#All], ROW()-1, COLUMN()), "")</f>
        <v/>
      </c>
      <c r="J188" s="1" t="str" cm="1">
        <f t="array" ref="J188">IFERROR(INDEX(PV_Totals_By_Item[#All], ROW()-1, COLUMN()), "")</f>
        <v/>
      </c>
    </row>
    <row r="189" spans="1:10">
      <c r="A189" s="1" t="str" cm="1">
        <f t="array" ref="A189">IFERROR(INDEX(PV_Totals_By_Item[#All], ROW()-1, COLUMN()), "")</f>
        <v/>
      </c>
      <c r="B189" s="5" t="str" cm="1">
        <f t="array" ref="B189">IFERROR(INDEX(PV_Totals_By_Item[#All], ROW()-1, COLUMN()), "")</f>
        <v/>
      </c>
      <c r="C189" s="5" t="str" cm="1">
        <f t="array" ref="C189">IFERROR(INDEX(PV_Totals_By_Item[#All], ROW()-1, COLUMN()), "")</f>
        <v/>
      </c>
      <c r="D189" s="1" t="str" cm="1">
        <f t="array" ref="D189">IFERROR(INDEX(PV_Totals_By_Item[#All], ROW()-1, COLUMN()), "")</f>
        <v/>
      </c>
      <c r="E189" s="1" t="str" cm="1">
        <f t="array" ref="E189">IFERROR(INDEX(PV_Totals_By_Item[#All], ROW()-1, COLUMN()), "")</f>
        <v/>
      </c>
      <c r="F189" s="1" t="str" cm="1">
        <f t="array" ref="F189">IFERROR(INDEX(PV_Totals_By_Item[#All], ROW()-1, COLUMN()), "")</f>
        <v/>
      </c>
      <c r="G189" s="1" t="str" cm="1">
        <f t="array" ref="G189">IFERROR(INDEX(PV_Totals_By_Item[#All], ROW()-1, COLUMN()), "")</f>
        <v/>
      </c>
      <c r="H189" s="1" t="str" cm="1">
        <f t="array" ref="H189">IFERROR(INDEX(PV_Totals_By_Item[#All], ROW()-1, COLUMN()), "")</f>
        <v/>
      </c>
      <c r="I189" s="1" t="str" cm="1">
        <f t="array" ref="I189">IFERROR(INDEX(PV_Totals_By_Item[#All], ROW()-1, COLUMN()), "")</f>
        <v/>
      </c>
      <c r="J189" s="1" t="str" cm="1">
        <f t="array" ref="J189">IFERROR(INDEX(PV_Totals_By_Item[#All], ROW()-1, COLUMN()), "")</f>
        <v/>
      </c>
    </row>
    <row r="190" spans="1:10">
      <c r="A190" s="1" t="str" cm="1">
        <f t="array" ref="A190">IFERROR(INDEX(PV_Totals_By_Item[#All], ROW()-1, COLUMN()), "")</f>
        <v/>
      </c>
      <c r="B190" s="5" t="str" cm="1">
        <f t="array" ref="B190">IFERROR(INDEX(PV_Totals_By_Item[#All], ROW()-1, COLUMN()), "")</f>
        <v/>
      </c>
      <c r="C190" s="5" t="str" cm="1">
        <f t="array" ref="C190">IFERROR(INDEX(PV_Totals_By_Item[#All], ROW()-1, COLUMN()), "")</f>
        <v/>
      </c>
      <c r="D190" s="1" t="str" cm="1">
        <f t="array" ref="D190">IFERROR(INDEX(PV_Totals_By_Item[#All], ROW()-1, COLUMN()), "")</f>
        <v/>
      </c>
      <c r="E190" s="1" t="str" cm="1">
        <f t="array" ref="E190">IFERROR(INDEX(PV_Totals_By_Item[#All], ROW()-1, COLUMN()), "")</f>
        <v/>
      </c>
      <c r="F190" s="1" t="str" cm="1">
        <f t="array" ref="F190">IFERROR(INDEX(PV_Totals_By_Item[#All], ROW()-1, COLUMN()), "")</f>
        <v/>
      </c>
      <c r="G190" s="1" t="str" cm="1">
        <f t="array" ref="G190">IFERROR(INDEX(PV_Totals_By_Item[#All], ROW()-1, COLUMN()), "")</f>
        <v/>
      </c>
      <c r="H190" s="1" t="str" cm="1">
        <f t="array" ref="H190">IFERROR(INDEX(PV_Totals_By_Item[#All], ROW()-1, COLUMN()), "")</f>
        <v/>
      </c>
      <c r="I190" s="1" t="str" cm="1">
        <f t="array" ref="I190">IFERROR(INDEX(PV_Totals_By_Item[#All], ROW()-1, COLUMN()), "")</f>
        <v/>
      </c>
      <c r="J190" s="1" t="str" cm="1">
        <f t="array" ref="J190">IFERROR(INDEX(PV_Totals_By_Item[#All], ROW()-1, COLUMN()), "")</f>
        <v/>
      </c>
    </row>
    <row r="191" spans="1:10">
      <c r="A191" s="1" t="str" cm="1">
        <f t="array" ref="A191">IFERROR(INDEX(PV_Totals_By_Item[#All], ROW()-1, COLUMN()), "")</f>
        <v/>
      </c>
      <c r="B191" s="5" t="str" cm="1">
        <f t="array" ref="B191">IFERROR(INDEX(PV_Totals_By_Item[#All], ROW()-1, COLUMN()), "")</f>
        <v/>
      </c>
      <c r="C191" s="5" t="str" cm="1">
        <f t="array" ref="C191">IFERROR(INDEX(PV_Totals_By_Item[#All], ROW()-1, COLUMN()), "")</f>
        <v/>
      </c>
      <c r="D191" s="1" t="str" cm="1">
        <f t="array" ref="D191">IFERROR(INDEX(PV_Totals_By_Item[#All], ROW()-1, COLUMN()), "")</f>
        <v/>
      </c>
      <c r="E191" s="1" t="str" cm="1">
        <f t="array" ref="E191">IFERROR(INDEX(PV_Totals_By_Item[#All], ROW()-1, COLUMN()), "")</f>
        <v/>
      </c>
      <c r="F191" s="1" t="str" cm="1">
        <f t="array" ref="F191">IFERROR(INDEX(PV_Totals_By_Item[#All], ROW()-1, COLUMN()), "")</f>
        <v/>
      </c>
      <c r="G191" s="1" t="str" cm="1">
        <f t="array" ref="G191">IFERROR(INDEX(PV_Totals_By_Item[#All], ROW()-1, COLUMN()), "")</f>
        <v/>
      </c>
      <c r="H191" s="1" t="str" cm="1">
        <f t="array" ref="H191">IFERROR(INDEX(PV_Totals_By_Item[#All], ROW()-1, COLUMN()), "")</f>
        <v/>
      </c>
      <c r="I191" s="1" t="str" cm="1">
        <f t="array" ref="I191">IFERROR(INDEX(PV_Totals_By_Item[#All], ROW()-1, COLUMN()), "")</f>
        <v/>
      </c>
      <c r="J191" s="1" t="str" cm="1">
        <f t="array" ref="J191">IFERROR(INDEX(PV_Totals_By_Item[#All], ROW()-1, COLUMN()), "")</f>
        <v/>
      </c>
    </row>
    <row r="192" spans="1:10">
      <c r="A192" s="1" t="str" cm="1">
        <f t="array" ref="A192">IFERROR(INDEX(PV_Totals_By_Item[#All], ROW()-1, COLUMN()), "")</f>
        <v/>
      </c>
      <c r="B192" s="5" t="str" cm="1">
        <f t="array" ref="B192">IFERROR(INDEX(PV_Totals_By_Item[#All], ROW()-1, COLUMN()), "")</f>
        <v/>
      </c>
      <c r="C192" s="5" t="str" cm="1">
        <f t="array" ref="C192">IFERROR(INDEX(PV_Totals_By_Item[#All], ROW()-1, COLUMN()), "")</f>
        <v/>
      </c>
      <c r="D192" s="1" t="str" cm="1">
        <f t="array" ref="D192">IFERROR(INDEX(PV_Totals_By_Item[#All], ROW()-1, COLUMN()), "")</f>
        <v/>
      </c>
      <c r="E192" s="1" t="str" cm="1">
        <f t="array" ref="E192">IFERROR(INDEX(PV_Totals_By_Item[#All], ROW()-1, COLUMN()), "")</f>
        <v/>
      </c>
      <c r="F192" s="1" t="str" cm="1">
        <f t="array" ref="F192">IFERROR(INDEX(PV_Totals_By_Item[#All], ROW()-1, COLUMN()), "")</f>
        <v/>
      </c>
      <c r="G192" s="1" t="str" cm="1">
        <f t="array" ref="G192">IFERROR(INDEX(PV_Totals_By_Item[#All], ROW()-1, COLUMN()), "")</f>
        <v/>
      </c>
      <c r="H192" s="1" t="str" cm="1">
        <f t="array" ref="H192">IFERROR(INDEX(PV_Totals_By_Item[#All], ROW()-1, COLUMN()), "")</f>
        <v/>
      </c>
      <c r="I192" s="1" t="str" cm="1">
        <f t="array" ref="I192">IFERROR(INDEX(PV_Totals_By_Item[#All], ROW()-1, COLUMN()), "")</f>
        <v/>
      </c>
      <c r="J192" s="1" t="str" cm="1">
        <f t="array" ref="J192">IFERROR(INDEX(PV_Totals_By_Item[#All], ROW()-1, COLUMN()), "")</f>
        <v/>
      </c>
    </row>
    <row r="193" spans="1:10">
      <c r="A193" s="1" t="str" cm="1">
        <f t="array" ref="A193">IFERROR(INDEX(PV_Totals_By_Item[#All], ROW()-1, COLUMN()), "")</f>
        <v/>
      </c>
      <c r="B193" s="5" t="str" cm="1">
        <f t="array" ref="B193">IFERROR(INDEX(PV_Totals_By_Item[#All], ROW()-1, COLUMN()), "")</f>
        <v/>
      </c>
      <c r="C193" s="5" t="str" cm="1">
        <f t="array" ref="C193">IFERROR(INDEX(PV_Totals_By_Item[#All], ROW()-1, COLUMN()), "")</f>
        <v/>
      </c>
      <c r="D193" s="1" t="str" cm="1">
        <f t="array" ref="D193">IFERROR(INDEX(PV_Totals_By_Item[#All], ROW()-1, COLUMN()), "")</f>
        <v/>
      </c>
      <c r="E193" s="1" t="str" cm="1">
        <f t="array" ref="E193">IFERROR(INDEX(PV_Totals_By_Item[#All], ROW()-1, COLUMN()), "")</f>
        <v/>
      </c>
      <c r="F193" s="1" t="str" cm="1">
        <f t="array" ref="F193">IFERROR(INDEX(PV_Totals_By_Item[#All], ROW()-1, COLUMN()), "")</f>
        <v/>
      </c>
      <c r="G193" s="1" t="str" cm="1">
        <f t="array" ref="G193">IFERROR(INDEX(PV_Totals_By_Item[#All], ROW()-1, COLUMN()), "")</f>
        <v/>
      </c>
      <c r="H193" s="1" t="str" cm="1">
        <f t="array" ref="H193">IFERROR(INDEX(PV_Totals_By_Item[#All], ROW()-1, COLUMN()), "")</f>
        <v/>
      </c>
      <c r="I193" s="1" t="str" cm="1">
        <f t="array" ref="I193">IFERROR(INDEX(PV_Totals_By_Item[#All], ROW()-1, COLUMN()), "")</f>
        <v/>
      </c>
      <c r="J193" s="1" t="str" cm="1">
        <f t="array" ref="J193">IFERROR(INDEX(PV_Totals_By_Item[#All], ROW()-1, COLUMN()), "")</f>
        <v/>
      </c>
    </row>
    <row r="194" spans="1:10">
      <c r="A194" s="1" t="str" cm="1">
        <f t="array" ref="A194">IFERROR(INDEX(PV_Totals_By_Item[#All], ROW()-1, COLUMN()), "")</f>
        <v/>
      </c>
      <c r="B194" s="5" t="str" cm="1">
        <f t="array" ref="B194">IFERROR(INDEX(PV_Totals_By_Item[#All], ROW()-1, COLUMN()), "")</f>
        <v/>
      </c>
      <c r="C194" s="5" t="str" cm="1">
        <f t="array" ref="C194">IFERROR(INDEX(PV_Totals_By_Item[#All], ROW()-1, COLUMN()), "")</f>
        <v/>
      </c>
      <c r="D194" s="1" t="str" cm="1">
        <f t="array" ref="D194">IFERROR(INDEX(PV_Totals_By_Item[#All], ROW()-1, COLUMN()), "")</f>
        <v/>
      </c>
      <c r="E194" s="1" t="str" cm="1">
        <f t="array" ref="E194">IFERROR(INDEX(PV_Totals_By_Item[#All], ROW()-1, COLUMN()), "")</f>
        <v/>
      </c>
      <c r="F194" s="1" t="str" cm="1">
        <f t="array" ref="F194">IFERROR(INDEX(PV_Totals_By_Item[#All], ROW()-1, COLUMN()), "")</f>
        <v/>
      </c>
      <c r="G194" s="1" t="str" cm="1">
        <f t="array" ref="G194">IFERROR(INDEX(PV_Totals_By_Item[#All], ROW()-1, COLUMN()), "")</f>
        <v/>
      </c>
      <c r="H194" s="1" t="str" cm="1">
        <f t="array" ref="H194">IFERROR(INDEX(PV_Totals_By_Item[#All], ROW()-1, COLUMN()), "")</f>
        <v/>
      </c>
      <c r="I194" s="1" t="str" cm="1">
        <f t="array" ref="I194">IFERROR(INDEX(PV_Totals_By_Item[#All], ROW()-1, COLUMN()), "")</f>
        <v/>
      </c>
      <c r="J194" s="1" t="str" cm="1">
        <f t="array" ref="J194">IFERROR(INDEX(PV_Totals_By_Item[#All], ROW()-1, COLUMN()), "")</f>
        <v/>
      </c>
    </row>
    <row r="195" spans="1:10">
      <c r="A195" s="1" t="str" cm="1">
        <f t="array" ref="A195">IFERROR(INDEX(PV_Totals_By_Item[#All], ROW()-1, COLUMN()), "")</f>
        <v/>
      </c>
      <c r="B195" s="5" t="str" cm="1">
        <f t="array" ref="B195">IFERROR(INDEX(PV_Totals_By_Item[#All], ROW()-1, COLUMN()), "")</f>
        <v/>
      </c>
      <c r="C195" s="5" t="str" cm="1">
        <f t="array" ref="C195">IFERROR(INDEX(PV_Totals_By_Item[#All], ROW()-1, COLUMN()), "")</f>
        <v/>
      </c>
      <c r="D195" s="1" t="str" cm="1">
        <f t="array" ref="D195">IFERROR(INDEX(PV_Totals_By_Item[#All], ROW()-1, COLUMN()), "")</f>
        <v/>
      </c>
      <c r="E195" s="1" t="str" cm="1">
        <f t="array" ref="E195">IFERROR(INDEX(PV_Totals_By_Item[#All], ROW()-1, COLUMN()), "")</f>
        <v/>
      </c>
      <c r="F195" s="1" t="str" cm="1">
        <f t="array" ref="F195">IFERROR(INDEX(PV_Totals_By_Item[#All], ROW()-1, COLUMN()), "")</f>
        <v/>
      </c>
      <c r="G195" s="1" t="str" cm="1">
        <f t="array" ref="G195">IFERROR(INDEX(PV_Totals_By_Item[#All], ROW()-1, COLUMN()), "")</f>
        <v/>
      </c>
      <c r="H195" s="1" t="str" cm="1">
        <f t="array" ref="H195">IFERROR(INDEX(PV_Totals_By_Item[#All], ROW()-1, COLUMN()), "")</f>
        <v/>
      </c>
      <c r="I195" s="1" t="str" cm="1">
        <f t="array" ref="I195">IFERROR(INDEX(PV_Totals_By_Item[#All], ROW()-1, COLUMN()), "")</f>
        <v/>
      </c>
      <c r="J195" s="1" t="str" cm="1">
        <f t="array" ref="J195">IFERROR(INDEX(PV_Totals_By_Item[#All], ROW()-1, COLUMN()), "")</f>
        <v/>
      </c>
    </row>
    <row r="196" spans="1:10">
      <c r="A196" s="1" t="str" cm="1">
        <f t="array" ref="A196">IFERROR(INDEX(PV_Totals_By_Item[#All], ROW()-1, COLUMN()), "")</f>
        <v/>
      </c>
      <c r="B196" s="5" t="str" cm="1">
        <f t="array" ref="B196">IFERROR(INDEX(PV_Totals_By_Item[#All], ROW()-1, COLUMN()), "")</f>
        <v/>
      </c>
      <c r="C196" s="5" t="str" cm="1">
        <f t="array" ref="C196">IFERROR(INDEX(PV_Totals_By_Item[#All], ROW()-1, COLUMN()), "")</f>
        <v/>
      </c>
      <c r="D196" s="1" t="str" cm="1">
        <f t="array" ref="D196">IFERROR(INDEX(PV_Totals_By_Item[#All], ROW()-1, COLUMN()), "")</f>
        <v/>
      </c>
      <c r="E196" s="1" t="str" cm="1">
        <f t="array" ref="E196">IFERROR(INDEX(PV_Totals_By_Item[#All], ROW()-1, COLUMN()), "")</f>
        <v/>
      </c>
      <c r="F196" s="1" t="str" cm="1">
        <f t="array" ref="F196">IFERROR(INDEX(PV_Totals_By_Item[#All], ROW()-1, COLUMN()), "")</f>
        <v/>
      </c>
      <c r="G196" s="1" t="str" cm="1">
        <f t="array" ref="G196">IFERROR(INDEX(PV_Totals_By_Item[#All], ROW()-1, COLUMN()), "")</f>
        <v/>
      </c>
      <c r="H196" s="1" t="str" cm="1">
        <f t="array" ref="H196">IFERROR(INDEX(PV_Totals_By_Item[#All], ROW()-1, COLUMN()), "")</f>
        <v/>
      </c>
      <c r="I196" s="1" t="str" cm="1">
        <f t="array" ref="I196">IFERROR(INDEX(PV_Totals_By_Item[#All], ROW()-1, COLUMN()), "")</f>
        <v/>
      </c>
      <c r="J196" s="1" t="str" cm="1">
        <f t="array" ref="J196">IFERROR(INDEX(PV_Totals_By_Item[#All], ROW()-1, COLUMN()), "")</f>
        <v/>
      </c>
    </row>
    <row r="197" spans="1:10">
      <c r="A197" s="1" t="str" cm="1">
        <f t="array" ref="A197">IFERROR(INDEX(PV_Totals_By_Item[#All], ROW()-1, COLUMN()), "")</f>
        <v/>
      </c>
      <c r="B197" s="5" t="str" cm="1">
        <f t="array" ref="B197">IFERROR(INDEX(PV_Totals_By_Item[#All], ROW()-1, COLUMN()), "")</f>
        <v/>
      </c>
      <c r="C197" s="5" t="str" cm="1">
        <f t="array" ref="C197">IFERROR(INDEX(PV_Totals_By_Item[#All], ROW()-1, COLUMN()), "")</f>
        <v/>
      </c>
      <c r="D197" s="1" t="str" cm="1">
        <f t="array" ref="D197">IFERROR(INDEX(PV_Totals_By_Item[#All], ROW()-1, COLUMN()), "")</f>
        <v/>
      </c>
      <c r="E197" s="1" t="str" cm="1">
        <f t="array" ref="E197">IFERROR(INDEX(PV_Totals_By_Item[#All], ROW()-1, COLUMN()), "")</f>
        <v/>
      </c>
      <c r="F197" s="1" t="str" cm="1">
        <f t="array" ref="F197">IFERROR(INDEX(PV_Totals_By_Item[#All], ROW()-1, COLUMN()), "")</f>
        <v/>
      </c>
      <c r="G197" s="1" t="str" cm="1">
        <f t="array" ref="G197">IFERROR(INDEX(PV_Totals_By_Item[#All], ROW()-1, COLUMN()), "")</f>
        <v/>
      </c>
      <c r="H197" s="1" t="str" cm="1">
        <f t="array" ref="H197">IFERROR(INDEX(PV_Totals_By_Item[#All], ROW()-1, COLUMN()), "")</f>
        <v/>
      </c>
      <c r="I197" s="1" t="str" cm="1">
        <f t="array" ref="I197">IFERROR(INDEX(PV_Totals_By_Item[#All], ROW()-1, COLUMN()), "")</f>
        <v/>
      </c>
      <c r="J197" s="1" t="str" cm="1">
        <f t="array" ref="J197">IFERROR(INDEX(PV_Totals_By_Item[#All], ROW()-1, COLUMN()), "")</f>
        <v/>
      </c>
    </row>
    <row r="198" spans="1:10">
      <c r="A198" s="1" t="str" cm="1">
        <f t="array" ref="A198">IFERROR(INDEX(PV_Totals_By_Item[#All], ROW()-1, COLUMN()), "")</f>
        <v/>
      </c>
      <c r="B198" s="5" t="str" cm="1">
        <f t="array" ref="B198">IFERROR(INDEX(PV_Totals_By_Item[#All], ROW()-1, COLUMN()), "")</f>
        <v/>
      </c>
      <c r="C198" s="5" t="str" cm="1">
        <f t="array" ref="C198">IFERROR(INDEX(PV_Totals_By_Item[#All], ROW()-1, COLUMN()), "")</f>
        <v/>
      </c>
      <c r="D198" s="1" t="str" cm="1">
        <f t="array" ref="D198">IFERROR(INDEX(PV_Totals_By_Item[#All], ROW()-1, COLUMN()), "")</f>
        <v/>
      </c>
      <c r="E198" s="1" t="str" cm="1">
        <f t="array" ref="E198">IFERROR(INDEX(PV_Totals_By_Item[#All], ROW()-1, COLUMN()), "")</f>
        <v/>
      </c>
      <c r="F198" s="1" t="str" cm="1">
        <f t="array" ref="F198">IFERROR(INDEX(PV_Totals_By_Item[#All], ROW()-1, COLUMN()), "")</f>
        <v/>
      </c>
      <c r="G198" s="1" t="str" cm="1">
        <f t="array" ref="G198">IFERROR(INDEX(PV_Totals_By_Item[#All], ROW()-1, COLUMN()), "")</f>
        <v/>
      </c>
      <c r="H198" s="1" t="str" cm="1">
        <f t="array" ref="H198">IFERROR(INDEX(PV_Totals_By_Item[#All], ROW()-1, COLUMN()), "")</f>
        <v/>
      </c>
      <c r="I198" s="1" t="str" cm="1">
        <f t="array" ref="I198">IFERROR(INDEX(PV_Totals_By_Item[#All], ROW()-1, COLUMN()), "")</f>
        <v/>
      </c>
      <c r="J198" s="1" t="str" cm="1">
        <f t="array" ref="J198">IFERROR(INDEX(PV_Totals_By_Item[#All], ROW()-1, COLUMN()), "")</f>
        <v/>
      </c>
    </row>
    <row r="199" spans="1:10">
      <c r="A199" s="1" t="str" cm="1">
        <f t="array" ref="A199">IFERROR(INDEX(PV_Totals_By_Item[#All], ROW()-1, COLUMN()), "")</f>
        <v/>
      </c>
      <c r="B199" s="1" t="str" cm="1">
        <f t="array" ref="B199">IFERROR(INDEX(PV_Totals_By_Item[#All], ROW()-1, COLUMN()), "")</f>
        <v/>
      </c>
      <c r="C199" s="1" t="str" cm="1">
        <f t="array" ref="C199">IFERROR(INDEX(PV_Totals_By_Item[#All], ROW()-1, COLUMN()), "")</f>
        <v/>
      </c>
      <c r="D199" s="1" t="str" cm="1">
        <f t="array" ref="D199">IFERROR(INDEX(PV_Totals_By_Item[#All], ROW()-1, COLUMN()), "")</f>
        <v/>
      </c>
      <c r="E199" s="1" t="str" cm="1">
        <f t="array" ref="E199">IFERROR(INDEX(PV_Totals_By_Item[#All], ROW()-1, COLUMN()), "")</f>
        <v/>
      </c>
      <c r="F199" s="1" t="str" cm="1">
        <f t="array" ref="F199">IFERROR(INDEX(PV_Totals_By_Item[#All], ROW()-1, COLUMN()), "")</f>
        <v/>
      </c>
      <c r="G199" s="1" t="str" cm="1">
        <f t="array" ref="G199">IFERROR(INDEX(PV_Totals_By_Item[#All], ROW()-1, COLUMN()), "")</f>
        <v/>
      </c>
      <c r="H199" s="1" t="str" cm="1">
        <f t="array" ref="H199">IFERROR(INDEX(PV_Totals_By_Item[#All], ROW()-1, COLUMN()), "")</f>
        <v/>
      </c>
      <c r="I199" s="1" t="str" cm="1">
        <f t="array" ref="I199">IFERROR(INDEX(PV_Totals_By_Item[#All], ROW()-1, COLUMN()), "")</f>
        <v/>
      </c>
      <c r="J199" s="1" t="str" cm="1">
        <f t="array" ref="J199">IFERROR(INDEX(PV_Totals_By_Item[#All], ROW()-1, COLUMN()), "")</f>
        <v/>
      </c>
    </row>
    <row r="200" spans="1:10">
      <c r="A200" s="1" t="str" cm="1">
        <f t="array" ref="A200">IFERROR(INDEX(PV_Totals_By_Item[#All], ROW()-1, COLUMN()), "")</f>
        <v/>
      </c>
      <c r="B200" s="1" t="str" cm="1">
        <f t="array" ref="B200">IFERROR(INDEX(PV_Totals_By_Item[#All], ROW()-1, COLUMN()), "")</f>
        <v/>
      </c>
      <c r="C200" s="1" t="str" cm="1">
        <f t="array" ref="C200">IFERROR(INDEX(PV_Totals_By_Item[#All], ROW()-1, COLUMN()), "")</f>
        <v/>
      </c>
      <c r="D200" s="1" t="str" cm="1">
        <f t="array" ref="D200">IFERROR(INDEX(PV_Totals_By_Item[#All], ROW()-1, COLUMN()), "")</f>
        <v/>
      </c>
      <c r="E200" s="1" t="str" cm="1">
        <f t="array" ref="E200">IFERROR(INDEX(PV_Totals_By_Item[#All], ROW()-1, COLUMN()), "")</f>
        <v/>
      </c>
      <c r="F200" s="1" t="str" cm="1">
        <f t="array" ref="F200">IFERROR(INDEX(PV_Totals_By_Item[#All], ROW()-1, COLUMN()), "")</f>
        <v/>
      </c>
      <c r="G200" s="1" t="str" cm="1">
        <f t="array" ref="G200">IFERROR(INDEX(PV_Totals_By_Item[#All], ROW()-1, COLUMN()), "")</f>
        <v/>
      </c>
      <c r="H200" s="1" t="str" cm="1">
        <f t="array" ref="H200">IFERROR(INDEX(PV_Totals_By_Item[#All], ROW()-1, COLUMN()), "")</f>
        <v/>
      </c>
      <c r="I200" s="1" t="str" cm="1">
        <f t="array" ref="I200">IFERROR(INDEX(PV_Totals_By_Item[#All], ROW()-1, COLUMN()), "")</f>
        <v/>
      </c>
      <c r="J200" s="1" t="str" cm="1">
        <f t="array" ref="J200">IFERROR(INDEX(PV_Totals_By_Item[#All], ROW()-1, COLUMN()), "")</f>
        <v/>
      </c>
    </row>
    <row r="201" spans="1:10">
      <c r="A201" s="1" t="str" cm="1">
        <f t="array" ref="A201">IFERROR(INDEX(PV_Totals_By_Item[#All], ROW()-1, COLUMN()), "")</f>
        <v/>
      </c>
      <c r="B201" s="1" t="str" cm="1">
        <f t="array" ref="B201">IFERROR(INDEX(PV_Totals_By_Item[#All], ROW()-1, COLUMN()), "")</f>
        <v/>
      </c>
      <c r="C201" s="1" t="str" cm="1">
        <f t="array" ref="C201">IFERROR(INDEX(PV_Totals_By_Item[#All], ROW()-1, COLUMN()), "")</f>
        <v/>
      </c>
      <c r="D201" s="1" t="str" cm="1">
        <f t="array" ref="D201">IFERROR(INDEX(PV_Totals_By_Item[#All], ROW()-1, COLUMN()), "")</f>
        <v/>
      </c>
      <c r="E201" s="1" t="str" cm="1">
        <f t="array" ref="E201">IFERROR(INDEX(PV_Totals_By_Item[#All], ROW()-1, COLUMN()), "")</f>
        <v/>
      </c>
      <c r="F201" s="1" t="str" cm="1">
        <f t="array" ref="F201">IFERROR(INDEX(PV_Totals_By_Item[#All], ROW()-1, COLUMN()), "")</f>
        <v/>
      </c>
      <c r="G201" s="1" t="str" cm="1">
        <f t="array" ref="G201">IFERROR(INDEX(PV_Totals_By_Item[#All], ROW()-1, COLUMN()), "")</f>
        <v/>
      </c>
      <c r="H201" s="1" t="str" cm="1">
        <f t="array" ref="H201">IFERROR(INDEX(PV_Totals_By_Item[#All], ROW()-1, COLUMN()), "")</f>
        <v/>
      </c>
      <c r="I201" s="1" t="str" cm="1">
        <f t="array" ref="I201">IFERROR(INDEX(PV_Totals_By_Item[#All], ROW()-1, COLUMN()), "")</f>
        <v/>
      </c>
      <c r="J201" s="1" t="str" cm="1">
        <f t="array" ref="J201">IFERROR(INDEX(PV_Totals_By_Item[#All], ROW()-1, COLUMN()), "")</f>
        <v/>
      </c>
    </row>
    <row r="202" spans="1:10">
      <c r="A202" s="1" t="str" cm="1">
        <f t="array" ref="A202">IFERROR(INDEX(PV_Totals_By_Item[#All], ROW()-1, COLUMN()), "")</f>
        <v/>
      </c>
      <c r="B202" s="1" t="str" cm="1">
        <f t="array" ref="B202">IFERROR(INDEX(PV_Totals_By_Item[#All], ROW()-1, COLUMN()), "")</f>
        <v/>
      </c>
      <c r="C202" s="1" t="str" cm="1">
        <f t="array" ref="C202">IFERROR(INDEX(PV_Totals_By_Item[#All], ROW()-1, COLUMN()), "")</f>
        <v/>
      </c>
      <c r="D202" s="1" t="str" cm="1">
        <f t="array" ref="D202">IFERROR(INDEX(PV_Totals_By_Item[#All], ROW()-1, COLUMN()), "")</f>
        <v/>
      </c>
      <c r="E202" s="1" t="str" cm="1">
        <f t="array" ref="E202">IFERROR(INDEX(PV_Totals_By_Item[#All], ROW()-1, COLUMN()), "")</f>
        <v/>
      </c>
      <c r="F202" s="1" t="str" cm="1">
        <f t="array" ref="F202">IFERROR(INDEX(PV_Totals_By_Item[#All], ROW()-1, COLUMN()), "")</f>
        <v/>
      </c>
      <c r="G202" s="1" t="str" cm="1">
        <f t="array" ref="G202">IFERROR(INDEX(PV_Totals_By_Item[#All], ROW()-1, COLUMN()), "")</f>
        <v/>
      </c>
      <c r="H202" s="1" t="str" cm="1">
        <f t="array" ref="H202">IFERROR(INDEX(PV_Totals_By_Item[#All], ROW()-1, COLUMN()), "")</f>
        <v/>
      </c>
      <c r="I202" s="1" t="str" cm="1">
        <f t="array" ref="I202">IFERROR(INDEX(PV_Totals_By_Item[#All], ROW()-1, COLUMN()), "")</f>
        <v/>
      </c>
      <c r="J202" s="1" t="str" cm="1">
        <f t="array" ref="J202">IFERROR(INDEX(PV_Totals_By_Item[#All], ROW()-1, COLUMN()), "")</f>
        <v/>
      </c>
    </row>
    <row r="203" spans="1:10">
      <c r="A203" s="1" t="str" cm="1">
        <f t="array" ref="A203">IFERROR(INDEX(PV_Totals_By_Item[#All], ROW()-1, COLUMN()), "")</f>
        <v/>
      </c>
      <c r="B203" s="1" t="str" cm="1">
        <f t="array" ref="B203">IFERROR(INDEX(PV_Totals_By_Item[#All], ROW()-1, COLUMN()), "")</f>
        <v/>
      </c>
      <c r="C203" s="1" t="str" cm="1">
        <f t="array" ref="C203">IFERROR(INDEX(PV_Totals_By_Item[#All], ROW()-1, COLUMN()), "")</f>
        <v/>
      </c>
      <c r="D203" s="1" t="str" cm="1">
        <f t="array" ref="D203">IFERROR(INDEX(PV_Totals_By_Item[#All], ROW()-1, COLUMN()), "")</f>
        <v/>
      </c>
      <c r="E203" s="1" t="str" cm="1">
        <f t="array" ref="E203">IFERROR(INDEX(PV_Totals_By_Item[#All], ROW()-1, COLUMN()), "")</f>
        <v/>
      </c>
      <c r="F203" s="1" t="str" cm="1">
        <f t="array" ref="F203">IFERROR(INDEX(PV_Totals_By_Item[#All], ROW()-1, COLUMN()), "")</f>
        <v/>
      </c>
      <c r="G203" s="1" t="str" cm="1">
        <f t="array" ref="G203">IFERROR(INDEX(PV_Totals_By_Item[#All], ROW()-1, COLUMN()), "")</f>
        <v/>
      </c>
      <c r="H203" s="1" t="str" cm="1">
        <f t="array" ref="H203">IFERROR(INDEX(PV_Totals_By_Item[#All], ROW()-1, COLUMN()), "")</f>
        <v/>
      </c>
      <c r="I203" s="1" t="str" cm="1">
        <f t="array" ref="I203">IFERROR(INDEX(PV_Totals_By_Item[#All], ROW()-1, COLUMN()), "")</f>
        <v/>
      </c>
      <c r="J203" s="1" t="str" cm="1">
        <f t="array" ref="J203">IFERROR(INDEX(PV_Totals_By_Item[#All], ROW()-1, COLUMN()), "")</f>
        <v/>
      </c>
    </row>
    <row r="204" spans="1:10">
      <c r="A204" s="1" t="str" cm="1">
        <f t="array" ref="A204">IFERROR(INDEX(PV_Totals_By_Item[#All], ROW()-1, COLUMN()), "")</f>
        <v/>
      </c>
      <c r="B204" s="1" t="str" cm="1">
        <f t="array" ref="B204">IFERROR(INDEX(PV_Totals_By_Item[#All], ROW()-1, COLUMN()), "")</f>
        <v/>
      </c>
      <c r="C204" s="1" t="str" cm="1">
        <f t="array" ref="C204">IFERROR(INDEX(PV_Totals_By_Item[#All], ROW()-1, COLUMN()), "")</f>
        <v/>
      </c>
      <c r="D204" s="1" t="str" cm="1">
        <f t="array" ref="D204">IFERROR(INDEX(PV_Totals_By_Item[#All], ROW()-1, COLUMN()), "")</f>
        <v/>
      </c>
      <c r="E204" s="1" t="str" cm="1">
        <f t="array" ref="E204">IFERROR(INDEX(PV_Totals_By_Item[#All], ROW()-1, COLUMN()), "")</f>
        <v/>
      </c>
      <c r="F204" s="1" t="str" cm="1">
        <f t="array" ref="F204">IFERROR(INDEX(PV_Totals_By_Item[#All], ROW()-1, COLUMN()), "")</f>
        <v/>
      </c>
      <c r="G204" s="1" t="str" cm="1">
        <f t="array" ref="G204">IFERROR(INDEX(PV_Totals_By_Item[#All], ROW()-1, COLUMN()), "")</f>
        <v/>
      </c>
      <c r="H204" s="1" t="str" cm="1">
        <f t="array" ref="H204">IFERROR(INDEX(PV_Totals_By_Item[#All], ROW()-1, COLUMN()), "")</f>
        <v/>
      </c>
      <c r="I204" s="1" t="str" cm="1">
        <f t="array" ref="I204">IFERROR(INDEX(PV_Totals_By_Item[#All], ROW()-1, COLUMN()), "")</f>
        <v/>
      </c>
      <c r="J204" s="1" t="str" cm="1">
        <f t="array" ref="J204">IFERROR(INDEX(PV_Totals_By_Item[#All], ROW()-1, COLUMN()), "")</f>
        <v/>
      </c>
    </row>
    <row r="205" spans="1:10">
      <c r="A205" s="1" t="str" cm="1">
        <f t="array" ref="A205">IFERROR(INDEX(PV_Totals_By_Item[#All], ROW()-1, COLUMN()), "")</f>
        <v/>
      </c>
      <c r="B205" s="1" t="str" cm="1">
        <f t="array" ref="B205">IFERROR(INDEX(PV_Totals_By_Item[#All], ROW()-1, COLUMN()), "")</f>
        <v/>
      </c>
      <c r="C205" s="1" t="str" cm="1">
        <f t="array" ref="C205">IFERROR(INDEX(PV_Totals_By_Item[#All], ROW()-1, COLUMN()), "")</f>
        <v/>
      </c>
      <c r="D205" s="1" t="str" cm="1">
        <f t="array" ref="D205">IFERROR(INDEX(PV_Totals_By_Item[#All], ROW()-1, COLUMN()), "")</f>
        <v/>
      </c>
      <c r="E205" s="1" t="str" cm="1">
        <f t="array" ref="E205">IFERROR(INDEX(PV_Totals_By_Item[#All], ROW()-1, COLUMN()), "")</f>
        <v/>
      </c>
      <c r="F205" s="1" t="str" cm="1">
        <f t="array" ref="F205">IFERROR(INDEX(PV_Totals_By_Item[#All], ROW()-1, COLUMN()), "")</f>
        <v/>
      </c>
      <c r="G205" s="1" t="str" cm="1">
        <f t="array" ref="G205">IFERROR(INDEX(PV_Totals_By_Item[#All], ROW()-1, COLUMN()), "")</f>
        <v/>
      </c>
      <c r="H205" s="1" t="str" cm="1">
        <f t="array" ref="H205">IFERROR(INDEX(PV_Totals_By_Item[#All], ROW()-1, COLUMN()), "")</f>
        <v/>
      </c>
      <c r="I205" s="1" t="str" cm="1">
        <f t="array" ref="I205">IFERROR(INDEX(PV_Totals_By_Item[#All], ROW()-1, COLUMN()), "")</f>
        <v/>
      </c>
      <c r="J205" s="1" t="str" cm="1">
        <f t="array" ref="J205">IFERROR(INDEX(PV_Totals_By_Item[#All], ROW()-1, COLUMN()), "")</f>
        <v/>
      </c>
    </row>
    <row r="206" spans="1:10">
      <c r="A206" s="1" t="str" cm="1">
        <f t="array" ref="A206">IFERROR(INDEX(PV_Totals_By_Item[#All], ROW()-1, COLUMN()), "")</f>
        <v/>
      </c>
      <c r="B206" s="1" t="str" cm="1">
        <f t="array" ref="B206">IFERROR(INDEX(PV_Totals_By_Item[#All], ROW()-1, COLUMN()), "")</f>
        <v/>
      </c>
      <c r="C206" s="1" t="str" cm="1">
        <f t="array" ref="C206">IFERROR(INDEX(PV_Totals_By_Item[#All], ROW()-1, COLUMN()), "")</f>
        <v/>
      </c>
      <c r="D206" s="1" t="str" cm="1">
        <f t="array" ref="D206">IFERROR(INDEX(PV_Totals_By_Item[#All], ROW()-1, COLUMN()), "")</f>
        <v/>
      </c>
      <c r="E206" s="1" t="str" cm="1">
        <f t="array" ref="E206">IFERROR(INDEX(PV_Totals_By_Item[#All], ROW()-1, COLUMN()), "")</f>
        <v/>
      </c>
      <c r="F206" s="1" t="str" cm="1">
        <f t="array" ref="F206">IFERROR(INDEX(PV_Totals_By_Item[#All], ROW()-1, COLUMN()), "")</f>
        <v/>
      </c>
      <c r="G206" s="1" t="str" cm="1">
        <f t="array" ref="G206">IFERROR(INDEX(PV_Totals_By_Item[#All], ROW()-1, COLUMN()), "")</f>
        <v/>
      </c>
      <c r="H206" s="1" t="str" cm="1">
        <f t="array" ref="H206">IFERROR(INDEX(PV_Totals_By_Item[#All], ROW()-1, COLUMN()), "")</f>
        <v/>
      </c>
      <c r="I206" s="1" t="str" cm="1">
        <f t="array" ref="I206">IFERROR(INDEX(PV_Totals_By_Item[#All], ROW()-1, COLUMN()), "")</f>
        <v/>
      </c>
      <c r="J206" s="1" t="str" cm="1">
        <f t="array" ref="J206">IFERROR(INDEX(PV_Totals_By_Item[#All], ROW()-1, COLUMN()), "")</f>
        <v/>
      </c>
    </row>
    <row r="207" spans="1:10">
      <c r="A207" s="1" t="str" cm="1">
        <f t="array" ref="A207">IFERROR(INDEX(PV_Totals_By_Item[#All], ROW()-1, COLUMN()), "")</f>
        <v/>
      </c>
      <c r="B207" s="1" t="str" cm="1">
        <f t="array" ref="B207">IFERROR(INDEX(PV_Totals_By_Item[#All], ROW()-1, COLUMN()), "")</f>
        <v/>
      </c>
      <c r="C207" s="1" t="str" cm="1">
        <f t="array" ref="C207">IFERROR(INDEX(PV_Totals_By_Item[#All], ROW()-1, COLUMN()), "")</f>
        <v/>
      </c>
      <c r="D207" s="1" t="str" cm="1">
        <f t="array" ref="D207">IFERROR(INDEX(PV_Totals_By_Item[#All], ROW()-1, COLUMN()), "")</f>
        <v/>
      </c>
      <c r="E207" s="1" t="str" cm="1">
        <f t="array" ref="E207">IFERROR(INDEX(PV_Totals_By_Item[#All], ROW()-1, COLUMN()), "")</f>
        <v/>
      </c>
      <c r="F207" s="1" t="str" cm="1">
        <f t="array" ref="F207">IFERROR(INDEX(PV_Totals_By_Item[#All], ROW()-1, COLUMN()), "")</f>
        <v/>
      </c>
      <c r="G207" s="1" t="str" cm="1">
        <f t="array" ref="G207">IFERROR(INDEX(PV_Totals_By_Item[#All], ROW()-1, COLUMN()), "")</f>
        <v/>
      </c>
      <c r="H207" s="1" t="str" cm="1">
        <f t="array" ref="H207">IFERROR(INDEX(PV_Totals_By_Item[#All], ROW()-1, COLUMN()), "")</f>
        <v/>
      </c>
      <c r="I207" s="1" t="str" cm="1">
        <f t="array" ref="I207">IFERROR(INDEX(PV_Totals_By_Item[#All], ROW()-1, COLUMN()), "")</f>
        <v/>
      </c>
      <c r="J207" s="1" t="str" cm="1">
        <f t="array" ref="J207">IFERROR(INDEX(PV_Totals_By_Item[#All], ROW()-1, COLUMN()), "")</f>
        <v/>
      </c>
    </row>
    <row r="208" spans="1:10">
      <c r="A208" s="1" t="str" cm="1">
        <f t="array" ref="A208">IFERROR(INDEX(PV_Totals_By_Item[#All], ROW()-1, COLUMN()), "")</f>
        <v/>
      </c>
      <c r="B208" s="1" t="str" cm="1">
        <f t="array" ref="B208">IFERROR(INDEX(PV_Totals_By_Item[#All], ROW()-1, COLUMN()), "")</f>
        <v/>
      </c>
      <c r="C208" s="1" t="str" cm="1">
        <f t="array" ref="C208">IFERROR(INDEX(PV_Totals_By_Item[#All], ROW()-1, COLUMN()), "")</f>
        <v/>
      </c>
      <c r="D208" s="1" t="str" cm="1">
        <f t="array" ref="D208">IFERROR(INDEX(PV_Totals_By_Item[#All], ROW()-1, COLUMN()), "")</f>
        <v/>
      </c>
      <c r="E208" s="1" t="str" cm="1">
        <f t="array" ref="E208">IFERROR(INDEX(PV_Totals_By_Item[#All], ROW()-1, COLUMN()), "")</f>
        <v/>
      </c>
      <c r="F208" s="1" t="str" cm="1">
        <f t="array" ref="F208">IFERROR(INDEX(PV_Totals_By_Item[#All], ROW()-1, COLUMN()), "")</f>
        <v/>
      </c>
      <c r="G208" s="1" t="str" cm="1">
        <f t="array" ref="G208">IFERROR(INDEX(PV_Totals_By_Item[#All], ROW()-1, COLUMN()), "")</f>
        <v/>
      </c>
      <c r="H208" s="1" t="str" cm="1">
        <f t="array" ref="H208">IFERROR(INDEX(PV_Totals_By_Item[#All], ROW()-1, COLUMN()), "")</f>
        <v/>
      </c>
      <c r="I208" s="1" t="str" cm="1">
        <f t="array" ref="I208">IFERROR(INDEX(PV_Totals_By_Item[#All], ROW()-1, COLUMN()), "")</f>
        <v/>
      </c>
      <c r="J208" s="1" t="str" cm="1">
        <f t="array" ref="J208">IFERROR(INDEX(PV_Totals_By_Item[#All], ROW()-1, COLUMN()), "")</f>
        <v/>
      </c>
    </row>
    <row r="209" spans="1:10">
      <c r="A209" s="1" t="str" cm="1">
        <f t="array" ref="A209">IFERROR(INDEX(PV_Totals_By_Item[#All], ROW()-1, COLUMN()), "")</f>
        <v/>
      </c>
      <c r="B209" s="1" t="str" cm="1">
        <f t="array" ref="B209">IFERROR(INDEX(PV_Totals_By_Item[#All], ROW()-1, COLUMN()), "")</f>
        <v/>
      </c>
      <c r="C209" s="1" t="str" cm="1">
        <f t="array" ref="C209">IFERROR(INDEX(PV_Totals_By_Item[#All], ROW()-1, COLUMN()), "")</f>
        <v/>
      </c>
      <c r="D209" s="1" t="str" cm="1">
        <f t="array" ref="D209">IFERROR(INDEX(PV_Totals_By_Item[#All], ROW()-1, COLUMN()), "")</f>
        <v/>
      </c>
      <c r="E209" s="1" t="str" cm="1">
        <f t="array" ref="E209">IFERROR(INDEX(PV_Totals_By_Item[#All], ROW()-1, COLUMN()), "")</f>
        <v/>
      </c>
      <c r="F209" s="1" t="str" cm="1">
        <f t="array" ref="F209">IFERROR(INDEX(PV_Totals_By_Item[#All], ROW()-1, COLUMN()), "")</f>
        <v/>
      </c>
      <c r="G209" s="1" t="str" cm="1">
        <f t="array" ref="G209">IFERROR(INDEX(PV_Totals_By_Item[#All], ROW()-1, COLUMN()), "")</f>
        <v/>
      </c>
      <c r="H209" s="1" t="str" cm="1">
        <f t="array" ref="H209">IFERROR(INDEX(PV_Totals_By_Item[#All], ROW()-1, COLUMN()), "")</f>
        <v/>
      </c>
      <c r="I209" s="1" t="str" cm="1">
        <f t="array" ref="I209">IFERROR(INDEX(PV_Totals_By_Item[#All], ROW()-1, COLUMN()), "")</f>
        <v/>
      </c>
      <c r="J209" s="1" t="str" cm="1">
        <f t="array" ref="J209">IFERROR(INDEX(PV_Totals_By_Item[#All], ROW()-1, COLUMN()), "")</f>
        <v/>
      </c>
    </row>
    <row r="210" spans="1:10">
      <c r="A210" s="1" t="str" cm="1">
        <f t="array" ref="A210">IFERROR(INDEX(PV_Totals_By_Item[#All], ROW()-1, COLUMN()), "")</f>
        <v/>
      </c>
      <c r="B210" s="1" t="str" cm="1">
        <f t="array" ref="B210">IFERROR(INDEX(PV_Totals_By_Item[#All], ROW()-1, COLUMN()), "")</f>
        <v/>
      </c>
      <c r="C210" s="1" t="str" cm="1">
        <f t="array" ref="C210">IFERROR(INDEX(PV_Totals_By_Item[#All], ROW()-1, COLUMN()), "")</f>
        <v/>
      </c>
      <c r="D210" s="1" t="str" cm="1">
        <f t="array" ref="D210">IFERROR(INDEX(PV_Totals_By_Item[#All], ROW()-1, COLUMN()), "")</f>
        <v/>
      </c>
      <c r="E210" s="1" t="str" cm="1">
        <f t="array" ref="E210">IFERROR(INDEX(PV_Totals_By_Item[#All], ROW()-1, COLUMN()), "")</f>
        <v/>
      </c>
      <c r="F210" s="1" t="str" cm="1">
        <f t="array" ref="F210">IFERROR(INDEX(PV_Totals_By_Item[#All], ROW()-1, COLUMN()), "")</f>
        <v/>
      </c>
      <c r="G210" s="1" t="str" cm="1">
        <f t="array" ref="G210">IFERROR(INDEX(PV_Totals_By_Item[#All], ROW()-1, COLUMN()), "")</f>
        <v/>
      </c>
      <c r="H210" s="1" t="str" cm="1">
        <f t="array" ref="H210">IFERROR(INDEX(PV_Totals_By_Item[#All], ROW()-1, COLUMN()), "")</f>
        <v/>
      </c>
      <c r="I210" s="1" t="str" cm="1">
        <f t="array" ref="I210">IFERROR(INDEX(PV_Totals_By_Item[#All], ROW()-1, COLUMN()), "")</f>
        <v/>
      </c>
      <c r="J210" s="1" t="str" cm="1">
        <f t="array" ref="J210">IFERROR(INDEX(PV_Totals_By_Item[#All], ROW()-1, COLUMN()), "")</f>
        <v/>
      </c>
    </row>
    <row r="211" spans="1:10">
      <c r="A211" s="1" t="str" cm="1">
        <f t="array" ref="A211">IFERROR(INDEX(PV_Totals_By_Item[#All], ROW()-1, COLUMN()), "")</f>
        <v/>
      </c>
      <c r="B211" s="1" t="str" cm="1">
        <f t="array" ref="B211">IFERROR(INDEX(PV_Totals_By_Item[#All], ROW()-1, COLUMN()), "")</f>
        <v/>
      </c>
      <c r="C211" s="1" t="str" cm="1">
        <f t="array" ref="C211">IFERROR(INDEX(PV_Totals_By_Item[#All], ROW()-1, COLUMN()), "")</f>
        <v/>
      </c>
      <c r="D211" s="1" t="str" cm="1">
        <f t="array" ref="D211">IFERROR(INDEX(PV_Totals_By_Item[#All], ROW()-1, COLUMN()), "")</f>
        <v/>
      </c>
      <c r="E211" s="1" t="str" cm="1">
        <f t="array" ref="E211">IFERROR(INDEX(PV_Totals_By_Item[#All], ROW()-1, COLUMN()), "")</f>
        <v/>
      </c>
      <c r="F211" s="1" t="str" cm="1">
        <f t="array" ref="F211">IFERROR(INDEX(PV_Totals_By_Item[#All], ROW()-1, COLUMN()), "")</f>
        <v/>
      </c>
      <c r="G211" s="1" t="str" cm="1">
        <f t="array" ref="G211">IFERROR(INDEX(PV_Totals_By_Item[#All], ROW()-1, COLUMN()), "")</f>
        <v/>
      </c>
      <c r="H211" s="1" t="str" cm="1">
        <f t="array" ref="H211">IFERROR(INDEX(PV_Totals_By_Item[#All], ROW()-1, COLUMN()), "")</f>
        <v/>
      </c>
      <c r="I211" s="1" t="str" cm="1">
        <f t="array" ref="I211">IFERROR(INDEX(PV_Totals_By_Item[#All], ROW()-1, COLUMN()), "")</f>
        <v/>
      </c>
      <c r="J211" s="1" t="str" cm="1">
        <f t="array" ref="J211">IFERROR(INDEX(PV_Totals_By_Item[#All], ROW()-1, COLUMN()), "")</f>
        <v/>
      </c>
    </row>
    <row r="212" spans="1:10">
      <c r="A212" s="1" t="str" cm="1">
        <f t="array" ref="A212">IFERROR(INDEX(PV_Totals_By_Item[#All], ROW()-1, COLUMN()), "")</f>
        <v/>
      </c>
      <c r="B212" s="1" t="str" cm="1">
        <f t="array" ref="B212">IFERROR(INDEX(PV_Totals_By_Item[#All], ROW()-1, COLUMN()), "")</f>
        <v/>
      </c>
      <c r="C212" s="1" t="str" cm="1">
        <f t="array" ref="C212">IFERROR(INDEX(PV_Totals_By_Item[#All], ROW()-1, COLUMN()), "")</f>
        <v/>
      </c>
      <c r="D212" s="1" t="str" cm="1">
        <f t="array" ref="D212">IFERROR(INDEX(PV_Totals_By_Item[#All], ROW()-1, COLUMN()), "")</f>
        <v/>
      </c>
      <c r="E212" s="1" t="str" cm="1">
        <f t="array" ref="E212">IFERROR(INDEX(PV_Totals_By_Item[#All], ROW()-1, COLUMN()), "")</f>
        <v/>
      </c>
      <c r="F212" s="1" t="str" cm="1">
        <f t="array" ref="F212">IFERROR(INDEX(PV_Totals_By_Item[#All], ROW()-1, COLUMN()), "")</f>
        <v/>
      </c>
      <c r="G212" s="1" t="str" cm="1">
        <f t="array" ref="G212">IFERROR(INDEX(PV_Totals_By_Item[#All], ROW()-1, COLUMN()), "")</f>
        <v/>
      </c>
      <c r="H212" s="1" t="str" cm="1">
        <f t="array" ref="H212">IFERROR(INDEX(PV_Totals_By_Item[#All], ROW()-1, COLUMN()), "")</f>
        <v/>
      </c>
      <c r="I212" s="1" t="str" cm="1">
        <f t="array" ref="I212">IFERROR(INDEX(PV_Totals_By_Item[#All], ROW()-1, COLUMN()), "")</f>
        <v/>
      </c>
      <c r="J212" s="1" t="str" cm="1">
        <f t="array" ref="J212">IFERROR(INDEX(PV_Totals_By_Item[#All], ROW()-1, COLUMN()), "")</f>
        <v/>
      </c>
    </row>
    <row r="213" spans="1:10">
      <c r="A213" s="1" t="str" cm="1">
        <f t="array" ref="A213">IFERROR(INDEX(PV_Totals_By_Item[#All], ROW()-1, COLUMN()), "")</f>
        <v/>
      </c>
      <c r="B213" s="1" t="str" cm="1">
        <f t="array" ref="B213">IFERROR(INDEX(PV_Totals_By_Item[#All], ROW()-1, COLUMN()), "")</f>
        <v/>
      </c>
      <c r="C213" s="1" t="str" cm="1">
        <f t="array" ref="C213">IFERROR(INDEX(PV_Totals_By_Item[#All], ROW()-1, COLUMN()), "")</f>
        <v/>
      </c>
      <c r="D213" s="1" t="str" cm="1">
        <f t="array" ref="D213">IFERROR(INDEX(PV_Totals_By_Item[#All], ROW()-1, COLUMN()), "")</f>
        <v/>
      </c>
      <c r="E213" s="1" t="str" cm="1">
        <f t="array" ref="E213">IFERROR(INDEX(PV_Totals_By_Item[#All], ROW()-1, COLUMN()), "")</f>
        <v/>
      </c>
      <c r="F213" s="1" t="str" cm="1">
        <f t="array" ref="F213">IFERROR(INDEX(PV_Totals_By_Item[#All], ROW()-1, COLUMN()), "")</f>
        <v/>
      </c>
      <c r="G213" s="1" t="str" cm="1">
        <f t="array" ref="G213">IFERROR(INDEX(PV_Totals_By_Item[#All], ROW()-1, COLUMN()), "")</f>
        <v/>
      </c>
      <c r="H213" s="1" t="str" cm="1">
        <f t="array" ref="H213">IFERROR(INDEX(PV_Totals_By_Item[#All], ROW()-1, COLUMN()), "")</f>
        <v/>
      </c>
      <c r="I213" s="1" t="str" cm="1">
        <f t="array" ref="I213">IFERROR(INDEX(PV_Totals_By_Item[#All], ROW()-1, COLUMN()), "")</f>
        <v/>
      </c>
      <c r="J213" s="1" t="str" cm="1">
        <f t="array" ref="J213">IFERROR(INDEX(PV_Totals_By_Item[#All], ROW()-1, COLUMN()), "")</f>
        <v/>
      </c>
    </row>
    <row r="214" spans="1:10">
      <c r="A214" s="1" t="str" cm="1">
        <f t="array" ref="A214">IFERROR(INDEX(PV_Totals_By_Item[#All], ROW()-1, COLUMN()), "")</f>
        <v/>
      </c>
      <c r="B214" s="1" t="str" cm="1">
        <f t="array" ref="B214">IFERROR(INDEX(PV_Totals_By_Item[#All], ROW()-1, COLUMN()), "")</f>
        <v/>
      </c>
      <c r="C214" s="1" t="str" cm="1">
        <f t="array" ref="C214">IFERROR(INDEX(PV_Totals_By_Item[#All], ROW()-1, COLUMN()), "")</f>
        <v/>
      </c>
      <c r="D214" s="1" t="str" cm="1">
        <f t="array" ref="D214">IFERROR(INDEX(PV_Totals_By_Item[#All], ROW()-1, COLUMN()), "")</f>
        <v/>
      </c>
      <c r="E214" s="1" t="str" cm="1">
        <f t="array" ref="E214">IFERROR(INDEX(PV_Totals_By_Item[#All], ROW()-1, COLUMN()), "")</f>
        <v/>
      </c>
      <c r="F214" s="1" t="str" cm="1">
        <f t="array" ref="F214">IFERROR(INDEX(PV_Totals_By_Item[#All], ROW()-1, COLUMN()), "")</f>
        <v/>
      </c>
      <c r="G214" s="1" t="str" cm="1">
        <f t="array" ref="G214">IFERROR(INDEX(PV_Totals_By_Item[#All], ROW()-1, COLUMN()), "")</f>
        <v/>
      </c>
      <c r="H214" s="1" t="str" cm="1">
        <f t="array" ref="H214">IFERROR(INDEX(PV_Totals_By_Item[#All], ROW()-1, COLUMN()), "")</f>
        <v/>
      </c>
      <c r="I214" s="1" t="str" cm="1">
        <f t="array" ref="I214">IFERROR(INDEX(PV_Totals_By_Item[#All], ROW()-1, COLUMN()), "")</f>
        <v/>
      </c>
      <c r="J214" s="1" t="str" cm="1">
        <f t="array" ref="J214">IFERROR(INDEX(PV_Totals_By_Item[#All], ROW()-1, COLUMN()), "")</f>
        <v/>
      </c>
    </row>
    <row r="215" spans="1:10">
      <c r="A215" s="1" t="str" cm="1">
        <f t="array" ref="A215">IFERROR(INDEX(PV_Totals_By_Item[#All], ROW()-1, COLUMN()), "")</f>
        <v/>
      </c>
      <c r="B215" s="1" t="str" cm="1">
        <f t="array" ref="B215">IFERROR(INDEX(PV_Totals_By_Item[#All], ROW()-1, COLUMN()), "")</f>
        <v/>
      </c>
      <c r="C215" s="1" t="str" cm="1">
        <f t="array" ref="C215">IFERROR(INDEX(PV_Totals_By_Item[#All], ROW()-1, COLUMN()), "")</f>
        <v/>
      </c>
      <c r="D215" s="1" t="str" cm="1">
        <f t="array" ref="D215">IFERROR(INDEX(PV_Totals_By_Item[#All], ROW()-1, COLUMN()), "")</f>
        <v/>
      </c>
      <c r="E215" s="1" t="str" cm="1">
        <f t="array" ref="E215">IFERROR(INDEX(PV_Totals_By_Item[#All], ROW()-1, COLUMN()), "")</f>
        <v/>
      </c>
      <c r="F215" s="1" t="str" cm="1">
        <f t="array" ref="F215">IFERROR(INDEX(PV_Totals_By_Item[#All], ROW()-1, COLUMN()), "")</f>
        <v/>
      </c>
      <c r="G215" s="1" t="str" cm="1">
        <f t="array" ref="G215">IFERROR(INDEX(PV_Totals_By_Item[#All], ROW()-1, COLUMN()), "")</f>
        <v/>
      </c>
      <c r="H215" s="1" t="str" cm="1">
        <f t="array" ref="H215">IFERROR(INDEX(PV_Totals_By_Item[#All], ROW()-1, COLUMN()), "")</f>
        <v/>
      </c>
      <c r="I215" s="1" t="str" cm="1">
        <f t="array" ref="I215">IFERROR(INDEX(PV_Totals_By_Item[#All], ROW()-1, COLUMN()), "")</f>
        <v/>
      </c>
      <c r="J215" s="1" t="str" cm="1">
        <f t="array" ref="J215">IFERROR(INDEX(PV_Totals_By_Item[#All], ROW()-1, COLUMN()), "")</f>
        <v/>
      </c>
    </row>
    <row r="216" spans="1:10">
      <c r="A216" s="1" t="str" cm="1">
        <f t="array" ref="A216">IFERROR(INDEX(PV_Totals_By_Item[#All], ROW()-1, COLUMN()), "")</f>
        <v/>
      </c>
      <c r="B216" s="1" t="str" cm="1">
        <f t="array" ref="B216">IFERROR(INDEX(PV_Totals_By_Item[#All], ROW()-1, COLUMN()), "")</f>
        <v/>
      </c>
      <c r="C216" s="1" t="str" cm="1">
        <f t="array" ref="C216">IFERROR(INDEX(PV_Totals_By_Item[#All], ROW()-1, COLUMN()), "")</f>
        <v/>
      </c>
      <c r="D216" s="1" t="str" cm="1">
        <f t="array" ref="D216">IFERROR(INDEX(PV_Totals_By_Item[#All], ROW()-1, COLUMN()), "")</f>
        <v/>
      </c>
      <c r="E216" s="1" t="str" cm="1">
        <f t="array" ref="E216">IFERROR(INDEX(PV_Totals_By_Item[#All], ROW()-1, COLUMN()), "")</f>
        <v/>
      </c>
      <c r="F216" s="1" t="str" cm="1">
        <f t="array" ref="F216">IFERROR(INDEX(PV_Totals_By_Item[#All], ROW()-1, COLUMN()), "")</f>
        <v/>
      </c>
      <c r="G216" s="1" t="str" cm="1">
        <f t="array" ref="G216">IFERROR(INDEX(PV_Totals_By_Item[#All], ROW()-1, COLUMN()), "")</f>
        <v/>
      </c>
      <c r="H216" s="1" t="str" cm="1">
        <f t="array" ref="H216">IFERROR(INDEX(PV_Totals_By_Item[#All], ROW()-1, COLUMN()), "")</f>
        <v/>
      </c>
      <c r="I216" s="1" t="str" cm="1">
        <f t="array" ref="I216">IFERROR(INDEX(PV_Totals_By_Item[#All], ROW()-1, COLUMN()), "")</f>
        <v/>
      </c>
      <c r="J216" s="1" t="str" cm="1">
        <f t="array" ref="J216">IFERROR(INDEX(PV_Totals_By_Item[#All], ROW()-1, COLUMN()), "")</f>
        <v/>
      </c>
    </row>
    <row r="217" spans="1:10">
      <c r="A217" s="1" t="str" cm="1">
        <f t="array" ref="A217">IFERROR(INDEX(PV_Totals_By_Item[#All], ROW()-1, COLUMN()), "")</f>
        <v/>
      </c>
      <c r="B217" s="1" t="str" cm="1">
        <f t="array" ref="B217">IFERROR(INDEX(PV_Totals_By_Item[#All], ROW()-1, COLUMN()), "")</f>
        <v/>
      </c>
      <c r="C217" s="1" t="str" cm="1">
        <f t="array" ref="C217">IFERROR(INDEX(PV_Totals_By_Item[#All], ROW()-1, COLUMN()), "")</f>
        <v/>
      </c>
      <c r="D217" s="1" t="str" cm="1">
        <f t="array" ref="D217">IFERROR(INDEX(PV_Totals_By_Item[#All], ROW()-1, COLUMN()), "")</f>
        <v/>
      </c>
      <c r="E217" s="1" t="str" cm="1">
        <f t="array" ref="E217">IFERROR(INDEX(PV_Totals_By_Item[#All], ROW()-1, COLUMN()), "")</f>
        <v/>
      </c>
      <c r="F217" s="1" t="str" cm="1">
        <f t="array" ref="F217">IFERROR(INDEX(PV_Totals_By_Item[#All], ROW()-1, COLUMN()), "")</f>
        <v/>
      </c>
      <c r="G217" s="1" t="str" cm="1">
        <f t="array" ref="G217">IFERROR(INDEX(PV_Totals_By_Item[#All], ROW()-1, COLUMN()), "")</f>
        <v/>
      </c>
      <c r="H217" s="1" t="str" cm="1">
        <f t="array" ref="H217">IFERROR(INDEX(PV_Totals_By_Item[#All], ROW()-1, COLUMN()), "")</f>
        <v/>
      </c>
      <c r="I217" s="1" t="str" cm="1">
        <f t="array" ref="I217">IFERROR(INDEX(PV_Totals_By_Item[#All], ROW()-1, COLUMN()), "")</f>
        <v/>
      </c>
      <c r="J217" s="1" t="str" cm="1">
        <f t="array" ref="J217">IFERROR(INDEX(PV_Totals_By_Item[#All], ROW()-1, COLUMN()), "")</f>
        <v/>
      </c>
    </row>
    <row r="218" spans="1:10">
      <c r="A218" s="1" t="str" cm="1">
        <f t="array" ref="A218">IFERROR(INDEX(PV_Totals_By_Item[#All], ROW()-1, COLUMN()), "")</f>
        <v/>
      </c>
      <c r="B218" s="1" t="str" cm="1">
        <f t="array" ref="B218">IFERROR(INDEX(PV_Totals_By_Item[#All], ROW()-1, COLUMN()), "")</f>
        <v/>
      </c>
      <c r="C218" s="1" t="str" cm="1">
        <f t="array" ref="C218">IFERROR(INDEX(PV_Totals_By_Item[#All], ROW()-1, COLUMN()), "")</f>
        <v/>
      </c>
      <c r="D218" s="1" t="str" cm="1">
        <f t="array" ref="D218">IFERROR(INDEX(PV_Totals_By_Item[#All], ROW()-1, COLUMN()), "")</f>
        <v/>
      </c>
      <c r="E218" s="1" t="str" cm="1">
        <f t="array" ref="E218">IFERROR(INDEX(PV_Totals_By_Item[#All], ROW()-1, COLUMN()), "")</f>
        <v/>
      </c>
      <c r="F218" s="1" t="str" cm="1">
        <f t="array" ref="F218">IFERROR(INDEX(PV_Totals_By_Item[#All], ROW()-1, COLUMN()), "")</f>
        <v/>
      </c>
      <c r="G218" s="1" t="str" cm="1">
        <f t="array" ref="G218">IFERROR(INDEX(PV_Totals_By_Item[#All], ROW()-1, COLUMN()), "")</f>
        <v/>
      </c>
      <c r="H218" s="1" t="str" cm="1">
        <f t="array" ref="H218">IFERROR(INDEX(PV_Totals_By_Item[#All], ROW()-1, COLUMN()), "")</f>
        <v/>
      </c>
      <c r="I218" s="1" t="str" cm="1">
        <f t="array" ref="I218">IFERROR(INDEX(PV_Totals_By_Item[#All], ROW()-1, COLUMN()), "")</f>
        <v/>
      </c>
      <c r="J218" s="1" t="str" cm="1">
        <f t="array" ref="J218">IFERROR(INDEX(PV_Totals_By_Item[#All], ROW()-1, COLUMN()), "")</f>
        <v/>
      </c>
    </row>
    <row r="219" spans="1:10">
      <c r="A219" s="1" t="str" cm="1">
        <f t="array" ref="A219">IFERROR(INDEX(PV_Totals_By_Item[#All], ROW()-1, COLUMN()), "")</f>
        <v/>
      </c>
      <c r="B219" s="1" t="str" cm="1">
        <f t="array" ref="B219">IFERROR(INDEX(PV_Totals_By_Item[#All], ROW()-1, COLUMN()), "")</f>
        <v/>
      </c>
      <c r="C219" s="1" t="str" cm="1">
        <f t="array" ref="C219">IFERROR(INDEX(PV_Totals_By_Item[#All], ROW()-1, COLUMN()), "")</f>
        <v/>
      </c>
      <c r="D219" s="1" t="str" cm="1">
        <f t="array" ref="D219">IFERROR(INDEX(PV_Totals_By_Item[#All], ROW()-1, COLUMN()), "")</f>
        <v/>
      </c>
      <c r="E219" s="1" t="str" cm="1">
        <f t="array" ref="E219">IFERROR(INDEX(PV_Totals_By_Item[#All], ROW()-1, COLUMN()), "")</f>
        <v/>
      </c>
      <c r="F219" s="1" t="str" cm="1">
        <f t="array" ref="F219">IFERROR(INDEX(PV_Totals_By_Item[#All], ROW()-1, COLUMN()), "")</f>
        <v/>
      </c>
      <c r="G219" s="1" t="str" cm="1">
        <f t="array" ref="G219">IFERROR(INDEX(PV_Totals_By_Item[#All], ROW()-1, COLUMN()), "")</f>
        <v/>
      </c>
      <c r="H219" s="1" t="str" cm="1">
        <f t="array" ref="H219">IFERROR(INDEX(PV_Totals_By_Item[#All], ROW()-1, COLUMN()), "")</f>
        <v/>
      </c>
      <c r="I219" s="1" t="str" cm="1">
        <f t="array" ref="I219">IFERROR(INDEX(PV_Totals_By_Item[#All], ROW()-1, COLUMN()), "")</f>
        <v/>
      </c>
      <c r="J219" s="1" t="str" cm="1">
        <f t="array" ref="J219">IFERROR(INDEX(PV_Totals_By_Item[#All], ROW()-1, COLUMN()), "")</f>
        <v/>
      </c>
    </row>
    <row r="220" spans="1:10">
      <c r="A220" s="1" t="str" cm="1">
        <f t="array" ref="A220">IFERROR(INDEX(PV_Totals_By_Item[#All], ROW()-1, COLUMN()), "")</f>
        <v/>
      </c>
      <c r="B220" s="1" t="str" cm="1">
        <f t="array" ref="B220">IFERROR(INDEX(PV_Totals_By_Item[#All], ROW()-1, COLUMN()), "")</f>
        <v/>
      </c>
      <c r="C220" s="1" t="str" cm="1">
        <f t="array" ref="C220">IFERROR(INDEX(PV_Totals_By_Item[#All], ROW()-1, COLUMN()), "")</f>
        <v/>
      </c>
      <c r="D220" s="1" t="str" cm="1">
        <f t="array" ref="D220">IFERROR(INDEX(PV_Totals_By_Item[#All], ROW()-1, COLUMN()), "")</f>
        <v/>
      </c>
      <c r="E220" s="1" t="str" cm="1">
        <f t="array" ref="E220">IFERROR(INDEX(PV_Totals_By_Item[#All], ROW()-1, COLUMN()), "")</f>
        <v/>
      </c>
      <c r="F220" s="1" t="str" cm="1">
        <f t="array" ref="F220">IFERROR(INDEX(PV_Totals_By_Item[#All], ROW()-1, COLUMN()), "")</f>
        <v/>
      </c>
      <c r="G220" s="1" t="str" cm="1">
        <f t="array" ref="G220">IFERROR(INDEX(PV_Totals_By_Item[#All], ROW()-1, COLUMN()), "")</f>
        <v/>
      </c>
      <c r="H220" s="1" t="str" cm="1">
        <f t="array" ref="H220">IFERROR(INDEX(PV_Totals_By_Item[#All], ROW()-1, COLUMN()), "")</f>
        <v/>
      </c>
      <c r="I220" s="1" t="str" cm="1">
        <f t="array" ref="I220">IFERROR(INDEX(PV_Totals_By_Item[#All], ROW()-1, COLUMN()), "")</f>
        <v/>
      </c>
      <c r="J220" s="1" t="str" cm="1">
        <f t="array" ref="J220">IFERROR(INDEX(PV_Totals_By_Item[#All], ROW()-1, COLUMN()), "")</f>
        <v/>
      </c>
    </row>
    <row r="221" spans="1:10">
      <c r="A221" s="1" t="str" cm="1">
        <f t="array" ref="A221">IFERROR(INDEX(PV_Totals_By_Item[#All], ROW()-1, COLUMN()), "")</f>
        <v/>
      </c>
      <c r="B221" s="1" t="str" cm="1">
        <f t="array" ref="B221">IFERROR(INDEX(PV_Totals_By_Item[#All], ROW()-1, COLUMN()), "")</f>
        <v/>
      </c>
      <c r="C221" s="1" t="str" cm="1">
        <f t="array" ref="C221">IFERROR(INDEX(PV_Totals_By_Item[#All], ROW()-1, COLUMN()), "")</f>
        <v/>
      </c>
      <c r="D221" s="1" t="str" cm="1">
        <f t="array" ref="D221">IFERROR(INDEX(PV_Totals_By_Item[#All], ROW()-1, COLUMN()), "")</f>
        <v/>
      </c>
      <c r="E221" s="1" t="str" cm="1">
        <f t="array" ref="E221">IFERROR(INDEX(PV_Totals_By_Item[#All], ROW()-1, COLUMN()), "")</f>
        <v/>
      </c>
      <c r="F221" s="1" t="str" cm="1">
        <f t="array" ref="F221">IFERROR(INDEX(PV_Totals_By_Item[#All], ROW()-1, COLUMN()), "")</f>
        <v/>
      </c>
      <c r="G221" s="1" t="str" cm="1">
        <f t="array" ref="G221">IFERROR(INDEX(PV_Totals_By_Item[#All], ROW()-1, COLUMN()), "")</f>
        <v/>
      </c>
      <c r="H221" s="1" t="str" cm="1">
        <f t="array" ref="H221">IFERROR(INDEX(PV_Totals_By_Item[#All], ROW()-1, COLUMN()), "")</f>
        <v/>
      </c>
      <c r="I221" s="1" t="str" cm="1">
        <f t="array" ref="I221">IFERROR(INDEX(PV_Totals_By_Item[#All], ROW()-1, COLUMN()), "")</f>
        <v/>
      </c>
      <c r="J221" s="1" t="str" cm="1">
        <f t="array" ref="J221">IFERROR(INDEX(PV_Totals_By_Item[#All], ROW()-1, COLUMN()), "")</f>
        <v/>
      </c>
    </row>
    <row r="222" spans="1:10">
      <c r="A222" s="1" t="str" cm="1">
        <f t="array" ref="A222">IFERROR(INDEX(PV_Totals_By_Item[#All], ROW()-1, COLUMN()), "")</f>
        <v/>
      </c>
      <c r="B222" s="1" t="str" cm="1">
        <f t="array" ref="B222">IFERROR(INDEX(PV_Totals_By_Item[#All], ROW()-1, COLUMN()), "")</f>
        <v/>
      </c>
      <c r="C222" s="1" t="str" cm="1">
        <f t="array" ref="C222">IFERROR(INDEX(PV_Totals_By_Item[#All], ROW()-1, COLUMN()), "")</f>
        <v/>
      </c>
      <c r="D222" s="1" t="str" cm="1">
        <f t="array" ref="D222">IFERROR(INDEX(PV_Totals_By_Item[#All], ROW()-1, COLUMN()), "")</f>
        <v/>
      </c>
      <c r="E222" s="1" t="str" cm="1">
        <f t="array" ref="E222">IFERROR(INDEX(PV_Totals_By_Item[#All], ROW()-1, COLUMN()), "")</f>
        <v/>
      </c>
      <c r="F222" s="1" t="str" cm="1">
        <f t="array" ref="F222">IFERROR(INDEX(PV_Totals_By_Item[#All], ROW()-1, COLUMN()), "")</f>
        <v/>
      </c>
      <c r="G222" s="1" t="str" cm="1">
        <f t="array" ref="G222">IFERROR(INDEX(PV_Totals_By_Item[#All], ROW()-1, COLUMN()), "")</f>
        <v/>
      </c>
      <c r="H222" s="1" t="str" cm="1">
        <f t="array" ref="H222">IFERROR(INDEX(PV_Totals_By_Item[#All], ROW()-1, COLUMN()), "")</f>
        <v/>
      </c>
      <c r="I222" s="1" t="str" cm="1">
        <f t="array" ref="I222">IFERROR(INDEX(PV_Totals_By_Item[#All], ROW()-1, COLUMN()), "")</f>
        <v/>
      </c>
      <c r="J222" s="1" t="str" cm="1">
        <f t="array" ref="J222">IFERROR(INDEX(PV_Totals_By_Item[#All], ROW()-1, COLUMN()), "")</f>
        <v/>
      </c>
    </row>
    <row r="223" spans="1:10">
      <c r="A223" s="1" t="str" cm="1">
        <f t="array" ref="A223">IFERROR(INDEX(PV_Totals_By_Item[#All], ROW()-1, COLUMN()), "")</f>
        <v/>
      </c>
      <c r="B223" s="1" t="str" cm="1">
        <f t="array" ref="B223">IFERROR(INDEX(PV_Totals_By_Item[#All], ROW()-1, COLUMN()), "")</f>
        <v/>
      </c>
      <c r="C223" s="1" t="str" cm="1">
        <f t="array" ref="C223">IFERROR(INDEX(PV_Totals_By_Item[#All], ROW()-1, COLUMN()), "")</f>
        <v/>
      </c>
      <c r="D223" s="1" t="str" cm="1">
        <f t="array" ref="D223">IFERROR(INDEX(PV_Totals_By_Item[#All], ROW()-1, COLUMN()), "")</f>
        <v/>
      </c>
      <c r="E223" s="1" t="str" cm="1">
        <f t="array" ref="E223">IFERROR(INDEX(PV_Totals_By_Item[#All], ROW()-1, COLUMN()), "")</f>
        <v/>
      </c>
      <c r="F223" s="1" t="str" cm="1">
        <f t="array" ref="F223">IFERROR(INDEX(PV_Totals_By_Item[#All], ROW()-1, COLUMN()), "")</f>
        <v/>
      </c>
      <c r="G223" s="1" t="str" cm="1">
        <f t="array" ref="G223">IFERROR(INDEX(PV_Totals_By_Item[#All], ROW()-1, COLUMN()), "")</f>
        <v/>
      </c>
      <c r="H223" s="1" t="str" cm="1">
        <f t="array" ref="H223">IFERROR(INDEX(PV_Totals_By_Item[#All], ROW()-1, COLUMN()), "")</f>
        <v/>
      </c>
      <c r="I223" s="1" t="str" cm="1">
        <f t="array" ref="I223">IFERROR(INDEX(PV_Totals_By_Item[#All], ROW()-1, COLUMN()), "")</f>
        <v/>
      </c>
      <c r="J223" s="1" t="str" cm="1">
        <f t="array" ref="J223">IFERROR(INDEX(PV_Totals_By_Item[#All], ROW()-1, COLUMN()), "")</f>
        <v/>
      </c>
    </row>
    <row r="224" spans="1:10">
      <c r="A224" s="1" t="str" cm="1">
        <f t="array" ref="A224">IFERROR(INDEX(PV_Totals_By_Item[#All], ROW()-1, COLUMN()), "")</f>
        <v/>
      </c>
      <c r="B224" s="1" t="str" cm="1">
        <f t="array" ref="B224">IFERROR(INDEX(PV_Totals_By_Item[#All], ROW()-1, COLUMN()), "")</f>
        <v/>
      </c>
      <c r="C224" s="1" t="str" cm="1">
        <f t="array" ref="C224">IFERROR(INDEX(PV_Totals_By_Item[#All], ROW()-1, COLUMN()), "")</f>
        <v/>
      </c>
      <c r="D224" s="1" t="str" cm="1">
        <f t="array" ref="D224">IFERROR(INDEX(PV_Totals_By_Item[#All], ROW()-1, COLUMN()), "")</f>
        <v/>
      </c>
      <c r="E224" s="1" t="str" cm="1">
        <f t="array" ref="E224">IFERROR(INDEX(PV_Totals_By_Item[#All], ROW()-1, COLUMN()), "")</f>
        <v/>
      </c>
      <c r="F224" s="1" t="str" cm="1">
        <f t="array" ref="F224">IFERROR(INDEX(PV_Totals_By_Item[#All], ROW()-1, COLUMN()), "")</f>
        <v/>
      </c>
      <c r="G224" s="1" t="str" cm="1">
        <f t="array" ref="G224">IFERROR(INDEX(PV_Totals_By_Item[#All], ROW()-1, COLUMN()), "")</f>
        <v/>
      </c>
      <c r="H224" s="1" t="str" cm="1">
        <f t="array" ref="H224">IFERROR(INDEX(PV_Totals_By_Item[#All], ROW()-1, COLUMN()), "")</f>
        <v/>
      </c>
      <c r="I224" s="1" t="str" cm="1">
        <f t="array" ref="I224">IFERROR(INDEX(PV_Totals_By_Item[#All], ROW()-1, COLUMN()), "")</f>
        <v/>
      </c>
      <c r="J224" s="1" t="str" cm="1">
        <f t="array" ref="J224">IFERROR(INDEX(PV_Totals_By_Item[#All], ROW()-1, COLUMN()), "")</f>
        <v/>
      </c>
    </row>
    <row r="225" spans="1:10">
      <c r="A225" s="1" t="str" cm="1">
        <f t="array" ref="A225">IFERROR(INDEX(PV_Totals_By_Item[#All], ROW()-1, COLUMN()), "")</f>
        <v/>
      </c>
      <c r="B225" s="1" t="str" cm="1">
        <f t="array" ref="B225">IFERROR(INDEX(PV_Totals_By_Item[#All], ROW()-1, COLUMN()), "")</f>
        <v/>
      </c>
      <c r="C225" s="1" t="str" cm="1">
        <f t="array" ref="C225">IFERROR(INDEX(PV_Totals_By_Item[#All], ROW()-1, COLUMN()), "")</f>
        <v/>
      </c>
      <c r="D225" s="1" t="str" cm="1">
        <f t="array" ref="D225">IFERROR(INDEX(PV_Totals_By_Item[#All], ROW()-1, COLUMN()), "")</f>
        <v/>
      </c>
      <c r="E225" s="1" t="str" cm="1">
        <f t="array" ref="E225">IFERROR(INDEX(PV_Totals_By_Item[#All], ROW()-1, COLUMN()), "")</f>
        <v/>
      </c>
      <c r="F225" s="1" t="str" cm="1">
        <f t="array" ref="F225">IFERROR(INDEX(PV_Totals_By_Item[#All], ROW()-1, COLUMN()), "")</f>
        <v/>
      </c>
      <c r="G225" s="1" t="str" cm="1">
        <f t="array" ref="G225">IFERROR(INDEX(PV_Totals_By_Item[#All], ROW()-1, COLUMN()), "")</f>
        <v/>
      </c>
      <c r="H225" s="1" t="str" cm="1">
        <f t="array" ref="H225">IFERROR(INDEX(PV_Totals_By_Item[#All], ROW()-1, COLUMN()), "")</f>
        <v/>
      </c>
      <c r="I225" s="1" t="str" cm="1">
        <f t="array" ref="I225">IFERROR(INDEX(PV_Totals_By_Item[#All], ROW()-1, COLUMN()), "")</f>
        <v/>
      </c>
      <c r="J225" s="1" t="str" cm="1">
        <f t="array" ref="J225">IFERROR(INDEX(PV_Totals_By_Item[#All], ROW()-1, COLUMN()), "")</f>
        <v/>
      </c>
    </row>
    <row r="226" spans="1:10">
      <c r="A226" s="1" t="str" cm="1">
        <f t="array" ref="A226">IFERROR(INDEX(PV_Totals_By_Item[#All], ROW()-1, COLUMN()), "")</f>
        <v/>
      </c>
      <c r="B226" s="1" t="str" cm="1">
        <f t="array" ref="B226">IFERROR(INDEX(PV_Totals_By_Item[#All], ROW()-1, COLUMN()), "")</f>
        <v/>
      </c>
      <c r="C226" s="1" t="str" cm="1">
        <f t="array" ref="C226">IFERROR(INDEX(PV_Totals_By_Item[#All], ROW()-1, COLUMN()), "")</f>
        <v/>
      </c>
      <c r="D226" s="1" t="str" cm="1">
        <f t="array" ref="D226">IFERROR(INDEX(PV_Totals_By_Item[#All], ROW()-1, COLUMN()), "")</f>
        <v/>
      </c>
      <c r="E226" s="1" t="str" cm="1">
        <f t="array" ref="E226">IFERROR(INDEX(PV_Totals_By_Item[#All], ROW()-1, COLUMN()), "")</f>
        <v/>
      </c>
      <c r="F226" s="1" t="str" cm="1">
        <f t="array" ref="F226">IFERROR(INDEX(PV_Totals_By_Item[#All], ROW()-1, COLUMN()), "")</f>
        <v/>
      </c>
      <c r="G226" s="1" t="str" cm="1">
        <f t="array" ref="G226">IFERROR(INDEX(PV_Totals_By_Item[#All], ROW()-1, COLUMN()), "")</f>
        <v/>
      </c>
      <c r="H226" s="1" t="str" cm="1">
        <f t="array" ref="H226">IFERROR(INDEX(PV_Totals_By_Item[#All], ROW()-1, COLUMN()), "")</f>
        <v/>
      </c>
      <c r="I226" s="1" t="str" cm="1">
        <f t="array" ref="I226">IFERROR(INDEX(PV_Totals_By_Item[#All], ROW()-1, COLUMN()), "")</f>
        <v/>
      </c>
      <c r="J226" s="1" t="str" cm="1">
        <f t="array" ref="J226">IFERROR(INDEX(PV_Totals_By_Item[#All], ROW()-1, COLUMN()), "")</f>
        <v/>
      </c>
    </row>
    <row r="227" spans="1:10">
      <c r="A227" s="1" t="str" cm="1">
        <f t="array" ref="A227">IFERROR(INDEX(PV_Totals_By_Item[#All], ROW()-1, COLUMN()), "")</f>
        <v/>
      </c>
      <c r="B227" s="1" t="str" cm="1">
        <f t="array" ref="B227">IFERROR(INDEX(PV_Totals_By_Item[#All], ROW()-1, COLUMN()), "")</f>
        <v/>
      </c>
      <c r="C227" s="1" t="str" cm="1">
        <f t="array" ref="C227">IFERROR(INDEX(PV_Totals_By_Item[#All], ROW()-1, COLUMN()), "")</f>
        <v/>
      </c>
      <c r="D227" s="1" t="str" cm="1">
        <f t="array" ref="D227">IFERROR(INDEX(PV_Totals_By_Item[#All], ROW()-1, COLUMN()), "")</f>
        <v/>
      </c>
      <c r="E227" s="1" t="str" cm="1">
        <f t="array" ref="E227">IFERROR(INDEX(PV_Totals_By_Item[#All], ROW()-1, COLUMN()), "")</f>
        <v/>
      </c>
      <c r="F227" s="1" t="str" cm="1">
        <f t="array" ref="F227">IFERROR(INDEX(PV_Totals_By_Item[#All], ROW()-1, COLUMN()), "")</f>
        <v/>
      </c>
      <c r="G227" s="1" t="str" cm="1">
        <f t="array" ref="G227">IFERROR(INDEX(PV_Totals_By_Item[#All], ROW()-1, COLUMN()), "")</f>
        <v/>
      </c>
      <c r="H227" s="1" t="str" cm="1">
        <f t="array" ref="H227">IFERROR(INDEX(PV_Totals_By_Item[#All], ROW()-1, COLUMN()), "")</f>
        <v/>
      </c>
      <c r="I227" s="1" t="str" cm="1">
        <f t="array" ref="I227">IFERROR(INDEX(PV_Totals_By_Item[#All], ROW()-1, COLUMN()), "")</f>
        <v/>
      </c>
      <c r="J227" s="1" t="str" cm="1">
        <f t="array" ref="J227">IFERROR(INDEX(PV_Totals_By_Item[#All], ROW()-1, COLUMN()), "")</f>
        <v/>
      </c>
    </row>
    <row r="228" spans="1:10">
      <c r="A228" s="1" t="str" cm="1">
        <f t="array" ref="A228">IFERROR(INDEX(PV_Totals_By_Item[#All], ROW()-1, COLUMN()), "")</f>
        <v/>
      </c>
      <c r="B228" s="1" t="str" cm="1">
        <f t="array" ref="B228">IFERROR(INDEX(PV_Totals_By_Item[#All], ROW()-1, COLUMN()), "")</f>
        <v/>
      </c>
      <c r="C228" s="1" t="str" cm="1">
        <f t="array" ref="C228">IFERROR(INDEX(PV_Totals_By_Item[#All], ROW()-1, COLUMN()), "")</f>
        <v/>
      </c>
      <c r="D228" s="1" t="str" cm="1">
        <f t="array" ref="D228">IFERROR(INDEX(PV_Totals_By_Item[#All], ROW()-1, COLUMN()), "")</f>
        <v/>
      </c>
      <c r="E228" s="1" t="str" cm="1">
        <f t="array" ref="E228">IFERROR(INDEX(PV_Totals_By_Item[#All], ROW()-1, COLUMN()), "")</f>
        <v/>
      </c>
      <c r="F228" s="1" t="str" cm="1">
        <f t="array" ref="F228">IFERROR(INDEX(PV_Totals_By_Item[#All], ROW()-1, COLUMN()), "")</f>
        <v/>
      </c>
      <c r="G228" s="1" t="str" cm="1">
        <f t="array" ref="G228">IFERROR(INDEX(PV_Totals_By_Item[#All], ROW()-1, COLUMN()), "")</f>
        <v/>
      </c>
      <c r="H228" s="1" t="str" cm="1">
        <f t="array" ref="H228">IFERROR(INDEX(PV_Totals_By_Item[#All], ROW()-1, COLUMN()), "")</f>
        <v/>
      </c>
      <c r="I228" s="1" t="str" cm="1">
        <f t="array" ref="I228">IFERROR(INDEX(PV_Totals_By_Item[#All], ROW()-1, COLUMN()), "")</f>
        <v/>
      </c>
      <c r="J228" s="1" t="str" cm="1">
        <f t="array" ref="J228">IFERROR(INDEX(PV_Totals_By_Item[#All], ROW()-1, COLUMN()), "")</f>
        <v/>
      </c>
    </row>
    <row r="229" spans="1:10">
      <c r="A229" s="1" t="str" cm="1">
        <f t="array" ref="A229">IFERROR(INDEX(PV_Totals_By_Item[#All], ROW()-1, COLUMN()), "")</f>
        <v/>
      </c>
      <c r="B229" s="1" t="str" cm="1">
        <f t="array" ref="B229">IFERROR(INDEX(PV_Totals_By_Item[#All], ROW()-1, COLUMN()), "")</f>
        <v/>
      </c>
      <c r="C229" s="1" t="str" cm="1">
        <f t="array" ref="C229">IFERROR(INDEX(PV_Totals_By_Item[#All], ROW()-1, COLUMN()), "")</f>
        <v/>
      </c>
      <c r="D229" s="1" t="str" cm="1">
        <f t="array" ref="D229">IFERROR(INDEX(PV_Totals_By_Item[#All], ROW()-1, COLUMN()), "")</f>
        <v/>
      </c>
      <c r="E229" s="1" t="str" cm="1">
        <f t="array" ref="E229">IFERROR(INDEX(PV_Totals_By_Item[#All], ROW()-1, COLUMN()), "")</f>
        <v/>
      </c>
      <c r="F229" s="1" t="str" cm="1">
        <f t="array" ref="F229">IFERROR(INDEX(PV_Totals_By_Item[#All], ROW()-1, COLUMN()), "")</f>
        <v/>
      </c>
      <c r="G229" s="1" t="str" cm="1">
        <f t="array" ref="G229">IFERROR(INDEX(PV_Totals_By_Item[#All], ROW()-1, COLUMN()), "")</f>
        <v/>
      </c>
      <c r="H229" s="1" t="str" cm="1">
        <f t="array" ref="H229">IFERROR(INDEX(PV_Totals_By_Item[#All], ROW()-1, COLUMN()), "")</f>
        <v/>
      </c>
      <c r="I229" s="1" t="str" cm="1">
        <f t="array" ref="I229">IFERROR(INDEX(PV_Totals_By_Item[#All], ROW()-1, COLUMN()), "")</f>
        <v/>
      </c>
      <c r="J229" s="1" t="str" cm="1">
        <f t="array" ref="J229">IFERROR(INDEX(PV_Totals_By_Item[#All], ROW()-1, COLUMN()), "")</f>
        <v/>
      </c>
    </row>
    <row r="230" spans="1:10">
      <c r="A230" s="1" t="str" cm="1">
        <f t="array" ref="A230">IFERROR(INDEX(PV_Totals_By_Item[#All], ROW()-1, COLUMN()), "")</f>
        <v/>
      </c>
      <c r="B230" s="1" t="str" cm="1">
        <f t="array" ref="B230">IFERROR(INDEX(PV_Totals_By_Item[#All], ROW()-1, COLUMN()), "")</f>
        <v/>
      </c>
      <c r="C230" s="1" t="str" cm="1">
        <f t="array" ref="C230">IFERROR(INDEX(PV_Totals_By_Item[#All], ROW()-1, COLUMN()), "")</f>
        <v/>
      </c>
      <c r="D230" s="1" t="str" cm="1">
        <f t="array" ref="D230">IFERROR(INDEX(PV_Totals_By_Item[#All], ROW()-1, COLUMN()), "")</f>
        <v/>
      </c>
      <c r="E230" s="1" t="str" cm="1">
        <f t="array" ref="E230">IFERROR(INDEX(PV_Totals_By_Item[#All], ROW()-1, COLUMN()), "")</f>
        <v/>
      </c>
      <c r="F230" s="1" t="str" cm="1">
        <f t="array" ref="F230">IFERROR(INDEX(PV_Totals_By_Item[#All], ROW()-1, COLUMN()), "")</f>
        <v/>
      </c>
      <c r="G230" s="1" t="str" cm="1">
        <f t="array" ref="G230">IFERROR(INDEX(PV_Totals_By_Item[#All], ROW()-1, COLUMN()), "")</f>
        <v/>
      </c>
      <c r="H230" s="1" t="str" cm="1">
        <f t="array" ref="H230">IFERROR(INDEX(PV_Totals_By_Item[#All], ROW()-1, COLUMN()), "")</f>
        <v/>
      </c>
      <c r="I230" s="1" t="str" cm="1">
        <f t="array" ref="I230">IFERROR(INDEX(PV_Totals_By_Item[#All], ROW()-1, COLUMN()), "")</f>
        <v/>
      </c>
      <c r="J230" s="1" t="str" cm="1">
        <f t="array" ref="J230">IFERROR(INDEX(PV_Totals_By_Item[#All], ROW()-1, COLUMN()), "")</f>
        <v/>
      </c>
    </row>
    <row r="231" spans="1:10">
      <c r="A231" s="1" t="str" cm="1">
        <f t="array" ref="A231">IFERROR(INDEX(PV_Totals_By_Item[#All], ROW()-1, COLUMN()), "")</f>
        <v/>
      </c>
      <c r="B231" s="1" t="str" cm="1">
        <f t="array" ref="B231">IFERROR(INDEX(PV_Totals_By_Item[#All], ROW()-1, COLUMN()), "")</f>
        <v/>
      </c>
      <c r="C231" s="1" t="str" cm="1">
        <f t="array" ref="C231">IFERROR(INDEX(PV_Totals_By_Item[#All], ROW()-1, COLUMN()), "")</f>
        <v/>
      </c>
      <c r="D231" s="1" t="str" cm="1">
        <f t="array" ref="D231">IFERROR(INDEX(PV_Totals_By_Item[#All], ROW()-1, COLUMN()), "")</f>
        <v/>
      </c>
      <c r="E231" s="1" t="str" cm="1">
        <f t="array" ref="E231">IFERROR(INDEX(PV_Totals_By_Item[#All], ROW()-1, COLUMN()), "")</f>
        <v/>
      </c>
      <c r="F231" s="1" t="str" cm="1">
        <f t="array" ref="F231">IFERROR(INDEX(PV_Totals_By_Item[#All], ROW()-1, COLUMN()), "")</f>
        <v/>
      </c>
      <c r="G231" s="1" t="str" cm="1">
        <f t="array" ref="G231">IFERROR(INDEX(PV_Totals_By_Item[#All], ROW()-1, COLUMN()), "")</f>
        <v/>
      </c>
      <c r="H231" s="1" t="str" cm="1">
        <f t="array" ref="H231">IFERROR(INDEX(PV_Totals_By_Item[#All], ROW()-1, COLUMN()), "")</f>
        <v/>
      </c>
      <c r="I231" s="1" t="str" cm="1">
        <f t="array" ref="I231">IFERROR(INDEX(PV_Totals_By_Item[#All], ROW()-1, COLUMN()), "")</f>
        <v/>
      </c>
      <c r="J231" s="1" t="str" cm="1">
        <f t="array" ref="J231">IFERROR(INDEX(PV_Totals_By_Item[#All], ROW()-1, COLUMN()), "")</f>
        <v/>
      </c>
    </row>
    <row r="232" spans="1:10">
      <c r="A232" s="1" t="str" cm="1">
        <f t="array" ref="A232">IFERROR(INDEX(PV_Totals_By_Item[#All], ROW()-1, COLUMN()), "")</f>
        <v/>
      </c>
      <c r="B232" s="1" t="str" cm="1">
        <f t="array" ref="B232">IFERROR(INDEX(PV_Totals_By_Item[#All], ROW()-1, COLUMN()), "")</f>
        <v/>
      </c>
      <c r="C232" s="1" t="str" cm="1">
        <f t="array" ref="C232">IFERROR(INDEX(PV_Totals_By_Item[#All], ROW()-1, COLUMN()), "")</f>
        <v/>
      </c>
      <c r="D232" s="1" t="str" cm="1">
        <f t="array" ref="D232">IFERROR(INDEX(PV_Totals_By_Item[#All], ROW()-1, COLUMN()), "")</f>
        <v/>
      </c>
      <c r="E232" s="1" t="str" cm="1">
        <f t="array" ref="E232">IFERROR(INDEX(PV_Totals_By_Item[#All], ROW()-1, COLUMN()), "")</f>
        <v/>
      </c>
      <c r="F232" s="1" t="str" cm="1">
        <f t="array" ref="F232">IFERROR(INDEX(PV_Totals_By_Item[#All], ROW()-1, COLUMN()), "")</f>
        <v/>
      </c>
      <c r="G232" s="1" t="str" cm="1">
        <f t="array" ref="G232">IFERROR(INDEX(PV_Totals_By_Item[#All], ROW()-1, COLUMN()), "")</f>
        <v/>
      </c>
      <c r="H232" s="1" t="str" cm="1">
        <f t="array" ref="H232">IFERROR(INDEX(PV_Totals_By_Item[#All], ROW()-1, COLUMN()), "")</f>
        <v/>
      </c>
      <c r="I232" s="1" t="str" cm="1">
        <f t="array" ref="I232">IFERROR(INDEX(PV_Totals_By_Item[#All], ROW()-1, COLUMN()), "")</f>
        <v/>
      </c>
      <c r="J232" s="1" t="str" cm="1">
        <f t="array" ref="J232">IFERROR(INDEX(PV_Totals_By_Item[#All], ROW()-1, COLUMN()), "")</f>
        <v/>
      </c>
    </row>
    <row r="233" spans="1:10">
      <c r="A233" s="1" t="str" cm="1">
        <f t="array" ref="A233">IFERROR(INDEX(PV_Totals_By_Item[#All], ROW()-1, COLUMN()), "")</f>
        <v/>
      </c>
      <c r="B233" s="1" t="str" cm="1">
        <f t="array" ref="B233">IFERROR(INDEX(PV_Totals_By_Item[#All], ROW()-1, COLUMN()), "")</f>
        <v/>
      </c>
      <c r="C233" s="1" t="str" cm="1">
        <f t="array" ref="C233">IFERROR(INDEX(PV_Totals_By_Item[#All], ROW()-1, COLUMN()), "")</f>
        <v/>
      </c>
      <c r="D233" s="1" t="str" cm="1">
        <f t="array" ref="D233">IFERROR(INDEX(PV_Totals_By_Item[#All], ROW()-1, COLUMN()), "")</f>
        <v/>
      </c>
      <c r="E233" s="1" t="str" cm="1">
        <f t="array" ref="E233">IFERROR(INDEX(PV_Totals_By_Item[#All], ROW()-1, COLUMN()), "")</f>
        <v/>
      </c>
      <c r="F233" s="1" t="str" cm="1">
        <f t="array" ref="F233">IFERROR(INDEX(PV_Totals_By_Item[#All], ROW()-1, COLUMN()), "")</f>
        <v/>
      </c>
      <c r="G233" s="1" t="str" cm="1">
        <f t="array" ref="G233">IFERROR(INDEX(PV_Totals_By_Item[#All], ROW()-1, COLUMN()), "")</f>
        <v/>
      </c>
      <c r="H233" s="1" t="str" cm="1">
        <f t="array" ref="H233">IFERROR(INDEX(PV_Totals_By_Item[#All], ROW()-1, COLUMN()), "")</f>
        <v/>
      </c>
      <c r="I233" s="1" t="str" cm="1">
        <f t="array" ref="I233">IFERROR(INDEX(PV_Totals_By_Item[#All], ROW()-1, COLUMN()), "")</f>
        <v/>
      </c>
      <c r="J233" s="1" t="str" cm="1">
        <f t="array" ref="J233">IFERROR(INDEX(PV_Totals_By_Item[#All], ROW()-1, COLUMN()), "")</f>
        <v/>
      </c>
    </row>
    <row r="234" spans="1:10">
      <c r="A234" s="1" t="str" cm="1">
        <f t="array" ref="A234">IFERROR(INDEX(PV_Totals_By_Item[#All], ROW()-1, COLUMN()), "")</f>
        <v/>
      </c>
      <c r="B234" s="1" t="str" cm="1">
        <f t="array" ref="B234">IFERROR(INDEX(PV_Totals_By_Item[#All], ROW()-1, COLUMN()), "")</f>
        <v/>
      </c>
      <c r="C234" s="1" t="str" cm="1">
        <f t="array" ref="C234">IFERROR(INDEX(PV_Totals_By_Item[#All], ROW()-1, COLUMN()), "")</f>
        <v/>
      </c>
      <c r="D234" s="1" t="str" cm="1">
        <f t="array" ref="D234">IFERROR(INDEX(PV_Totals_By_Item[#All], ROW()-1, COLUMN()), "")</f>
        <v/>
      </c>
      <c r="E234" s="1" t="str" cm="1">
        <f t="array" ref="E234">IFERROR(INDEX(PV_Totals_By_Item[#All], ROW()-1, COLUMN()), "")</f>
        <v/>
      </c>
      <c r="F234" s="1" t="str" cm="1">
        <f t="array" ref="F234">IFERROR(INDEX(PV_Totals_By_Item[#All], ROW()-1, COLUMN()), "")</f>
        <v/>
      </c>
      <c r="G234" s="1" t="str" cm="1">
        <f t="array" ref="G234">IFERROR(INDEX(PV_Totals_By_Item[#All], ROW()-1, COLUMN()), "")</f>
        <v/>
      </c>
      <c r="H234" s="1" t="str" cm="1">
        <f t="array" ref="H234">IFERROR(INDEX(PV_Totals_By_Item[#All], ROW()-1, COLUMN()), "")</f>
        <v/>
      </c>
      <c r="I234" s="1" t="str" cm="1">
        <f t="array" ref="I234">IFERROR(INDEX(PV_Totals_By_Item[#All], ROW()-1, COLUMN()), "")</f>
        <v/>
      </c>
      <c r="J234" s="1" t="str" cm="1">
        <f t="array" ref="J234">IFERROR(INDEX(PV_Totals_By_Item[#All], ROW()-1, COLUMN()), "")</f>
        <v/>
      </c>
    </row>
    <row r="235" spans="1:10">
      <c r="A235" s="1" t="str" cm="1">
        <f t="array" ref="A235">IFERROR(INDEX(PV_Totals_By_Item[#All], ROW()-1, COLUMN()), "")</f>
        <v/>
      </c>
      <c r="B235" s="1" t="str" cm="1">
        <f t="array" ref="B235">IFERROR(INDEX(PV_Totals_By_Item[#All], ROW()-1, COLUMN()), "")</f>
        <v/>
      </c>
      <c r="C235" s="1" t="str" cm="1">
        <f t="array" ref="C235">IFERROR(INDEX(PV_Totals_By_Item[#All], ROW()-1, COLUMN()), "")</f>
        <v/>
      </c>
      <c r="D235" s="1" t="str" cm="1">
        <f t="array" ref="D235">IFERROR(INDEX(PV_Totals_By_Item[#All], ROW()-1, COLUMN()), "")</f>
        <v/>
      </c>
      <c r="E235" s="1" t="str" cm="1">
        <f t="array" ref="E235">IFERROR(INDEX(PV_Totals_By_Item[#All], ROW()-1, COLUMN()), "")</f>
        <v/>
      </c>
      <c r="F235" s="1" t="str" cm="1">
        <f t="array" ref="F235">IFERROR(INDEX(PV_Totals_By_Item[#All], ROW()-1, COLUMN()), "")</f>
        <v/>
      </c>
      <c r="G235" s="1" t="str" cm="1">
        <f t="array" ref="G235">IFERROR(INDEX(PV_Totals_By_Item[#All], ROW()-1, COLUMN()), "")</f>
        <v/>
      </c>
      <c r="H235" s="1" t="str" cm="1">
        <f t="array" ref="H235">IFERROR(INDEX(PV_Totals_By_Item[#All], ROW()-1, COLUMN()), "")</f>
        <v/>
      </c>
      <c r="I235" s="1" t="str" cm="1">
        <f t="array" ref="I235">IFERROR(INDEX(PV_Totals_By_Item[#All], ROW()-1, COLUMN()), "")</f>
        <v/>
      </c>
      <c r="J235" s="1" t="str" cm="1">
        <f t="array" ref="J235">IFERROR(INDEX(PV_Totals_By_Item[#All], ROW()-1, COLUMN()), "")</f>
        <v/>
      </c>
    </row>
    <row r="236" spans="1:10">
      <c r="A236" s="1" t="str" cm="1">
        <f t="array" ref="A236">IFERROR(INDEX(PV_Totals_By_Item[#All], ROW()-1, COLUMN()), "")</f>
        <v/>
      </c>
      <c r="B236" s="1" t="str" cm="1">
        <f t="array" ref="B236">IFERROR(INDEX(PV_Totals_By_Item[#All], ROW()-1, COLUMN()), "")</f>
        <v/>
      </c>
      <c r="C236" s="1" t="str" cm="1">
        <f t="array" ref="C236">IFERROR(INDEX(PV_Totals_By_Item[#All], ROW()-1, COLUMN()), "")</f>
        <v/>
      </c>
      <c r="D236" s="1" t="str" cm="1">
        <f t="array" ref="D236">IFERROR(INDEX(PV_Totals_By_Item[#All], ROW()-1, COLUMN()), "")</f>
        <v/>
      </c>
      <c r="E236" s="1" t="str" cm="1">
        <f t="array" ref="E236">IFERROR(INDEX(PV_Totals_By_Item[#All], ROW()-1, COLUMN()), "")</f>
        <v/>
      </c>
      <c r="F236" s="1" t="str" cm="1">
        <f t="array" ref="F236">IFERROR(INDEX(PV_Totals_By_Item[#All], ROW()-1, COLUMN()), "")</f>
        <v/>
      </c>
      <c r="G236" s="1" t="str" cm="1">
        <f t="array" ref="G236">IFERROR(INDEX(PV_Totals_By_Item[#All], ROW()-1, COLUMN()), "")</f>
        <v/>
      </c>
      <c r="H236" s="1" t="str" cm="1">
        <f t="array" ref="H236">IFERROR(INDEX(PV_Totals_By_Item[#All], ROW()-1, COLUMN()), "")</f>
        <v/>
      </c>
      <c r="I236" s="1" t="str" cm="1">
        <f t="array" ref="I236">IFERROR(INDEX(PV_Totals_By_Item[#All], ROW()-1, COLUMN()), "")</f>
        <v/>
      </c>
      <c r="J236" s="1" t="str" cm="1">
        <f t="array" ref="J236">IFERROR(INDEX(PV_Totals_By_Item[#All], ROW()-1, COLUMN()), "")</f>
        <v/>
      </c>
    </row>
    <row r="237" spans="1:10">
      <c r="A237" s="1" t="str" cm="1">
        <f t="array" ref="A237">IFERROR(INDEX(PV_Totals_By_Item[#All], ROW()-1, COLUMN()), "")</f>
        <v/>
      </c>
      <c r="B237" s="1" t="str" cm="1">
        <f t="array" ref="B237">IFERROR(INDEX(PV_Totals_By_Item[#All], ROW()-1, COLUMN()), "")</f>
        <v/>
      </c>
      <c r="C237" s="1" t="str" cm="1">
        <f t="array" ref="C237">IFERROR(INDEX(PV_Totals_By_Item[#All], ROW()-1, COLUMN()), "")</f>
        <v/>
      </c>
      <c r="D237" s="1" t="str" cm="1">
        <f t="array" ref="D237">IFERROR(INDEX(PV_Totals_By_Item[#All], ROW()-1, COLUMN()), "")</f>
        <v/>
      </c>
      <c r="E237" s="1" t="str" cm="1">
        <f t="array" ref="E237">IFERROR(INDEX(PV_Totals_By_Item[#All], ROW()-1, COLUMN()), "")</f>
        <v/>
      </c>
      <c r="F237" s="1" t="str" cm="1">
        <f t="array" ref="F237">IFERROR(INDEX(PV_Totals_By_Item[#All], ROW()-1, COLUMN()), "")</f>
        <v/>
      </c>
      <c r="G237" s="1" t="str" cm="1">
        <f t="array" ref="G237">IFERROR(INDEX(PV_Totals_By_Item[#All], ROW()-1, COLUMN()), "")</f>
        <v/>
      </c>
      <c r="H237" s="1" t="str" cm="1">
        <f t="array" ref="H237">IFERROR(INDEX(PV_Totals_By_Item[#All], ROW()-1, COLUMN()), "")</f>
        <v/>
      </c>
      <c r="I237" s="1" t="str" cm="1">
        <f t="array" ref="I237">IFERROR(INDEX(PV_Totals_By_Item[#All], ROW()-1, COLUMN()), "")</f>
        <v/>
      </c>
      <c r="J237" s="1" t="str" cm="1">
        <f t="array" ref="J237">IFERROR(INDEX(PV_Totals_By_Item[#All], ROW()-1, COLUMN()), "")</f>
        <v/>
      </c>
    </row>
    <row r="238" spans="1:10">
      <c r="A238" s="1" t="str" cm="1">
        <f t="array" ref="A238">IFERROR(INDEX(PV_Totals_By_Item[#All], ROW()-1, COLUMN()), "")</f>
        <v/>
      </c>
      <c r="B238" s="1" t="str" cm="1">
        <f t="array" ref="B238">IFERROR(INDEX(PV_Totals_By_Item[#All], ROW()-1, COLUMN()), "")</f>
        <v/>
      </c>
      <c r="C238" s="1" t="str" cm="1">
        <f t="array" ref="C238">IFERROR(INDEX(PV_Totals_By_Item[#All], ROW()-1, COLUMN()), "")</f>
        <v/>
      </c>
      <c r="D238" s="1" t="str" cm="1">
        <f t="array" ref="D238">IFERROR(INDEX(PV_Totals_By_Item[#All], ROW()-1, COLUMN()), "")</f>
        <v/>
      </c>
      <c r="E238" s="1" t="str" cm="1">
        <f t="array" ref="E238">IFERROR(INDEX(PV_Totals_By_Item[#All], ROW()-1, COLUMN()), "")</f>
        <v/>
      </c>
      <c r="F238" s="1" t="str" cm="1">
        <f t="array" ref="F238">IFERROR(INDEX(PV_Totals_By_Item[#All], ROW()-1, COLUMN()), "")</f>
        <v/>
      </c>
      <c r="G238" s="1" t="str" cm="1">
        <f t="array" ref="G238">IFERROR(INDEX(PV_Totals_By_Item[#All], ROW()-1, COLUMN()), "")</f>
        <v/>
      </c>
      <c r="H238" s="1" t="str" cm="1">
        <f t="array" ref="H238">IFERROR(INDEX(PV_Totals_By_Item[#All], ROW()-1, COLUMN()), "")</f>
        <v/>
      </c>
      <c r="I238" s="1" t="str" cm="1">
        <f t="array" ref="I238">IFERROR(INDEX(PV_Totals_By_Item[#All], ROW()-1, COLUMN()), "")</f>
        <v/>
      </c>
      <c r="J238" s="1" t="str" cm="1">
        <f t="array" ref="J238">IFERROR(INDEX(PV_Totals_By_Item[#All], ROW()-1, COLUMN()), "")</f>
        <v/>
      </c>
    </row>
    <row r="239" spans="1:10">
      <c r="A239" s="1" t="str" cm="1">
        <f t="array" ref="A239">IFERROR(INDEX(PV_Totals_By_Item[#All], ROW()-1, COLUMN()), "")</f>
        <v/>
      </c>
      <c r="B239" s="1" t="str" cm="1">
        <f t="array" ref="B239">IFERROR(INDEX(PV_Totals_By_Item[#All], ROW()-1, COLUMN()), "")</f>
        <v/>
      </c>
      <c r="C239" s="1" t="str" cm="1">
        <f t="array" ref="C239">IFERROR(INDEX(PV_Totals_By_Item[#All], ROW()-1, COLUMN()), "")</f>
        <v/>
      </c>
      <c r="D239" s="1" t="str" cm="1">
        <f t="array" ref="D239">IFERROR(INDEX(PV_Totals_By_Item[#All], ROW()-1, COLUMN()), "")</f>
        <v/>
      </c>
      <c r="E239" s="1" t="str" cm="1">
        <f t="array" ref="E239">IFERROR(INDEX(PV_Totals_By_Item[#All], ROW()-1, COLUMN()), "")</f>
        <v/>
      </c>
      <c r="F239" s="1" t="str" cm="1">
        <f t="array" ref="F239">IFERROR(INDEX(PV_Totals_By_Item[#All], ROW()-1, COLUMN()), "")</f>
        <v/>
      </c>
      <c r="G239" s="1" t="str" cm="1">
        <f t="array" ref="G239">IFERROR(INDEX(PV_Totals_By_Item[#All], ROW()-1, COLUMN()), "")</f>
        <v/>
      </c>
      <c r="H239" s="1" t="str" cm="1">
        <f t="array" ref="H239">IFERROR(INDEX(PV_Totals_By_Item[#All], ROW()-1, COLUMN()), "")</f>
        <v/>
      </c>
      <c r="I239" s="1" t="str" cm="1">
        <f t="array" ref="I239">IFERROR(INDEX(PV_Totals_By_Item[#All], ROW()-1, COLUMN()), "")</f>
        <v/>
      </c>
      <c r="J239" s="1" t="str" cm="1">
        <f t="array" ref="J239">IFERROR(INDEX(PV_Totals_By_Item[#All], ROW()-1, COLUMN()), "")</f>
        <v/>
      </c>
    </row>
    <row r="240" spans="1:10">
      <c r="A240" s="1" t="str" cm="1">
        <f t="array" ref="A240">IFERROR(INDEX(PV_Totals_By_Item[#All], ROW()-1, COLUMN()), "")</f>
        <v/>
      </c>
      <c r="B240" s="1" t="str" cm="1">
        <f t="array" ref="B240">IFERROR(INDEX(PV_Totals_By_Item[#All], ROW()-1, COLUMN()), "")</f>
        <v/>
      </c>
      <c r="C240" s="1" t="str" cm="1">
        <f t="array" ref="C240">IFERROR(INDEX(PV_Totals_By_Item[#All], ROW()-1, COLUMN()), "")</f>
        <v/>
      </c>
      <c r="D240" s="1" t="str" cm="1">
        <f t="array" ref="D240">IFERROR(INDEX(PV_Totals_By_Item[#All], ROW()-1, COLUMN()), "")</f>
        <v/>
      </c>
      <c r="E240" s="1" t="str" cm="1">
        <f t="array" ref="E240">IFERROR(INDEX(PV_Totals_By_Item[#All], ROW()-1, COLUMN()), "")</f>
        <v/>
      </c>
      <c r="F240" s="1" t="str" cm="1">
        <f t="array" ref="F240">IFERROR(INDEX(PV_Totals_By_Item[#All], ROW()-1, COLUMN()), "")</f>
        <v/>
      </c>
      <c r="G240" s="1" t="str" cm="1">
        <f t="array" ref="G240">IFERROR(INDEX(PV_Totals_By_Item[#All], ROW()-1, COLUMN()), "")</f>
        <v/>
      </c>
      <c r="H240" s="1" t="str" cm="1">
        <f t="array" ref="H240">IFERROR(INDEX(PV_Totals_By_Item[#All], ROW()-1, COLUMN()), "")</f>
        <v/>
      </c>
      <c r="I240" s="1" t="str" cm="1">
        <f t="array" ref="I240">IFERROR(INDEX(PV_Totals_By_Item[#All], ROW()-1, COLUMN()), "")</f>
        <v/>
      </c>
      <c r="J240" s="1" t="str" cm="1">
        <f t="array" ref="J240">IFERROR(INDEX(PV_Totals_By_Item[#All], ROW()-1, COLUMN()), "")</f>
        <v/>
      </c>
    </row>
    <row r="241" spans="1:10">
      <c r="A241" s="1" t="str" cm="1">
        <f t="array" ref="A241">IFERROR(INDEX(PV_Totals_By_Item[#All], ROW()-1, COLUMN()), "")</f>
        <v/>
      </c>
      <c r="B241" s="1" t="str" cm="1">
        <f t="array" ref="B241">IFERROR(INDEX(PV_Totals_By_Item[#All], ROW()-1, COLUMN()), "")</f>
        <v/>
      </c>
      <c r="C241" s="1" t="str" cm="1">
        <f t="array" ref="C241">IFERROR(INDEX(PV_Totals_By_Item[#All], ROW()-1, COLUMN()), "")</f>
        <v/>
      </c>
      <c r="D241" s="1" t="str" cm="1">
        <f t="array" ref="D241">IFERROR(INDEX(PV_Totals_By_Item[#All], ROW()-1, COLUMN()), "")</f>
        <v/>
      </c>
      <c r="E241" s="1" t="str" cm="1">
        <f t="array" ref="E241">IFERROR(INDEX(PV_Totals_By_Item[#All], ROW()-1, COLUMN()), "")</f>
        <v/>
      </c>
      <c r="F241" s="1" t="str" cm="1">
        <f t="array" ref="F241">IFERROR(INDEX(PV_Totals_By_Item[#All], ROW()-1, COLUMN()), "")</f>
        <v/>
      </c>
      <c r="G241" s="1" t="str" cm="1">
        <f t="array" ref="G241">IFERROR(INDEX(PV_Totals_By_Item[#All], ROW()-1, COLUMN()), "")</f>
        <v/>
      </c>
      <c r="H241" s="1" t="str" cm="1">
        <f t="array" ref="H241">IFERROR(INDEX(PV_Totals_By_Item[#All], ROW()-1, COLUMN()), "")</f>
        <v/>
      </c>
      <c r="I241" s="1" t="str" cm="1">
        <f t="array" ref="I241">IFERROR(INDEX(PV_Totals_By_Item[#All], ROW()-1, COLUMN()), "")</f>
        <v/>
      </c>
      <c r="J241" s="1" t="str" cm="1">
        <f t="array" ref="J241">IFERROR(INDEX(PV_Totals_By_Item[#All], ROW()-1, COLUMN()), "")</f>
        <v/>
      </c>
    </row>
    <row r="242" spans="1:10">
      <c r="A242" s="1" t="str" cm="1">
        <f t="array" ref="A242">IFERROR(INDEX(PV_Totals_By_Item[#All], ROW()-1, COLUMN()), "")</f>
        <v/>
      </c>
      <c r="B242" s="1" t="str" cm="1">
        <f t="array" ref="B242">IFERROR(INDEX(PV_Totals_By_Item[#All], ROW()-1, COLUMN()), "")</f>
        <v/>
      </c>
      <c r="C242" s="1" t="str" cm="1">
        <f t="array" ref="C242">IFERROR(INDEX(PV_Totals_By_Item[#All], ROW()-1, COLUMN()), "")</f>
        <v/>
      </c>
      <c r="D242" s="1" t="str" cm="1">
        <f t="array" ref="D242">IFERROR(INDEX(PV_Totals_By_Item[#All], ROW()-1, COLUMN()), "")</f>
        <v/>
      </c>
      <c r="E242" s="1" t="str" cm="1">
        <f t="array" ref="E242">IFERROR(INDEX(PV_Totals_By_Item[#All], ROW()-1, COLUMN()), "")</f>
        <v/>
      </c>
      <c r="F242" s="1" t="str" cm="1">
        <f t="array" ref="F242">IFERROR(INDEX(PV_Totals_By_Item[#All], ROW()-1, COLUMN()), "")</f>
        <v/>
      </c>
      <c r="G242" s="1" t="str" cm="1">
        <f t="array" ref="G242">IFERROR(INDEX(PV_Totals_By_Item[#All], ROW()-1, COLUMN()), "")</f>
        <v/>
      </c>
      <c r="H242" s="1" t="str" cm="1">
        <f t="array" ref="H242">IFERROR(INDEX(PV_Totals_By_Item[#All], ROW()-1, COLUMN()), "")</f>
        <v/>
      </c>
      <c r="I242" s="1" t="str" cm="1">
        <f t="array" ref="I242">IFERROR(INDEX(PV_Totals_By_Item[#All], ROW()-1, COLUMN()), "")</f>
        <v/>
      </c>
      <c r="J242" s="1" t="str" cm="1">
        <f t="array" ref="J242">IFERROR(INDEX(PV_Totals_By_Item[#All], ROW()-1, COLUMN()), "")</f>
        <v/>
      </c>
    </row>
    <row r="243" spans="1:10">
      <c r="A243" s="1" t="str" cm="1">
        <f t="array" ref="A243">IFERROR(INDEX(PV_Totals_By_Item[#All], ROW()-1, COLUMN()), "")</f>
        <v/>
      </c>
      <c r="B243" s="1" t="str" cm="1">
        <f t="array" ref="B243">IFERROR(INDEX(PV_Totals_By_Item[#All], ROW()-1, COLUMN()), "")</f>
        <v/>
      </c>
      <c r="C243" s="1" t="str" cm="1">
        <f t="array" ref="C243">IFERROR(INDEX(PV_Totals_By_Item[#All], ROW()-1, COLUMN()), "")</f>
        <v/>
      </c>
      <c r="D243" s="1" t="str" cm="1">
        <f t="array" ref="D243">IFERROR(INDEX(PV_Totals_By_Item[#All], ROW()-1, COLUMN()), "")</f>
        <v/>
      </c>
      <c r="E243" s="1" t="str" cm="1">
        <f t="array" ref="E243">IFERROR(INDEX(PV_Totals_By_Item[#All], ROW()-1, COLUMN()), "")</f>
        <v/>
      </c>
      <c r="F243" s="1" t="str" cm="1">
        <f t="array" ref="F243">IFERROR(INDEX(PV_Totals_By_Item[#All], ROW()-1, COLUMN()), "")</f>
        <v/>
      </c>
      <c r="G243" s="1" t="str" cm="1">
        <f t="array" ref="G243">IFERROR(INDEX(PV_Totals_By_Item[#All], ROW()-1, COLUMN()), "")</f>
        <v/>
      </c>
      <c r="H243" s="1" t="str" cm="1">
        <f t="array" ref="H243">IFERROR(INDEX(PV_Totals_By_Item[#All], ROW()-1, COLUMN()), "")</f>
        <v/>
      </c>
      <c r="I243" s="1" t="str" cm="1">
        <f t="array" ref="I243">IFERROR(INDEX(PV_Totals_By_Item[#All], ROW()-1, COLUMN()), "")</f>
        <v/>
      </c>
      <c r="J243" s="1" t="str" cm="1">
        <f t="array" ref="J243">IFERROR(INDEX(PV_Totals_By_Item[#All], ROW()-1, COLUMN()), "")</f>
        <v/>
      </c>
    </row>
    <row r="244" spans="1:10">
      <c r="A244" s="1" t="str" cm="1">
        <f t="array" ref="A244">IFERROR(INDEX(PV_Totals_By_Item[#All], ROW()-1, COLUMN()), "")</f>
        <v/>
      </c>
      <c r="B244" s="1" t="str" cm="1">
        <f t="array" ref="B244">IFERROR(INDEX(PV_Totals_By_Item[#All], ROW()-1, COLUMN()), "")</f>
        <v/>
      </c>
      <c r="C244" s="1" t="str" cm="1">
        <f t="array" ref="C244">IFERROR(INDEX(PV_Totals_By_Item[#All], ROW()-1, COLUMN()), "")</f>
        <v/>
      </c>
      <c r="D244" s="1" t="str" cm="1">
        <f t="array" ref="D244">IFERROR(INDEX(PV_Totals_By_Item[#All], ROW()-1, COLUMN()), "")</f>
        <v/>
      </c>
      <c r="E244" s="1" t="str" cm="1">
        <f t="array" ref="E244">IFERROR(INDEX(PV_Totals_By_Item[#All], ROW()-1, COLUMN()), "")</f>
        <v/>
      </c>
      <c r="F244" s="1" t="str" cm="1">
        <f t="array" ref="F244">IFERROR(INDEX(PV_Totals_By_Item[#All], ROW()-1, COLUMN()), "")</f>
        <v/>
      </c>
      <c r="G244" s="1" t="str" cm="1">
        <f t="array" ref="G244">IFERROR(INDEX(PV_Totals_By_Item[#All], ROW()-1, COLUMN()), "")</f>
        <v/>
      </c>
      <c r="H244" s="1" t="str" cm="1">
        <f t="array" ref="H244">IFERROR(INDEX(PV_Totals_By_Item[#All], ROW()-1, COLUMN()), "")</f>
        <v/>
      </c>
      <c r="I244" s="1" t="str" cm="1">
        <f t="array" ref="I244">IFERROR(INDEX(PV_Totals_By_Item[#All], ROW()-1, COLUMN()), "")</f>
        <v/>
      </c>
      <c r="J244" s="1" t="str" cm="1">
        <f t="array" ref="J244">IFERROR(INDEX(PV_Totals_By_Item[#All], ROW()-1, COLUMN()), "")</f>
        <v/>
      </c>
    </row>
    <row r="245" spans="1:10">
      <c r="A245" s="1" t="str" cm="1">
        <f t="array" ref="A245">IFERROR(INDEX(PV_Totals_By_Item[#All], ROW()-1, COLUMN()), "")</f>
        <v/>
      </c>
      <c r="B245" s="1" t="str" cm="1">
        <f t="array" ref="B245">IFERROR(INDEX(PV_Totals_By_Item[#All], ROW()-1, COLUMN()), "")</f>
        <v/>
      </c>
      <c r="C245" s="1" t="str" cm="1">
        <f t="array" ref="C245">IFERROR(INDEX(PV_Totals_By_Item[#All], ROW()-1, COLUMN()), "")</f>
        <v/>
      </c>
      <c r="D245" s="1" t="str" cm="1">
        <f t="array" ref="D245">IFERROR(INDEX(PV_Totals_By_Item[#All], ROW()-1, COLUMN()), "")</f>
        <v/>
      </c>
      <c r="E245" s="1" t="str" cm="1">
        <f t="array" ref="E245">IFERROR(INDEX(PV_Totals_By_Item[#All], ROW()-1, COLUMN()), "")</f>
        <v/>
      </c>
      <c r="F245" s="1" t="str" cm="1">
        <f t="array" ref="F245">IFERROR(INDEX(PV_Totals_By_Item[#All], ROW()-1, COLUMN()), "")</f>
        <v/>
      </c>
      <c r="G245" s="1" t="str" cm="1">
        <f t="array" ref="G245">IFERROR(INDEX(PV_Totals_By_Item[#All], ROW()-1, COLUMN()), "")</f>
        <v/>
      </c>
      <c r="H245" s="1" t="str" cm="1">
        <f t="array" ref="H245">IFERROR(INDEX(PV_Totals_By_Item[#All], ROW()-1, COLUMN()), "")</f>
        <v/>
      </c>
      <c r="I245" s="1" t="str" cm="1">
        <f t="array" ref="I245">IFERROR(INDEX(PV_Totals_By_Item[#All], ROW()-1, COLUMN()), "")</f>
        <v/>
      </c>
      <c r="J245" s="1" t="str" cm="1">
        <f t="array" ref="J245">IFERROR(INDEX(PV_Totals_By_Item[#All], ROW()-1, COLUMN()), "")</f>
        <v/>
      </c>
    </row>
    <row r="246" spans="1:10">
      <c r="A246" s="1" t="str" cm="1">
        <f t="array" ref="A246">IFERROR(INDEX(PV_Totals_By_Item[#All], ROW()-1, COLUMN()), "")</f>
        <v/>
      </c>
      <c r="B246" s="1" t="str" cm="1">
        <f t="array" ref="B246">IFERROR(INDEX(PV_Totals_By_Item[#All], ROW()-1, COLUMN()), "")</f>
        <v/>
      </c>
      <c r="C246" s="1" t="str" cm="1">
        <f t="array" ref="C246">IFERROR(INDEX(PV_Totals_By_Item[#All], ROW()-1, COLUMN()), "")</f>
        <v/>
      </c>
      <c r="D246" s="1" t="str" cm="1">
        <f t="array" ref="D246">IFERROR(INDEX(PV_Totals_By_Item[#All], ROW()-1, COLUMN()), "")</f>
        <v/>
      </c>
      <c r="E246" s="1" t="str" cm="1">
        <f t="array" ref="E246">IFERROR(INDEX(PV_Totals_By_Item[#All], ROW()-1, COLUMN()), "")</f>
        <v/>
      </c>
      <c r="F246" s="1" t="str" cm="1">
        <f t="array" ref="F246">IFERROR(INDEX(PV_Totals_By_Item[#All], ROW()-1, COLUMN()), "")</f>
        <v/>
      </c>
      <c r="G246" s="1" t="str" cm="1">
        <f t="array" ref="G246">IFERROR(INDEX(PV_Totals_By_Item[#All], ROW()-1, COLUMN()), "")</f>
        <v/>
      </c>
      <c r="H246" s="1" t="str" cm="1">
        <f t="array" ref="H246">IFERROR(INDEX(PV_Totals_By_Item[#All], ROW()-1, COLUMN()), "")</f>
        <v/>
      </c>
      <c r="I246" s="1" t="str" cm="1">
        <f t="array" ref="I246">IFERROR(INDEX(PV_Totals_By_Item[#All], ROW()-1, COLUMN()), "")</f>
        <v/>
      </c>
      <c r="J246" s="1" t="str" cm="1">
        <f t="array" ref="J246">IFERROR(INDEX(PV_Totals_By_Item[#All], ROW()-1, COLUMN()), "")</f>
        <v/>
      </c>
    </row>
    <row r="247" spans="1:10">
      <c r="A247" s="1" t="str" cm="1">
        <f t="array" ref="A247">IFERROR(INDEX(PV_Totals_By_Item[#All], ROW()-1, COLUMN()), "")</f>
        <v/>
      </c>
      <c r="B247" s="1" t="str" cm="1">
        <f t="array" ref="B247">IFERROR(INDEX(PV_Totals_By_Item[#All], ROW()-1, COLUMN()), "")</f>
        <v/>
      </c>
      <c r="C247" s="1" t="str" cm="1">
        <f t="array" ref="C247">IFERROR(INDEX(PV_Totals_By_Item[#All], ROW()-1, COLUMN()), "")</f>
        <v/>
      </c>
      <c r="D247" s="1" t="str" cm="1">
        <f t="array" ref="D247">IFERROR(INDEX(PV_Totals_By_Item[#All], ROW()-1, COLUMN()), "")</f>
        <v/>
      </c>
      <c r="E247" s="1" t="str" cm="1">
        <f t="array" ref="E247">IFERROR(INDEX(PV_Totals_By_Item[#All], ROW()-1, COLUMN()), "")</f>
        <v/>
      </c>
      <c r="F247" s="1" t="str" cm="1">
        <f t="array" ref="F247">IFERROR(INDEX(PV_Totals_By_Item[#All], ROW()-1, COLUMN()), "")</f>
        <v/>
      </c>
      <c r="G247" s="1" t="str" cm="1">
        <f t="array" ref="G247">IFERROR(INDEX(PV_Totals_By_Item[#All], ROW()-1, COLUMN()), "")</f>
        <v/>
      </c>
      <c r="H247" s="1" t="str" cm="1">
        <f t="array" ref="H247">IFERROR(INDEX(PV_Totals_By_Item[#All], ROW()-1, COLUMN()), "")</f>
        <v/>
      </c>
      <c r="I247" s="1" t="str" cm="1">
        <f t="array" ref="I247">IFERROR(INDEX(PV_Totals_By_Item[#All], ROW()-1, COLUMN()), "")</f>
        <v/>
      </c>
      <c r="J247" s="1" t="str" cm="1">
        <f t="array" ref="J247">IFERROR(INDEX(PV_Totals_By_Item[#All], ROW()-1, COLUMN()), "")</f>
        <v/>
      </c>
    </row>
    <row r="248" spans="1:10">
      <c r="A248" s="1" t="str" cm="1">
        <f t="array" ref="A248">IFERROR(INDEX(PV_Totals_By_Item[#All], ROW()-1, COLUMN()), "")</f>
        <v/>
      </c>
      <c r="B248" s="1" t="str" cm="1">
        <f t="array" ref="B248">IFERROR(INDEX(PV_Totals_By_Item[#All], ROW()-1, COLUMN()), "")</f>
        <v/>
      </c>
      <c r="C248" s="1" t="str" cm="1">
        <f t="array" ref="C248">IFERROR(INDEX(PV_Totals_By_Item[#All], ROW()-1, COLUMN()), "")</f>
        <v/>
      </c>
      <c r="D248" s="1" t="str" cm="1">
        <f t="array" ref="D248">IFERROR(INDEX(PV_Totals_By_Item[#All], ROW()-1, COLUMN()), "")</f>
        <v/>
      </c>
      <c r="E248" s="1" t="str" cm="1">
        <f t="array" ref="E248">IFERROR(INDEX(PV_Totals_By_Item[#All], ROW()-1, COLUMN()), "")</f>
        <v/>
      </c>
      <c r="F248" s="1" t="str" cm="1">
        <f t="array" ref="F248">IFERROR(INDEX(PV_Totals_By_Item[#All], ROW()-1, COLUMN()), "")</f>
        <v/>
      </c>
      <c r="G248" s="1" t="str" cm="1">
        <f t="array" ref="G248">IFERROR(INDEX(PV_Totals_By_Item[#All], ROW()-1, COLUMN()), "")</f>
        <v/>
      </c>
      <c r="H248" s="1" t="str" cm="1">
        <f t="array" ref="H248">IFERROR(INDEX(PV_Totals_By_Item[#All], ROW()-1, COLUMN()), "")</f>
        <v/>
      </c>
      <c r="I248" s="1" t="str" cm="1">
        <f t="array" ref="I248">IFERROR(INDEX(PV_Totals_By_Item[#All], ROW()-1, COLUMN()), "")</f>
        <v/>
      </c>
      <c r="J248" s="1" t="str" cm="1">
        <f t="array" ref="J248">IFERROR(INDEX(PV_Totals_By_Item[#All], ROW()-1, COLUMN()), "")</f>
        <v/>
      </c>
    </row>
    <row r="249" spans="1:10">
      <c r="A249" s="1" t="str" cm="1">
        <f t="array" ref="A249">IFERROR(INDEX(PV_Totals_By_Item[#All], ROW()-1, COLUMN()), "")</f>
        <v/>
      </c>
      <c r="B249" s="1" t="str" cm="1">
        <f t="array" ref="B249">IFERROR(INDEX(PV_Totals_By_Item[#All], ROW()-1, COLUMN()), "")</f>
        <v/>
      </c>
      <c r="C249" s="1" t="str" cm="1">
        <f t="array" ref="C249">IFERROR(INDEX(PV_Totals_By_Item[#All], ROW()-1, COLUMN()), "")</f>
        <v/>
      </c>
      <c r="D249" s="1" t="str" cm="1">
        <f t="array" ref="D249">IFERROR(INDEX(PV_Totals_By_Item[#All], ROW()-1, COLUMN()), "")</f>
        <v/>
      </c>
      <c r="E249" s="1" t="str" cm="1">
        <f t="array" ref="E249">IFERROR(INDEX(PV_Totals_By_Item[#All], ROW()-1, COLUMN()), "")</f>
        <v/>
      </c>
      <c r="F249" s="1" t="str" cm="1">
        <f t="array" ref="F249">IFERROR(INDEX(PV_Totals_By_Item[#All], ROW()-1, COLUMN()), "")</f>
        <v/>
      </c>
      <c r="G249" s="1" t="str" cm="1">
        <f t="array" ref="G249">IFERROR(INDEX(PV_Totals_By_Item[#All], ROW()-1, COLUMN()), "")</f>
        <v/>
      </c>
      <c r="H249" s="1" t="str" cm="1">
        <f t="array" ref="H249">IFERROR(INDEX(PV_Totals_By_Item[#All], ROW()-1, COLUMN()), "")</f>
        <v/>
      </c>
      <c r="I249" s="1" t="str" cm="1">
        <f t="array" ref="I249">IFERROR(INDEX(PV_Totals_By_Item[#All], ROW()-1, COLUMN()), "")</f>
        <v/>
      </c>
      <c r="J249" s="1" t="str" cm="1">
        <f t="array" ref="J249">IFERROR(INDEX(PV_Totals_By_Item[#All], ROW()-1, COLUMN()), "")</f>
        <v/>
      </c>
    </row>
    <row r="250" spans="1:10">
      <c r="A250" s="1" t="str" cm="1">
        <f t="array" ref="A250">IFERROR(INDEX(PV_Totals_By_Item[#All], ROW()-1, COLUMN()), "")</f>
        <v/>
      </c>
      <c r="B250" s="1" t="str" cm="1">
        <f t="array" ref="B250">IFERROR(INDEX(PV_Totals_By_Item[#All], ROW()-1, COLUMN()), "")</f>
        <v/>
      </c>
      <c r="C250" s="1" t="str" cm="1">
        <f t="array" ref="C250">IFERROR(INDEX(PV_Totals_By_Item[#All], ROW()-1, COLUMN()), "")</f>
        <v/>
      </c>
      <c r="D250" s="1" t="str" cm="1">
        <f t="array" ref="D250">IFERROR(INDEX(PV_Totals_By_Item[#All], ROW()-1, COLUMN()), "")</f>
        <v/>
      </c>
      <c r="E250" s="1" t="str" cm="1">
        <f t="array" ref="E250">IFERROR(INDEX(PV_Totals_By_Item[#All], ROW()-1, COLUMN()), "")</f>
        <v/>
      </c>
      <c r="F250" s="1" t="str" cm="1">
        <f t="array" ref="F250">IFERROR(INDEX(PV_Totals_By_Item[#All], ROW()-1, COLUMN()), "")</f>
        <v/>
      </c>
      <c r="G250" s="1" t="str" cm="1">
        <f t="array" ref="G250">IFERROR(INDEX(PV_Totals_By_Item[#All], ROW()-1, COLUMN()), "")</f>
        <v/>
      </c>
      <c r="H250" s="1" t="str" cm="1">
        <f t="array" ref="H250">IFERROR(INDEX(PV_Totals_By_Item[#All], ROW()-1, COLUMN()), "")</f>
        <v/>
      </c>
      <c r="I250" s="1" t="str" cm="1">
        <f t="array" ref="I250">IFERROR(INDEX(PV_Totals_By_Item[#All], ROW()-1, COLUMN()), "")</f>
        <v/>
      </c>
      <c r="J250" s="1" t="str" cm="1">
        <f t="array" ref="J250">IFERROR(INDEX(PV_Totals_By_Item[#All], ROW()-1, COLUMN()), "")</f>
        <v/>
      </c>
    </row>
    <row r="251" spans="1:10">
      <c r="A251" s="1" t="str" cm="1">
        <f t="array" ref="A251">IFERROR(INDEX(PV_Totals_By_Item[#All], ROW()-1, COLUMN()), "")</f>
        <v/>
      </c>
      <c r="B251" s="1" t="str" cm="1">
        <f t="array" ref="B251">IFERROR(INDEX(PV_Totals_By_Item[#All], ROW()-1, COLUMN()), "")</f>
        <v/>
      </c>
      <c r="C251" s="1" t="str" cm="1">
        <f t="array" ref="C251">IFERROR(INDEX(PV_Totals_By_Item[#All], ROW()-1, COLUMN()), "")</f>
        <v/>
      </c>
      <c r="D251" s="1" t="str" cm="1">
        <f t="array" ref="D251">IFERROR(INDEX(PV_Totals_By_Item[#All], ROW()-1, COLUMN()), "")</f>
        <v/>
      </c>
      <c r="E251" s="1" t="str" cm="1">
        <f t="array" ref="E251">IFERROR(INDEX(PV_Totals_By_Item[#All], ROW()-1, COLUMN()), "")</f>
        <v/>
      </c>
      <c r="F251" s="1" t="str" cm="1">
        <f t="array" ref="F251">IFERROR(INDEX(PV_Totals_By_Item[#All], ROW()-1, COLUMN()), "")</f>
        <v/>
      </c>
      <c r="G251" s="1" t="str" cm="1">
        <f t="array" ref="G251">IFERROR(INDEX(PV_Totals_By_Item[#All], ROW()-1, COLUMN()), "")</f>
        <v/>
      </c>
      <c r="H251" s="1" t="str" cm="1">
        <f t="array" ref="H251">IFERROR(INDEX(PV_Totals_By_Item[#All], ROW()-1, COLUMN()), "")</f>
        <v/>
      </c>
      <c r="I251" s="1" t="str" cm="1">
        <f t="array" ref="I251">IFERROR(INDEX(PV_Totals_By_Item[#All], ROW()-1, COLUMN()), "")</f>
        <v/>
      </c>
      <c r="J251" s="1" t="str" cm="1">
        <f t="array" ref="J251">IFERROR(INDEX(PV_Totals_By_Item[#All], ROW()-1, COLUMN()), "")</f>
        <v/>
      </c>
    </row>
    <row r="252" spans="1:10">
      <c r="A252" s="1" t="str" cm="1">
        <f t="array" ref="A252">IFERROR(INDEX(PV_Totals_By_Item[#All], ROW()-1, COLUMN()), "")</f>
        <v/>
      </c>
      <c r="B252" s="1" t="str" cm="1">
        <f t="array" ref="B252">IFERROR(INDEX(PV_Totals_By_Item[#All], ROW()-1, COLUMN()), "")</f>
        <v/>
      </c>
      <c r="C252" s="1" t="str" cm="1">
        <f t="array" ref="C252">IFERROR(INDEX(PV_Totals_By_Item[#All], ROW()-1, COLUMN()), "")</f>
        <v/>
      </c>
      <c r="D252" s="1" t="str" cm="1">
        <f t="array" ref="D252">IFERROR(INDEX(PV_Totals_By_Item[#All], ROW()-1, COLUMN()), "")</f>
        <v/>
      </c>
      <c r="E252" s="1" t="str" cm="1">
        <f t="array" ref="E252">IFERROR(INDEX(PV_Totals_By_Item[#All], ROW()-1, COLUMN()), "")</f>
        <v/>
      </c>
      <c r="F252" s="1" t="str" cm="1">
        <f t="array" ref="F252">IFERROR(INDEX(PV_Totals_By_Item[#All], ROW()-1, COLUMN()), "")</f>
        <v/>
      </c>
      <c r="G252" s="1" t="str" cm="1">
        <f t="array" ref="G252">IFERROR(INDEX(PV_Totals_By_Item[#All], ROW()-1, COLUMN()), "")</f>
        <v/>
      </c>
      <c r="H252" s="1" t="str" cm="1">
        <f t="array" ref="H252">IFERROR(INDEX(PV_Totals_By_Item[#All], ROW()-1, COLUMN()), "")</f>
        <v/>
      </c>
      <c r="I252" s="1" t="str" cm="1">
        <f t="array" ref="I252">IFERROR(INDEX(PV_Totals_By_Item[#All], ROW()-1, COLUMN()), "")</f>
        <v/>
      </c>
      <c r="J252" s="1" t="str" cm="1">
        <f t="array" ref="J252">IFERROR(INDEX(PV_Totals_By_Item[#All], ROW()-1, COLUMN()), "")</f>
        <v/>
      </c>
    </row>
    <row r="253" spans="1:10">
      <c r="A253" s="1" t="str" cm="1">
        <f t="array" ref="A253">IFERROR(INDEX(PV_Totals_By_Item[#All], ROW()-1, COLUMN()), "")</f>
        <v/>
      </c>
      <c r="B253" s="1" t="str" cm="1">
        <f t="array" ref="B253">IFERROR(INDEX(PV_Totals_By_Item[#All], ROW()-1, COLUMN()), "")</f>
        <v/>
      </c>
      <c r="C253" s="1" t="str" cm="1">
        <f t="array" ref="C253">IFERROR(INDEX(PV_Totals_By_Item[#All], ROW()-1, COLUMN()), "")</f>
        <v/>
      </c>
      <c r="D253" s="1" t="str" cm="1">
        <f t="array" ref="D253">IFERROR(INDEX(PV_Totals_By_Item[#All], ROW()-1, COLUMN()), "")</f>
        <v/>
      </c>
      <c r="E253" s="1" t="str" cm="1">
        <f t="array" ref="E253">IFERROR(INDEX(PV_Totals_By_Item[#All], ROW()-1, COLUMN()), "")</f>
        <v/>
      </c>
      <c r="F253" s="1" t="str" cm="1">
        <f t="array" ref="F253">IFERROR(INDEX(PV_Totals_By_Item[#All], ROW()-1, COLUMN()), "")</f>
        <v/>
      </c>
      <c r="G253" s="1" t="str" cm="1">
        <f t="array" ref="G253">IFERROR(INDEX(PV_Totals_By_Item[#All], ROW()-1, COLUMN()), "")</f>
        <v/>
      </c>
      <c r="H253" s="1" t="str" cm="1">
        <f t="array" ref="H253">IFERROR(INDEX(PV_Totals_By_Item[#All], ROW()-1, COLUMN()), "")</f>
        <v/>
      </c>
      <c r="I253" s="1" t="str" cm="1">
        <f t="array" ref="I253">IFERROR(INDEX(PV_Totals_By_Item[#All], ROW()-1, COLUMN()), "")</f>
        <v/>
      </c>
      <c r="J253" s="1" t="str" cm="1">
        <f t="array" ref="J253">IFERROR(INDEX(PV_Totals_By_Item[#All], ROW()-1, COLUMN()), "")</f>
        <v/>
      </c>
    </row>
    <row r="254" spans="1:10">
      <c r="A254" s="1" t="str" cm="1">
        <f t="array" ref="A254">IFERROR(INDEX(PV_Totals_By_Item[#All], ROW()-1, COLUMN()), "")</f>
        <v/>
      </c>
      <c r="B254" s="1" t="str" cm="1">
        <f t="array" ref="B254">IFERROR(INDEX(PV_Totals_By_Item[#All], ROW()-1, COLUMN()), "")</f>
        <v/>
      </c>
      <c r="C254" s="1" t="str" cm="1">
        <f t="array" ref="C254">IFERROR(INDEX(PV_Totals_By_Item[#All], ROW()-1, COLUMN()), "")</f>
        <v/>
      </c>
      <c r="D254" s="1" t="str" cm="1">
        <f t="array" ref="D254">IFERROR(INDEX(PV_Totals_By_Item[#All], ROW()-1, COLUMN()), "")</f>
        <v/>
      </c>
      <c r="E254" s="1" t="str" cm="1">
        <f t="array" ref="E254">IFERROR(INDEX(PV_Totals_By_Item[#All], ROW()-1, COLUMN()), "")</f>
        <v/>
      </c>
      <c r="F254" s="1" t="str" cm="1">
        <f t="array" ref="F254">IFERROR(INDEX(PV_Totals_By_Item[#All], ROW()-1, COLUMN()), "")</f>
        <v/>
      </c>
      <c r="G254" s="1" t="str" cm="1">
        <f t="array" ref="G254">IFERROR(INDEX(PV_Totals_By_Item[#All], ROW()-1, COLUMN()), "")</f>
        <v/>
      </c>
      <c r="H254" s="1" t="str" cm="1">
        <f t="array" ref="H254">IFERROR(INDEX(PV_Totals_By_Item[#All], ROW()-1, COLUMN()), "")</f>
        <v/>
      </c>
      <c r="I254" s="1" t="str" cm="1">
        <f t="array" ref="I254">IFERROR(INDEX(PV_Totals_By_Item[#All], ROW()-1, COLUMN()), "")</f>
        <v/>
      </c>
      <c r="J254" s="1" t="str" cm="1">
        <f t="array" ref="J254">IFERROR(INDEX(PV_Totals_By_Item[#All], ROW()-1, COLUMN()), "")</f>
        <v/>
      </c>
    </row>
    <row r="255" spans="1:10">
      <c r="A255" s="1" t="str" cm="1">
        <f t="array" ref="A255">IFERROR(INDEX(PV_Totals_By_Item[#All], ROW()-1, COLUMN()), "")</f>
        <v/>
      </c>
      <c r="B255" s="1" t="str" cm="1">
        <f t="array" ref="B255">IFERROR(INDEX(PV_Totals_By_Item[#All], ROW()-1, COLUMN()), "")</f>
        <v/>
      </c>
      <c r="C255" s="1" t="str" cm="1">
        <f t="array" ref="C255">IFERROR(INDEX(PV_Totals_By_Item[#All], ROW()-1, COLUMN()), "")</f>
        <v/>
      </c>
      <c r="D255" s="1" t="str" cm="1">
        <f t="array" ref="D255">IFERROR(INDEX(PV_Totals_By_Item[#All], ROW()-1, COLUMN()), "")</f>
        <v/>
      </c>
      <c r="E255" s="1" t="str" cm="1">
        <f t="array" ref="E255">IFERROR(INDEX(PV_Totals_By_Item[#All], ROW()-1, COLUMN()), "")</f>
        <v/>
      </c>
      <c r="F255" s="1" t="str" cm="1">
        <f t="array" ref="F255">IFERROR(INDEX(PV_Totals_By_Item[#All], ROW()-1, COLUMN()), "")</f>
        <v/>
      </c>
      <c r="G255" s="1" t="str" cm="1">
        <f t="array" ref="G255">IFERROR(INDEX(PV_Totals_By_Item[#All], ROW()-1, COLUMN()), "")</f>
        <v/>
      </c>
      <c r="H255" s="1" t="str" cm="1">
        <f t="array" ref="H255">IFERROR(INDEX(PV_Totals_By_Item[#All], ROW()-1, COLUMN()), "")</f>
        <v/>
      </c>
      <c r="I255" s="1" t="str" cm="1">
        <f t="array" ref="I255">IFERROR(INDEX(PV_Totals_By_Item[#All], ROW()-1, COLUMN()), "")</f>
        <v/>
      </c>
      <c r="J255" s="1" t="str" cm="1">
        <f t="array" ref="J255">IFERROR(INDEX(PV_Totals_By_Item[#All], ROW()-1, COLUMN()), "")</f>
        <v/>
      </c>
    </row>
    <row r="256" spans="1:10">
      <c r="A256" s="1" t="str" cm="1">
        <f t="array" ref="A256">IFERROR(INDEX(PV_Totals_By_Item[#All], ROW()-1, COLUMN()), "")</f>
        <v/>
      </c>
      <c r="B256" s="1" t="str" cm="1">
        <f t="array" ref="B256">IFERROR(INDEX(PV_Totals_By_Item[#All], ROW()-1, COLUMN()), "")</f>
        <v/>
      </c>
      <c r="C256" s="1" t="str" cm="1">
        <f t="array" ref="C256">IFERROR(INDEX(PV_Totals_By_Item[#All], ROW()-1, COLUMN()), "")</f>
        <v/>
      </c>
      <c r="D256" s="1" t="str" cm="1">
        <f t="array" ref="D256">IFERROR(INDEX(PV_Totals_By_Item[#All], ROW()-1, COLUMN()), "")</f>
        <v/>
      </c>
      <c r="E256" s="1" t="str" cm="1">
        <f t="array" ref="E256">IFERROR(INDEX(PV_Totals_By_Item[#All], ROW()-1, COLUMN()), "")</f>
        <v/>
      </c>
      <c r="F256" s="1" t="str" cm="1">
        <f t="array" ref="F256">IFERROR(INDEX(PV_Totals_By_Item[#All], ROW()-1, COLUMN()), "")</f>
        <v/>
      </c>
      <c r="G256" s="1" t="str" cm="1">
        <f t="array" ref="G256">IFERROR(INDEX(PV_Totals_By_Item[#All], ROW()-1, COLUMN()), "")</f>
        <v/>
      </c>
      <c r="H256" s="1" t="str" cm="1">
        <f t="array" ref="H256">IFERROR(INDEX(PV_Totals_By_Item[#All], ROW()-1, COLUMN()), "")</f>
        <v/>
      </c>
      <c r="I256" s="1" t="str" cm="1">
        <f t="array" ref="I256">IFERROR(INDEX(PV_Totals_By_Item[#All], ROW()-1, COLUMN()), "")</f>
        <v/>
      </c>
      <c r="J256" s="1" t="str" cm="1">
        <f t="array" ref="J256">IFERROR(INDEX(PV_Totals_By_Item[#All], ROW()-1, COLUMN()), "")</f>
        <v/>
      </c>
    </row>
    <row r="257" spans="1:10">
      <c r="A257" s="1" t="str" cm="1">
        <f t="array" ref="A257">IFERROR(INDEX(PV_Totals_By_Item[#All], ROW()-1, COLUMN()), "")</f>
        <v/>
      </c>
      <c r="B257" s="1" t="str" cm="1">
        <f t="array" ref="B257">IFERROR(INDEX(PV_Totals_By_Item[#All], ROW()-1, COLUMN()), "")</f>
        <v/>
      </c>
      <c r="C257" s="1" t="str" cm="1">
        <f t="array" ref="C257">IFERROR(INDEX(PV_Totals_By_Item[#All], ROW()-1, COLUMN()), "")</f>
        <v/>
      </c>
      <c r="D257" s="1" t="str" cm="1">
        <f t="array" ref="D257">IFERROR(INDEX(PV_Totals_By_Item[#All], ROW()-1, COLUMN()), "")</f>
        <v/>
      </c>
      <c r="E257" s="1" t="str" cm="1">
        <f t="array" ref="E257">IFERROR(INDEX(PV_Totals_By_Item[#All], ROW()-1, COLUMN()), "")</f>
        <v/>
      </c>
      <c r="F257" s="1" t="str" cm="1">
        <f t="array" ref="F257">IFERROR(INDEX(PV_Totals_By_Item[#All], ROW()-1, COLUMN()), "")</f>
        <v/>
      </c>
      <c r="G257" s="1" t="str" cm="1">
        <f t="array" ref="G257">IFERROR(INDEX(PV_Totals_By_Item[#All], ROW()-1, COLUMN()), "")</f>
        <v/>
      </c>
      <c r="H257" s="1" t="str" cm="1">
        <f t="array" ref="H257">IFERROR(INDEX(PV_Totals_By_Item[#All], ROW()-1, COLUMN()), "")</f>
        <v/>
      </c>
      <c r="I257" s="1" t="str" cm="1">
        <f t="array" ref="I257">IFERROR(INDEX(PV_Totals_By_Item[#All], ROW()-1, COLUMN()), "")</f>
        <v/>
      </c>
      <c r="J257" s="1" t="str" cm="1">
        <f t="array" ref="J257">IFERROR(INDEX(PV_Totals_By_Item[#All], ROW()-1, COLUMN()), "")</f>
        <v/>
      </c>
    </row>
    <row r="258" spans="1:10">
      <c r="A258" s="1" t="str" cm="1">
        <f t="array" ref="A258">IFERROR(INDEX(PV_Totals_By_Item[#All], ROW()-1, COLUMN()), "")</f>
        <v/>
      </c>
      <c r="B258" s="1" t="str" cm="1">
        <f t="array" ref="B258">IFERROR(INDEX(PV_Totals_By_Item[#All], ROW()-1, COLUMN()), "")</f>
        <v/>
      </c>
      <c r="C258" s="1" t="str" cm="1">
        <f t="array" ref="C258">IFERROR(INDEX(PV_Totals_By_Item[#All], ROW()-1, COLUMN()), "")</f>
        <v/>
      </c>
      <c r="D258" s="1" t="str" cm="1">
        <f t="array" ref="D258">IFERROR(INDEX(PV_Totals_By_Item[#All], ROW()-1, COLUMN()), "")</f>
        <v/>
      </c>
      <c r="E258" s="1" t="str" cm="1">
        <f t="array" ref="E258">IFERROR(INDEX(PV_Totals_By_Item[#All], ROW()-1, COLUMN()), "")</f>
        <v/>
      </c>
      <c r="F258" s="1" t="str" cm="1">
        <f t="array" ref="F258">IFERROR(INDEX(PV_Totals_By_Item[#All], ROW()-1, COLUMN()), "")</f>
        <v/>
      </c>
      <c r="G258" s="1" t="str" cm="1">
        <f t="array" ref="G258">IFERROR(INDEX(PV_Totals_By_Item[#All], ROW()-1, COLUMN()), "")</f>
        <v/>
      </c>
      <c r="H258" s="1" t="str" cm="1">
        <f t="array" ref="H258">IFERROR(INDEX(PV_Totals_By_Item[#All], ROW()-1, COLUMN()), "")</f>
        <v/>
      </c>
      <c r="I258" s="1" t="str" cm="1">
        <f t="array" ref="I258">IFERROR(INDEX(PV_Totals_By_Item[#All], ROW()-1, COLUMN()), "")</f>
        <v/>
      </c>
      <c r="J258" s="1" t="str" cm="1">
        <f t="array" ref="J258">IFERROR(INDEX(PV_Totals_By_Item[#All], ROW()-1, COLUMN()), "")</f>
        <v/>
      </c>
    </row>
    <row r="259" spans="1:10">
      <c r="A259" s="1" t="str" cm="1">
        <f t="array" ref="A259">IFERROR(INDEX(PV_Totals_By_Item[#All], ROW()-1, COLUMN()), "")</f>
        <v/>
      </c>
      <c r="B259" s="1" t="str" cm="1">
        <f t="array" ref="B259">IFERROR(INDEX(PV_Totals_By_Item[#All], ROW()-1, COLUMN()), "")</f>
        <v/>
      </c>
      <c r="C259" s="1" t="str" cm="1">
        <f t="array" ref="C259">IFERROR(INDEX(PV_Totals_By_Item[#All], ROW()-1, COLUMN()), "")</f>
        <v/>
      </c>
      <c r="D259" s="1" t="str" cm="1">
        <f t="array" ref="D259">IFERROR(INDEX(PV_Totals_By_Item[#All], ROW()-1, COLUMN()), "")</f>
        <v/>
      </c>
      <c r="E259" s="1" t="str" cm="1">
        <f t="array" ref="E259">IFERROR(INDEX(PV_Totals_By_Item[#All], ROW()-1, COLUMN()), "")</f>
        <v/>
      </c>
      <c r="F259" s="1" t="str" cm="1">
        <f t="array" ref="F259">IFERROR(INDEX(PV_Totals_By_Item[#All], ROW()-1, COLUMN()), "")</f>
        <v/>
      </c>
      <c r="G259" s="1" t="str" cm="1">
        <f t="array" ref="G259">IFERROR(INDEX(PV_Totals_By_Item[#All], ROW()-1, COLUMN()), "")</f>
        <v/>
      </c>
      <c r="H259" s="1" t="str" cm="1">
        <f t="array" ref="H259">IFERROR(INDEX(PV_Totals_By_Item[#All], ROW()-1, COLUMN()), "")</f>
        <v/>
      </c>
      <c r="I259" s="1" t="str" cm="1">
        <f t="array" ref="I259">IFERROR(INDEX(PV_Totals_By_Item[#All], ROW()-1, COLUMN()), "")</f>
        <v/>
      </c>
      <c r="J259" s="1" t="str" cm="1">
        <f t="array" ref="J259">IFERROR(INDEX(PV_Totals_By_Item[#All], ROW()-1, COLUMN()), "")</f>
        <v/>
      </c>
    </row>
    <row r="260" spans="1:10">
      <c r="A260" s="1" t="str" cm="1">
        <f t="array" ref="A260">IFERROR(INDEX(PV_Totals_By_Item[#All], ROW()-1, COLUMN()), "")</f>
        <v/>
      </c>
      <c r="B260" s="1" t="str" cm="1">
        <f t="array" ref="B260">IFERROR(INDEX(PV_Totals_By_Item[#All], ROW()-1, COLUMN()), "")</f>
        <v/>
      </c>
      <c r="C260" s="1" t="str" cm="1">
        <f t="array" ref="C260">IFERROR(INDEX(PV_Totals_By_Item[#All], ROW()-1, COLUMN()), "")</f>
        <v/>
      </c>
      <c r="D260" s="1" t="str" cm="1">
        <f t="array" ref="D260">IFERROR(INDEX(PV_Totals_By_Item[#All], ROW()-1, COLUMN()), "")</f>
        <v/>
      </c>
      <c r="E260" s="1" t="str" cm="1">
        <f t="array" ref="E260">IFERROR(INDEX(PV_Totals_By_Item[#All], ROW()-1, COLUMN()), "")</f>
        <v/>
      </c>
      <c r="F260" s="1" t="str" cm="1">
        <f t="array" ref="F260">IFERROR(INDEX(PV_Totals_By_Item[#All], ROW()-1, COLUMN()), "")</f>
        <v/>
      </c>
      <c r="G260" s="1" t="str" cm="1">
        <f t="array" ref="G260">IFERROR(INDEX(PV_Totals_By_Item[#All], ROW()-1, COLUMN()), "")</f>
        <v/>
      </c>
      <c r="H260" s="1" t="str" cm="1">
        <f t="array" ref="H260">IFERROR(INDEX(PV_Totals_By_Item[#All], ROW()-1, COLUMN()), "")</f>
        <v/>
      </c>
      <c r="I260" s="1" t="str" cm="1">
        <f t="array" ref="I260">IFERROR(INDEX(PV_Totals_By_Item[#All], ROW()-1, COLUMN()), "")</f>
        <v/>
      </c>
      <c r="J260" s="1" t="str" cm="1">
        <f t="array" ref="J260">IFERROR(INDEX(PV_Totals_By_Item[#All], ROW()-1, COLUMN()), "")</f>
        <v/>
      </c>
    </row>
    <row r="261" spans="1:10">
      <c r="A261" s="1" t="str" cm="1">
        <f t="array" ref="A261">IFERROR(INDEX(PV_Totals_By_Item[#All], ROW()-1, COLUMN()), "")</f>
        <v/>
      </c>
      <c r="B261" s="1" t="str" cm="1">
        <f t="array" ref="B261">IFERROR(INDEX(PV_Totals_By_Item[#All], ROW()-1, COLUMN()), "")</f>
        <v/>
      </c>
      <c r="C261" s="1" t="str" cm="1">
        <f t="array" ref="C261">IFERROR(INDEX(PV_Totals_By_Item[#All], ROW()-1, COLUMN()), "")</f>
        <v/>
      </c>
      <c r="D261" s="1" t="str" cm="1">
        <f t="array" ref="D261">IFERROR(INDEX(PV_Totals_By_Item[#All], ROW()-1, COLUMN()), "")</f>
        <v/>
      </c>
      <c r="E261" s="1" t="str" cm="1">
        <f t="array" ref="E261">IFERROR(INDEX(PV_Totals_By_Item[#All], ROW()-1, COLUMN()), "")</f>
        <v/>
      </c>
      <c r="F261" s="1" t="str" cm="1">
        <f t="array" ref="F261">IFERROR(INDEX(PV_Totals_By_Item[#All], ROW()-1, COLUMN()), "")</f>
        <v/>
      </c>
      <c r="G261" s="1" t="str" cm="1">
        <f t="array" ref="G261">IFERROR(INDEX(PV_Totals_By_Item[#All], ROW()-1, COLUMN()), "")</f>
        <v/>
      </c>
      <c r="H261" s="1" t="str" cm="1">
        <f t="array" ref="H261">IFERROR(INDEX(PV_Totals_By_Item[#All], ROW()-1, COLUMN()), "")</f>
        <v/>
      </c>
      <c r="I261" s="1" t="str" cm="1">
        <f t="array" ref="I261">IFERROR(INDEX(PV_Totals_By_Item[#All], ROW()-1, COLUMN()), "")</f>
        <v/>
      </c>
      <c r="J261" s="1" t="str" cm="1">
        <f t="array" ref="J261">IFERROR(INDEX(PV_Totals_By_Item[#All], ROW()-1, COLUMN()), "")</f>
        <v/>
      </c>
    </row>
    <row r="262" spans="1:10">
      <c r="A262" s="1" t="str" cm="1">
        <f t="array" ref="A262">IFERROR(INDEX(PV_Totals_By_Item[#All], ROW()-1, COLUMN()), "")</f>
        <v/>
      </c>
      <c r="B262" s="1" t="str" cm="1">
        <f t="array" ref="B262">IFERROR(INDEX(PV_Totals_By_Item[#All], ROW()-1, COLUMN()), "")</f>
        <v/>
      </c>
      <c r="C262" s="1" t="str" cm="1">
        <f t="array" ref="C262">IFERROR(INDEX(PV_Totals_By_Item[#All], ROW()-1, COLUMN()), "")</f>
        <v/>
      </c>
      <c r="D262" s="1" t="str" cm="1">
        <f t="array" ref="D262">IFERROR(INDEX(PV_Totals_By_Item[#All], ROW()-1, COLUMN()), "")</f>
        <v/>
      </c>
      <c r="E262" s="1" t="str" cm="1">
        <f t="array" ref="E262">IFERROR(INDEX(PV_Totals_By_Item[#All], ROW()-1, COLUMN()), "")</f>
        <v/>
      </c>
      <c r="F262" s="1" t="str" cm="1">
        <f t="array" ref="F262">IFERROR(INDEX(PV_Totals_By_Item[#All], ROW()-1, COLUMN()), "")</f>
        <v/>
      </c>
      <c r="G262" s="1" t="str" cm="1">
        <f t="array" ref="G262">IFERROR(INDEX(PV_Totals_By_Item[#All], ROW()-1, COLUMN()), "")</f>
        <v/>
      </c>
      <c r="H262" s="1" t="str" cm="1">
        <f t="array" ref="H262">IFERROR(INDEX(PV_Totals_By_Item[#All], ROW()-1, COLUMN()), "")</f>
        <v/>
      </c>
      <c r="I262" s="1" t="str" cm="1">
        <f t="array" ref="I262">IFERROR(INDEX(PV_Totals_By_Item[#All], ROW()-1, COLUMN()), "")</f>
        <v/>
      </c>
      <c r="J262" s="1" t="str" cm="1">
        <f t="array" ref="J262">IFERROR(INDEX(PV_Totals_By_Item[#All], ROW()-1, COLUMN()), "")</f>
        <v/>
      </c>
    </row>
    <row r="263" spans="1:10">
      <c r="A263" s="1" t="str" cm="1">
        <f t="array" ref="A263">IFERROR(INDEX(PV_Totals_By_Item[#All], ROW()-1, COLUMN()), "")</f>
        <v/>
      </c>
      <c r="B263" s="1" t="str" cm="1">
        <f t="array" ref="B263">IFERROR(INDEX(PV_Totals_By_Item[#All], ROW()-1, COLUMN()), "")</f>
        <v/>
      </c>
      <c r="C263" s="1" t="str" cm="1">
        <f t="array" ref="C263">IFERROR(INDEX(PV_Totals_By_Item[#All], ROW()-1, COLUMN()), "")</f>
        <v/>
      </c>
      <c r="D263" s="1" t="str" cm="1">
        <f t="array" ref="D263">IFERROR(INDEX(PV_Totals_By_Item[#All], ROW()-1, COLUMN()), "")</f>
        <v/>
      </c>
      <c r="E263" s="1" t="str" cm="1">
        <f t="array" ref="E263">IFERROR(INDEX(PV_Totals_By_Item[#All], ROW()-1, COLUMN()), "")</f>
        <v/>
      </c>
      <c r="F263" s="1" t="str" cm="1">
        <f t="array" ref="F263">IFERROR(INDEX(PV_Totals_By_Item[#All], ROW()-1, COLUMN()), "")</f>
        <v/>
      </c>
      <c r="G263" s="1" t="str" cm="1">
        <f t="array" ref="G263">IFERROR(INDEX(PV_Totals_By_Item[#All], ROW()-1, COLUMN()), "")</f>
        <v/>
      </c>
      <c r="H263" s="1" t="str" cm="1">
        <f t="array" ref="H263">IFERROR(INDEX(PV_Totals_By_Item[#All], ROW()-1, COLUMN()), "")</f>
        <v/>
      </c>
      <c r="I263" s="1" t="str" cm="1">
        <f t="array" ref="I263">IFERROR(INDEX(PV_Totals_By_Item[#All], ROW()-1, COLUMN()), "")</f>
        <v/>
      </c>
      <c r="J263" s="1" t="str" cm="1">
        <f t="array" ref="J263">IFERROR(INDEX(PV_Totals_By_Item[#All], ROW()-1, COLUMN()), "")</f>
        <v/>
      </c>
    </row>
    <row r="264" spans="1:10">
      <c r="A264" s="1" t="str" cm="1">
        <f t="array" ref="A264">IFERROR(INDEX(PV_Totals_By_Item[#All], ROW()-1, COLUMN()), "")</f>
        <v/>
      </c>
      <c r="B264" s="1" t="str" cm="1">
        <f t="array" ref="B264">IFERROR(INDEX(PV_Totals_By_Item[#All], ROW()-1, COLUMN()), "")</f>
        <v/>
      </c>
      <c r="C264" s="1" t="str" cm="1">
        <f t="array" ref="C264">IFERROR(INDEX(PV_Totals_By_Item[#All], ROW()-1, COLUMN()), "")</f>
        <v/>
      </c>
      <c r="D264" s="1" t="str" cm="1">
        <f t="array" ref="D264">IFERROR(INDEX(PV_Totals_By_Item[#All], ROW()-1, COLUMN()), "")</f>
        <v/>
      </c>
      <c r="E264" s="1" t="str" cm="1">
        <f t="array" ref="E264">IFERROR(INDEX(PV_Totals_By_Item[#All], ROW()-1, COLUMN()), "")</f>
        <v/>
      </c>
      <c r="F264" s="1" t="str" cm="1">
        <f t="array" ref="F264">IFERROR(INDEX(PV_Totals_By_Item[#All], ROW()-1, COLUMN()), "")</f>
        <v/>
      </c>
      <c r="G264" s="1" t="str" cm="1">
        <f t="array" ref="G264">IFERROR(INDEX(PV_Totals_By_Item[#All], ROW()-1, COLUMN()), "")</f>
        <v/>
      </c>
      <c r="H264" s="1" t="str" cm="1">
        <f t="array" ref="H264">IFERROR(INDEX(PV_Totals_By_Item[#All], ROW()-1, COLUMN()), "")</f>
        <v/>
      </c>
      <c r="I264" s="1" t="str" cm="1">
        <f t="array" ref="I264">IFERROR(INDEX(PV_Totals_By_Item[#All], ROW()-1, COLUMN()), "")</f>
        <v/>
      </c>
      <c r="J264" s="1" t="str" cm="1">
        <f t="array" ref="J264">IFERROR(INDEX(PV_Totals_By_Item[#All], ROW()-1, COLUMN()), "")</f>
        <v/>
      </c>
    </row>
    <row r="265" spans="1:10">
      <c r="A265" s="1" t="str" cm="1">
        <f t="array" ref="A265">IFERROR(INDEX(PV_Totals_By_Item[#All], ROW()-1, COLUMN()), "")</f>
        <v/>
      </c>
      <c r="B265" s="1" t="str" cm="1">
        <f t="array" ref="B265">IFERROR(INDEX(PV_Totals_By_Item[#All], ROW()-1, COLUMN()), "")</f>
        <v/>
      </c>
      <c r="C265" s="1" t="str" cm="1">
        <f t="array" ref="C265">IFERROR(INDEX(PV_Totals_By_Item[#All], ROW()-1, COLUMN()), "")</f>
        <v/>
      </c>
      <c r="D265" s="1" t="str" cm="1">
        <f t="array" ref="D265">IFERROR(INDEX(PV_Totals_By_Item[#All], ROW()-1, COLUMN()), "")</f>
        <v/>
      </c>
      <c r="E265" s="1" t="str" cm="1">
        <f t="array" ref="E265">IFERROR(INDEX(PV_Totals_By_Item[#All], ROW()-1, COLUMN()), "")</f>
        <v/>
      </c>
      <c r="F265" s="1" t="str" cm="1">
        <f t="array" ref="F265">IFERROR(INDEX(PV_Totals_By_Item[#All], ROW()-1, COLUMN()), "")</f>
        <v/>
      </c>
      <c r="G265" s="1" t="str" cm="1">
        <f t="array" ref="G265">IFERROR(INDEX(PV_Totals_By_Item[#All], ROW()-1, COLUMN()), "")</f>
        <v/>
      </c>
      <c r="H265" s="1" t="str" cm="1">
        <f t="array" ref="H265">IFERROR(INDEX(PV_Totals_By_Item[#All], ROW()-1, COLUMN()), "")</f>
        <v/>
      </c>
      <c r="I265" s="1" t="str" cm="1">
        <f t="array" ref="I265">IFERROR(INDEX(PV_Totals_By_Item[#All], ROW()-1, COLUMN()), "")</f>
        <v/>
      </c>
      <c r="J265" s="1" t="str" cm="1">
        <f t="array" ref="J265">IFERROR(INDEX(PV_Totals_By_Item[#All], ROW()-1, COLUMN()), "")</f>
        <v/>
      </c>
    </row>
    <row r="266" spans="1:10">
      <c r="A266" s="1" t="str" cm="1">
        <f t="array" ref="A266">IFERROR(INDEX(PV_Totals_By_Item[#All], ROW()-1, COLUMN()), "")</f>
        <v/>
      </c>
      <c r="B266" s="1" t="str" cm="1">
        <f t="array" ref="B266">IFERROR(INDEX(PV_Totals_By_Item[#All], ROW()-1, COLUMN()), "")</f>
        <v/>
      </c>
      <c r="C266" s="1" t="str" cm="1">
        <f t="array" ref="C266">IFERROR(INDEX(PV_Totals_By_Item[#All], ROW()-1, COLUMN()), "")</f>
        <v/>
      </c>
      <c r="D266" s="1" t="str" cm="1">
        <f t="array" ref="D266">IFERROR(INDEX(PV_Totals_By_Item[#All], ROW()-1, COLUMN()), "")</f>
        <v/>
      </c>
      <c r="E266" s="1" t="str" cm="1">
        <f t="array" ref="E266">IFERROR(INDEX(PV_Totals_By_Item[#All], ROW()-1, COLUMN()), "")</f>
        <v/>
      </c>
      <c r="F266" s="1" t="str" cm="1">
        <f t="array" ref="F266">IFERROR(INDEX(PV_Totals_By_Item[#All], ROW()-1, COLUMN()), "")</f>
        <v/>
      </c>
      <c r="G266" s="1" t="str" cm="1">
        <f t="array" ref="G266">IFERROR(INDEX(PV_Totals_By_Item[#All], ROW()-1, COLUMN()), "")</f>
        <v/>
      </c>
      <c r="H266" s="1" t="str" cm="1">
        <f t="array" ref="H266">IFERROR(INDEX(PV_Totals_By_Item[#All], ROW()-1, COLUMN()), "")</f>
        <v/>
      </c>
      <c r="I266" s="1" t="str" cm="1">
        <f t="array" ref="I266">IFERROR(INDEX(PV_Totals_By_Item[#All], ROW()-1, COLUMN()), "")</f>
        <v/>
      </c>
      <c r="J266" s="1" t="str" cm="1">
        <f t="array" ref="J266">IFERROR(INDEX(PV_Totals_By_Item[#All], ROW()-1, COLUMN()), "")</f>
        <v/>
      </c>
    </row>
    <row r="267" spans="1:10">
      <c r="A267" s="1" t="str" cm="1">
        <f t="array" ref="A267">IFERROR(INDEX(PV_Totals_By_Item[#All], ROW()-1, COLUMN()), "")</f>
        <v/>
      </c>
      <c r="B267" s="1" t="str" cm="1">
        <f t="array" ref="B267">IFERROR(INDEX(PV_Totals_By_Item[#All], ROW()-1, COLUMN()), "")</f>
        <v/>
      </c>
      <c r="C267" s="1" t="str" cm="1">
        <f t="array" ref="C267">IFERROR(INDEX(PV_Totals_By_Item[#All], ROW()-1, COLUMN()), "")</f>
        <v/>
      </c>
      <c r="D267" s="1" t="str" cm="1">
        <f t="array" ref="D267">IFERROR(INDEX(PV_Totals_By_Item[#All], ROW()-1, COLUMN()), "")</f>
        <v/>
      </c>
      <c r="E267" s="1" t="str" cm="1">
        <f t="array" ref="E267">IFERROR(INDEX(PV_Totals_By_Item[#All], ROW()-1, COLUMN()), "")</f>
        <v/>
      </c>
      <c r="F267" s="1" t="str" cm="1">
        <f t="array" ref="F267">IFERROR(INDEX(PV_Totals_By_Item[#All], ROW()-1, COLUMN()), "")</f>
        <v/>
      </c>
      <c r="G267" s="1" t="str" cm="1">
        <f t="array" ref="G267">IFERROR(INDEX(PV_Totals_By_Item[#All], ROW()-1, COLUMN()), "")</f>
        <v/>
      </c>
      <c r="H267" s="1" t="str" cm="1">
        <f t="array" ref="H267">IFERROR(INDEX(PV_Totals_By_Item[#All], ROW()-1, COLUMN()), "")</f>
        <v/>
      </c>
      <c r="I267" s="1" t="str" cm="1">
        <f t="array" ref="I267">IFERROR(INDEX(PV_Totals_By_Item[#All], ROW()-1, COLUMN()), "")</f>
        <v/>
      </c>
      <c r="J267" s="1" t="str" cm="1">
        <f t="array" ref="J267">IFERROR(INDEX(PV_Totals_By_Item[#All], ROW()-1, COLUMN()), "")</f>
        <v/>
      </c>
    </row>
    <row r="268" spans="1:10">
      <c r="A268" s="1" t="str" cm="1">
        <f t="array" ref="A268">IFERROR(INDEX(PV_Totals_By_Item[#All], ROW()-1, COLUMN()), "")</f>
        <v/>
      </c>
      <c r="B268" s="1" t="str" cm="1">
        <f t="array" ref="B268">IFERROR(INDEX(PV_Totals_By_Item[#All], ROW()-1, COLUMN()), "")</f>
        <v/>
      </c>
      <c r="C268" s="1" t="str" cm="1">
        <f t="array" ref="C268">IFERROR(INDEX(PV_Totals_By_Item[#All], ROW()-1, COLUMN()), "")</f>
        <v/>
      </c>
      <c r="D268" s="1" t="str" cm="1">
        <f t="array" ref="D268">IFERROR(INDEX(PV_Totals_By_Item[#All], ROW()-1, COLUMN()), "")</f>
        <v/>
      </c>
      <c r="E268" s="1" t="str" cm="1">
        <f t="array" ref="E268">IFERROR(INDEX(PV_Totals_By_Item[#All], ROW()-1, COLUMN()), "")</f>
        <v/>
      </c>
      <c r="F268" s="1" t="str" cm="1">
        <f t="array" ref="F268">IFERROR(INDEX(PV_Totals_By_Item[#All], ROW()-1, COLUMN()), "")</f>
        <v/>
      </c>
      <c r="G268" s="1" t="str" cm="1">
        <f t="array" ref="G268">IFERROR(INDEX(PV_Totals_By_Item[#All], ROW()-1, COLUMN()), "")</f>
        <v/>
      </c>
      <c r="H268" s="1" t="str" cm="1">
        <f t="array" ref="H268">IFERROR(INDEX(PV_Totals_By_Item[#All], ROW()-1, COLUMN()), "")</f>
        <v/>
      </c>
      <c r="I268" s="1" t="str" cm="1">
        <f t="array" ref="I268">IFERROR(INDEX(PV_Totals_By_Item[#All], ROW()-1, COLUMN()), "")</f>
        <v/>
      </c>
      <c r="J268" s="1" t="str" cm="1">
        <f t="array" ref="J268">IFERROR(INDEX(PV_Totals_By_Item[#All], ROW()-1, COLUMN()), "")</f>
        <v/>
      </c>
    </row>
    <row r="269" spans="1:10">
      <c r="A269" s="1" t="str" cm="1">
        <f t="array" ref="A269">IFERROR(INDEX(PV_Totals_By_Item[#All], ROW()-1, COLUMN()), "")</f>
        <v/>
      </c>
      <c r="B269" s="1" t="str" cm="1">
        <f t="array" ref="B269">IFERROR(INDEX(PV_Totals_By_Item[#All], ROW()-1, COLUMN()), "")</f>
        <v/>
      </c>
      <c r="C269" s="1" t="str" cm="1">
        <f t="array" ref="C269">IFERROR(INDEX(PV_Totals_By_Item[#All], ROW()-1, COLUMN()), "")</f>
        <v/>
      </c>
      <c r="D269" s="1" t="str" cm="1">
        <f t="array" ref="D269">IFERROR(INDEX(PV_Totals_By_Item[#All], ROW()-1, COLUMN()), "")</f>
        <v/>
      </c>
      <c r="E269" s="1" t="str" cm="1">
        <f t="array" ref="E269">IFERROR(INDEX(PV_Totals_By_Item[#All], ROW()-1, COLUMN()), "")</f>
        <v/>
      </c>
      <c r="F269" s="1" t="str" cm="1">
        <f t="array" ref="F269">IFERROR(INDEX(PV_Totals_By_Item[#All], ROW()-1, COLUMN()), "")</f>
        <v/>
      </c>
      <c r="G269" s="1" t="str" cm="1">
        <f t="array" ref="G269">IFERROR(INDEX(PV_Totals_By_Item[#All], ROW()-1, COLUMN()), "")</f>
        <v/>
      </c>
      <c r="H269" s="1" t="str" cm="1">
        <f t="array" ref="H269">IFERROR(INDEX(PV_Totals_By_Item[#All], ROW()-1, COLUMN()), "")</f>
        <v/>
      </c>
      <c r="I269" s="1" t="str" cm="1">
        <f t="array" ref="I269">IFERROR(INDEX(PV_Totals_By_Item[#All], ROW()-1, COLUMN()), "")</f>
        <v/>
      </c>
      <c r="J269" s="1" t="str" cm="1">
        <f t="array" ref="J269">IFERROR(INDEX(PV_Totals_By_Item[#All], ROW()-1, COLUMN()), "")</f>
        <v/>
      </c>
    </row>
    <row r="270" spans="1:10">
      <c r="A270" s="1" t="str" cm="1">
        <f t="array" ref="A270">IFERROR(INDEX(PV_Totals_By_Item[#All], ROW()-1, COLUMN()), "")</f>
        <v/>
      </c>
      <c r="B270" s="1" t="str" cm="1">
        <f t="array" ref="B270">IFERROR(INDEX(PV_Totals_By_Item[#All], ROW()-1, COLUMN()), "")</f>
        <v/>
      </c>
      <c r="C270" s="1" t="str" cm="1">
        <f t="array" ref="C270">IFERROR(INDEX(PV_Totals_By_Item[#All], ROW()-1, COLUMN()), "")</f>
        <v/>
      </c>
      <c r="D270" s="1" t="str" cm="1">
        <f t="array" ref="D270">IFERROR(INDEX(PV_Totals_By_Item[#All], ROW()-1, COLUMN()), "")</f>
        <v/>
      </c>
      <c r="E270" s="1" t="str" cm="1">
        <f t="array" ref="E270">IFERROR(INDEX(PV_Totals_By_Item[#All], ROW()-1, COLUMN()), "")</f>
        <v/>
      </c>
      <c r="F270" s="1" t="str" cm="1">
        <f t="array" ref="F270">IFERROR(INDEX(PV_Totals_By_Item[#All], ROW()-1, COLUMN()), "")</f>
        <v/>
      </c>
      <c r="G270" s="1" t="str" cm="1">
        <f t="array" ref="G270">IFERROR(INDEX(PV_Totals_By_Item[#All], ROW()-1, COLUMN()), "")</f>
        <v/>
      </c>
      <c r="H270" s="1" t="str" cm="1">
        <f t="array" ref="H270">IFERROR(INDEX(PV_Totals_By_Item[#All], ROW()-1, COLUMN()), "")</f>
        <v/>
      </c>
      <c r="I270" s="1" t="str" cm="1">
        <f t="array" ref="I270">IFERROR(INDEX(PV_Totals_By_Item[#All], ROW()-1, COLUMN()), "")</f>
        <v/>
      </c>
      <c r="J270" s="1" t="str" cm="1">
        <f t="array" ref="J270">IFERROR(INDEX(PV_Totals_By_Item[#All], ROW()-1, COLUMN()), "")</f>
        <v/>
      </c>
    </row>
    <row r="271" spans="1:10">
      <c r="A271" s="1" t="str" cm="1">
        <f t="array" ref="A271">IFERROR(INDEX(PV_Totals_By_Item[#All], ROW()-1, COLUMN()), "")</f>
        <v/>
      </c>
      <c r="B271" s="1" t="str" cm="1">
        <f t="array" ref="B271">IFERROR(INDEX(PV_Totals_By_Item[#All], ROW()-1, COLUMN()), "")</f>
        <v/>
      </c>
      <c r="C271" s="1" t="str" cm="1">
        <f t="array" ref="C271">IFERROR(INDEX(PV_Totals_By_Item[#All], ROW()-1, COLUMN()), "")</f>
        <v/>
      </c>
      <c r="D271" s="1" t="str" cm="1">
        <f t="array" ref="D271">IFERROR(INDEX(PV_Totals_By_Item[#All], ROW()-1, COLUMN()), "")</f>
        <v/>
      </c>
      <c r="E271" s="1" t="str" cm="1">
        <f t="array" ref="E271">IFERROR(INDEX(PV_Totals_By_Item[#All], ROW()-1, COLUMN()), "")</f>
        <v/>
      </c>
      <c r="F271" s="1" t="str" cm="1">
        <f t="array" ref="F271">IFERROR(INDEX(PV_Totals_By_Item[#All], ROW()-1, COLUMN()), "")</f>
        <v/>
      </c>
      <c r="G271" s="1" t="str" cm="1">
        <f t="array" ref="G271">IFERROR(INDEX(PV_Totals_By_Item[#All], ROW()-1, COLUMN()), "")</f>
        <v/>
      </c>
      <c r="H271" s="1" t="str" cm="1">
        <f t="array" ref="H271">IFERROR(INDEX(PV_Totals_By_Item[#All], ROW()-1, COLUMN()), "")</f>
        <v/>
      </c>
      <c r="I271" s="1" t="str" cm="1">
        <f t="array" ref="I271">IFERROR(INDEX(PV_Totals_By_Item[#All], ROW()-1, COLUMN()), "")</f>
        <v/>
      </c>
      <c r="J271" s="1" t="str" cm="1">
        <f t="array" ref="J271">IFERROR(INDEX(PV_Totals_By_Item[#All], ROW()-1, COLUMN()), "")</f>
        <v/>
      </c>
    </row>
    <row r="272" spans="1:10">
      <c r="A272" s="1" t="str" cm="1">
        <f t="array" ref="A272">IFERROR(INDEX(PV_Totals_By_Item[#All], ROW()-1, COLUMN()), "")</f>
        <v/>
      </c>
      <c r="B272" s="1" t="str" cm="1">
        <f t="array" ref="B272">IFERROR(INDEX(PV_Totals_By_Item[#All], ROW()-1, COLUMN()), "")</f>
        <v/>
      </c>
      <c r="C272" s="1" t="str" cm="1">
        <f t="array" ref="C272">IFERROR(INDEX(PV_Totals_By_Item[#All], ROW()-1, COLUMN()), "")</f>
        <v/>
      </c>
      <c r="D272" s="1" t="str" cm="1">
        <f t="array" ref="D272">IFERROR(INDEX(PV_Totals_By_Item[#All], ROW()-1, COLUMN()), "")</f>
        <v/>
      </c>
      <c r="E272" s="1" t="str" cm="1">
        <f t="array" ref="E272">IFERROR(INDEX(PV_Totals_By_Item[#All], ROW()-1, COLUMN()), "")</f>
        <v/>
      </c>
      <c r="F272" s="1" t="str" cm="1">
        <f t="array" ref="F272">IFERROR(INDEX(PV_Totals_By_Item[#All], ROW()-1, COLUMN()), "")</f>
        <v/>
      </c>
      <c r="G272" s="1" t="str" cm="1">
        <f t="array" ref="G272">IFERROR(INDEX(PV_Totals_By_Item[#All], ROW()-1, COLUMN()), "")</f>
        <v/>
      </c>
      <c r="H272" s="1" t="str" cm="1">
        <f t="array" ref="H272">IFERROR(INDEX(PV_Totals_By_Item[#All], ROW()-1, COLUMN()), "")</f>
        <v/>
      </c>
      <c r="I272" s="1" t="str" cm="1">
        <f t="array" ref="I272">IFERROR(INDEX(PV_Totals_By_Item[#All], ROW()-1, COLUMN()), "")</f>
        <v/>
      </c>
      <c r="J272" s="1" t="str" cm="1">
        <f t="array" ref="J272">IFERROR(INDEX(PV_Totals_By_Item[#All], ROW()-1, COLUMN()), "")</f>
        <v/>
      </c>
    </row>
    <row r="273" spans="1:10">
      <c r="A273" s="1" t="str" cm="1">
        <f t="array" ref="A273">IFERROR(INDEX(PV_Totals_By_Item[#All], ROW()-1, COLUMN()), "")</f>
        <v/>
      </c>
      <c r="B273" s="1" t="str" cm="1">
        <f t="array" ref="B273">IFERROR(INDEX(PV_Totals_By_Item[#All], ROW()-1, COLUMN()), "")</f>
        <v/>
      </c>
      <c r="C273" s="1" t="str" cm="1">
        <f t="array" ref="C273">IFERROR(INDEX(PV_Totals_By_Item[#All], ROW()-1, COLUMN()), "")</f>
        <v/>
      </c>
      <c r="D273" s="1" t="str" cm="1">
        <f t="array" ref="D273">IFERROR(INDEX(PV_Totals_By_Item[#All], ROW()-1, COLUMN()), "")</f>
        <v/>
      </c>
      <c r="E273" s="1" t="str" cm="1">
        <f t="array" ref="E273">IFERROR(INDEX(PV_Totals_By_Item[#All], ROW()-1, COLUMN()), "")</f>
        <v/>
      </c>
      <c r="F273" s="1" t="str" cm="1">
        <f t="array" ref="F273">IFERROR(INDEX(PV_Totals_By_Item[#All], ROW()-1, COLUMN()), "")</f>
        <v/>
      </c>
      <c r="G273" s="1" t="str" cm="1">
        <f t="array" ref="G273">IFERROR(INDEX(PV_Totals_By_Item[#All], ROW()-1, COLUMN()), "")</f>
        <v/>
      </c>
      <c r="H273" s="1" t="str" cm="1">
        <f t="array" ref="H273">IFERROR(INDEX(PV_Totals_By_Item[#All], ROW()-1, COLUMN()), "")</f>
        <v/>
      </c>
      <c r="I273" s="1" t="str" cm="1">
        <f t="array" ref="I273">IFERROR(INDEX(PV_Totals_By_Item[#All], ROW()-1, COLUMN()), "")</f>
        <v/>
      </c>
      <c r="J273" s="1" t="str" cm="1">
        <f t="array" ref="J273">IFERROR(INDEX(PV_Totals_By_Item[#All], ROW()-1, COLUMN()), "")</f>
        <v/>
      </c>
    </row>
    <row r="274" spans="1:10">
      <c r="A274" s="1" t="str" cm="1">
        <f t="array" ref="A274">IFERROR(INDEX(PV_Totals_By_Item[#All], ROW()-1, COLUMN()), "")</f>
        <v/>
      </c>
      <c r="B274" s="1" t="str" cm="1">
        <f t="array" ref="B274">IFERROR(INDEX(PV_Totals_By_Item[#All], ROW()-1, COLUMN()), "")</f>
        <v/>
      </c>
      <c r="C274" s="1" t="str" cm="1">
        <f t="array" ref="C274">IFERROR(INDEX(PV_Totals_By_Item[#All], ROW()-1, COLUMN()), "")</f>
        <v/>
      </c>
      <c r="D274" s="1" t="str" cm="1">
        <f t="array" ref="D274">IFERROR(INDEX(PV_Totals_By_Item[#All], ROW()-1, COLUMN()), "")</f>
        <v/>
      </c>
      <c r="E274" s="1" t="str" cm="1">
        <f t="array" ref="E274">IFERROR(INDEX(PV_Totals_By_Item[#All], ROW()-1, COLUMN()), "")</f>
        <v/>
      </c>
      <c r="F274" s="1" t="str" cm="1">
        <f t="array" ref="F274">IFERROR(INDEX(PV_Totals_By_Item[#All], ROW()-1, COLUMN()), "")</f>
        <v/>
      </c>
      <c r="G274" s="1" t="str" cm="1">
        <f t="array" ref="G274">IFERROR(INDEX(PV_Totals_By_Item[#All], ROW()-1, COLUMN()), "")</f>
        <v/>
      </c>
      <c r="H274" s="1" t="str" cm="1">
        <f t="array" ref="H274">IFERROR(INDEX(PV_Totals_By_Item[#All], ROW()-1, COLUMN()), "")</f>
        <v/>
      </c>
      <c r="I274" s="1" t="str" cm="1">
        <f t="array" ref="I274">IFERROR(INDEX(PV_Totals_By_Item[#All], ROW()-1, COLUMN()), "")</f>
        <v/>
      </c>
      <c r="J274" s="1" t="str" cm="1">
        <f t="array" ref="J274">IFERROR(INDEX(PV_Totals_By_Item[#All], ROW()-1, COLUMN()), "")</f>
        <v/>
      </c>
    </row>
    <row r="275" spans="1:10">
      <c r="A275" s="1" t="str" cm="1">
        <f t="array" ref="A275">IFERROR(INDEX(PV_Totals_By_Item[#All], ROW()-1, COLUMN()), "")</f>
        <v/>
      </c>
      <c r="B275" s="1" t="str" cm="1">
        <f t="array" ref="B275">IFERROR(INDEX(PV_Totals_By_Item[#All], ROW()-1, COLUMN()), "")</f>
        <v/>
      </c>
      <c r="C275" s="1" t="str" cm="1">
        <f t="array" ref="C275">IFERROR(INDEX(PV_Totals_By_Item[#All], ROW()-1, COLUMN()), "")</f>
        <v/>
      </c>
      <c r="D275" s="1" t="str" cm="1">
        <f t="array" ref="D275">IFERROR(INDEX(PV_Totals_By_Item[#All], ROW()-1, COLUMN()), "")</f>
        <v/>
      </c>
      <c r="E275" s="1" t="str" cm="1">
        <f t="array" ref="E275">IFERROR(INDEX(PV_Totals_By_Item[#All], ROW()-1, COLUMN()), "")</f>
        <v/>
      </c>
      <c r="F275" s="1" t="str" cm="1">
        <f t="array" ref="F275">IFERROR(INDEX(PV_Totals_By_Item[#All], ROW()-1, COLUMN()), "")</f>
        <v/>
      </c>
      <c r="G275" s="1" t="str" cm="1">
        <f t="array" ref="G275">IFERROR(INDEX(PV_Totals_By_Item[#All], ROW()-1, COLUMN()), "")</f>
        <v/>
      </c>
      <c r="H275" s="1" t="str" cm="1">
        <f t="array" ref="H275">IFERROR(INDEX(PV_Totals_By_Item[#All], ROW()-1, COLUMN()), "")</f>
        <v/>
      </c>
      <c r="I275" s="1" t="str" cm="1">
        <f t="array" ref="I275">IFERROR(INDEX(PV_Totals_By_Item[#All], ROW()-1, COLUMN()), "")</f>
        <v/>
      </c>
      <c r="J275" s="1" t="str" cm="1">
        <f t="array" ref="J275">IFERROR(INDEX(PV_Totals_By_Item[#All], ROW()-1, COLUMN()), "")</f>
        <v/>
      </c>
    </row>
    <row r="276" spans="1:10">
      <c r="A276" s="1" t="str" cm="1">
        <f t="array" ref="A276">IFERROR(INDEX(PV_Totals_By_Item[#All], ROW()-1, COLUMN()), "")</f>
        <v/>
      </c>
      <c r="B276" s="1" t="str" cm="1">
        <f t="array" ref="B276">IFERROR(INDEX(PV_Totals_By_Item[#All], ROW()-1, COLUMN()), "")</f>
        <v/>
      </c>
      <c r="C276" s="1" t="str" cm="1">
        <f t="array" ref="C276">IFERROR(INDEX(PV_Totals_By_Item[#All], ROW()-1, COLUMN()), "")</f>
        <v/>
      </c>
      <c r="D276" s="1" t="str" cm="1">
        <f t="array" ref="D276">IFERROR(INDEX(PV_Totals_By_Item[#All], ROW()-1, COLUMN()), "")</f>
        <v/>
      </c>
      <c r="E276" s="1" t="str" cm="1">
        <f t="array" ref="E276">IFERROR(INDEX(PV_Totals_By_Item[#All], ROW()-1, COLUMN()), "")</f>
        <v/>
      </c>
      <c r="F276" s="1" t="str" cm="1">
        <f t="array" ref="F276">IFERROR(INDEX(PV_Totals_By_Item[#All], ROW()-1, COLUMN()), "")</f>
        <v/>
      </c>
      <c r="G276" s="1" t="str" cm="1">
        <f t="array" ref="G276">IFERROR(INDEX(PV_Totals_By_Item[#All], ROW()-1, COLUMN()), "")</f>
        <v/>
      </c>
      <c r="H276" s="1" t="str" cm="1">
        <f t="array" ref="H276">IFERROR(INDEX(PV_Totals_By_Item[#All], ROW()-1, COLUMN()), "")</f>
        <v/>
      </c>
      <c r="I276" s="1" t="str" cm="1">
        <f t="array" ref="I276">IFERROR(INDEX(PV_Totals_By_Item[#All], ROW()-1, COLUMN()), "")</f>
        <v/>
      </c>
      <c r="J276" s="1" t="str" cm="1">
        <f t="array" ref="J276">IFERROR(INDEX(PV_Totals_By_Item[#All], ROW()-1, COLUMN()), "")</f>
        <v/>
      </c>
    </row>
    <row r="277" spans="1:10">
      <c r="A277" s="1" t="str" cm="1">
        <f t="array" ref="A277">IFERROR(INDEX(PV_Totals_By_Item[#All], ROW()-1, COLUMN()), "")</f>
        <v/>
      </c>
      <c r="B277" s="1" t="str" cm="1">
        <f t="array" ref="B277">IFERROR(INDEX(PV_Totals_By_Item[#All], ROW()-1, COLUMN()), "")</f>
        <v/>
      </c>
      <c r="C277" s="1" t="str" cm="1">
        <f t="array" ref="C277">IFERROR(INDEX(PV_Totals_By_Item[#All], ROW()-1, COLUMN()), "")</f>
        <v/>
      </c>
      <c r="D277" s="1" t="str" cm="1">
        <f t="array" ref="D277">IFERROR(INDEX(PV_Totals_By_Item[#All], ROW()-1, COLUMN()), "")</f>
        <v/>
      </c>
      <c r="E277" s="1" t="str" cm="1">
        <f t="array" ref="E277">IFERROR(INDEX(PV_Totals_By_Item[#All], ROW()-1, COLUMN()), "")</f>
        <v/>
      </c>
      <c r="F277" s="1" t="str" cm="1">
        <f t="array" ref="F277">IFERROR(INDEX(PV_Totals_By_Item[#All], ROW()-1, COLUMN()), "")</f>
        <v/>
      </c>
      <c r="G277" s="1" t="str" cm="1">
        <f t="array" ref="G277">IFERROR(INDEX(PV_Totals_By_Item[#All], ROW()-1, COLUMN()), "")</f>
        <v/>
      </c>
      <c r="H277" s="1" t="str" cm="1">
        <f t="array" ref="H277">IFERROR(INDEX(PV_Totals_By_Item[#All], ROW()-1, COLUMN()), "")</f>
        <v/>
      </c>
      <c r="I277" s="1" t="str" cm="1">
        <f t="array" ref="I277">IFERROR(INDEX(PV_Totals_By_Item[#All], ROW()-1, COLUMN()), "")</f>
        <v/>
      </c>
      <c r="J277" s="1" t="str" cm="1">
        <f t="array" ref="J277">IFERROR(INDEX(PV_Totals_By_Item[#All], ROW()-1, COLUMN()), "")</f>
        <v/>
      </c>
    </row>
    <row r="278" spans="1:10">
      <c r="A278" s="1" t="str" cm="1">
        <f t="array" ref="A278">IFERROR(INDEX(PV_Totals_By_Item[#All], ROW()-1, COLUMN()), "")</f>
        <v/>
      </c>
      <c r="B278" s="1" t="str" cm="1">
        <f t="array" ref="B278">IFERROR(INDEX(PV_Totals_By_Item[#All], ROW()-1, COLUMN()), "")</f>
        <v/>
      </c>
      <c r="C278" s="1" t="str" cm="1">
        <f t="array" ref="C278">IFERROR(INDEX(PV_Totals_By_Item[#All], ROW()-1, COLUMN()), "")</f>
        <v/>
      </c>
      <c r="D278" s="1" t="str" cm="1">
        <f t="array" ref="D278">IFERROR(INDEX(PV_Totals_By_Item[#All], ROW()-1, COLUMN()), "")</f>
        <v/>
      </c>
      <c r="E278" s="1" t="str" cm="1">
        <f t="array" ref="E278">IFERROR(INDEX(PV_Totals_By_Item[#All], ROW()-1, COLUMN()), "")</f>
        <v/>
      </c>
      <c r="F278" s="1" t="str" cm="1">
        <f t="array" ref="F278">IFERROR(INDEX(PV_Totals_By_Item[#All], ROW()-1, COLUMN()), "")</f>
        <v/>
      </c>
      <c r="G278" s="1" t="str" cm="1">
        <f t="array" ref="G278">IFERROR(INDEX(PV_Totals_By_Item[#All], ROW()-1, COLUMN()), "")</f>
        <v/>
      </c>
      <c r="H278" s="1" t="str" cm="1">
        <f t="array" ref="H278">IFERROR(INDEX(PV_Totals_By_Item[#All], ROW()-1, COLUMN()), "")</f>
        <v/>
      </c>
      <c r="I278" s="1" t="str" cm="1">
        <f t="array" ref="I278">IFERROR(INDEX(PV_Totals_By_Item[#All], ROW()-1, COLUMN()), "")</f>
        <v/>
      </c>
      <c r="J278" s="1" t="str" cm="1">
        <f t="array" ref="J278">IFERROR(INDEX(PV_Totals_By_Item[#All], ROW()-1, COLUMN()), "")</f>
        <v/>
      </c>
    </row>
    <row r="279" spans="1:10">
      <c r="A279" s="1" t="str" cm="1">
        <f t="array" ref="A279">IFERROR(INDEX(PV_Totals_By_Item[#All], ROW()-1, COLUMN()), "")</f>
        <v/>
      </c>
      <c r="B279" s="1" t="str" cm="1">
        <f t="array" ref="B279">IFERROR(INDEX(PV_Totals_By_Item[#All], ROW()-1, COLUMN()), "")</f>
        <v/>
      </c>
      <c r="C279" s="1" t="str" cm="1">
        <f t="array" ref="C279">IFERROR(INDEX(PV_Totals_By_Item[#All], ROW()-1, COLUMN()), "")</f>
        <v/>
      </c>
      <c r="D279" s="1" t="str" cm="1">
        <f t="array" ref="D279">IFERROR(INDEX(PV_Totals_By_Item[#All], ROW()-1, COLUMN()), "")</f>
        <v/>
      </c>
      <c r="E279" s="1" t="str" cm="1">
        <f t="array" ref="E279">IFERROR(INDEX(PV_Totals_By_Item[#All], ROW()-1, COLUMN()), "")</f>
        <v/>
      </c>
      <c r="F279" s="1" t="str" cm="1">
        <f t="array" ref="F279">IFERROR(INDEX(PV_Totals_By_Item[#All], ROW()-1, COLUMN()), "")</f>
        <v/>
      </c>
      <c r="G279" s="1" t="str" cm="1">
        <f t="array" ref="G279">IFERROR(INDEX(PV_Totals_By_Item[#All], ROW()-1, COLUMN()), "")</f>
        <v/>
      </c>
      <c r="H279" s="1" t="str" cm="1">
        <f t="array" ref="H279">IFERROR(INDEX(PV_Totals_By_Item[#All], ROW()-1, COLUMN()), "")</f>
        <v/>
      </c>
      <c r="I279" s="1" t="str" cm="1">
        <f t="array" ref="I279">IFERROR(INDEX(PV_Totals_By_Item[#All], ROW()-1, COLUMN()), "")</f>
        <v/>
      </c>
      <c r="J279" s="1" t="str" cm="1">
        <f t="array" ref="J279">IFERROR(INDEX(PV_Totals_By_Item[#All], ROW()-1, COLUMN()), "")</f>
        <v/>
      </c>
    </row>
    <row r="280" spans="1:10">
      <c r="A280" s="1" t="str" cm="1">
        <f t="array" ref="A280">IFERROR(INDEX(PV_Totals_By_Item[#All], ROW()-1, COLUMN()), "")</f>
        <v/>
      </c>
      <c r="B280" s="1" t="str" cm="1">
        <f t="array" ref="B280">IFERROR(INDEX(PV_Totals_By_Item[#All], ROW()-1, COLUMN()), "")</f>
        <v/>
      </c>
      <c r="C280" s="1" t="str" cm="1">
        <f t="array" ref="C280">IFERROR(INDEX(PV_Totals_By_Item[#All], ROW()-1, COLUMN()), "")</f>
        <v/>
      </c>
      <c r="D280" s="1" t="str" cm="1">
        <f t="array" ref="D280">IFERROR(INDEX(PV_Totals_By_Item[#All], ROW()-1, COLUMN()), "")</f>
        <v/>
      </c>
      <c r="E280" s="1" t="str" cm="1">
        <f t="array" ref="E280">IFERROR(INDEX(PV_Totals_By_Item[#All], ROW()-1, COLUMN()), "")</f>
        <v/>
      </c>
      <c r="F280" s="1" t="str" cm="1">
        <f t="array" ref="F280">IFERROR(INDEX(PV_Totals_By_Item[#All], ROW()-1, COLUMN()), "")</f>
        <v/>
      </c>
      <c r="G280" s="1" t="str" cm="1">
        <f t="array" ref="G280">IFERROR(INDEX(PV_Totals_By_Item[#All], ROW()-1, COLUMN()), "")</f>
        <v/>
      </c>
      <c r="H280" s="1" t="str" cm="1">
        <f t="array" ref="H280">IFERROR(INDEX(PV_Totals_By_Item[#All], ROW()-1, COLUMN()), "")</f>
        <v/>
      </c>
      <c r="I280" s="1" t="str" cm="1">
        <f t="array" ref="I280">IFERROR(INDEX(PV_Totals_By_Item[#All], ROW()-1, COLUMN()), "")</f>
        <v/>
      </c>
      <c r="J280" s="1" t="str" cm="1">
        <f t="array" ref="J280">IFERROR(INDEX(PV_Totals_By_Item[#All], ROW()-1, COLUMN()), "")</f>
        <v/>
      </c>
    </row>
    <row r="281" spans="1:10">
      <c r="A281" s="1" t="str" cm="1">
        <f t="array" ref="A281">IFERROR(INDEX(PV_Totals_By_Item[#All], ROW()-1, COLUMN()), "")</f>
        <v/>
      </c>
      <c r="B281" s="1" t="str" cm="1">
        <f t="array" ref="B281">IFERROR(INDEX(PV_Totals_By_Item[#All], ROW()-1, COLUMN()), "")</f>
        <v/>
      </c>
      <c r="C281" s="1" t="str" cm="1">
        <f t="array" ref="C281">IFERROR(INDEX(PV_Totals_By_Item[#All], ROW()-1, COLUMN()), "")</f>
        <v/>
      </c>
      <c r="D281" s="1" t="str" cm="1">
        <f t="array" ref="D281">IFERROR(INDEX(PV_Totals_By_Item[#All], ROW()-1, COLUMN()), "")</f>
        <v/>
      </c>
      <c r="E281" s="1" t="str" cm="1">
        <f t="array" ref="E281">IFERROR(INDEX(PV_Totals_By_Item[#All], ROW()-1, COLUMN()), "")</f>
        <v/>
      </c>
      <c r="F281" s="1" t="str" cm="1">
        <f t="array" ref="F281">IFERROR(INDEX(PV_Totals_By_Item[#All], ROW()-1, COLUMN()), "")</f>
        <v/>
      </c>
      <c r="G281" s="1" t="str" cm="1">
        <f t="array" ref="G281">IFERROR(INDEX(PV_Totals_By_Item[#All], ROW()-1, COLUMN()), "")</f>
        <v/>
      </c>
      <c r="H281" s="1" t="str" cm="1">
        <f t="array" ref="H281">IFERROR(INDEX(PV_Totals_By_Item[#All], ROW()-1, COLUMN()), "")</f>
        <v/>
      </c>
      <c r="I281" s="1" t="str" cm="1">
        <f t="array" ref="I281">IFERROR(INDEX(PV_Totals_By_Item[#All], ROW()-1, COLUMN()), "")</f>
        <v/>
      </c>
      <c r="J281" s="1" t="str" cm="1">
        <f t="array" ref="J281">IFERROR(INDEX(PV_Totals_By_Item[#All], ROW()-1, COLUMN()), "")</f>
        <v/>
      </c>
    </row>
    <row r="282" spans="1:10">
      <c r="A282" s="1" t="str" cm="1">
        <f t="array" ref="A282">IFERROR(INDEX(PV_Totals_By_Item[#All], ROW()-1, COLUMN()), "")</f>
        <v/>
      </c>
      <c r="B282" s="1" t="str" cm="1">
        <f t="array" ref="B282">IFERROR(INDEX(PV_Totals_By_Item[#All], ROW()-1, COLUMN()), "")</f>
        <v/>
      </c>
      <c r="C282" s="1" t="str" cm="1">
        <f t="array" ref="C282">IFERROR(INDEX(PV_Totals_By_Item[#All], ROW()-1, COLUMN()), "")</f>
        <v/>
      </c>
      <c r="D282" s="1" t="str" cm="1">
        <f t="array" ref="D282">IFERROR(INDEX(PV_Totals_By_Item[#All], ROW()-1, COLUMN()), "")</f>
        <v/>
      </c>
      <c r="E282" s="1" t="str" cm="1">
        <f t="array" ref="E282">IFERROR(INDEX(PV_Totals_By_Item[#All], ROW()-1, COLUMN()), "")</f>
        <v/>
      </c>
      <c r="F282" s="1" t="str" cm="1">
        <f t="array" ref="F282">IFERROR(INDEX(PV_Totals_By_Item[#All], ROW()-1, COLUMN()), "")</f>
        <v/>
      </c>
      <c r="G282" s="1" t="str" cm="1">
        <f t="array" ref="G282">IFERROR(INDEX(PV_Totals_By_Item[#All], ROW()-1, COLUMN()), "")</f>
        <v/>
      </c>
      <c r="H282" s="1" t="str" cm="1">
        <f t="array" ref="H282">IFERROR(INDEX(PV_Totals_By_Item[#All], ROW()-1, COLUMN()), "")</f>
        <v/>
      </c>
      <c r="I282" s="1" t="str" cm="1">
        <f t="array" ref="I282">IFERROR(INDEX(PV_Totals_By_Item[#All], ROW()-1, COLUMN()), "")</f>
        <v/>
      </c>
      <c r="J282" s="1" t="str" cm="1">
        <f t="array" ref="J282">IFERROR(INDEX(PV_Totals_By_Item[#All], ROW()-1, COLUMN()), "")</f>
        <v/>
      </c>
    </row>
    <row r="283" spans="1:10">
      <c r="A283" s="1" t="str" cm="1">
        <f t="array" ref="A283">IFERROR(INDEX(PV_Totals_By_Item[#All], ROW()-1, COLUMN()), "")</f>
        <v/>
      </c>
      <c r="B283" s="1" t="str" cm="1">
        <f t="array" ref="B283">IFERROR(INDEX(PV_Totals_By_Item[#All], ROW()-1, COLUMN()), "")</f>
        <v/>
      </c>
      <c r="C283" s="1" t="str" cm="1">
        <f t="array" ref="C283">IFERROR(INDEX(PV_Totals_By_Item[#All], ROW()-1, COLUMN()), "")</f>
        <v/>
      </c>
      <c r="D283" s="1" t="str" cm="1">
        <f t="array" ref="D283">IFERROR(INDEX(PV_Totals_By_Item[#All], ROW()-1, COLUMN()), "")</f>
        <v/>
      </c>
      <c r="E283" s="1" t="str" cm="1">
        <f t="array" ref="E283">IFERROR(INDEX(PV_Totals_By_Item[#All], ROW()-1, COLUMN()), "")</f>
        <v/>
      </c>
      <c r="F283" s="1" t="str" cm="1">
        <f t="array" ref="F283">IFERROR(INDEX(PV_Totals_By_Item[#All], ROW()-1, COLUMN()), "")</f>
        <v/>
      </c>
      <c r="G283" s="1" t="str" cm="1">
        <f t="array" ref="G283">IFERROR(INDEX(PV_Totals_By_Item[#All], ROW()-1, COLUMN()), "")</f>
        <v/>
      </c>
      <c r="H283" s="1" t="str" cm="1">
        <f t="array" ref="H283">IFERROR(INDEX(PV_Totals_By_Item[#All], ROW()-1, COLUMN()), "")</f>
        <v/>
      </c>
      <c r="I283" s="1" t="str" cm="1">
        <f t="array" ref="I283">IFERROR(INDEX(PV_Totals_By_Item[#All], ROW()-1, COLUMN()), "")</f>
        <v/>
      </c>
      <c r="J283" s="1" t="str" cm="1">
        <f t="array" ref="J283">IFERROR(INDEX(PV_Totals_By_Item[#All], ROW()-1, COLUMN()), "")</f>
        <v/>
      </c>
    </row>
    <row r="284" spans="1:10">
      <c r="A284" s="1" t="str" cm="1">
        <f t="array" ref="A284">IFERROR(INDEX(PV_Totals_By_Item[#All], ROW()-1, COLUMN()), "")</f>
        <v/>
      </c>
      <c r="B284" s="1" t="str" cm="1">
        <f t="array" ref="B284">IFERROR(INDEX(PV_Totals_By_Item[#All], ROW()-1, COLUMN()), "")</f>
        <v/>
      </c>
      <c r="C284" s="1" t="str" cm="1">
        <f t="array" ref="C284">IFERROR(INDEX(PV_Totals_By_Item[#All], ROW()-1, COLUMN()), "")</f>
        <v/>
      </c>
      <c r="D284" s="1" t="str" cm="1">
        <f t="array" ref="D284">IFERROR(INDEX(PV_Totals_By_Item[#All], ROW()-1, COLUMN()), "")</f>
        <v/>
      </c>
      <c r="E284" s="1" t="str" cm="1">
        <f t="array" ref="E284">IFERROR(INDEX(PV_Totals_By_Item[#All], ROW()-1, COLUMN()), "")</f>
        <v/>
      </c>
      <c r="F284" s="1" t="str" cm="1">
        <f t="array" ref="F284">IFERROR(INDEX(PV_Totals_By_Item[#All], ROW()-1, COLUMN()), "")</f>
        <v/>
      </c>
      <c r="G284" s="1" t="str" cm="1">
        <f t="array" ref="G284">IFERROR(INDEX(PV_Totals_By_Item[#All], ROW()-1, COLUMN()), "")</f>
        <v/>
      </c>
      <c r="H284" s="1" t="str" cm="1">
        <f t="array" ref="H284">IFERROR(INDEX(PV_Totals_By_Item[#All], ROW()-1, COLUMN()), "")</f>
        <v/>
      </c>
      <c r="I284" s="1" t="str" cm="1">
        <f t="array" ref="I284">IFERROR(INDEX(PV_Totals_By_Item[#All], ROW()-1, COLUMN()), "")</f>
        <v/>
      </c>
      <c r="J284" s="1" t="str" cm="1">
        <f t="array" ref="J284">IFERROR(INDEX(PV_Totals_By_Item[#All], ROW()-1, COLUMN()), "")</f>
        <v/>
      </c>
    </row>
    <row r="285" spans="1:10">
      <c r="A285" s="1" t="str" cm="1">
        <f t="array" ref="A285">IFERROR(INDEX(PV_Totals_By_Item[#All], ROW()-1, COLUMN()), "")</f>
        <v/>
      </c>
      <c r="B285" s="1" t="str" cm="1">
        <f t="array" ref="B285">IFERROR(INDEX(PV_Totals_By_Item[#All], ROW()-1, COLUMN()), "")</f>
        <v/>
      </c>
      <c r="C285" s="1" t="str" cm="1">
        <f t="array" ref="C285">IFERROR(INDEX(PV_Totals_By_Item[#All], ROW()-1, COLUMN()), "")</f>
        <v/>
      </c>
      <c r="D285" s="1" t="str" cm="1">
        <f t="array" ref="D285">IFERROR(INDEX(PV_Totals_By_Item[#All], ROW()-1, COLUMN()), "")</f>
        <v/>
      </c>
      <c r="E285" s="1" t="str" cm="1">
        <f t="array" ref="E285">IFERROR(INDEX(PV_Totals_By_Item[#All], ROW()-1, COLUMN()), "")</f>
        <v/>
      </c>
      <c r="F285" s="1" t="str" cm="1">
        <f t="array" ref="F285">IFERROR(INDEX(PV_Totals_By_Item[#All], ROW()-1, COLUMN()), "")</f>
        <v/>
      </c>
      <c r="G285" s="1" t="str" cm="1">
        <f t="array" ref="G285">IFERROR(INDEX(PV_Totals_By_Item[#All], ROW()-1, COLUMN()), "")</f>
        <v/>
      </c>
      <c r="H285" s="1" t="str" cm="1">
        <f t="array" ref="H285">IFERROR(INDEX(PV_Totals_By_Item[#All], ROW()-1, COLUMN()), "")</f>
        <v/>
      </c>
      <c r="I285" s="1" t="str" cm="1">
        <f t="array" ref="I285">IFERROR(INDEX(PV_Totals_By_Item[#All], ROW()-1, COLUMN()), "")</f>
        <v/>
      </c>
      <c r="J285" s="1" t="str" cm="1">
        <f t="array" ref="J285">IFERROR(INDEX(PV_Totals_By_Item[#All], ROW()-1, COLUMN()), "")</f>
        <v/>
      </c>
    </row>
    <row r="286" spans="1:10">
      <c r="A286" s="1" t="str" cm="1">
        <f t="array" ref="A286">IFERROR(INDEX(PV_Totals_By_Item[#All], ROW()-1, COLUMN()), "")</f>
        <v/>
      </c>
      <c r="B286" s="1" t="str" cm="1">
        <f t="array" ref="B286">IFERROR(INDEX(PV_Totals_By_Item[#All], ROW()-1, COLUMN()), "")</f>
        <v/>
      </c>
      <c r="C286" s="1" t="str" cm="1">
        <f t="array" ref="C286">IFERROR(INDEX(PV_Totals_By_Item[#All], ROW()-1, COLUMN()), "")</f>
        <v/>
      </c>
      <c r="D286" s="1" t="str" cm="1">
        <f t="array" ref="D286">IFERROR(INDEX(PV_Totals_By_Item[#All], ROW()-1, COLUMN()), "")</f>
        <v/>
      </c>
      <c r="E286" s="1" t="str" cm="1">
        <f t="array" ref="E286">IFERROR(INDEX(PV_Totals_By_Item[#All], ROW()-1, COLUMN()), "")</f>
        <v/>
      </c>
      <c r="F286" s="1" t="str" cm="1">
        <f t="array" ref="F286">IFERROR(INDEX(PV_Totals_By_Item[#All], ROW()-1, COLUMN()), "")</f>
        <v/>
      </c>
      <c r="G286" s="1" t="str" cm="1">
        <f t="array" ref="G286">IFERROR(INDEX(PV_Totals_By_Item[#All], ROW()-1, COLUMN()), "")</f>
        <v/>
      </c>
      <c r="H286" s="1" t="str" cm="1">
        <f t="array" ref="H286">IFERROR(INDEX(PV_Totals_By_Item[#All], ROW()-1, COLUMN()), "")</f>
        <v/>
      </c>
      <c r="I286" s="1" t="str" cm="1">
        <f t="array" ref="I286">IFERROR(INDEX(PV_Totals_By_Item[#All], ROW()-1, COLUMN()), "")</f>
        <v/>
      </c>
      <c r="J286" s="1" t="str" cm="1">
        <f t="array" ref="J286">IFERROR(INDEX(PV_Totals_By_Item[#All], ROW()-1, COLUMN()), "")</f>
        <v/>
      </c>
    </row>
    <row r="287" spans="1:10">
      <c r="A287" s="1" t="str" cm="1">
        <f t="array" ref="A287">IFERROR(INDEX(PV_Totals_By_Item[#All], ROW()-1, COLUMN()), "")</f>
        <v/>
      </c>
      <c r="B287" s="1" t="str" cm="1">
        <f t="array" ref="B287">IFERROR(INDEX(PV_Totals_By_Item[#All], ROW()-1, COLUMN()), "")</f>
        <v/>
      </c>
      <c r="C287" s="1" t="str" cm="1">
        <f t="array" ref="C287">IFERROR(INDEX(PV_Totals_By_Item[#All], ROW()-1, COLUMN()), "")</f>
        <v/>
      </c>
      <c r="D287" s="1" t="str" cm="1">
        <f t="array" ref="D287">IFERROR(INDEX(PV_Totals_By_Item[#All], ROW()-1, COLUMN()), "")</f>
        <v/>
      </c>
      <c r="E287" s="1" t="str" cm="1">
        <f t="array" ref="E287">IFERROR(INDEX(PV_Totals_By_Item[#All], ROW()-1, COLUMN()), "")</f>
        <v/>
      </c>
      <c r="F287" s="1" t="str" cm="1">
        <f t="array" ref="F287">IFERROR(INDEX(PV_Totals_By_Item[#All], ROW()-1, COLUMN()), "")</f>
        <v/>
      </c>
      <c r="G287" s="1" t="str" cm="1">
        <f t="array" ref="G287">IFERROR(INDEX(PV_Totals_By_Item[#All], ROW()-1, COLUMN()), "")</f>
        <v/>
      </c>
      <c r="H287" s="1" t="str" cm="1">
        <f t="array" ref="H287">IFERROR(INDEX(PV_Totals_By_Item[#All], ROW()-1, COLUMN()), "")</f>
        <v/>
      </c>
      <c r="I287" s="1" t="str" cm="1">
        <f t="array" ref="I287">IFERROR(INDEX(PV_Totals_By_Item[#All], ROW()-1, COLUMN()), "")</f>
        <v/>
      </c>
      <c r="J287" s="1" t="str" cm="1">
        <f t="array" ref="J287">IFERROR(INDEX(PV_Totals_By_Item[#All], ROW()-1, COLUMN()), "")</f>
        <v/>
      </c>
    </row>
    <row r="288" spans="1:10">
      <c r="A288" s="1" t="str" cm="1">
        <f t="array" ref="A288">IFERROR(INDEX(PV_Totals_By_Item[#All], ROW()-1, COLUMN()), "")</f>
        <v/>
      </c>
      <c r="B288" s="1" t="str" cm="1">
        <f t="array" ref="B288">IFERROR(INDEX(PV_Totals_By_Item[#All], ROW()-1, COLUMN()), "")</f>
        <v/>
      </c>
      <c r="C288" s="1" t="str" cm="1">
        <f t="array" ref="C288">IFERROR(INDEX(PV_Totals_By_Item[#All], ROW()-1, COLUMN()), "")</f>
        <v/>
      </c>
      <c r="D288" s="1" t="str" cm="1">
        <f t="array" ref="D288">IFERROR(INDEX(PV_Totals_By_Item[#All], ROW()-1, COLUMN()), "")</f>
        <v/>
      </c>
      <c r="E288" s="1" t="str" cm="1">
        <f t="array" ref="E288">IFERROR(INDEX(PV_Totals_By_Item[#All], ROW()-1, COLUMN()), "")</f>
        <v/>
      </c>
      <c r="F288" s="1" t="str" cm="1">
        <f t="array" ref="F288">IFERROR(INDEX(PV_Totals_By_Item[#All], ROW()-1, COLUMN()), "")</f>
        <v/>
      </c>
      <c r="G288" s="1" t="str" cm="1">
        <f t="array" ref="G288">IFERROR(INDEX(PV_Totals_By_Item[#All], ROW()-1, COLUMN()), "")</f>
        <v/>
      </c>
      <c r="H288" s="1" t="str" cm="1">
        <f t="array" ref="H288">IFERROR(INDEX(PV_Totals_By_Item[#All], ROW()-1, COLUMN()), "")</f>
        <v/>
      </c>
      <c r="I288" s="1" t="str" cm="1">
        <f t="array" ref="I288">IFERROR(INDEX(PV_Totals_By_Item[#All], ROW()-1, COLUMN()), "")</f>
        <v/>
      </c>
      <c r="J288" s="1" t="str" cm="1">
        <f t="array" ref="J288">IFERROR(INDEX(PV_Totals_By_Item[#All], ROW()-1, COLUMN()), "")</f>
        <v/>
      </c>
    </row>
    <row r="289" spans="1:10">
      <c r="A289" s="1" t="str" cm="1">
        <f t="array" ref="A289">IFERROR(INDEX(PV_Totals_By_Item[#All], ROW()-1, COLUMN()), "")</f>
        <v/>
      </c>
      <c r="B289" s="1" t="str" cm="1">
        <f t="array" ref="B289">IFERROR(INDEX(PV_Totals_By_Item[#All], ROW()-1, COLUMN()), "")</f>
        <v/>
      </c>
      <c r="C289" s="1" t="str" cm="1">
        <f t="array" ref="C289">IFERROR(INDEX(PV_Totals_By_Item[#All], ROW()-1, COLUMN()), "")</f>
        <v/>
      </c>
      <c r="D289" s="1" t="str" cm="1">
        <f t="array" ref="D289">IFERROR(INDEX(PV_Totals_By_Item[#All], ROW()-1, COLUMN()), "")</f>
        <v/>
      </c>
      <c r="E289" s="1" t="str" cm="1">
        <f t="array" ref="E289">IFERROR(INDEX(PV_Totals_By_Item[#All], ROW()-1, COLUMN()), "")</f>
        <v/>
      </c>
      <c r="F289" s="1" t="str" cm="1">
        <f t="array" ref="F289">IFERROR(INDEX(PV_Totals_By_Item[#All], ROW()-1, COLUMN()), "")</f>
        <v/>
      </c>
      <c r="G289" s="1" t="str" cm="1">
        <f t="array" ref="G289">IFERROR(INDEX(PV_Totals_By_Item[#All], ROW()-1, COLUMN()), "")</f>
        <v/>
      </c>
      <c r="H289" s="1" t="str" cm="1">
        <f t="array" ref="H289">IFERROR(INDEX(PV_Totals_By_Item[#All], ROW()-1, COLUMN()), "")</f>
        <v/>
      </c>
      <c r="I289" s="1" t="str" cm="1">
        <f t="array" ref="I289">IFERROR(INDEX(PV_Totals_By_Item[#All], ROW()-1, COLUMN()), "")</f>
        <v/>
      </c>
      <c r="J289" s="1" t="str" cm="1">
        <f t="array" ref="J289">IFERROR(INDEX(PV_Totals_By_Item[#All], ROW()-1, COLUMN()), "")</f>
        <v/>
      </c>
    </row>
    <row r="290" spans="1:10">
      <c r="A290" s="1" t="str" cm="1">
        <f t="array" ref="A290">IFERROR(INDEX(PV_Totals_By_Item[#All], ROW()-1, COLUMN()), "")</f>
        <v/>
      </c>
      <c r="B290" s="1" t="str" cm="1">
        <f t="array" ref="B290">IFERROR(INDEX(PV_Totals_By_Item[#All], ROW()-1, COLUMN()), "")</f>
        <v/>
      </c>
      <c r="C290" s="1" t="str" cm="1">
        <f t="array" ref="C290">IFERROR(INDEX(PV_Totals_By_Item[#All], ROW()-1, COLUMN()), "")</f>
        <v/>
      </c>
      <c r="D290" s="1" t="str" cm="1">
        <f t="array" ref="D290">IFERROR(INDEX(PV_Totals_By_Item[#All], ROW()-1, COLUMN()), "")</f>
        <v/>
      </c>
      <c r="E290" s="1" t="str" cm="1">
        <f t="array" ref="E290">IFERROR(INDEX(PV_Totals_By_Item[#All], ROW()-1, COLUMN()), "")</f>
        <v/>
      </c>
      <c r="F290" s="1" t="str" cm="1">
        <f t="array" ref="F290">IFERROR(INDEX(PV_Totals_By_Item[#All], ROW()-1, COLUMN()), "")</f>
        <v/>
      </c>
      <c r="G290" s="1" t="str" cm="1">
        <f t="array" ref="G290">IFERROR(INDEX(PV_Totals_By_Item[#All], ROW()-1, COLUMN()), "")</f>
        <v/>
      </c>
      <c r="H290" s="1" t="str" cm="1">
        <f t="array" ref="H290">IFERROR(INDEX(PV_Totals_By_Item[#All], ROW()-1, COLUMN()), "")</f>
        <v/>
      </c>
      <c r="I290" s="1" t="str" cm="1">
        <f t="array" ref="I290">IFERROR(INDEX(PV_Totals_By_Item[#All], ROW()-1, COLUMN()), "")</f>
        <v/>
      </c>
      <c r="J290" s="1" t="str" cm="1">
        <f t="array" ref="J290">IFERROR(INDEX(PV_Totals_By_Item[#All], ROW()-1, COLUMN()), "")</f>
        <v/>
      </c>
    </row>
    <row r="291" spans="1:10">
      <c r="A291" s="1" t="str" cm="1">
        <f t="array" ref="A291">IFERROR(INDEX(PV_Totals_By_Item[#All], ROW()-1, COLUMN()), "")</f>
        <v/>
      </c>
      <c r="B291" s="1" t="str" cm="1">
        <f t="array" ref="B291">IFERROR(INDEX(PV_Totals_By_Item[#All], ROW()-1, COLUMN()), "")</f>
        <v/>
      </c>
      <c r="C291" s="1" t="str" cm="1">
        <f t="array" ref="C291">IFERROR(INDEX(PV_Totals_By_Item[#All], ROW()-1, COLUMN()), "")</f>
        <v/>
      </c>
      <c r="D291" s="1" t="str" cm="1">
        <f t="array" ref="D291">IFERROR(INDEX(PV_Totals_By_Item[#All], ROW()-1, COLUMN()), "")</f>
        <v/>
      </c>
      <c r="E291" s="1" t="str" cm="1">
        <f t="array" ref="E291">IFERROR(INDEX(PV_Totals_By_Item[#All], ROW()-1, COLUMN()), "")</f>
        <v/>
      </c>
      <c r="F291" s="1" t="str" cm="1">
        <f t="array" ref="F291">IFERROR(INDEX(PV_Totals_By_Item[#All], ROW()-1, COLUMN()), "")</f>
        <v/>
      </c>
      <c r="G291" s="1" t="str" cm="1">
        <f t="array" ref="G291">IFERROR(INDEX(PV_Totals_By_Item[#All], ROW()-1, COLUMN()), "")</f>
        <v/>
      </c>
      <c r="H291" s="1" t="str" cm="1">
        <f t="array" ref="H291">IFERROR(INDEX(PV_Totals_By_Item[#All], ROW()-1, COLUMN()), "")</f>
        <v/>
      </c>
      <c r="I291" s="1" t="str" cm="1">
        <f t="array" ref="I291">IFERROR(INDEX(PV_Totals_By_Item[#All], ROW()-1, COLUMN()), "")</f>
        <v/>
      </c>
      <c r="J291" s="1" t="str" cm="1">
        <f t="array" ref="J291">IFERROR(INDEX(PV_Totals_By_Item[#All], ROW()-1, COLUMN()), "")</f>
        <v/>
      </c>
    </row>
    <row r="292" spans="1:10">
      <c r="A292" s="1" t="str" cm="1">
        <f t="array" ref="A292">IFERROR(INDEX(PV_Totals_By_Item[#All], ROW()-1, COLUMN()), "")</f>
        <v/>
      </c>
      <c r="B292" s="1" t="str" cm="1">
        <f t="array" ref="B292">IFERROR(INDEX(PV_Totals_By_Item[#All], ROW()-1, COLUMN()), "")</f>
        <v/>
      </c>
      <c r="C292" s="1" t="str" cm="1">
        <f t="array" ref="C292">IFERROR(INDEX(PV_Totals_By_Item[#All], ROW()-1, COLUMN()), "")</f>
        <v/>
      </c>
      <c r="D292" s="1" t="str" cm="1">
        <f t="array" ref="D292">IFERROR(INDEX(PV_Totals_By_Item[#All], ROW()-1, COLUMN()), "")</f>
        <v/>
      </c>
      <c r="E292" s="1" t="str" cm="1">
        <f t="array" ref="E292">IFERROR(INDEX(PV_Totals_By_Item[#All], ROW()-1, COLUMN()), "")</f>
        <v/>
      </c>
      <c r="F292" s="1" t="str" cm="1">
        <f t="array" ref="F292">IFERROR(INDEX(PV_Totals_By_Item[#All], ROW()-1, COLUMN()), "")</f>
        <v/>
      </c>
      <c r="G292" s="1" t="str" cm="1">
        <f t="array" ref="G292">IFERROR(INDEX(PV_Totals_By_Item[#All], ROW()-1, COLUMN()), "")</f>
        <v/>
      </c>
      <c r="H292" s="1" t="str" cm="1">
        <f t="array" ref="H292">IFERROR(INDEX(PV_Totals_By_Item[#All], ROW()-1, COLUMN()), "")</f>
        <v/>
      </c>
      <c r="I292" s="1" t="str" cm="1">
        <f t="array" ref="I292">IFERROR(INDEX(PV_Totals_By_Item[#All], ROW()-1, COLUMN()), "")</f>
        <v/>
      </c>
      <c r="J292" s="1" t="str" cm="1">
        <f t="array" ref="J292">IFERROR(INDEX(PV_Totals_By_Item[#All], ROW()-1, COLUMN()), "")</f>
        <v/>
      </c>
    </row>
    <row r="293" spans="1:10">
      <c r="A293" s="1" t="str" cm="1">
        <f t="array" ref="A293">IFERROR(INDEX(PV_Totals_By_Item[#All], ROW()-1, COLUMN()), "")</f>
        <v/>
      </c>
      <c r="B293" s="1" t="str" cm="1">
        <f t="array" ref="B293">IFERROR(INDEX(PV_Totals_By_Item[#All], ROW()-1, COLUMN()), "")</f>
        <v/>
      </c>
      <c r="C293" s="1" t="str" cm="1">
        <f t="array" ref="C293">IFERROR(INDEX(PV_Totals_By_Item[#All], ROW()-1, COLUMN()), "")</f>
        <v/>
      </c>
      <c r="D293" s="1" t="str" cm="1">
        <f t="array" ref="D293">IFERROR(INDEX(PV_Totals_By_Item[#All], ROW()-1, COLUMN()), "")</f>
        <v/>
      </c>
      <c r="E293" s="1" t="str" cm="1">
        <f t="array" ref="E293">IFERROR(INDEX(PV_Totals_By_Item[#All], ROW()-1, COLUMN()), "")</f>
        <v/>
      </c>
      <c r="F293" s="1" t="str" cm="1">
        <f t="array" ref="F293">IFERROR(INDEX(PV_Totals_By_Item[#All], ROW()-1, COLUMN()), "")</f>
        <v/>
      </c>
      <c r="G293" s="1" t="str" cm="1">
        <f t="array" ref="G293">IFERROR(INDEX(PV_Totals_By_Item[#All], ROW()-1, COLUMN()), "")</f>
        <v/>
      </c>
      <c r="H293" s="1" t="str" cm="1">
        <f t="array" ref="H293">IFERROR(INDEX(PV_Totals_By_Item[#All], ROW()-1, COLUMN()), "")</f>
        <v/>
      </c>
      <c r="I293" s="1" t="str" cm="1">
        <f t="array" ref="I293">IFERROR(INDEX(PV_Totals_By_Item[#All], ROW()-1, COLUMN()), "")</f>
        <v/>
      </c>
      <c r="J293" s="1" t="str" cm="1">
        <f t="array" ref="J293">IFERROR(INDEX(PV_Totals_By_Item[#All], ROW()-1, COLUMN()), "")</f>
        <v/>
      </c>
    </row>
    <row r="294" spans="1:10">
      <c r="A294" s="1" t="str" cm="1">
        <f t="array" ref="A294">IFERROR(INDEX(PV_Totals_By_Item[#All], ROW()-1, COLUMN()), "")</f>
        <v/>
      </c>
      <c r="B294" s="1" t="str" cm="1">
        <f t="array" ref="B294">IFERROR(INDEX(PV_Totals_By_Item[#All], ROW()-1, COLUMN()), "")</f>
        <v/>
      </c>
      <c r="C294" s="1" t="str" cm="1">
        <f t="array" ref="C294">IFERROR(INDEX(PV_Totals_By_Item[#All], ROW()-1, COLUMN()), "")</f>
        <v/>
      </c>
      <c r="D294" s="1" t="str" cm="1">
        <f t="array" ref="D294">IFERROR(INDEX(PV_Totals_By_Item[#All], ROW()-1, COLUMN()), "")</f>
        <v/>
      </c>
      <c r="E294" s="1" t="str" cm="1">
        <f t="array" ref="E294">IFERROR(INDEX(PV_Totals_By_Item[#All], ROW()-1, COLUMN()), "")</f>
        <v/>
      </c>
      <c r="F294" s="1" t="str" cm="1">
        <f t="array" ref="F294">IFERROR(INDEX(PV_Totals_By_Item[#All], ROW()-1, COLUMN()), "")</f>
        <v/>
      </c>
      <c r="G294" s="1" t="str" cm="1">
        <f t="array" ref="G294">IFERROR(INDEX(PV_Totals_By_Item[#All], ROW()-1, COLUMN()), "")</f>
        <v/>
      </c>
      <c r="H294" s="1" t="str" cm="1">
        <f t="array" ref="H294">IFERROR(INDEX(PV_Totals_By_Item[#All], ROW()-1, COLUMN()), "")</f>
        <v/>
      </c>
      <c r="I294" s="1" t="str" cm="1">
        <f t="array" ref="I294">IFERROR(INDEX(PV_Totals_By_Item[#All], ROW()-1, COLUMN()), "")</f>
        <v/>
      </c>
      <c r="J294" s="1" t="str" cm="1">
        <f t="array" ref="J294">IFERROR(INDEX(PV_Totals_By_Item[#All], ROW()-1, COLUMN()), "")</f>
        <v/>
      </c>
    </row>
    <row r="295" spans="1:10">
      <c r="A295" s="1" t="str" cm="1">
        <f t="array" ref="A295">IFERROR(INDEX(PV_Totals_By_Item[#All], ROW()-1, COLUMN()), "")</f>
        <v/>
      </c>
      <c r="B295" s="1" t="str" cm="1">
        <f t="array" ref="B295">IFERROR(INDEX(PV_Totals_By_Item[#All], ROW()-1, COLUMN()), "")</f>
        <v/>
      </c>
      <c r="C295" s="1" t="str" cm="1">
        <f t="array" ref="C295">IFERROR(INDEX(PV_Totals_By_Item[#All], ROW()-1, COLUMN()), "")</f>
        <v/>
      </c>
      <c r="D295" s="1" t="str" cm="1">
        <f t="array" ref="D295">IFERROR(INDEX(PV_Totals_By_Item[#All], ROW()-1, COLUMN()), "")</f>
        <v/>
      </c>
      <c r="E295" s="1" t="str" cm="1">
        <f t="array" ref="E295">IFERROR(INDEX(PV_Totals_By_Item[#All], ROW()-1, COLUMN()), "")</f>
        <v/>
      </c>
      <c r="F295" s="1" t="str" cm="1">
        <f t="array" ref="F295">IFERROR(INDEX(PV_Totals_By_Item[#All], ROW()-1, COLUMN()), "")</f>
        <v/>
      </c>
      <c r="G295" s="1" t="str" cm="1">
        <f t="array" ref="G295">IFERROR(INDEX(PV_Totals_By_Item[#All], ROW()-1, COLUMN()), "")</f>
        <v/>
      </c>
      <c r="H295" s="1" t="str" cm="1">
        <f t="array" ref="H295">IFERROR(INDEX(PV_Totals_By_Item[#All], ROW()-1, COLUMN()), "")</f>
        <v/>
      </c>
      <c r="I295" s="1" t="str" cm="1">
        <f t="array" ref="I295">IFERROR(INDEX(PV_Totals_By_Item[#All], ROW()-1, COLUMN()), "")</f>
        <v/>
      </c>
      <c r="J295" s="1" t="str" cm="1">
        <f t="array" ref="J295">IFERROR(INDEX(PV_Totals_By_Item[#All], ROW()-1, COLUMN()), "")</f>
        <v/>
      </c>
    </row>
    <row r="296" spans="1:10">
      <c r="A296" s="1" t="str" cm="1">
        <f t="array" ref="A296">IFERROR(INDEX(PV_Totals_By_Item[#All], ROW()-1, COLUMN()), "")</f>
        <v/>
      </c>
      <c r="B296" s="1" t="str" cm="1">
        <f t="array" ref="B296">IFERROR(INDEX(PV_Totals_By_Item[#All], ROW()-1, COLUMN()), "")</f>
        <v/>
      </c>
      <c r="C296" s="1" t="str" cm="1">
        <f t="array" ref="C296">IFERROR(INDEX(PV_Totals_By_Item[#All], ROW()-1, COLUMN()), "")</f>
        <v/>
      </c>
      <c r="D296" s="1" t="str" cm="1">
        <f t="array" ref="D296">IFERROR(INDEX(PV_Totals_By_Item[#All], ROW()-1, COLUMN()), "")</f>
        <v/>
      </c>
      <c r="E296" s="1" t="str" cm="1">
        <f t="array" ref="E296">IFERROR(INDEX(PV_Totals_By_Item[#All], ROW()-1, COLUMN()), "")</f>
        <v/>
      </c>
      <c r="F296" s="1" t="str" cm="1">
        <f t="array" ref="F296">IFERROR(INDEX(PV_Totals_By_Item[#All], ROW()-1, COLUMN()), "")</f>
        <v/>
      </c>
      <c r="G296" s="1" t="str" cm="1">
        <f t="array" ref="G296">IFERROR(INDEX(PV_Totals_By_Item[#All], ROW()-1, COLUMN()), "")</f>
        <v/>
      </c>
      <c r="H296" s="1" t="str" cm="1">
        <f t="array" ref="H296">IFERROR(INDEX(PV_Totals_By_Item[#All], ROW()-1, COLUMN()), "")</f>
        <v/>
      </c>
      <c r="I296" s="1" t="str" cm="1">
        <f t="array" ref="I296">IFERROR(INDEX(PV_Totals_By_Item[#All], ROW()-1, COLUMN()), "")</f>
        <v/>
      </c>
      <c r="J296" s="1" t="str" cm="1">
        <f t="array" ref="J296">IFERROR(INDEX(PV_Totals_By_Item[#All], ROW()-1, COLUMN()), "")</f>
        <v/>
      </c>
    </row>
    <row r="297" spans="1:10">
      <c r="A297" s="1" t="str" cm="1">
        <f t="array" ref="A297">IFERROR(INDEX(PV_Totals_By_Item[#All], ROW()-1, COLUMN()), "")</f>
        <v/>
      </c>
      <c r="B297" s="1" t="str" cm="1">
        <f t="array" ref="B297">IFERROR(INDEX(PV_Totals_By_Item[#All], ROW()-1, COLUMN()), "")</f>
        <v/>
      </c>
      <c r="C297" s="1" t="str" cm="1">
        <f t="array" ref="C297">IFERROR(INDEX(PV_Totals_By_Item[#All], ROW()-1, COLUMN()), "")</f>
        <v/>
      </c>
      <c r="D297" s="1" t="str" cm="1">
        <f t="array" ref="D297">IFERROR(INDEX(PV_Totals_By_Item[#All], ROW()-1, COLUMN()), "")</f>
        <v/>
      </c>
      <c r="E297" s="1" t="str" cm="1">
        <f t="array" ref="E297">IFERROR(INDEX(PV_Totals_By_Item[#All], ROW()-1, COLUMN()), "")</f>
        <v/>
      </c>
      <c r="F297" s="1" t="str" cm="1">
        <f t="array" ref="F297">IFERROR(INDEX(PV_Totals_By_Item[#All], ROW()-1, COLUMN()), "")</f>
        <v/>
      </c>
      <c r="G297" s="1" t="str" cm="1">
        <f t="array" ref="G297">IFERROR(INDEX(PV_Totals_By_Item[#All], ROW()-1, COLUMN()), "")</f>
        <v/>
      </c>
      <c r="H297" s="1" t="str" cm="1">
        <f t="array" ref="H297">IFERROR(INDEX(PV_Totals_By_Item[#All], ROW()-1, COLUMN()), "")</f>
        <v/>
      </c>
      <c r="I297" s="1" t="str" cm="1">
        <f t="array" ref="I297">IFERROR(INDEX(PV_Totals_By_Item[#All], ROW()-1, COLUMN()), "")</f>
        <v/>
      </c>
      <c r="J297" s="1" t="str" cm="1">
        <f t="array" ref="J297">IFERROR(INDEX(PV_Totals_By_Item[#All], ROW()-1, COLUMN()), "")</f>
        <v/>
      </c>
    </row>
    <row r="298" spans="1:10">
      <c r="A298" s="1" t="str" cm="1">
        <f t="array" ref="A298">IFERROR(INDEX(PV_Totals_By_Item[#All], ROW()-1, COLUMN()), "")</f>
        <v/>
      </c>
      <c r="B298" s="1" t="str" cm="1">
        <f t="array" ref="B298">IFERROR(INDEX(PV_Totals_By_Item[#All], ROW()-1, COLUMN()), "")</f>
        <v/>
      </c>
      <c r="C298" s="1" t="str" cm="1">
        <f t="array" ref="C298">IFERROR(INDEX(PV_Totals_By_Item[#All], ROW()-1, COLUMN()), "")</f>
        <v/>
      </c>
      <c r="D298" s="1" t="str" cm="1">
        <f t="array" ref="D298">IFERROR(INDEX(PV_Totals_By_Item[#All], ROW()-1, COLUMN()), "")</f>
        <v/>
      </c>
      <c r="E298" s="1" t="str" cm="1">
        <f t="array" ref="E298">IFERROR(INDEX(PV_Totals_By_Item[#All], ROW()-1, COLUMN()), "")</f>
        <v/>
      </c>
      <c r="F298" s="1" t="str" cm="1">
        <f t="array" ref="F298">IFERROR(INDEX(PV_Totals_By_Item[#All], ROW()-1, COLUMN()), "")</f>
        <v/>
      </c>
      <c r="G298" s="1" t="str" cm="1">
        <f t="array" ref="G298">IFERROR(INDEX(PV_Totals_By_Item[#All], ROW()-1, COLUMN()), "")</f>
        <v/>
      </c>
      <c r="H298" s="1" t="str" cm="1">
        <f t="array" ref="H298">IFERROR(INDEX(PV_Totals_By_Item[#All], ROW()-1, COLUMN()), "")</f>
        <v/>
      </c>
      <c r="I298" s="1" t="str" cm="1">
        <f t="array" ref="I298">IFERROR(INDEX(PV_Totals_By_Item[#All], ROW()-1, COLUMN()), "")</f>
        <v/>
      </c>
      <c r="J298" s="1" t="str" cm="1">
        <f t="array" ref="J298">IFERROR(INDEX(PV_Totals_By_Item[#All], ROW()-1, COLUMN()), "")</f>
        <v/>
      </c>
    </row>
    <row r="299" spans="1:10">
      <c r="A299" s="1" t="str" cm="1">
        <f t="array" ref="A299">IFERROR(INDEX(PV_Totals_By_Item[#All], ROW()-1, COLUMN()), "")</f>
        <v/>
      </c>
      <c r="B299" s="1" t="str" cm="1">
        <f t="array" ref="B299">IFERROR(INDEX(PV_Totals_By_Item[#All], ROW()-1, COLUMN()), "")</f>
        <v/>
      </c>
      <c r="C299" s="1" t="str" cm="1">
        <f t="array" ref="C299">IFERROR(INDEX(PV_Totals_By_Item[#All], ROW()-1, COLUMN()), "")</f>
        <v/>
      </c>
      <c r="D299" s="1" t="str" cm="1">
        <f t="array" ref="D299">IFERROR(INDEX(PV_Totals_By_Item[#All], ROW()-1, COLUMN()), "")</f>
        <v/>
      </c>
      <c r="E299" s="1" t="str" cm="1">
        <f t="array" ref="E299">IFERROR(INDEX(PV_Totals_By_Item[#All], ROW()-1, COLUMN()), "")</f>
        <v/>
      </c>
      <c r="F299" s="1" t="str" cm="1">
        <f t="array" ref="F299">IFERROR(INDEX(PV_Totals_By_Item[#All], ROW()-1, COLUMN()), "")</f>
        <v/>
      </c>
      <c r="G299" s="1" t="str" cm="1">
        <f t="array" ref="G299">IFERROR(INDEX(PV_Totals_By_Item[#All], ROW()-1, COLUMN()), "")</f>
        <v/>
      </c>
      <c r="H299" s="1" t="str" cm="1">
        <f t="array" ref="H299">IFERROR(INDEX(PV_Totals_By_Item[#All], ROW()-1, COLUMN()), "")</f>
        <v/>
      </c>
      <c r="I299" s="1" t="str" cm="1">
        <f t="array" ref="I299">IFERROR(INDEX(PV_Totals_By_Item[#All], ROW()-1, COLUMN()), "")</f>
        <v/>
      </c>
      <c r="J299" s="1" t="str" cm="1">
        <f t="array" ref="J299">IFERROR(INDEX(PV_Totals_By_Item[#All], ROW()-1, COLUMN()), "")</f>
        <v/>
      </c>
    </row>
    <row r="300" spans="1:10">
      <c r="A300" s="1" t="str" cm="1">
        <f t="array" ref="A300">IFERROR(INDEX(PV_Totals_By_Item[#All], ROW()-1, COLUMN()), "")</f>
        <v/>
      </c>
      <c r="B300" s="1" t="str" cm="1">
        <f t="array" ref="B300">IFERROR(INDEX(PV_Totals_By_Item[#All], ROW()-1, COLUMN()), "")</f>
        <v/>
      </c>
      <c r="C300" s="1" t="str" cm="1">
        <f t="array" ref="C300">IFERROR(INDEX(PV_Totals_By_Item[#All], ROW()-1, COLUMN()), "")</f>
        <v/>
      </c>
      <c r="D300" s="1" t="str" cm="1">
        <f t="array" ref="D300">IFERROR(INDEX(PV_Totals_By_Item[#All], ROW()-1, COLUMN()), "")</f>
        <v/>
      </c>
      <c r="E300" s="1" t="str" cm="1">
        <f t="array" ref="E300">IFERROR(INDEX(PV_Totals_By_Item[#All], ROW()-1, COLUMN()), "")</f>
        <v/>
      </c>
      <c r="F300" s="1" t="str" cm="1">
        <f t="array" ref="F300">IFERROR(INDEX(PV_Totals_By_Item[#All], ROW()-1, COLUMN()), "")</f>
        <v/>
      </c>
      <c r="G300" s="1" t="str" cm="1">
        <f t="array" ref="G300">IFERROR(INDEX(PV_Totals_By_Item[#All], ROW()-1, COLUMN()), "")</f>
        <v/>
      </c>
      <c r="H300" s="1" t="str" cm="1">
        <f t="array" ref="H300">IFERROR(INDEX(PV_Totals_By_Item[#All], ROW()-1, COLUMN()), "")</f>
        <v/>
      </c>
      <c r="I300" s="1" t="str" cm="1">
        <f t="array" ref="I300">IFERROR(INDEX(PV_Totals_By_Item[#All], ROW()-1, COLUMN()), "")</f>
        <v/>
      </c>
      <c r="J300" s="1" t="str" cm="1">
        <f t="array" ref="J300">IFERROR(INDEX(PV_Totals_By_Item[#All], ROW()-1, COLUMN()), "")</f>
        <v/>
      </c>
    </row>
    <row r="301" spans="1:10">
      <c r="A301" s="1" t="str" cm="1">
        <f t="array" ref="A301">IFERROR(INDEX(PV_Totals_By_Item[#All], ROW()-1, COLUMN()), "")</f>
        <v/>
      </c>
      <c r="B301" s="1" t="str" cm="1">
        <f t="array" ref="B301">IFERROR(INDEX(PV_Totals_By_Item[#All], ROW()-1, COLUMN()), "")</f>
        <v/>
      </c>
      <c r="C301" s="1" t="str" cm="1">
        <f t="array" ref="C301">IFERROR(INDEX(PV_Totals_By_Item[#All], ROW()-1, COLUMN()), "")</f>
        <v/>
      </c>
      <c r="D301" s="1" t="str" cm="1">
        <f t="array" ref="D301">IFERROR(INDEX(PV_Totals_By_Item[#All], ROW()-1, COLUMN()), "")</f>
        <v/>
      </c>
      <c r="E301" s="1" t="str" cm="1">
        <f t="array" ref="E301">IFERROR(INDEX(PV_Totals_By_Item[#All], ROW()-1, COLUMN()), "")</f>
        <v/>
      </c>
      <c r="F301" s="1" t="str" cm="1">
        <f t="array" ref="F301">IFERROR(INDEX(PV_Totals_By_Item[#All], ROW()-1, COLUMN()), "")</f>
        <v/>
      </c>
      <c r="G301" s="1" t="str" cm="1">
        <f t="array" ref="G301">IFERROR(INDEX(PV_Totals_By_Item[#All], ROW()-1, COLUMN()), "")</f>
        <v/>
      </c>
      <c r="H301" s="1" t="str" cm="1">
        <f t="array" ref="H301">IFERROR(INDEX(PV_Totals_By_Item[#All], ROW()-1, COLUMN()), "")</f>
        <v/>
      </c>
      <c r="I301" s="1" t="str" cm="1">
        <f t="array" ref="I301">IFERROR(INDEX(PV_Totals_By_Item[#All], ROW()-1, COLUMN()), "")</f>
        <v/>
      </c>
      <c r="J301" s="1" t="str" cm="1">
        <f t="array" ref="J301">IFERROR(INDEX(PV_Totals_By_Item[#All], ROW()-1, COLUMN()), "")</f>
        <v/>
      </c>
    </row>
    <row r="302" spans="1:10">
      <c r="A302" s="1" t="str" cm="1">
        <f t="array" ref="A302">IFERROR(INDEX(PV_Totals_By_Item[#All], ROW()-1, COLUMN()), "")</f>
        <v/>
      </c>
      <c r="B302" s="1" t="str" cm="1">
        <f t="array" ref="B302">IFERROR(INDEX(PV_Totals_By_Item[#All], ROW()-1, COLUMN()), "")</f>
        <v/>
      </c>
      <c r="C302" s="1" t="str" cm="1">
        <f t="array" ref="C302">IFERROR(INDEX(PV_Totals_By_Item[#All], ROW()-1, COLUMN()), "")</f>
        <v/>
      </c>
      <c r="D302" s="1" t="str" cm="1">
        <f t="array" ref="D302">IFERROR(INDEX(PV_Totals_By_Item[#All], ROW()-1, COLUMN()), "")</f>
        <v/>
      </c>
      <c r="E302" s="1" t="str" cm="1">
        <f t="array" ref="E302">IFERROR(INDEX(PV_Totals_By_Item[#All], ROW()-1, COLUMN()), "")</f>
        <v/>
      </c>
      <c r="F302" s="1" t="str" cm="1">
        <f t="array" ref="F302">IFERROR(INDEX(PV_Totals_By_Item[#All], ROW()-1, COLUMN()), "")</f>
        <v/>
      </c>
      <c r="G302" s="1" t="str" cm="1">
        <f t="array" ref="G302">IFERROR(INDEX(PV_Totals_By_Item[#All], ROW()-1, COLUMN()), "")</f>
        <v/>
      </c>
      <c r="H302" s="1" t="str" cm="1">
        <f t="array" ref="H302">IFERROR(INDEX(PV_Totals_By_Item[#All], ROW()-1, COLUMN()), "")</f>
        <v/>
      </c>
      <c r="I302" s="1" t="str" cm="1">
        <f t="array" ref="I302">IFERROR(INDEX(PV_Totals_By_Item[#All], ROW()-1, COLUMN()), "")</f>
        <v/>
      </c>
      <c r="J302" s="1" t="str" cm="1">
        <f t="array" ref="J302">IFERROR(INDEX(PV_Totals_By_Item[#All], ROW()-1, COLUMN()), "")</f>
        <v/>
      </c>
    </row>
    <row r="303" spans="1:10">
      <c r="A303" s="1" t="str" cm="1">
        <f t="array" ref="A303">IFERROR(INDEX(PV_Totals_By_Item[#All], ROW()-1, COLUMN()), "")</f>
        <v/>
      </c>
      <c r="B303" s="1" t="str" cm="1">
        <f t="array" ref="B303">IFERROR(INDEX(PV_Totals_By_Item[#All], ROW()-1, COLUMN()), "")</f>
        <v/>
      </c>
      <c r="C303" s="1" t="str" cm="1">
        <f t="array" ref="C303">IFERROR(INDEX(PV_Totals_By_Item[#All], ROW()-1, COLUMN()), "")</f>
        <v/>
      </c>
      <c r="D303" s="1" t="str" cm="1">
        <f t="array" ref="D303">IFERROR(INDEX(PV_Totals_By_Item[#All], ROW()-1, COLUMN()), "")</f>
        <v/>
      </c>
      <c r="E303" s="1" t="str" cm="1">
        <f t="array" ref="E303">IFERROR(INDEX(PV_Totals_By_Item[#All], ROW()-1, COLUMN()), "")</f>
        <v/>
      </c>
      <c r="F303" s="1" t="str" cm="1">
        <f t="array" ref="F303">IFERROR(INDEX(PV_Totals_By_Item[#All], ROW()-1, COLUMN()), "")</f>
        <v/>
      </c>
      <c r="G303" s="1" t="str" cm="1">
        <f t="array" ref="G303">IFERROR(INDEX(PV_Totals_By_Item[#All], ROW()-1, COLUMN()), "")</f>
        <v/>
      </c>
      <c r="H303" s="1" t="str" cm="1">
        <f t="array" ref="H303">IFERROR(INDEX(PV_Totals_By_Item[#All], ROW()-1, COLUMN()), "")</f>
        <v/>
      </c>
      <c r="I303" s="1" t="str" cm="1">
        <f t="array" ref="I303">IFERROR(INDEX(PV_Totals_By_Item[#All], ROW()-1, COLUMN()), "")</f>
        <v/>
      </c>
      <c r="J303" s="1" t="str" cm="1">
        <f t="array" ref="J303">IFERROR(INDEX(PV_Totals_By_Item[#All], ROW()-1, COLUMN()), "")</f>
        <v/>
      </c>
    </row>
    <row r="304" spans="1:10">
      <c r="A304" s="1" t="str" cm="1">
        <f t="array" ref="A304">IFERROR(INDEX(PV_Totals_By_Item[#All], ROW()-1, COLUMN()), "")</f>
        <v/>
      </c>
      <c r="B304" s="1" t="str" cm="1">
        <f t="array" ref="B304">IFERROR(INDEX(PV_Totals_By_Item[#All], ROW()-1, COLUMN()), "")</f>
        <v/>
      </c>
      <c r="C304" s="1" t="str" cm="1">
        <f t="array" ref="C304">IFERROR(INDEX(PV_Totals_By_Item[#All], ROW()-1, COLUMN()), "")</f>
        <v/>
      </c>
      <c r="D304" s="1" t="str" cm="1">
        <f t="array" ref="D304">IFERROR(INDEX(PV_Totals_By_Item[#All], ROW()-1, COLUMN()), "")</f>
        <v/>
      </c>
      <c r="E304" s="1" t="str" cm="1">
        <f t="array" ref="E304">IFERROR(INDEX(PV_Totals_By_Item[#All], ROW()-1, COLUMN()), "")</f>
        <v/>
      </c>
      <c r="F304" s="1" t="str" cm="1">
        <f t="array" ref="F304">IFERROR(INDEX(PV_Totals_By_Item[#All], ROW()-1, COLUMN()), "")</f>
        <v/>
      </c>
      <c r="G304" s="1" t="str" cm="1">
        <f t="array" ref="G304">IFERROR(INDEX(PV_Totals_By_Item[#All], ROW()-1, COLUMN()), "")</f>
        <v/>
      </c>
      <c r="H304" s="1" t="str" cm="1">
        <f t="array" ref="H304">IFERROR(INDEX(PV_Totals_By_Item[#All], ROW()-1, COLUMN()), "")</f>
        <v/>
      </c>
      <c r="I304" s="1" t="str" cm="1">
        <f t="array" ref="I304">IFERROR(INDEX(PV_Totals_By_Item[#All], ROW()-1, COLUMN()), "")</f>
        <v/>
      </c>
      <c r="J304" s="1" t="str" cm="1">
        <f t="array" ref="J304">IFERROR(INDEX(PV_Totals_By_Item[#All], ROW()-1, COLUMN()), "")</f>
        <v/>
      </c>
    </row>
    <row r="305" spans="1:10">
      <c r="A305" s="1" t="str" cm="1">
        <f t="array" ref="A305">IFERROR(INDEX(PV_Totals_By_Item[#All], ROW()-1, COLUMN()), "")</f>
        <v/>
      </c>
      <c r="B305" s="1" t="str" cm="1">
        <f t="array" ref="B305">IFERROR(INDEX(PV_Totals_By_Item[#All], ROW()-1, COLUMN()), "")</f>
        <v/>
      </c>
      <c r="C305" s="1" t="str" cm="1">
        <f t="array" ref="C305">IFERROR(INDEX(PV_Totals_By_Item[#All], ROW()-1, COLUMN()), "")</f>
        <v/>
      </c>
      <c r="D305" s="1" t="str" cm="1">
        <f t="array" ref="D305">IFERROR(INDEX(PV_Totals_By_Item[#All], ROW()-1, COLUMN()), "")</f>
        <v/>
      </c>
      <c r="E305" s="1" t="str" cm="1">
        <f t="array" ref="E305">IFERROR(INDEX(PV_Totals_By_Item[#All], ROW()-1, COLUMN()), "")</f>
        <v/>
      </c>
      <c r="F305" s="1" t="str" cm="1">
        <f t="array" ref="F305">IFERROR(INDEX(PV_Totals_By_Item[#All], ROW()-1, COLUMN()), "")</f>
        <v/>
      </c>
      <c r="G305" s="1" t="str" cm="1">
        <f t="array" ref="G305">IFERROR(INDEX(PV_Totals_By_Item[#All], ROW()-1, COLUMN()), "")</f>
        <v/>
      </c>
      <c r="H305" s="1" t="str" cm="1">
        <f t="array" ref="H305">IFERROR(INDEX(PV_Totals_By_Item[#All], ROW()-1, COLUMN()), "")</f>
        <v/>
      </c>
      <c r="I305" s="1" t="str" cm="1">
        <f t="array" ref="I305">IFERROR(INDEX(PV_Totals_By_Item[#All], ROW()-1, COLUMN()), "")</f>
        <v/>
      </c>
      <c r="J305" s="1" t="str" cm="1">
        <f t="array" ref="J305">IFERROR(INDEX(PV_Totals_By_Item[#All], ROW()-1, COLUMN()), "")</f>
        <v/>
      </c>
    </row>
    <row r="306" spans="1:10">
      <c r="A306" s="1" t="str" cm="1">
        <f t="array" ref="A306">IFERROR(INDEX(PV_Totals_By_Item[#All], ROW()-1, COLUMN()), "")</f>
        <v/>
      </c>
      <c r="B306" s="1" t="str" cm="1">
        <f t="array" ref="B306">IFERROR(INDEX(PV_Totals_By_Item[#All], ROW()-1, COLUMN()), "")</f>
        <v/>
      </c>
      <c r="C306" s="1" t="str" cm="1">
        <f t="array" ref="C306">IFERROR(INDEX(PV_Totals_By_Item[#All], ROW()-1, COLUMN()), "")</f>
        <v/>
      </c>
      <c r="D306" s="1" t="str" cm="1">
        <f t="array" ref="D306">IFERROR(INDEX(PV_Totals_By_Item[#All], ROW()-1, COLUMN()), "")</f>
        <v/>
      </c>
      <c r="E306" s="1" t="str" cm="1">
        <f t="array" ref="E306">IFERROR(INDEX(PV_Totals_By_Item[#All], ROW()-1, COLUMN()), "")</f>
        <v/>
      </c>
      <c r="F306" s="1" t="str" cm="1">
        <f t="array" ref="F306">IFERROR(INDEX(PV_Totals_By_Item[#All], ROW()-1, COLUMN()), "")</f>
        <v/>
      </c>
      <c r="G306" s="1" t="str" cm="1">
        <f t="array" ref="G306">IFERROR(INDEX(PV_Totals_By_Item[#All], ROW()-1, COLUMN()), "")</f>
        <v/>
      </c>
      <c r="H306" s="1" t="str" cm="1">
        <f t="array" ref="H306">IFERROR(INDEX(PV_Totals_By_Item[#All], ROW()-1, COLUMN()), "")</f>
        <v/>
      </c>
      <c r="I306" s="1" t="str" cm="1">
        <f t="array" ref="I306">IFERROR(INDEX(PV_Totals_By_Item[#All], ROW()-1, COLUMN()), "")</f>
        <v/>
      </c>
      <c r="J306" s="1" t="str" cm="1">
        <f t="array" ref="J306">IFERROR(INDEX(PV_Totals_By_Item[#All], ROW()-1, COLUMN()), "")</f>
        <v/>
      </c>
    </row>
    <row r="307" spans="1:10">
      <c r="A307" s="1" t="str" cm="1">
        <f t="array" ref="A307">IFERROR(INDEX(PV_Totals_By_Item[#All], ROW()-1, COLUMN()), "")</f>
        <v/>
      </c>
      <c r="B307" s="1" t="str" cm="1">
        <f t="array" ref="B307">IFERROR(INDEX(PV_Totals_By_Item[#All], ROW()-1, COLUMN()), "")</f>
        <v/>
      </c>
      <c r="C307" s="1" t="str" cm="1">
        <f t="array" ref="C307">IFERROR(INDEX(PV_Totals_By_Item[#All], ROW()-1, COLUMN()), "")</f>
        <v/>
      </c>
      <c r="D307" s="1" t="str" cm="1">
        <f t="array" ref="D307">IFERROR(INDEX(PV_Totals_By_Item[#All], ROW()-1, COLUMN()), "")</f>
        <v/>
      </c>
      <c r="E307" s="1" t="str" cm="1">
        <f t="array" ref="E307">IFERROR(INDEX(PV_Totals_By_Item[#All], ROW()-1, COLUMN()), "")</f>
        <v/>
      </c>
      <c r="F307" s="1" t="str" cm="1">
        <f t="array" ref="F307">IFERROR(INDEX(PV_Totals_By_Item[#All], ROW()-1, COLUMN()), "")</f>
        <v/>
      </c>
      <c r="G307" s="1" t="str" cm="1">
        <f t="array" ref="G307">IFERROR(INDEX(PV_Totals_By_Item[#All], ROW()-1, COLUMN()), "")</f>
        <v/>
      </c>
      <c r="H307" s="1" t="str" cm="1">
        <f t="array" ref="H307">IFERROR(INDEX(PV_Totals_By_Item[#All], ROW()-1, COLUMN()), "")</f>
        <v/>
      </c>
      <c r="I307" s="1" t="str" cm="1">
        <f t="array" ref="I307">IFERROR(INDEX(PV_Totals_By_Item[#All], ROW()-1, COLUMN()), "")</f>
        <v/>
      </c>
      <c r="J307" s="1" t="str" cm="1">
        <f t="array" ref="J307">IFERROR(INDEX(PV_Totals_By_Item[#All], ROW()-1, COLUMN()), "")</f>
        <v/>
      </c>
    </row>
    <row r="308" spans="1:10">
      <c r="A308" s="1" t="str" cm="1">
        <f t="array" ref="A308">IFERROR(INDEX(PV_Totals_By_Item[#All], ROW()-1, COLUMN()), "")</f>
        <v/>
      </c>
      <c r="B308" s="1" t="str" cm="1">
        <f t="array" ref="B308">IFERROR(INDEX(PV_Totals_By_Item[#All], ROW()-1, COLUMN()), "")</f>
        <v/>
      </c>
      <c r="C308" s="1" t="str" cm="1">
        <f t="array" ref="C308">IFERROR(INDEX(PV_Totals_By_Item[#All], ROW()-1, COLUMN()), "")</f>
        <v/>
      </c>
      <c r="D308" s="1" t="str" cm="1">
        <f t="array" ref="D308">IFERROR(INDEX(PV_Totals_By_Item[#All], ROW()-1, COLUMN()), "")</f>
        <v/>
      </c>
      <c r="E308" s="1" t="str" cm="1">
        <f t="array" ref="E308">IFERROR(INDEX(PV_Totals_By_Item[#All], ROW()-1, COLUMN()), "")</f>
        <v/>
      </c>
      <c r="F308" s="1" t="str" cm="1">
        <f t="array" ref="F308">IFERROR(INDEX(PV_Totals_By_Item[#All], ROW()-1, COLUMN()), "")</f>
        <v/>
      </c>
      <c r="G308" s="1" t="str" cm="1">
        <f t="array" ref="G308">IFERROR(INDEX(PV_Totals_By_Item[#All], ROW()-1, COLUMN()), "")</f>
        <v/>
      </c>
      <c r="H308" s="1" t="str" cm="1">
        <f t="array" ref="H308">IFERROR(INDEX(PV_Totals_By_Item[#All], ROW()-1, COLUMN()), "")</f>
        <v/>
      </c>
      <c r="I308" s="1" t="str" cm="1">
        <f t="array" ref="I308">IFERROR(INDEX(PV_Totals_By_Item[#All], ROW()-1, COLUMN()), "")</f>
        <v/>
      </c>
      <c r="J308" s="1" t="str" cm="1">
        <f t="array" ref="J308">IFERROR(INDEX(PV_Totals_By_Item[#All], ROW()-1, COLUMN()), "")</f>
        <v/>
      </c>
    </row>
    <row r="309" spans="1:10">
      <c r="A309" s="1" t="str" cm="1">
        <f t="array" ref="A309">IFERROR(INDEX(PV_Totals_By_Item[#All], ROW()-1, COLUMN()), "")</f>
        <v/>
      </c>
      <c r="B309" s="1" t="str" cm="1">
        <f t="array" ref="B309">IFERROR(INDEX(PV_Totals_By_Item[#All], ROW()-1, COLUMN()), "")</f>
        <v/>
      </c>
      <c r="C309" s="1" t="str" cm="1">
        <f t="array" ref="C309">IFERROR(INDEX(PV_Totals_By_Item[#All], ROW()-1, COLUMN()), "")</f>
        <v/>
      </c>
      <c r="D309" s="1" t="str" cm="1">
        <f t="array" ref="D309">IFERROR(INDEX(PV_Totals_By_Item[#All], ROW()-1, COLUMN()), "")</f>
        <v/>
      </c>
      <c r="E309" s="1" t="str" cm="1">
        <f t="array" ref="E309">IFERROR(INDEX(PV_Totals_By_Item[#All], ROW()-1, COLUMN()), "")</f>
        <v/>
      </c>
      <c r="F309" s="1" t="str" cm="1">
        <f t="array" ref="F309">IFERROR(INDEX(PV_Totals_By_Item[#All], ROW()-1, COLUMN()), "")</f>
        <v/>
      </c>
      <c r="G309" s="1" t="str" cm="1">
        <f t="array" ref="G309">IFERROR(INDEX(PV_Totals_By_Item[#All], ROW()-1, COLUMN()), "")</f>
        <v/>
      </c>
      <c r="H309" s="1" t="str" cm="1">
        <f t="array" ref="H309">IFERROR(INDEX(PV_Totals_By_Item[#All], ROW()-1, COLUMN()), "")</f>
        <v/>
      </c>
      <c r="I309" s="1" t="str" cm="1">
        <f t="array" ref="I309">IFERROR(INDEX(PV_Totals_By_Item[#All], ROW()-1, COLUMN()), "")</f>
        <v/>
      </c>
      <c r="J309" s="1" t="str" cm="1">
        <f t="array" ref="J309">IFERROR(INDEX(PV_Totals_By_Item[#All], ROW()-1, COLUMN()), "")</f>
        <v/>
      </c>
    </row>
    <row r="310" spans="1:10">
      <c r="A310" s="1" t="str" cm="1">
        <f t="array" ref="A310">IFERROR(INDEX(PV_Totals_By_Item[#All], ROW()-1, COLUMN()), "")</f>
        <v/>
      </c>
      <c r="B310" s="1" t="str" cm="1">
        <f t="array" ref="B310">IFERROR(INDEX(PV_Totals_By_Item[#All], ROW()-1, COLUMN()), "")</f>
        <v/>
      </c>
      <c r="C310" s="1" t="str" cm="1">
        <f t="array" ref="C310">IFERROR(INDEX(PV_Totals_By_Item[#All], ROW()-1, COLUMN()), "")</f>
        <v/>
      </c>
      <c r="D310" s="1" t="str" cm="1">
        <f t="array" ref="D310">IFERROR(INDEX(PV_Totals_By_Item[#All], ROW()-1, COLUMN()), "")</f>
        <v/>
      </c>
      <c r="E310" s="1" t="str" cm="1">
        <f t="array" ref="E310">IFERROR(INDEX(PV_Totals_By_Item[#All], ROW()-1, COLUMN()), "")</f>
        <v/>
      </c>
      <c r="F310" s="1" t="str" cm="1">
        <f t="array" ref="F310">IFERROR(INDEX(PV_Totals_By_Item[#All], ROW()-1, COLUMN()), "")</f>
        <v/>
      </c>
      <c r="G310" s="1" t="str" cm="1">
        <f t="array" ref="G310">IFERROR(INDEX(PV_Totals_By_Item[#All], ROW()-1, COLUMN()), "")</f>
        <v/>
      </c>
      <c r="H310" s="1" t="str" cm="1">
        <f t="array" ref="H310">IFERROR(INDEX(PV_Totals_By_Item[#All], ROW()-1, COLUMN()), "")</f>
        <v/>
      </c>
      <c r="I310" s="1" t="str" cm="1">
        <f t="array" ref="I310">IFERROR(INDEX(PV_Totals_By_Item[#All], ROW()-1, COLUMN()), "")</f>
        <v/>
      </c>
      <c r="J310" s="1" t="str" cm="1">
        <f t="array" ref="J310">IFERROR(INDEX(PV_Totals_By_Item[#All], ROW()-1, COLUMN()), "")</f>
        <v/>
      </c>
    </row>
    <row r="311" spans="1:10">
      <c r="A311" s="1" t="str" cm="1">
        <f t="array" ref="A311">IFERROR(INDEX(PV_Totals_By_Item[#All], ROW()-1, COLUMN()), "")</f>
        <v/>
      </c>
      <c r="B311" s="1" t="str" cm="1">
        <f t="array" ref="B311">IFERROR(INDEX(PV_Totals_By_Item[#All], ROW()-1, COLUMN()), "")</f>
        <v/>
      </c>
      <c r="C311" s="1" t="str" cm="1">
        <f t="array" ref="C311">IFERROR(INDEX(PV_Totals_By_Item[#All], ROW()-1, COLUMN()), "")</f>
        <v/>
      </c>
      <c r="D311" s="1" t="str" cm="1">
        <f t="array" ref="D311">IFERROR(INDEX(PV_Totals_By_Item[#All], ROW()-1, COLUMN()), "")</f>
        <v/>
      </c>
      <c r="E311" s="1" t="str" cm="1">
        <f t="array" ref="E311">IFERROR(INDEX(PV_Totals_By_Item[#All], ROW()-1, COLUMN()), "")</f>
        <v/>
      </c>
      <c r="F311" s="1" t="str" cm="1">
        <f t="array" ref="F311">IFERROR(INDEX(PV_Totals_By_Item[#All], ROW()-1, COLUMN()), "")</f>
        <v/>
      </c>
      <c r="G311" s="1" t="str" cm="1">
        <f t="array" ref="G311">IFERROR(INDEX(PV_Totals_By_Item[#All], ROW()-1, COLUMN()), "")</f>
        <v/>
      </c>
      <c r="H311" s="1" t="str" cm="1">
        <f t="array" ref="H311">IFERROR(INDEX(PV_Totals_By_Item[#All], ROW()-1, COLUMN()), "")</f>
        <v/>
      </c>
      <c r="I311" s="1" t="str" cm="1">
        <f t="array" ref="I311">IFERROR(INDEX(PV_Totals_By_Item[#All], ROW()-1, COLUMN()), "")</f>
        <v/>
      </c>
      <c r="J311" s="1" t="str" cm="1">
        <f t="array" ref="J311">IFERROR(INDEX(PV_Totals_By_Item[#All], ROW()-1, COLUMN()), "")</f>
        <v/>
      </c>
    </row>
    <row r="312" spans="1:10">
      <c r="A312" s="1" t="str" cm="1">
        <f t="array" ref="A312">IFERROR(INDEX(PV_Totals_By_Item[#All], ROW()-1, COLUMN()), "")</f>
        <v/>
      </c>
      <c r="B312" s="1" t="str" cm="1">
        <f t="array" ref="B312">IFERROR(INDEX(PV_Totals_By_Item[#All], ROW()-1, COLUMN()), "")</f>
        <v/>
      </c>
      <c r="C312" s="1" t="str" cm="1">
        <f t="array" ref="C312">IFERROR(INDEX(PV_Totals_By_Item[#All], ROW()-1, COLUMN()), "")</f>
        <v/>
      </c>
      <c r="D312" s="1" t="str" cm="1">
        <f t="array" ref="D312">IFERROR(INDEX(PV_Totals_By_Item[#All], ROW()-1, COLUMN()), "")</f>
        <v/>
      </c>
      <c r="E312" s="1" t="str" cm="1">
        <f t="array" ref="E312">IFERROR(INDEX(PV_Totals_By_Item[#All], ROW()-1, COLUMN()), "")</f>
        <v/>
      </c>
      <c r="F312" s="1" t="str" cm="1">
        <f t="array" ref="F312">IFERROR(INDEX(PV_Totals_By_Item[#All], ROW()-1, COLUMN()), "")</f>
        <v/>
      </c>
      <c r="G312" s="1" t="str" cm="1">
        <f t="array" ref="G312">IFERROR(INDEX(PV_Totals_By_Item[#All], ROW()-1, COLUMN()), "")</f>
        <v/>
      </c>
      <c r="H312" s="1" t="str" cm="1">
        <f t="array" ref="H312">IFERROR(INDEX(PV_Totals_By_Item[#All], ROW()-1, COLUMN()), "")</f>
        <v/>
      </c>
      <c r="I312" s="1" t="str" cm="1">
        <f t="array" ref="I312">IFERROR(INDEX(PV_Totals_By_Item[#All], ROW()-1, COLUMN()), "")</f>
        <v/>
      </c>
      <c r="J312" s="1" t="str" cm="1">
        <f t="array" ref="J312">IFERROR(INDEX(PV_Totals_By_Item[#All], ROW()-1, COLUMN()), "")</f>
        <v/>
      </c>
    </row>
    <row r="313" spans="1:10">
      <c r="A313" s="1" t="str" cm="1">
        <f t="array" ref="A313">IFERROR(INDEX(PV_Totals_By_Item[#All], ROW()-1, COLUMN()), "")</f>
        <v/>
      </c>
      <c r="B313" s="1" t="str" cm="1">
        <f t="array" ref="B313">IFERROR(INDEX(PV_Totals_By_Item[#All], ROW()-1, COLUMN()), "")</f>
        <v/>
      </c>
      <c r="C313" s="1" t="str" cm="1">
        <f t="array" ref="C313">IFERROR(INDEX(PV_Totals_By_Item[#All], ROW()-1, COLUMN()), "")</f>
        <v/>
      </c>
      <c r="D313" s="1" t="str" cm="1">
        <f t="array" ref="D313">IFERROR(INDEX(PV_Totals_By_Item[#All], ROW()-1, COLUMN()), "")</f>
        <v/>
      </c>
      <c r="E313" s="1" t="str" cm="1">
        <f t="array" ref="E313">IFERROR(INDEX(PV_Totals_By_Item[#All], ROW()-1, COLUMN()), "")</f>
        <v/>
      </c>
      <c r="F313" s="1" t="str" cm="1">
        <f t="array" ref="F313">IFERROR(INDEX(PV_Totals_By_Item[#All], ROW()-1, COLUMN()), "")</f>
        <v/>
      </c>
      <c r="G313" s="1" t="str" cm="1">
        <f t="array" ref="G313">IFERROR(INDEX(PV_Totals_By_Item[#All], ROW()-1, COLUMN()), "")</f>
        <v/>
      </c>
      <c r="H313" s="1" t="str" cm="1">
        <f t="array" ref="H313">IFERROR(INDEX(PV_Totals_By_Item[#All], ROW()-1, COLUMN()), "")</f>
        <v/>
      </c>
      <c r="I313" s="1" t="str" cm="1">
        <f t="array" ref="I313">IFERROR(INDEX(PV_Totals_By_Item[#All], ROW()-1, COLUMN()), "")</f>
        <v/>
      </c>
      <c r="J313" s="1" t="str" cm="1">
        <f t="array" ref="J313">IFERROR(INDEX(PV_Totals_By_Item[#All], ROW()-1, COLUMN()), "")</f>
        <v/>
      </c>
    </row>
    <row r="314" spans="1:10">
      <c r="A314" s="1" t="str" cm="1">
        <f t="array" ref="A314">IFERROR(INDEX(PV_Totals_By_Item[#All], ROW()-1, COLUMN()), "")</f>
        <v/>
      </c>
      <c r="B314" s="1" t="str" cm="1">
        <f t="array" ref="B314">IFERROR(INDEX(PV_Totals_By_Item[#All], ROW()-1, COLUMN()), "")</f>
        <v/>
      </c>
      <c r="C314" s="1" t="str" cm="1">
        <f t="array" ref="C314">IFERROR(INDEX(PV_Totals_By_Item[#All], ROW()-1, COLUMN()), "")</f>
        <v/>
      </c>
      <c r="D314" s="1" t="str" cm="1">
        <f t="array" ref="D314">IFERROR(INDEX(PV_Totals_By_Item[#All], ROW()-1, COLUMN()), "")</f>
        <v/>
      </c>
      <c r="E314" s="1" t="str" cm="1">
        <f t="array" ref="E314">IFERROR(INDEX(PV_Totals_By_Item[#All], ROW()-1, COLUMN()), "")</f>
        <v/>
      </c>
      <c r="F314" s="1" t="str" cm="1">
        <f t="array" ref="F314">IFERROR(INDEX(PV_Totals_By_Item[#All], ROW()-1, COLUMN()), "")</f>
        <v/>
      </c>
      <c r="G314" s="1" t="str" cm="1">
        <f t="array" ref="G314">IFERROR(INDEX(PV_Totals_By_Item[#All], ROW()-1, COLUMN()), "")</f>
        <v/>
      </c>
      <c r="H314" s="1" t="str" cm="1">
        <f t="array" ref="H314">IFERROR(INDEX(PV_Totals_By_Item[#All], ROW()-1, COLUMN()), "")</f>
        <v/>
      </c>
      <c r="I314" s="1" t="str" cm="1">
        <f t="array" ref="I314">IFERROR(INDEX(PV_Totals_By_Item[#All], ROW()-1, COLUMN()), "")</f>
        <v/>
      </c>
      <c r="J314" s="1" t="str" cm="1">
        <f t="array" ref="J314">IFERROR(INDEX(PV_Totals_By_Item[#All], ROW()-1, COLUMN()), "")</f>
        <v/>
      </c>
    </row>
    <row r="315" spans="1:10">
      <c r="A315" s="1" t="str" cm="1">
        <f t="array" ref="A315">IFERROR(INDEX(PV_Totals_By_Item[#All], ROW()-1, COLUMN()), "")</f>
        <v/>
      </c>
      <c r="B315" s="1" t="str" cm="1">
        <f t="array" ref="B315">IFERROR(INDEX(PV_Totals_By_Item[#All], ROW()-1, COLUMN()), "")</f>
        <v/>
      </c>
      <c r="C315" s="1" t="str" cm="1">
        <f t="array" ref="C315">IFERROR(INDEX(PV_Totals_By_Item[#All], ROW()-1, COLUMN()), "")</f>
        <v/>
      </c>
      <c r="D315" s="1" t="str" cm="1">
        <f t="array" ref="D315">IFERROR(INDEX(PV_Totals_By_Item[#All], ROW()-1, COLUMN()), "")</f>
        <v/>
      </c>
      <c r="E315" s="1" t="str" cm="1">
        <f t="array" ref="E315">IFERROR(INDEX(PV_Totals_By_Item[#All], ROW()-1, COLUMN()), "")</f>
        <v/>
      </c>
      <c r="F315" s="1" t="str" cm="1">
        <f t="array" ref="F315">IFERROR(INDEX(PV_Totals_By_Item[#All], ROW()-1, COLUMN()), "")</f>
        <v/>
      </c>
      <c r="G315" s="1" t="str" cm="1">
        <f t="array" ref="G315">IFERROR(INDEX(PV_Totals_By_Item[#All], ROW()-1, COLUMN()), "")</f>
        <v/>
      </c>
      <c r="H315" s="1" t="str" cm="1">
        <f t="array" ref="H315">IFERROR(INDEX(PV_Totals_By_Item[#All], ROW()-1, COLUMN()), "")</f>
        <v/>
      </c>
      <c r="I315" s="1" t="str" cm="1">
        <f t="array" ref="I315">IFERROR(INDEX(PV_Totals_By_Item[#All], ROW()-1, COLUMN()), "")</f>
        <v/>
      </c>
      <c r="J315" s="1" t="str" cm="1">
        <f t="array" ref="J315">IFERROR(INDEX(PV_Totals_By_Item[#All], ROW()-1, COLUMN()), "")</f>
        <v/>
      </c>
    </row>
    <row r="316" spans="1:10">
      <c r="A316" s="1" t="str" cm="1">
        <f t="array" ref="A316">IFERROR(INDEX(PV_Totals_By_Item[#All], ROW()-1, COLUMN()), "")</f>
        <v/>
      </c>
      <c r="B316" s="1" t="str" cm="1">
        <f t="array" ref="B316">IFERROR(INDEX(PV_Totals_By_Item[#All], ROW()-1, COLUMN()), "")</f>
        <v/>
      </c>
      <c r="C316" s="1" t="str" cm="1">
        <f t="array" ref="C316">IFERROR(INDEX(PV_Totals_By_Item[#All], ROW()-1, COLUMN()), "")</f>
        <v/>
      </c>
      <c r="D316" s="1" t="str" cm="1">
        <f t="array" ref="D316">IFERROR(INDEX(PV_Totals_By_Item[#All], ROW()-1, COLUMN()), "")</f>
        <v/>
      </c>
      <c r="E316" s="1" t="str" cm="1">
        <f t="array" ref="E316">IFERROR(INDEX(PV_Totals_By_Item[#All], ROW()-1, COLUMN()), "")</f>
        <v/>
      </c>
      <c r="F316" s="1" t="str" cm="1">
        <f t="array" ref="F316">IFERROR(INDEX(PV_Totals_By_Item[#All], ROW()-1, COLUMN()), "")</f>
        <v/>
      </c>
      <c r="G316" s="1" t="str" cm="1">
        <f t="array" ref="G316">IFERROR(INDEX(PV_Totals_By_Item[#All], ROW()-1, COLUMN()), "")</f>
        <v/>
      </c>
      <c r="H316" s="1" t="str" cm="1">
        <f t="array" ref="H316">IFERROR(INDEX(PV_Totals_By_Item[#All], ROW()-1, COLUMN()), "")</f>
        <v/>
      </c>
      <c r="I316" s="1" t="str" cm="1">
        <f t="array" ref="I316">IFERROR(INDEX(PV_Totals_By_Item[#All], ROW()-1, COLUMN()), "")</f>
        <v/>
      </c>
      <c r="J316" s="1" t="str" cm="1">
        <f t="array" ref="J316">IFERROR(INDEX(PV_Totals_By_Item[#All], ROW()-1, COLUMN()), "")</f>
        <v/>
      </c>
    </row>
    <row r="317" spans="1:10">
      <c r="A317" s="1" t="str" cm="1">
        <f t="array" ref="A317">IFERROR(INDEX(PV_Totals_By_Item[#All], ROW()-1, COLUMN()), "")</f>
        <v/>
      </c>
      <c r="B317" s="1" t="str" cm="1">
        <f t="array" ref="B317">IFERROR(INDEX(PV_Totals_By_Item[#All], ROW()-1, COLUMN()), "")</f>
        <v/>
      </c>
      <c r="C317" s="1" t="str" cm="1">
        <f t="array" ref="C317">IFERROR(INDEX(PV_Totals_By_Item[#All], ROW()-1, COLUMN()), "")</f>
        <v/>
      </c>
      <c r="D317" s="1" t="str" cm="1">
        <f t="array" ref="D317">IFERROR(INDEX(PV_Totals_By_Item[#All], ROW()-1, COLUMN()), "")</f>
        <v/>
      </c>
      <c r="E317" s="1" t="str" cm="1">
        <f t="array" ref="E317">IFERROR(INDEX(PV_Totals_By_Item[#All], ROW()-1, COLUMN()), "")</f>
        <v/>
      </c>
      <c r="F317" s="1" t="str" cm="1">
        <f t="array" ref="F317">IFERROR(INDEX(PV_Totals_By_Item[#All], ROW()-1, COLUMN()), "")</f>
        <v/>
      </c>
      <c r="G317" s="1" t="str" cm="1">
        <f t="array" ref="G317">IFERROR(INDEX(PV_Totals_By_Item[#All], ROW()-1, COLUMN()), "")</f>
        <v/>
      </c>
      <c r="H317" s="1" t="str" cm="1">
        <f t="array" ref="H317">IFERROR(INDEX(PV_Totals_By_Item[#All], ROW()-1, COLUMN()), "")</f>
        <v/>
      </c>
      <c r="I317" s="1" t="str" cm="1">
        <f t="array" ref="I317">IFERROR(INDEX(PV_Totals_By_Item[#All], ROW()-1, COLUMN()), "")</f>
        <v/>
      </c>
      <c r="J317" s="1" t="str" cm="1">
        <f t="array" ref="J317">IFERROR(INDEX(PV_Totals_By_Item[#All], ROW()-1, COLUMN()), "")</f>
        <v/>
      </c>
    </row>
    <row r="318" spans="1:10">
      <c r="A318" s="1" t="str" cm="1">
        <f t="array" ref="A318">IFERROR(INDEX(PV_Totals_By_Item[#All], ROW()-1, COLUMN()), "")</f>
        <v/>
      </c>
      <c r="B318" s="1" t="str" cm="1">
        <f t="array" ref="B318">IFERROR(INDEX(PV_Totals_By_Item[#All], ROW()-1, COLUMN()), "")</f>
        <v/>
      </c>
      <c r="C318" s="1" t="str" cm="1">
        <f t="array" ref="C318">IFERROR(INDEX(PV_Totals_By_Item[#All], ROW()-1, COLUMN()), "")</f>
        <v/>
      </c>
      <c r="D318" s="1" t="str" cm="1">
        <f t="array" ref="D318">IFERROR(INDEX(PV_Totals_By_Item[#All], ROW()-1, COLUMN()), "")</f>
        <v/>
      </c>
      <c r="E318" s="1" t="str" cm="1">
        <f t="array" ref="E318">IFERROR(INDEX(PV_Totals_By_Item[#All], ROW()-1, COLUMN()), "")</f>
        <v/>
      </c>
      <c r="F318" s="1" t="str" cm="1">
        <f t="array" ref="F318">IFERROR(INDEX(PV_Totals_By_Item[#All], ROW()-1, COLUMN()), "")</f>
        <v/>
      </c>
      <c r="G318" s="1" t="str" cm="1">
        <f t="array" ref="G318">IFERROR(INDEX(PV_Totals_By_Item[#All], ROW()-1, COLUMN()), "")</f>
        <v/>
      </c>
      <c r="H318" s="1" t="str" cm="1">
        <f t="array" ref="H318">IFERROR(INDEX(PV_Totals_By_Item[#All], ROW()-1, COLUMN()), "")</f>
        <v/>
      </c>
      <c r="I318" s="1" t="str" cm="1">
        <f t="array" ref="I318">IFERROR(INDEX(PV_Totals_By_Item[#All], ROW()-1, COLUMN()), "")</f>
        <v/>
      </c>
      <c r="J318" s="1" t="str" cm="1">
        <f t="array" ref="J318">IFERROR(INDEX(PV_Totals_By_Item[#All], ROW()-1, COLUMN()), "")</f>
        <v/>
      </c>
    </row>
    <row r="319" spans="1:10">
      <c r="A319" s="1" t="str" cm="1">
        <f t="array" ref="A319">IFERROR(INDEX(PV_Totals_By_Item[#All], ROW()-1, COLUMN()), "")</f>
        <v/>
      </c>
      <c r="B319" s="1" t="str" cm="1">
        <f t="array" ref="B319">IFERROR(INDEX(PV_Totals_By_Item[#All], ROW()-1, COLUMN()), "")</f>
        <v/>
      </c>
      <c r="C319" s="1" t="str" cm="1">
        <f t="array" ref="C319">IFERROR(INDEX(PV_Totals_By_Item[#All], ROW()-1, COLUMN()), "")</f>
        <v/>
      </c>
      <c r="D319" s="1" t="str" cm="1">
        <f t="array" ref="D319">IFERROR(INDEX(PV_Totals_By_Item[#All], ROW()-1, COLUMN()), "")</f>
        <v/>
      </c>
      <c r="E319" s="1" t="str" cm="1">
        <f t="array" ref="E319">IFERROR(INDEX(PV_Totals_By_Item[#All], ROW()-1, COLUMN()), "")</f>
        <v/>
      </c>
      <c r="F319" s="1" t="str" cm="1">
        <f t="array" ref="F319">IFERROR(INDEX(PV_Totals_By_Item[#All], ROW()-1, COLUMN()), "")</f>
        <v/>
      </c>
      <c r="G319" s="1" t="str" cm="1">
        <f t="array" ref="G319">IFERROR(INDEX(PV_Totals_By_Item[#All], ROW()-1, COLUMN()), "")</f>
        <v/>
      </c>
      <c r="H319" s="1" t="str" cm="1">
        <f t="array" ref="H319">IFERROR(INDEX(PV_Totals_By_Item[#All], ROW()-1, COLUMN()), "")</f>
        <v/>
      </c>
      <c r="I319" s="1" t="str" cm="1">
        <f t="array" ref="I319">IFERROR(INDEX(PV_Totals_By_Item[#All], ROW()-1, COLUMN()), "")</f>
        <v/>
      </c>
      <c r="J319" s="1" t="str" cm="1">
        <f t="array" ref="J319">IFERROR(INDEX(PV_Totals_By_Item[#All], ROW()-1, COLUMN()), "")</f>
        <v/>
      </c>
    </row>
    <row r="320" spans="1:10">
      <c r="A320" s="1" t="str" cm="1">
        <f t="array" ref="A320">IFERROR(INDEX(PV_Totals_By_Item[#All], ROW()-1, COLUMN()), "")</f>
        <v/>
      </c>
      <c r="B320" s="1" t="str" cm="1">
        <f t="array" ref="B320">IFERROR(INDEX(PV_Totals_By_Item[#All], ROW()-1, COLUMN()), "")</f>
        <v/>
      </c>
      <c r="C320" s="1" t="str" cm="1">
        <f t="array" ref="C320">IFERROR(INDEX(PV_Totals_By_Item[#All], ROW()-1, COLUMN()), "")</f>
        <v/>
      </c>
      <c r="D320" s="1" t="str" cm="1">
        <f t="array" ref="D320">IFERROR(INDEX(PV_Totals_By_Item[#All], ROW()-1, COLUMN()), "")</f>
        <v/>
      </c>
      <c r="E320" s="1" t="str" cm="1">
        <f t="array" ref="E320">IFERROR(INDEX(PV_Totals_By_Item[#All], ROW()-1, COLUMN()), "")</f>
        <v/>
      </c>
      <c r="F320" s="1" t="str" cm="1">
        <f t="array" ref="F320">IFERROR(INDEX(PV_Totals_By_Item[#All], ROW()-1, COLUMN()), "")</f>
        <v/>
      </c>
      <c r="G320" s="1" t="str" cm="1">
        <f t="array" ref="G320">IFERROR(INDEX(PV_Totals_By_Item[#All], ROW()-1, COLUMN()), "")</f>
        <v/>
      </c>
      <c r="H320" s="1" t="str" cm="1">
        <f t="array" ref="H320">IFERROR(INDEX(PV_Totals_By_Item[#All], ROW()-1, COLUMN()), "")</f>
        <v/>
      </c>
      <c r="I320" s="1" t="str" cm="1">
        <f t="array" ref="I320">IFERROR(INDEX(PV_Totals_By_Item[#All], ROW()-1, COLUMN()), "")</f>
        <v/>
      </c>
      <c r="J320" s="1" t="str" cm="1">
        <f t="array" ref="J320">IFERROR(INDEX(PV_Totals_By_Item[#All], ROW()-1, COLUMN()), "")</f>
        <v/>
      </c>
    </row>
    <row r="321" spans="1:10">
      <c r="A321" s="1" t="str" cm="1">
        <f t="array" ref="A321">IFERROR(INDEX(PV_Totals_By_Item[#All], ROW()-1, COLUMN()), "")</f>
        <v/>
      </c>
      <c r="B321" s="1" t="str" cm="1">
        <f t="array" ref="B321">IFERROR(INDEX(PV_Totals_By_Item[#All], ROW()-1, COLUMN()), "")</f>
        <v/>
      </c>
      <c r="C321" s="1" t="str" cm="1">
        <f t="array" ref="C321">IFERROR(INDEX(PV_Totals_By_Item[#All], ROW()-1, COLUMN()), "")</f>
        <v/>
      </c>
      <c r="D321" s="1" t="str" cm="1">
        <f t="array" ref="D321">IFERROR(INDEX(PV_Totals_By_Item[#All], ROW()-1, COLUMN()), "")</f>
        <v/>
      </c>
      <c r="E321" s="1" t="str" cm="1">
        <f t="array" ref="E321">IFERROR(INDEX(PV_Totals_By_Item[#All], ROW()-1, COLUMN()), "")</f>
        <v/>
      </c>
      <c r="F321" s="1" t="str" cm="1">
        <f t="array" ref="F321">IFERROR(INDEX(PV_Totals_By_Item[#All], ROW()-1, COLUMN()), "")</f>
        <v/>
      </c>
      <c r="G321" s="1" t="str" cm="1">
        <f t="array" ref="G321">IFERROR(INDEX(PV_Totals_By_Item[#All], ROW()-1, COLUMN()), "")</f>
        <v/>
      </c>
      <c r="H321" s="1" t="str" cm="1">
        <f t="array" ref="H321">IFERROR(INDEX(PV_Totals_By_Item[#All], ROW()-1, COLUMN()), "")</f>
        <v/>
      </c>
      <c r="I321" s="1" t="str" cm="1">
        <f t="array" ref="I321">IFERROR(INDEX(PV_Totals_By_Item[#All], ROW()-1, COLUMN()), "")</f>
        <v/>
      </c>
      <c r="J321" s="1" t="str" cm="1">
        <f t="array" ref="J321">IFERROR(INDEX(PV_Totals_By_Item[#All], ROW()-1, COLUMN()), "")</f>
        <v/>
      </c>
    </row>
    <row r="322" spans="1:10">
      <c r="A322" s="1" t="str" cm="1">
        <f t="array" ref="A322">IFERROR(INDEX(PV_Totals_By_Item[#All], ROW()-1, COLUMN()), "")</f>
        <v/>
      </c>
      <c r="B322" s="1" t="str" cm="1">
        <f t="array" ref="B322">IFERROR(INDEX(PV_Totals_By_Item[#All], ROW()-1, COLUMN()), "")</f>
        <v/>
      </c>
      <c r="C322" s="1" t="str" cm="1">
        <f t="array" ref="C322">IFERROR(INDEX(PV_Totals_By_Item[#All], ROW()-1, COLUMN()), "")</f>
        <v/>
      </c>
      <c r="D322" s="1" t="str" cm="1">
        <f t="array" ref="D322">IFERROR(INDEX(PV_Totals_By_Item[#All], ROW()-1, COLUMN()), "")</f>
        <v/>
      </c>
      <c r="E322" s="1" t="str" cm="1">
        <f t="array" ref="E322">IFERROR(INDEX(PV_Totals_By_Item[#All], ROW()-1, COLUMN()), "")</f>
        <v/>
      </c>
      <c r="F322" s="1" t="str" cm="1">
        <f t="array" ref="F322">IFERROR(INDEX(PV_Totals_By_Item[#All], ROW()-1, COLUMN()), "")</f>
        <v/>
      </c>
      <c r="G322" s="1" t="str" cm="1">
        <f t="array" ref="G322">IFERROR(INDEX(PV_Totals_By_Item[#All], ROW()-1, COLUMN()), "")</f>
        <v/>
      </c>
      <c r="H322" s="1" t="str" cm="1">
        <f t="array" ref="H322">IFERROR(INDEX(PV_Totals_By_Item[#All], ROW()-1, COLUMN()), "")</f>
        <v/>
      </c>
      <c r="I322" s="1" t="str" cm="1">
        <f t="array" ref="I322">IFERROR(INDEX(PV_Totals_By_Item[#All], ROW()-1, COLUMN()), "")</f>
        <v/>
      </c>
      <c r="J322" s="1" t="str" cm="1">
        <f t="array" ref="J322">IFERROR(INDEX(PV_Totals_By_Item[#All], ROW()-1, COLUMN()), "")</f>
        <v/>
      </c>
    </row>
    <row r="323" spans="1:10">
      <c r="A323" s="1" t="str" cm="1">
        <f t="array" ref="A323">IFERROR(INDEX(PV_Totals_By_Item[#All], ROW()-1, COLUMN()), "")</f>
        <v/>
      </c>
      <c r="B323" s="1" t="str" cm="1">
        <f t="array" ref="B323">IFERROR(INDEX(PV_Totals_By_Item[#All], ROW()-1, COLUMN()), "")</f>
        <v/>
      </c>
      <c r="C323" s="1" t="str" cm="1">
        <f t="array" ref="C323">IFERROR(INDEX(PV_Totals_By_Item[#All], ROW()-1, COLUMN()), "")</f>
        <v/>
      </c>
      <c r="D323" s="1" t="str" cm="1">
        <f t="array" ref="D323">IFERROR(INDEX(PV_Totals_By_Item[#All], ROW()-1, COLUMN()), "")</f>
        <v/>
      </c>
      <c r="E323" s="1" t="str" cm="1">
        <f t="array" ref="E323">IFERROR(INDEX(PV_Totals_By_Item[#All], ROW()-1, COLUMN()), "")</f>
        <v/>
      </c>
      <c r="F323" s="1" t="str" cm="1">
        <f t="array" ref="F323">IFERROR(INDEX(PV_Totals_By_Item[#All], ROW()-1, COLUMN()), "")</f>
        <v/>
      </c>
      <c r="G323" s="1" t="str" cm="1">
        <f t="array" ref="G323">IFERROR(INDEX(PV_Totals_By_Item[#All], ROW()-1, COLUMN()), "")</f>
        <v/>
      </c>
      <c r="H323" s="1" t="str" cm="1">
        <f t="array" ref="H323">IFERROR(INDEX(PV_Totals_By_Item[#All], ROW()-1, COLUMN()), "")</f>
        <v/>
      </c>
      <c r="I323" s="1" t="str" cm="1">
        <f t="array" ref="I323">IFERROR(INDEX(PV_Totals_By_Item[#All], ROW()-1, COLUMN()), "")</f>
        <v/>
      </c>
      <c r="J323" s="1" t="str" cm="1">
        <f t="array" ref="J323">IFERROR(INDEX(PV_Totals_By_Item[#All], ROW()-1, COLUMN()), "")</f>
        <v/>
      </c>
    </row>
    <row r="324" spans="1:10">
      <c r="A324" s="1" t="str" cm="1">
        <f t="array" ref="A324">IFERROR(INDEX(PV_Totals_By_Item[#All], ROW()-1, COLUMN()), "")</f>
        <v/>
      </c>
      <c r="B324" s="1" t="str" cm="1">
        <f t="array" ref="B324">IFERROR(INDEX(PV_Totals_By_Item[#All], ROW()-1, COLUMN()), "")</f>
        <v/>
      </c>
      <c r="C324" s="1" t="str" cm="1">
        <f t="array" ref="C324">IFERROR(INDEX(PV_Totals_By_Item[#All], ROW()-1, COLUMN()), "")</f>
        <v/>
      </c>
      <c r="D324" s="1" t="str" cm="1">
        <f t="array" ref="D324">IFERROR(INDEX(PV_Totals_By_Item[#All], ROW()-1, COLUMN()), "")</f>
        <v/>
      </c>
      <c r="E324" s="1" t="str" cm="1">
        <f t="array" ref="E324">IFERROR(INDEX(PV_Totals_By_Item[#All], ROW()-1, COLUMN()), "")</f>
        <v/>
      </c>
      <c r="F324" s="1" t="str" cm="1">
        <f t="array" ref="F324">IFERROR(INDEX(PV_Totals_By_Item[#All], ROW()-1, COLUMN()), "")</f>
        <v/>
      </c>
      <c r="G324" s="1" t="str" cm="1">
        <f t="array" ref="G324">IFERROR(INDEX(PV_Totals_By_Item[#All], ROW()-1, COLUMN()), "")</f>
        <v/>
      </c>
      <c r="H324" s="1" t="str" cm="1">
        <f t="array" ref="H324">IFERROR(INDEX(PV_Totals_By_Item[#All], ROW()-1, COLUMN()), "")</f>
        <v/>
      </c>
      <c r="I324" s="1" t="str" cm="1">
        <f t="array" ref="I324">IFERROR(INDEX(PV_Totals_By_Item[#All], ROW()-1, COLUMN()), "")</f>
        <v/>
      </c>
      <c r="J324" s="1" t="str" cm="1">
        <f t="array" ref="J324">IFERROR(INDEX(PV_Totals_By_Item[#All], ROW()-1, COLUMN()), "")</f>
        <v/>
      </c>
    </row>
    <row r="325" spans="1:10">
      <c r="A325" s="1" t="str" cm="1">
        <f t="array" ref="A325">IFERROR(INDEX(PV_Totals_By_Item[#All], ROW()-1, COLUMN()), "")</f>
        <v/>
      </c>
      <c r="B325" s="1" t="str" cm="1">
        <f t="array" ref="B325">IFERROR(INDEX(PV_Totals_By_Item[#All], ROW()-1, COLUMN()), "")</f>
        <v/>
      </c>
      <c r="C325" s="1" t="str" cm="1">
        <f t="array" ref="C325">IFERROR(INDEX(PV_Totals_By_Item[#All], ROW()-1, COLUMN()), "")</f>
        <v/>
      </c>
      <c r="D325" s="1" t="str" cm="1">
        <f t="array" ref="D325">IFERROR(INDEX(PV_Totals_By_Item[#All], ROW()-1, COLUMN()), "")</f>
        <v/>
      </c>
      <c r="E325" s="1" t="str" cm="1">
        <f t="array" ref="E325">IFERROR(INDEX(PV_Totals_By_Item[#All], ROW()-1, COLUMN()), "")</f>
        <v/>
      </c>
      <c r="F325" s="1" t="str" cm="1">
        <f t="array" ref="F325">IFERROR(INDEX(PV_Totals_By_Item[#All], ROW()-1, COLUMN()), "")</f>
        <v/>
      </c>
      <c r="G325" s="1" t="str" cm="1">
        <f t="array" ref="G325">IFERROR(INDEX(PV_Totals_By_Item[#All], ROW()-1, COLUMN()), "")</f>
        <v/>
      </c>
      <c r="H325" s="1" t="str" cm="1">
        <f t="array" ref="H325">IFERROR(INDEX(PV_Totals_By_Item[#All], ROW()-1, COLUMN()), "")</f>
        <v/>
      </c>
      <c r="I325" s="1" t="str" cm="1">
        <f t="array" ref="I325">IFERROR(INDEX(PV_Totals_By_Item[#All], ROW()-1, COLUMN()), "")</f>
        <v/>
      </c>
      <c r="J325" s="1" t="str" cm="1">
        <f t="array" ref="J325">IFERROR(INDEX(PV_Totals_By_Item[#All], ROW()-1, COLUMN()), "")</f>
        <v/>
      </c>
    </row>
    <row r="326" spans="1:10">
      <c r="A326" s="1" t="str" cm="1">
        <f t="array" ref="A326">IFERROR(INDEX(PV_Totals_By_Item[#All], ROW()-1, COLUMN()), "")</f>
        <v/>
      </c>
      <c r="B326" s="1" t="str" cm="1">
        <f t="array" ref="B326">IFERROR(INDEX(PV_Totals_By_Item[#All], ROW()-1, COLUMN()), "")</f>
        <v/>
      </c>
      <c r="C326" s="1" t="str" cm="1">
        <f t="array" ref="C326">IFERROR(INDEX(PV_Totals_By_Item[#All], ROW()-1, COLUMN()), "")</f>
        <v/>
      </c>
      <c r="D326" s="1" t="str" cm="1">
        <f t="array" ref="D326">IFERROR(INDEX(PV_Totals_By_Item[#All], ROW()-1, COLUMN()), "")</f>
        <v/>
      </c>
      <c r="E326" s="1" t="str" cm="1">
        <f t="array" ref="E326">IFERROR(INDEX(PV_Totals_By_Item[#All], ROW()-1, COLUMN()), "")</f>
        <v/>
      </c>
      <c r="F326" s="1" t="str" cm="1">
        <f t="array" ref="F326">IFERROR(INDEX(PV_Totals_By_Item[#All], ROW()-1, COLUMN()), "")</f>
        <v/>
      </c>
      <c r="G326" s="1" t="str" cm="1">
        <f t="array" ref="G326">IFERROR(INDEX(PV_Totals_By_Item[#All], ROW()-1, COLUMN()), "")</f>
        <v/>
      </c>
      <c r="H326" s="1" t="str" cm="1">
        <f t="array" ref="H326">IFERROR(INDEX(PV_Totals_By_Item[#All], ROW()-1, COLUMN()), "")</f>
        <v/>
      </c>
      <c r="I326" s="1" t="str" cm="1">
        <f t="array" ref="I326">IFERROR(INDEX(PV_Totals_By_Item[#All], ROW()-1, COLUMN()), "")</f>
        <v/>
      </c>
      <c r="J326" s="1" t="str" cm="1">
        <f t="array" ref="J326">IFERROR(INDEX(PV_Totals_By_Item[#All], ROW()-1, COLUMN()), "")</f>
        <v/>
      </c>
    </row>
    <row r="327" spans="1:10">
      <c r="A327" s="1" t="str" cm="1">
        <f t="array" ref="A327">IFERROR(INDEX(PV_Totals_By_Item[#All], ROW()-1, COLUMN()), "")</f>
        <v/>
      </c>
      <c r="B327" s="1" t="str" cm="1">
        <f t="array" ref="B327">IFERROR(INDEX(PV_Totals_By_Item[#All], ROW()-1, COLUMN()), "")</f>
        <v/>
      </c>
      <c r="C327" s="1" t="str" cm="1">
        <f t="array" ref="C327">IFERROR(INDEX(PV_Totals_By_Item[#All], ROW()-1, COLUMN()), "")</f>
        <v/>
      </c>
      <c r="D327" s="1" t="str" cm="1">
        <f t="array" ref="D327">IFERROR(INDEX(PV_Totals_By_Item[#All], ROW()-1, COLUMN()), "")</f>
        <v/>
      </c>
      <c r="E327" s="1" t="str" cm="1">
        <f t="array" ref="E327">IFERROR(INDEX(PV_Totals_By_Item[#All], ROW()-1, COLUMN()), "")</f>
        <v/>
      </c>
      <c r="F327" s="1" t="str" cm="1">
        <f t="array" ref="F327">IFERROR(INDEX(PV_Totals_By_Item[#All], ROW()-1, COLUMN()), "")</f>
        <v/>
      </c>
      <c r="G327" s="1" t="str" cm="1">
        <f t="array" ref="G327">IFERROR(INDEX(PV_Totals_By_Item[#All], ROW()-1, COLUMN()), "")</f>
        <v/>
      </c>
      <c r="H327" s="1" t="str" cm="1">
        <f t="array" ref="H327">IFERROR(INDEX(PV_Totals_By_Item[#All], ROW()-1, COLUMN()), "")</f>
        <v/>
      </c>
      <c r="I327" s="1" t="str" cm="1">
        <f t="array" ref="I327">IFERROR(INDEX(PV_Totals_By_Item[#All], ROW()-1, COLUMN()), "")</f>
        <v/>
      </c>
      <c r="J327" s="1" t="str" cm="1">
        <f t="array" ref="J327">IFERROR(INDEX(PV_Totals_By_Item[#All], ROW()-1, COLUMN()), "")</f>
        <v/>
      </c>
    </row>
    <row r="328" spans="1:10">
      <c r="A328" s="1" t="str" cm="1">
        <f t="array" ref="A328">IFERROR(INDEX(PV_Totals_By_Item[#All], ROW()-1, COLUMN()), "")</f>
        <v/>
      </c>
      <c r="B328" s="1" t="str" cm="1">
        <f t="array" ref="B328">IFERROR(INDEX(PV_Totals_By_Item[#All], ROW()-1, COLUMN()), "")</f>
        <v/>
      </c>
      <c r="C328" s="1" t="str" cm="1">
        <f t="array" ref="C328">IFERROR(INDEX(PV_Totals_By_Item[#All], ROW()-1, COLUMN()), "")</f>
        <v/>
      </c>
      <c r="D328" s="1" t="str" cm="1">
        <f t="array" ref="D328">IFERROR(INDEX(PV_Totals_By_Item[#All], ROW()-1, COLUMN()), "")</f>
        <v/>
      </c>
      <c r="E328" s="1" t="str" cm="1">
        <f t="array" ref="E328">IFERROR(INDEX(PV_Totals_By_Item[#All], ROW()-1, COLUMN()), "")</f>
        <v/>
      </c>
      <c r="F328" s="1" t="str" cm="1">
        <f t="array" ref="F328">IFERROR(INDEX(PV_Totals_By_Item[#All], ROW()-1, COLUMN()), "")</f>
        <v/>
      </c>
      <c r="G328" s="1" t="str" cm="1">
        <f t="array" ref="G328">IFERROR(INDEX(PV_Totals_By_Item[#All], ROW()-1, COLUMN()), "")</f>
        <v/>
      </c>
      <c r="H328" s="1" t="str" cm="1">
        <f t="array" ref="H328">IFERROR(INDEX(PV_Totals_By_Item[#All], ROW()-1, COLUMN()), "")</f>
        <v/>
      </c>
      <c r="I328" s="1" t="str" cm="1">
        <f t="array" ref="I328">IFERROR(INDEX(PV_Totals_By_Item[#All], ROW()-1, COLUMN()), "")</f>
        <v/>
      </c>
      <c r="J328" s="1" t="str" cm="1">
        <f t="array" ref="J328">IFERROR(INDEX(PV_Totals_By_Item[#All], ROW()-1, COLUMN()), "")</f>
        <v/>
      </c>
    </row>
    <row r="329" spans="1:10">
      <c r="A329" s="1" t="str" cm="1">
        <f t="array" ref="A329">IFERROR(INDEX(PV_Totals_By_Item[#All], ROW()-1, COLUMN()), "")</f>
        <v/>
      </c>
      <c r="B329" s="1" t="str" cm="1">
        <f t="array" ref="B329">IFERROR(INDEX(PV_Totals_By_Item[#All], ROW()-1, COLUMN()), "")</f>
        <v/>
      </c>
      <c r="C329" s="1" t="str" cm="1">
        <f t="array" ref="C329">IFERROR(INDEX(PV_Totals_By_Item[#All], ROW()-1, COLUMN()), "")</f>
        <v/>
      </c>
      <c r="D329" s="1" t="str" cm="1">
        <f t="array" ref="D329">IFERROR(INDEX(PV_Totals_By_Item[#All], ROW()-1, COLUMN()), "")</f>
        <v/>
      </c>
      <c r="E329" s="1" t="str" cm="1">
        <f t="array" ref="E329">IFERROR(INDEX(PV_Totals_By_Item[#All], ROW()-1, COLUMN()), "")</f>
        <v/>
      </c>
      <c r="F329" s="1" t="str" cm="1">
        <f t="array" ref="F329">IFERROR(INDEX(PV_Totals_By_Item[#All], ROW()-1, COLUMN()), "")</f>
        <v/>
      </c>
      <c r="G329" s="1" t="str" cm="1">
        <f t="array" ref="G329">IFERROR(INDEX(PV_Totals_By_Item[#All], ROW()-1, COLUMN()), "")</f>
        <v/>
      </c>
      <c r="H329" s="1" t="str" cm="1">
        <f t="array" ref="H329">IFERROR(INDEX(PV_Totals_By_Item[#All], ROW()-1, COLUMN()), "")</f>
        <v/>
      </c>
      <c r="I329" s="1" t="str" cm="1">
        <f t="array" ref="I329">IFERROR(INDEX(PV_Totals_By_Item[#All], ROW()-1, COLUMN()), "")</f>
        <v/>
      </c>
      <c r="J329" s="1" t="str" cm="1">
        <f t="array" ref="J329">IFERROR(INDEX(PV_Totals_By_Item[#All], ROW()-1, COLUMN()), "")</f>
        <v/>
      </c>
    </row>
    <row r="330" spans="1:10">
      <c r="A330" s="1" t="str" cm="1">
        <f t="array" ref="A330">IFERROR(INDEX(PV_Totals_By_Item[#All], ROW()-1, COLUMN()), "")</f>
        <v/>
      </c>
      <c r="B330" s="1" t="str" cm="1">
        <f t="array" ref="B330">IFERROR(INDEX(PV_Totals_By_Item[#All], ROW()-1, COLUMN()), "")</f>
        <v/>
      </c>
      <c r="C330" s="1" t="str" cm="1">
        <f t="array" ref="C330">IFERROR(INDEX(PV_Totals_By_Item[#All], ROW()-1, COLUMN()), "")</f>
        <v/>
      </c>
      <c r="D330" s="1" t="str" cm="1">
        <f t="array" ref="D330">IFERROR(INDEX(PV_Totals_By_Item[#All], ROW()-1, COLUMN()), "")</f>
        <v/>
      </c>
      <c r="E330" s="1" t="str" cm="1">
        <f t="array" ref="E330">IFERROR(INDEX(PV_Totals_By_Item[#All], ROW()-1, COLUMN()), "")</f>
        <v/>
      </c>
      <c r="F330" s="1" t="str" cm="1">
        <f t="array" ref="F330">IFERROR(INDEX(PV_Totals_By_Item[#All], ROW()-1, COLUMN()), "")</f>
        <v/>
      </c>
      <c r="G330" s="1" t="str" cm="1">
        <f t="array" ref="G330">IFERROR(INDEX(PV_Totals_By_Item[#All], ROW()-1, COLUMN()), "")</f>
        <v/>
      </c>
      <c r="H330" s="1" t="str" cm="1">
        <f t="array" ref="H330">IFERROR(INDEX(PV_Totals_By_Item[#All], ROW()-1, COLUMN()), "")</f>
        <v/>
      </c>
      <c r="I330" s="1" t="str" cm="1">
        <f t="array" ref="I330">IFERROR(INDEX(PV_Totals_By_Item[#All], ROW()-1, COLUMN()), "")</f>
        <v/>
      </c>
      <c r="J330" s="1" t="str" cm="1">
        <f t="array" ref="J330">IFERROR(INDEX(PV_Totals_By_Item[#All], ROW()-1, COLUMN()), "")</f>
        <v/>
      </c>
    </row>
    <row r="331" spans="1:10">
      <c r="A331" s="1" t="str" cm="1">
        <f t="array" ref="A331">IFERROR(INDEX(PV_Totals_By_Item[#All], ROW()-1, COLUMN()), "")</f>
        <v/>
      </c>
      <c r="B331" s="1" t="str" cm="1">
        <f t="array" ref="B331">IFERROR(INDEX(PV_Totals_By_Item[#All], ROW()-1, COLUMN()), "")</f>
        <v/>
      </c>
      <c r="C331" s="1" t="str" cm="1">
        <f t="array" ref="C331">IFERROR(INDEX(PV_Totals_By_Item[#All], ROW()-1, COLUMN()), "")</f>
        <v/>
      </c>
      <c r="D331" s="1" t="str" cm="1">
        <f t="array" ref="D331">IFERROR(INDEX(PV_Totals_By_Item[#All], ROW()-1, COLUMN()), "")</f>
        <v/>
      </c>
      <c r="E331" s="1" t="str" cm="1">
        <f t="array" ref="E331">IFERROR(INDEX(PV_Totals_By_Item[#All], ROW()-1, COLUMN()), "")</f>
        <v/>
      </c>
      <c r="F331" s="1" t="str" cm="1">
        <f t="array" ref="F331">IFERROR(INDEX(PV_Totals_By_Item[#All], ROW()-1, COLUMN()), "")</f>
        <v/>
      </c>
      <c r="G331" s="1" t="str" cm="1">
        <f t="array" ref="G331">IFERROR(INDEX(PV_Totals_By_Item[#All], ROW()-1, COLUMN()), "")</f>
        <v/>
      </c>
      <c r="H331" s="1" t="str" cm="1">
        <f t="array" ref="H331">IFERROR(INDEX(PV_Totals_By_Item[#All], ROW()-1, COLUMN()), "")</f>
        <v/>
      </c>
      <c r="I331" s="1" t="str" cm="1">
        <f t="array" ref="I331">IFERROR(INDEX(PV_Totals_By_Item[#All], ROW()-1, COLUMN()), "")</f>
        <v/>
      </c>
      <c r="J331" s="1" t="str" cm="1">
        <f t="array" ref="J331">IFERROR(INDEX(PV_Totals_By_Item[#All], ROW()-1, COLUMN()), "")</f>
        <v/>
      </c>
    </row>
    <row r="332" spans="1:10">
      <c r="A332" s="1" t="str" cm="1">
        <f t="array" ref="A332">IFERROR(INDEX(PV_Totals_By_Item[#All], ROW()-1, COLUMN()), "")</f>
        <v/>
      </c>
      <c r="B332" s="1" t="str" cm="1">
        <f t="array" ref="B332">IFERROR(INDEX(PV_Totals_By_Item[#All], ROW()-1, COLUMN()), "")</f>
        <v/>
      </c>
      <c r="C332" s="1" t="str" cm="1">
        <f t="array" ref="C332">IFERROR(INDEX(PV_Totals_By_Item[#All], ROW()-1, COLUMN()), "")</f>
        <v/>
      </c>
      <c r="D332" s="1" t="str" cm="1">
        <f t="array" ref="D332">IFERROR(INDEX(PV_Totals_By_Item[#All], ROW()-1, COLUMN()), "")</f>
        <v/>
      </c>
      <c r="E332" s="1" t="str" cm="1">
        <f t="array" ref="E332">IFERROR(INDEX(PV_Totals_By_Item[#All], ROW()-1, COLUMN()), "")</f>
        <v/>
      </c>
      <c r="F332" s="1" t="str" cm="1">
        <f t="array" ref="F332">IFERROR(INDEX(PV_Totals_By_Item[#All], ROW()-1, COLUMN()), "")</f>
        <v/>
      </c>
      <c r="G332" s="1" t="str" cm="1">
        <f t="array" ref="G332">IFERROR(INDEX(PV_Totals_By_Item[#All], ROW()-1, COLUMN()), "")</f>
        <v/>
      </c>
      <c r="H332" s="1" t="str" cm="1">
        <f t="array" ref="H332">IFERROR(INDEX(PV_Totals_By_Item[#All], ROW()-1, COLUMN()), "")</f>
        <v/>
      </c>
      <c r="I332" s="1" t="str" cm="1">
        <f t="array" ref="I332">IFERROR(INDEX(PV_Totals_By_Item[#All], ROW()-1, COLUMN()), "")</f>
        <v/>
      </c>
      <c r="J332" s="1" t="str" cm="1">
        <f t="array" ref="J332">IFERROR(INDEX(PV_Totals_By_Item[#All], ROW()-1, COLUMN()), "")</f>
        <v/>
      </c>
    </row>
    <row r="333" spans="1:10">
      <c r="A333" s="1" t="str" cm="1">
        <f t="array" ref="A333">IFERROR(INDEX(PV_Totals_By_Item[#All], ROW()-1, COLUMN()), "")</f>
        <v/>
      </c>
      <c r="B333" s="1" t="str" cm="1">
        <f t="array" ref="B333">IFERROR(INDEX(PV_Totals_By_Item[#All], ROW()-1, COLUMN()), "")</f>
        <v/>
      </c>
      <c r="C333" s="1" t="str" cm="1">
        <f t="array" ref="C333">IFERROR(INDEX(PV_Totals_By_Item[#All], ROW()-1, COLUMN()), "")</f>
        <v/>
      </c>
      <c r="D333" s="1" t="str" cm="1">
        <f t="array" ref="D333">IFERROR(INDEX(PV_Totals_By_Item[#All], ROW()-1, COLUMN()), "")</f>
        <v/>
      </c>
      <c r="E333" s="1" t="str" cm="1">
        <f t="array" ref="E333">IFERROR(INDEX(PV_Totals_By_Item[#All], ROW()-1, COLUMN()), "")</f>
        <v/>
      </c>
      <c r="F333" s="1" t="str" cm="1">
        <f t="array" ref="F333">IFERROR(INDEX(PV_Totals_By_Item[#All], ROW()-1, COLUMN()), "")</f>
        <v/>
      </c>
      <c r="G333" s="1" t="str" cm="1">
        <f t="array" ref="G333">IFERROR(INDEX(PV_Totals_By_Item[#All], ROW()-1, COLUMN()), "")</f>
        <v/>
      </c>
      <c r="H333" s="1" t="str" cm="1">
        <f t="array" ref="H333">IFERROR(INDEX(PV_Totals_By_Item[#All], ROW()-1, COLUMN()), "")</f>
        <v/>
      </c>
      <c r="I333" s="1" t="str" cm="1">
        <f t="array" ref="I333">IFERROR(INDEX(PV_Totals_By_Item[#All], ROW()-1, COLUMN()), "")</f>
        <v/>
      </c>
      <c r="J333" s="1" t="str" cm="1">
        <f t="array" ref="J333">IFERROR(INDEX(PV_Totals_By_Item[#All], ROW()-1, COLUMN()), "")</f>
        <v/>
      </c>
    </row>
    <row r="334" spans="1:10">
      <c r="A334" s="1" t="str" cm="1">
        <f t="array" ref="A334">IFERROR(INDEX(PV_Totals_By_Item[#All], ROW()-1, COLUMN()), "")</f>
        <v/>
      </c>
      <c r="B334" s="1" t="str" cm="1">
        <f t="array" ref="B334">IFERROR(INDEX(PV_Totals_By_Item[#All], ROW()-1, COLUMN()), "")</f>
        <v/>
      </c>
      <c r="C334" s="1" t="str" cm="1">
        <f t="array" ref="C334">IFERROR(INDEX(PV_Totals_By_Item[#All], ROW()-1, COLUMN()), "")</f>
        <v/>
      </c>
      <c r="D334" s="1" t="str" cm="1">
        <f t="array" ref="D334">IFERROR(INDEX(PV_Totals_By_Item[#All], ROW()-1, COLUMN()), "")</f>
        <v/>
      </c>
      <c r="E334" s="1" t="str" cm="1">
        <f t="array" ref="E334">IFERROR(INDEX(PV_Totals_By_Item[#All], ROW()-1, COLUMN()), "")</f>
        <v/>
      </c>
      <c r="F334" s="1" t="str" cm="1">
        <f t="array" ref="F334">IFERROR(INDEX(PV_Totals_By_Item[#All], ROW()-1, COLUMN()), "")</f>
        <v/>
      </c>
      <c r="G334" s="1" t="str" cm="1">
        <f t="array" ref="G334">IFERROR(INDEX(PV_Totals_By_Item[#All], ROW()-1, COLUMN()), "")</f>
        <v/>
      </c>
      <c r="H334" s="1" t="str" cm="1">
        <f t="array" ref="H334">IFERROR(INDEX(PV_Totals_By_Item[#All], ROW()-1, COLUMN()), "")</f>
        <v/>
      </c>
      <c r="I334" s="1" t="str" cm="1">
        <f t="array" ref="I334">IFERROR(INDEX(PV_Totals_By_Item[#All], ROW()-1, COLUMN()), "")</f>
        <v/>
      </c>
      <c r="J334" s="1" t="str" cm="1">
        <f t="array" ref="J334">IFERROR(INDEX(PV_Totals_By_Item[#All], ROW()-1, COLUMN()), "")</f>
        <v/>
      </c>
    </row>
    <row r="335" spans="1:10">
      <c r="A335" s="1" t="str" cm="1">
        <f t="array" ref="A335">IFERROR(INDEX(PV_Totals_By_Item[#All], ROW()-1, COLUMN()), "")</f>
        <v/>
      </c>
      <c r="B335" s="1" t="str" cm="1">
        <f t="array" ref="B335">IFERROR(INDEX(PV_Totals_By_Item[#All], ROW()-1, COLUMN()), "")</f>
        <v/>
      </c>
      <c r="C335" s="1" t="str" cm="1">
        <f t="array" ref="C335">IFERROR(INDEX(PV_Totals_By_Item[#All], ROW()-1, COLUMN()), "")</f>
        <v/>
      </c>
      <c r="D335" s="1" t="str" cm="1">
        <f t="array" ref="D335">IFERROR(INDEX(PV_Totals_By_Item[#All], ROW()-1, COLUMN()), "")</f>
        <v/>
      </c>
      <c r="E335" s="1" t="str" cm="1">
        <f t="array" ref="E335">IFERROR(INDEX(PV_Totals_By_Item[#All], ROW()-1, COLUMN()), "")</f>
        <v/>
      </c>
      <c r="F335" s="1" t="str" cm="1">
        <f t="array" ref="F335">IFERROR(INDEX(PV_Totals_By_Item[#All], ROW()-1, COLUMN()), "")</f>
        <v/>
      </c>
      <c r="G335" s="1" t="str" cm="1">
        <f t="array" ref="G335">IFERROR(INDEX(PV_Totals_By_Item[#All], ROW()-1, COLUMN()), "")</f>
        <v/>
      </c>
      <c r="H335" s="1" t="str" cm="1">
        <f t="array" ref="H335">IFERROR(INDEX(PV_Totals_By_Item[#All], ROW()-1, COLUMN()), "")</f>
        <v/>
      </c>
      <c r="I335" s="1" t="str" cm="1">
        <f t="array" ref="I335">IFERROR(INDEX(PV_Totals_By_Item[#All], ROW()-1, COLUMN()), "")</f>
        <v/>
      </c>
      <c r="J335" s="1" t="str" cm="1">
        <f t="array" ref="J335">IFERROR(INDEX(PV_Totals_By_Item[#All], ROW()-1, COLUMN()), "")</f>
        <v/>
      </c>
    </row>
    <row r="336" spans="1:10">
      <c r="A336" s="1" t="str" cm="1">
        <f t="array" ref="A336">IFERROR(INDEX(PV_Totals_By_Item[#All], ROW()-1, COLUMN()), "")</f>
        <v/>
      </c>
      <c r="B336" s="1" t="str" cm="1">
        <f t="array" ref="B336">IFERROR(INDEX(PV_Totals_By_Item[#All], ROW()-1, COLUMN()), "")</f>
        <v/>
      </c>
      <c r="C336" s="1" t="str" cm="1">
        <f t="array" ref="C336">IFERROR(INDEX(PV_Totals_By_Item[#All], ROW()-1, COLUMN()), "")</f>
        <v/>
      </c>
      <c r="D336" s="1" t="str" cm="1">
        <f t="array" ref="D336">IFERROR(INDEX(PV_Totals_By_Item[#All], ROW()-1, COLUMN()), "")</f>
        <v/>
      </c>
      <c r="E336" s="1" t="str" cm="1">
        <f t="array" ref="E336">IFERROR(INDEX(PV_Totals_By_Item[#All], ROW()-1, COLUMN()), "")</f>
        <v/>
      </c>
      <c r="F336" s="1" t="str" cm="1">
        <f t="array" ref="F336">IFERROR(INDEX(PV_Totals_By_Item[#All], ROW()-1, COLUMN()), "")</f>
        <v/>
      </c>
      <c r="G336" s="1" t="str" cm="1">
        <f t="array" ref="G336">IFERROR(INDEX(PV_Totals_By_Item[#All], ROW()-1, COLUMN()), "")</f>
        <v/>
      </c>
      <c r="H336" s="1" t="str" cm="1">
        <f t="array" ref="H336">IFERROR(INDEX(PV_Totals_By_Item[#All], ROW()-1, COLUMN()), "")</f>
        <v/>
      </c>
      <c r="I336" s="1" t="str" cm="1">
        <f t="array" ref="I336">IFERROR(INDEX(PV_Totals_By_Item[#All], ROW()-1, COLUMN()), "")</f>
        <v/>
      </c>
      <c r="J336" s="1" t="str" cm="1">
        <f t="array" ref="J336">IFERROR(INDEX(PV_Totals_By_Item[#All], ROW()-1, COLUMN()), "")</f>
        <v/>
      </c>
    </row>
    <row r="337" spans="1:10">
      <c r="A337" s="1" t="str" cm="1">
        <f t="array" ref="A337">IFERROR(INDEX(PV_Totals_By_Item[#All], ROW()-1, COLUMN()), "")</f>
        <v/>
      </c>
      <c r="B337" s="1" t="str" cm="1">
        <f t="array" ref="B337">IFERROR(INDEX(PV_Totals_By_Item[#All], ROW()-1, COLUMN()), "")</f>
        <v/>
      </c>
      <c r="C337" s="1" t="str" cm="1">
        <f t="array" ref="C337">IFERROR(INDEX(PV_Totals_By_Item[#All], ROW()-1, COLUMN()), "")</f>
        <v/>
      </c>
      <c r="D337" s="1" t="str" cm="1">
        <f t="array" ref="D337">IFERROR(INDEX(PV_Totals_By_Item[#All], ROW()-1, COLUMN()), "")</f>
        <v/>
      </c>
      <c r="E337" s="1" t="str" cm="1">
        <f t="array" ref="E337">IFERROR(INDEX(PV_Totals_By_Item[#All], ROW()-1, COLUMN()), "")</f>
        <v/>
      </c>
      <c r="F337" s="1" t="str" cm="1">
        <f t="array" ref="F337">IFERROR(INDEX(PV_Totals_By_Item[#All], ROW()-1, COLUMN()), "")</f>
        <v/>
      </c>
      <c r="G337" s="1" t="str" cm="1">
        <f t="array" ref="G337">IFERROR(INDEX(PV_Totals_By_Item[#All], ROW()-1, COLUMN()), "")</f>
        <v/>
      </c>
      <c r="H337" s="1" t="str" cm="1">
        <f t="array" ref="H337">IFERROR(INDEX(PV_Totals_By_Item[#All], ROW()-1, COLUMN()), "")</f>
        <v/>
      </c>
      <c r="I337" s="1" t="str" cm="1">
        <f t="array" ref="I337">IFERROR(INDEX(PV_Totals_By_Item[#All], ROW()-1, COLUMN()), "")</f>
        <v/>
      </c>
      <c r="J337" s="1" t="str" cm="1">
        <f t="array" ref="J337">IFERROR(INDEX(PV_Totals_By_Item[#All], ROW()-1, COLUMN()), "")</f>
        <v/>
      </c>
    </row>
    <row r="338" spans="1:10">
      <c r="A338" s="1" t="str" cm="1">
        <f t="array" ref="A338">IFERROR(INDEX(PV_Totals_By_Item[#All], ROW()-1, COLUMN()), "")</f>
        <v/>
      </c>
      <c r="B338" s="1" t="str" cm="1">
        <f t="array" ref="B338">IFERROR(INDEX(PV_Totals_By_Item[#All], ROW()-1, COLUMN()), "")</f>
        <v/>
      </c>
      <c r="C338" s="1" t="str" cm="1">
        <f t="array" ref="C338">IFERROR(INDEX(PV_Totals_By_Item[#All], ROW()-1, COLUMN()), "")</f>
        <v/>
      </c>
      <c r="D338" s="1" t="str" cm="1">
        <f t="array" ref="D338">IFERROR(INDEX(PV_Totals_By_Item[#All], ROW()-1, COLUMN()), "")</f>
        <v/>
      </c>
      <c r="E338" s="1" t="str" cm="1">
        <f t="array" ref="E338">IFERROR(INDEX(PV_Totals_By_Item[#All], ROW()-1, COLUMN()), "")</f>
        <v/>
      </c>
      <c r="F338" s="1" t="str" cm="1">
        <f t="array" ref="F338">IFERROR(INDEX(PV_Totals_By_Item[#All], ROW()-1, COLUMN()), "")</f>
        <v/>
      </c>
      <c r="G338" s="1" t="str" cm="1">
        <f t="array" ref="G338">IFERROR(INDEX(PV_Totals_By_Item[#All], ROW()-1, COLUMN()), "")</f>
        <v/>
      </c>
      <c r="H338" s="1" t="str" cm="1">
        <f t="array" ref="H338">IFERROR(INDEX(PV_Totals_By_Item[#All], ROW()-1, COLUMN()), "")</f>
        <v/>
      </c>
      <c r="I338" s="1" t="str" cm="1">
        <f t="array" ref="I338">IFERROR(INDEX(PV_Totals_By_Item[#All], ROW()-1, COLUMN()), "")</f>
        <v/>
      </c>
      <c r="J338" s="1" t="str" cm="1">
        <f t="array" ref="J338">IFERROR(INDEX(PV_Totals_By_Item[#All], ROW()-1, COLUMN()), "")</f>
        <v/>
      </c>
    </row>
    <row r="339" spans="1:10">
      <c r="A339" s="1" t="str" cm="1">
        <f t="array" ref="A339">IFERROR(INDEX(PV_Totals_By_Item[#All], ROW()-1, COLUMN()), "")</f>
        <v/>
      </c>
      <c r="B339" s="1" t="str" cm="1">
        <f t="array" ref="B339">IFERROR(INDEX(PV_Totals_By_Item[#All], ROW()-1, COLUMN()), "")</f>
        <v/>
      </c>
      <c r="C339" s="1" t="str" cm="1">
        <f t="array" ref="C339">IFERROR(INDEX(PV_Totals_By_Item[#All], ROW()-1, COLUMN()), "")</f>
        <v/>
      </c>
      <c r="D339" s="1" t="str" cm="1">
        <f t="array" ref="D339">IFERROR(INDEX(PV_Totals_By_Item[#All], ROW()-1, COLUMN()), "")</f>
        <v/>
      </c>
      <c r="E339" s="1" t="str" cm="1">
        <f t="array" ref="E339">IFERROR(INDEX(PV_Totals_By_Item[#All], ROW()-1, COLUMN()), "")</f>
        <v/>
      </c>
      <c r="F339" s="1" t="str" cm="1">
        <f t="array" ref="F339">IFERROR(INDEX(PV_Totals_By_Item[#All], ROW()-1, COLUMN()), "")</f>
        <v/>
      </c>
      <c r="G339" s="1" t="str" cm="1">
        <f t="array" ref="G339">IFERROR(INDEX(PV_Totals_By_Item[#All], ROW()-1, COLUMN()), "")</f>
        <v/>
      </c>
      <c r="H339" s="1" t="str" cm="1">
        <f t="array" ref="H339">IFERROR(INDEX(PV_Totals_By_Item[#All], ROW()-1, COLUMN()), "")</f>
        <v/>
      </c>
      <c r="I339" s="1" t="str" cm="1">
        <f t="array" ref="I339">IFERROR(INDEX(PV_Totals_By_Item[#All], ROW()-1, COLUMN()), "")</f>
        <v/>
      </c>
      <c r="J339" s="1" t="str" cm="1">
        <f t="array" ref="J339">IFERROR(INDEX(PV_Totals_By_Item[#All], ROW()-1, COLUMN()), "")</f>
        <v/>
      </c>
    </row>
    <row r="340" spans="1:10">
      <c r="A340" s="1" t="str" cm="1">
        <f t="array" ref="A340">IFERROR(INDEX(PV_Totals_By_Item[#All], ROW()-1, COLUMN()), "")</f>
        <v/>
      </c>
      <c r="B340" s="1" t="str" cm="1">
        <f t="array" ref="B340">IFERROR(INDEX(PV_Totals_By_Item[#All], ROW()-1, COLUMN()), "")</f>
        <v/>
      </c>
      <c r="C340" s="1" t="str" cm="1">
        <f t="array" ref="C340">IFERROR(INDEX(PV_Totals_By_Item[#All], ROW()-1, COLUMN()), "")</f>
        <v/>
      </c>
      <c r="D340" s="1" t="str" cm="1">
        <f t="array" ref="D340">IFERROR(INDEX(PV_Totals_By_Item[#All], ROW()-1, COLUMN()), "")</f>
        <v/>
      </c>
      <c r="E340" s="1" t="str" cm="1">
        <f t="array" ref="E340">IFERROR(INDEX(PV_Totals_By_Item[#All], ROW()-1, COLUMN()), "")</f>
        <v/>
      </c>
      <c r="F340" s="1" t="str" cm="1">
        <f t="array" ref="F340">IFERROR(INDEX(PV_Totals_By_Item[#All], ROW()-1, COLUMN()), "")</f>
        <v/>
      </c>
      <c r="G340" s="1" t="str" cm="1">
        <f t="array" ref="G340">IFERROR(INDEX(PV_Totals_By_Item[#All], ROW()-1, COLUMN()), "")</f>
        <v/>
      </c>
      <c r="H340" s="1" t="str" cm="1">
        <f t="array" ref="H340">IFERROR(INDEX(PV_Totals_By_Item[#All], ROW()-1, COLUMN()), "")</f>
        <v/>
      </c>
      <c r="I340" s="1" t="str" cm="1">
        <f t="array" ref="I340">IFERROR(INDEX(PV_Totals_By_Item[#All], ROW()-1, COLUMN()), "")</f>
        <v/>
      </c>
      <c r="J340" s="1" t="str" cm="1">
        <f t="array" ref="J340">IFERROR(INDEX(PV_Totals_By_Item[#All], ROW()-1, COLUMN()), "")</f>
        <v/>
      </c>
    </row>
    <row r="341" spans="1:10">
      <c r="A341" s="1" t="str" cm="1">
        <f t="array" ref="A341">IFERROR(INDEX(PV_Totals_By_Item[#All], ROW()-1, COLUMN()), "")</f>
        <v/>
      </c>
      <c r="B341" s="1" t="str" cm="1">
        <f t="array" ref="B341">IFERROR(INDEX(PV_Totals_By_Item[#All], ROW()-1, COLUMN()), "")</f>
        <v/>
      </c>
      <c r="C341" s="1" t="str" cm="1">
        <f t="array" ref="C341">IFERROR(INDEX(PV_Totals_By_Item[#All], ROW()-1, COLUMN()), "")</f>
        <v/>
      </c>
      <c r="D341" s="1" t="str" cm="1">
        <f t="array" ref="D341">IFERROR(INDEX(PV_Totals_By_Item[#All], ROW()-1, COLUMN()), "")</f>
        <v/>
      </c>
      <c r="E341" s="1" t="str" cm="1">
        <f t="array" ref="E341">IFERROR(INDEX(PV_Totals_By_Item[#All], ROW()-1, COLUMN()), "")</f>
        <v/>
      </c>
      <c r="F341" s="1" t="str" cm="1">
        <f t="array" ref="F341">IFERROR(INDEX(PV_Totals_By_Item[#All], ROW()-1, COLUMN()), "")</f>
        <v/>
      </c>
      <c r="G341" s="1" t="str" cm="1">
        <f t="array" ref="G341">IFERROR(INDEX(PV_Totals_By_Item[#All], ROW()-1, COLUMN()), "")</f>
        <v/>
      </c>
      <c r="H341" s="1" t="str" cm="1">
        <f t="array" ref="H341">IFERROR(INDEX(PV_Totals_By_Item[#All], ROW()-1, COLUMN()), "")</f>
        <v/>
      </c>
      <c r="I341" s="1" t="str" cm="1">
        <f t="array" ref="I341">IFERROR(INDEX(PV_Totals_By_Item[#All], ROW()-1, COLUMN()), "")</f>
        <v/>
      </c>
      <c r="J341" s="1" t="str" cm="1">
        <f t="array" ref="J341">IFERROR(INDEX(PV_Totals_By_Item[#All], ROW()-1, COLUMN()), "")</f>
        <v/>
      </c>
    </row>
    <row r="342" spans="1:10">
      <c r="A342" s="1" t="str" cm="1">
        <f t="array" ref="A342">IFERROR(INDEX(PV_Totals_By_Item[#All], ROW()-1, COLUMN()), "")</f>
        <v/>
      </c>
      <c r="B342" s="1" t="str" cm="1">
        <f t="array" ref="B342">IFERROR(INDEX(PV_Totals_By_Item[#All], ROW()-1, COLUMN()), "")</f>
        <v/>
      </c>
      <c r="C342" s="1" t="str" cm="1">
        <f t="array" ref="C342">IFERROR(INDEX(PV_Totals_By_Item[#All], ROW()-1, COLUMN()), "")</f>
        <v/>
      </c>
      <c r="D342" s="1" t="str" cm="1">
        <f t="array" ref="D342">IFERROR(INDEX(PV_Totals_By_Item[#All], ROW()-1, COLUMN()), "")</f>
        <v/>
      </c>
      <c r="E342" s="1" t="str" cm="1">
        <f t="array" ref="E342">IFERROR(INDEX(PV_Totals_By_Item[#All], ROW()-1, COLUMN()), "")</f>
        <v/>
      </c>
      <c r="F342" s="1" t="str" cm="1">
        <f t="array" ref="F342">IFERROR(INDEX(PV_Totals_By_Item[#All], ROW()-1, COLUMN()), "")</f>
        <v/>
      </c>
      <c r="G342" s="1" t="str" cm="1">
        <f t="array" ref="G342">IFERROR(INDEX(PV_Totals_By_Item[#All], ROW()-1, COLUMN()), "")</f>
        <v/>
      </c>
      <c r="H342" s="1" t="str" cm="1">
        <f t="array" ref="H342">IFERROR(INDEX(PV_Totals_By_Item[#All], ROW()-1, COLUMN()), "")</f>
        <v/>
      </c>
      <c r="I342" s="1" t="str" cm="1">
        <f t="array" ref="I342">IFERROR(INDEX(PV_Totals_By_Item[#All], ROW()-1, COLUMN()), "")</f>
        <v/>
      </c>
      <c r="J342" s="1" t="str" cm="1">
        <f t="array" ref="J342">IFERROR(INDEX(PV_Totals_By_Item[#All], ROW()-1, COLUMN()), "")</f>
        <v/>
      </c>
    </row>
    <row r="343" spans="1:10">
      <c r="A343" s="1" t="str" cm="1">
        <f t="array" ref="A343">IFERROR(INDEX(PV_Totals_By_Item[#All], ROW()-1, COLUMN()), "")</f>
        <v/>
      </c>
      <c r="B343" s="1" t="str" cm="1">
        <f t="array" ref="B343">IFERROR(INDEX(PV_Totals_By_Item[#All], ROW()-1, COLUMN()), "")</f>
        <v/>
      </c>
      <c r="C343" s="1" t="str" cm="1">
        <f t="array" ref="C343">IFERROR(INDEX(PV_Totals_By_Item[#All], ROW()-1, COLUMN()), "")</f>
        <v/>
      </c>
      <c r="D343" s="1" t="str" cm="1">
        <f t="array" ref="D343">IFERROR(INDEX(PV_Totals_By_Item[#All], ROW()-1, COLUMN()), "")</f>
        <v/>
      </c>
      <c r="E343" s="1" t="str" cm="1">
        <f t="array" ref="E343">IFERROR(INDEX(PV_Totals_By_Item[#All], ROW()-1, COLUMN()), "")</f>
        <v/>
      </c>
      <c r="F343" s="1" t="str" cm="1">
        <f t="array" ref="F343">IFERROR(INDEX(PV_Totals_By_Item[#All], ROW()-1, COLUMN()), "")</f>
        <v/>
      </c>
      <c r="G343" s="1" t="str" cm="1">
        <f t="array" ref="G343">IFERROR(INDEX(PV_Totals_By_Item[#All], ROW()-1, COLUMN()), "")</f>
        <v/>
      </c>
      <c r="H343" s="1" t="str" cm="1">
        <f t="array" ref="H343">IFERROR(INDEX(PV_Totals_By_Item[#All], ROW()-1, COLUMN()), "")</f>
        <v/>
      </c>
      <c r="I343" s="1" t="str" cm="1">
        <f t="array" ref="I343">IFERROR(INDEX(PV_Totals_By_Item[#All], ROW()-1, COLUMN()), "")</f>
        <v/>
      </c>
      <c r="J343" s="1" t="str" cm="1">
        <f t="array" ref="J343">IFERROR(INDEX(PV_Totals_By_Item[#All], ROW()-1, COLUMN()), "")</f>
        <v/>
      </c>
    </row>
    <row r="344" spans="1:10">
      <c r="A344" s="1" t="str" cm="1">
        <f t="array" ref="A344">IFERROR(INDEX(PV_Totals_By_Item[#All], ROW()-1, COLUMN()), "")</f>
        <v/>
      </c>
      <c r="B344" s="1" t="str" cm="1">
        <f t="array" ref="B344">IFERROR(INDEX(PV_Totals_By_Item[#All], ROW()-1, COLUMN()), "")</f>
        <v/>
      </c>
      <c r="C344" s="1" t="str" cm="1">
        <f t="array" ref="C344">IFERROR(INDEX(PV_Totals_By_Item[#All], ROW()-1, COLUMN()), "")</f>
        <v/>
      </c>
      <c r="D344" s="1" t="str" cm="1">
        <f t="array" ref="D344">IFERROR(INDEX(PV_Totals_By_Item[#All], ROW()-1, COLUMN()), "")</f>
        <v/>
      </c>
      <c r="E344" s="1" t="str" cm="1">
        <f t="array" ref="E344">IFERROR(INDEX(PV_Totals_By_Item[#All], ROW()-1, COLUMN()), "")</f>
        <v/>
      </c>
      <c r="F344" s="1" t="str" cm="1">
        <f t="array" ref="F344">IFERROR(INDEX(PV_Totals_By_Item[#All], ROW()-1, COLUMN()), "")</f>
        <v/>
      </c>
      <c r="G344" s="1" t="str" cm="1">
        <f t="array" ref="G344">IFERROR(INDEX(PV_Totals_By_Item[#All], ROW()-1, COLUMN()), "")</f>
        <v/>
      </c>
      <c r="H344" s="1" t="str" cm="1">
        <f t="array" ref="H344">IFERROR(INDEX(PV_Totals_By_Item[#All], ROW()-1, COLUMN()), "")</f>
        <v/>
      </c>
      <c r="I344" s="1" t="str" cm="1">
        <f t="array" ref="I344">IFERROR(INDEX(PV_Totals_By_Item[#All], ROW()-1, COLUMN()), "")</f>
        <v/>
      </c>
      <c r="J344" s="1" t="str" cm="1">
        <f t="array" ref="J344">IFERROR(INDEX(PV_Totals_By_Item[#All], ROW()-1, COLUMN()), "")</f>
        <v/>
      </c>
    </row>
    <row r="345" spans="1:10">
      <c r="A345" s="1" t="str" cm="1">
        <f t="array" ref="A345">IFERROR(INDEX(PV_Totals_By_Item[#All], ROW()-1, COLUMN()), "")</f>
        <v/>
      </c>
      <c r="B345" s="1" t="str" cm="1">
        <f t="array" ref="B345">IFERROR(INDEX(PV_Totals_By_Item[#All], ROW()-1, COLUMN()), "")</f>
        <v/>
      </c>
      <c r="C345" s="1" t="str" cm="1">
        <f t="array" ref="C345">IFERROR(INDEX(PV_Totals_By_Item[#All], ROW()-1, COLUMN()), "")</f>
        <v/>
      </c>
      <c r="D345" s="1" t="str" cm="1">
        <f t="array" ref="D345">IFERROR(INDEX(PV_Totals_By_Item[#All], ROW()-1, COLUMN()), "")</f>
        <v/>
      </c>
      <c r="E345" s="1" t="str" cm="1">
        <f t="array" ref="E345">IFERROR(INDEX(PV_Totals_By_Item[#All], ROW()-1, COLUMN()), "")</f>
        <v/>
      </c>
      <c r="F345" s="1" t="str" cm="1">
        <f t="array" ref="F345">IFERROR(INDEX(PV_Totals_By_Item[#All], ROW()-1, COLUMN()), "")</f>
        <v/>
      </c>
      <c r="G345" s="1" t="str" cm="1">
        <f t="array" ref="G345">IFERROR(INDEX(PV_Totals_By_Item[#All], ROW()-1, COLUMN()), "")</f>
        <v/>
      </c>
      <c r="H345" s="1" t="str" cm="1">
        <f t="array" ref="H345">IFERROR(INDEX(PV_Totals_By_Item[#All], ROW()-1, COLUMN()), "")</f>
        <v/>
      </c>
      <c r="I345" s="1" t="str" cm="1">
        <f t="array" ref="I345">IFERROR(INDEX(PV_Totals_By_Item[#All], ROW()-1, COLUMN()), "")</f>
        <v/>
      </c>
      <c r="J345" s="1" t="str" cm="1">
        <f t="array" ref="J345">IFERROR(INDEX(PV_Totals_By_Item[#All], ROW()-1, COLUMN()), "")</f>
        <v/>
      </c>
    </row>
    <row r="346" spans="1:10">
      <c r="A346" s="1" t="str" cm="1">
        <f t="array" ref="A346">IFERROR(INDEX(PV_Totals_By_Item[#All], ROW()-1, COLUMN()), "")</f>
        <v/>
      </c>
      <c r="B346" s="1" t="str" cm="1">
        <f t="array" ref="B346">IFERROR(INDEX(PV_Totals_By_Item[#All], ROW()-1, COLUMN()), "")</f>
        <v/>
      </c>
      <c r="C346" s="1" t="str" cm="1">
        <f t="array" ref="C346">IFERROR(INDEX(PV_Totals_By_Item[#All], ROW()-1, COLUMN()), "")</f>
        <v/>
      </c>
      <c r="D346" s="1" t="str" cm="1">
        <f t="array" ref="D346">IFERROR(INDEX(PV_Totals_By_Item[#All], ROW()-1, COLUMN()), "")</f>
        <v/>
      </c>
      <c r="E346" s="1" t="str" cm="1">
        <f t="array" ref="E346">IFERROR(INDEX(PV_Totals_By_Item[#All], ROW()-1, COLUMN()), "")</f>
        <v/>
      </c>
      <c r="F346" s="1" t="str" cm="1">
        <f t="array" ref="F346">IFERROR(INDEX(PV_Totals_By_Item[#All], ROW()-1, COLUMN()), "")</f>
        <v/>
      </c>
      <c r="G346" s="1" t="str" cm="1">
        <f t="array" ref="G346">IFERROR(INDEX(PV_Totals_By_Item[#All], ROW()-1, COLUMN()), "")</f>
        <v/>
      </c>
      <c r="H346" s="1" t="str" cm="1">
        <f t="array" ref="H346">IFERROR(INDEX(PV_Totals_By_Item[#All], ROW()-1, COLUMN()), "")</f>
        <v/>
      </c>
      <c r="I346" s="1" t="str" cm="1">
        <f t="array" ref="I346">IFERROR(INDEX(PV_Totals_By_Item[#All], ROW()-1, COLUMN()), "")</f>
        <v/>
      </c>
      <c r="J346" s="1" t="str" cm="1">
        <f t="array" ref="J346">IFERROR(INDEX(PV_Totals_By_Item[#All], ROW()-1, COLUMN()), "")</f>
        <v/>
      </c>
    </row>
    <row r="347" spans="1:10">
      <c r="A347" s="1" t="str" cm="1">
        <f t="array" ref="A347">IFERROR(INDEX(PV_Totals_By_Item[#All], ROW()-1, COLUMN()), "")</f>
        <v/>
      </c>
      <c r="B347" s="1" t="str" cm="1">
        <f t="array" ref="B347">IFERROR(INDEX(PV_Totals_By_Item[#All], ROW()-1, COLUMN()), "")</f>
        <v/>
      </c>
      <c r="C347" s="1" t="str" cm="1">
        <f t="array" ref="C347">IFERROR(INDEX(PV_Totals_By_Item[#All], ROW()-1, COLUMN()), "")</f>
        <v/>
      </c>
      <c r="D347" s="1" t="str" cm="1">
        <f t="array" ref="D347">IFERROR(INDEX(PV_Totals_By_Item[#All], ROW()-1, COLUMN()), "")</f>
        <v/>
      </c>
      <c r="E347" s="1" t="str" cm="1">
        <f t="array" ref="E347">IFERROR(INDEX(PV_Totals_By_Item[#All], ROW()-1, COLUMN()), "")</f>
        <v/>
      </c>
      <c r="F347" s="1" t="str" cm="1">
        <f t="array" ref="F347">IFERROR(INDEX(PV_Totals_By_Item[#All], ROW()-1, COLUMN()), "")</f>
        <v/>
      </c>
      <c r="G347" s="1" t="str" cm="1">
        <f t="array" ref="G347">IFERROR(INDEX(PV_Totals_By_Item[#All], ROW()-1, COLUMN()), "")</f>
        <v/>
      </c>
      <c r="H347" s="1" t="str" cm="1">
        <f t="array" ref="H347">IFERROR(INDEX(PV_Totals_By_Item[#All], ROW()-1, COLUMN()), "")</f>
        <v/>
      </c>
      <c r="I347" s="1" t="str" cm="1">
        <f t="array" ref="I347">IFERROR(INDEX(PV_Totals_By_Item[#All], ROW()-1, COLUMN()), "")</f>
        <v/>
      </c>
      <c r="J347" s="1" t="str" cm="1">
        <f t="array" ref="J347">IFERROR(INDEX(PV_Totals_By_Item[#All], ROW()-1, COLUMN()), "")</f>
        <v/>
      </c>
    </row>
    <row r="348" spans="1:10">
      <c r="A348" s="1" t="str" cm="1">
        <f t="array" ref="A348">IFERROR(INDEX(PV_Totals_By_Item[#All], ROW()-1, COLUMN()), "")</f>
        <v/>
      </c>
      <c r="B348" s="1" t="str" cm="1">
        <f t="array" ref="B348">IFERROR(INDEX(PV_Totals_By_Item[#All], ROW()-1, COLUMN()), "")</f>
        <v/>
      </c>
      <c r="C348" s="1" t="str" cm="1">
        <f t="array" ref="C348">IFERROR(INDEX(PV_Totals_By_Item[#All], ROW()-1, COLUMN()), "")</f>
        <v/>
      </c>
      <c r="D348" s="1" t="str" cm="1">
        <f t="array" ref="D348">IFERROR(INDEX(PV_Totals_By_Item[#All], ROW()-1, COLUMN()), "")</f>
        <v/>
      </c>
      <c r="E348" s="1" t="str" cm="1">
        <f t="array" ref="E348">IFERROR(INDEX(PV_Totals_By_Item[#All], ROW()-1, COLUMN()), "")</f>
        <v/>
      </c>
      <c r="F348" s="1" t="str" cm="1">
        <f t="array" ref="F348">IFERROR(INDEX(PV_Totals_By_Item[#All], ROW()-1, COLUMN()), "")</f>
        <v/>
      </c>
      <c r="G348" s="1" t="str" cm="1">
        <f t="array" ref="G348">IFERROR(INDEX(PV_Totals_By_Item[#All], ROW()-1, COLUMN()), "")</f>
        <v/>
      </c>
      <c r="H348" s="1" t="str" cm="1">
        <f t="array" ref="H348">IFERROR(INDEX(PV_Totals_By_Item[#All], ROW()-1, COLUMN()), "")</f>
        <v/>
      </c>
      <c r="I348" s="1" t="str" cm="1">
        <f t="array" ref="I348">IFERROR(INDEX(PV_Totals_By_Item[#All], ROW()-1, COLUMN()), "")</f>
        <v/>
      </c>
      <c r="J348" s="1" t="str" cm="1">
        <f t="array" ref="J348">IFERROR(INDEX(PV_Totals_By_Item[#All], ROW()-1, COLUMN()), "")</f>
        <v/>
      </c>
    </row>
    <row r="349" spans="1:10">
      <c r="A349" s="1" t="str" cm="1">
        <f t="array" ref="A349">IFERROR(INDEX(PV_Totals_By_Item[#All], ROW()-1, COLUMN()), "")</f>
        <v/>
      </c>
      <c r="B349" s="1" t="str" cm="1">
        <f t="array" ref="B349">IFERROR(INDEX(PV_Totals_By_Item[#All], ROW()-1, COLUMN()), "")</f>
        <v/>
      </c>
      <c r="C349" s="1" t="str" cm="1">
        <f t="array" ref="C349">IFERROR(INDEX(PV_Totals_By_Item[#All], ROW()-1, COLUMN()), "")</f>
        <v/>
      </c>
      <c r="D349" s="1" t="str" cm="1">
        <f t="array" ref="D349">IFERROR(INDEX(PV_Totals_By_Item[#All], ROW()-1, COLUMN()), "")</f>
        <v/>
      </c>
      <c r="E349" s="1" t="str" cm="1">
        <f t="array" ref="E349">IFERROR(INDEX(PV_Totals_By_Item[#All], ROW()-1, COLUMN()), "")</f>
        <v/>
      </c>
      <c r="F349" s="1" t="str" cm="1">
        <f t="array" ref="F349">IFERROR(INDEX(PV_Totals_By_Item[#All], ROW()-1, COLUMN()), "")</f>
        <v/>
      </c>
      <c r="G349" s="1" t="str" cm="1">
        <f t="array" ref="G349">IFERROR(INDEX(PV_Totals_By_Item[#All], ROW()-1, COLUMN()), "")</f>
        <v/>
      </c>
      <c r="H349" s="1" t="str" cm="1">
        <f t="array" ref="H349">IFERROR(INDEX(PV_Totals_By_Item[#All], ROW()-1, COLUMN()), "")</f>
        <v/>
      </c>
      <c r="I349" s="1" t="str" cm="1">
        <f t="array" ref="I349">IFERROR(INDEX(PV_Totals_By_Item[#All], ROW()-1, COLUMN()), "")</f>
        <v/>
      </c>
      <c r="J349" s="1" t="str" cm="1">
        <f t="array" ref="J349">IFERROR(INDEX(PV_Totals_By_Item[#All], ROW()-1, COLUMN()), "")</f>
        <v/>
      </c>
    </row>
    <row r="350" spans="1:10">
      <c r="A350" s="1" t="str" cm="1">
        <f t="array" ref="A350">IFERROR(INDEX(PV_Totals_By_Item[#All], ROW()-1, COLUMN()), "")</f>
        <v/>
      </c>
      <c r="B350" s="1" t="str" cm="1">
        <f t="array" ref="B350">IFERROR(INDEX(PV_Totals_By_Item[#All], ROW()-1, COLUMN()), "")</f>
        <v/>
      </c>
      <c r="C350" s="1" t="str" cm="1">
        <f t="array" ref="C350">IFERROR(INDEX(PV_Totals_By_Item[#All], ROW()-1, COLUMN()), "")</f>
        <v/>
      </c>
      <c r="D350" s="1" t="str" cm="1">
        <f t="array" ref="D350">IFERROR(INDEX(PV_Totals_By_Item[#All], ROW()-1, COLUMN()), "")</f>
        <v/>
      </c>
      <c r="E350" s="1" t="str" cm="1">
        <f t="array" ref="E350">IFERROR(INDEX(PV_Totals_By_Item[#All], ROW()-1, COLUMN()), "")</f>
        <v/>
      </c>
      <c r="F350" s="1" t="str" cm="1">
        <f t="array" ref="F350">IFERROR(INDEX(PV_Totals_By_Item[#All], ROW()-1, COLUMN()), "")</f>
        <v/>
      </c>
      <c r="G350" s="1" t="str" cm="1">
        <f t="array" ref="G350">IFERROR(INDEX(PV_Totals_By_Item[#All], ROW()-1, COLUMN()), "")</f>
        <v/>
      </c>
      <c r="H350" s="1" t="str" cm="1">
        <f t="array" ref="H350">IFERROR(INDEX(PV_Totals_By_Item[#All], ROW()-1, COLUMN()), "")</f>
        <v/>
      </c>
      <c r="I350" s="1" t="str" cm="1">
        <f t="array" ref="I350">IFERROR(INDEX(PV_Totals_By_Item[#All], ROW()-1, COLUMN()), "")</f>
        <v/>
      </c>
      <c r="J350" s="1" t="str" cm="1">
        <f t="array" ref="J350">IFERROR(INDEX(PV_Totals_By_Item[#All], ROW()-1, COLUMN()), "")</f>
        <v/>
      </c>
    </row>
    <row r="351" spans="1:10">
      <c r="A351" s="1" t="str" cm="1">
        <f t="array" ref="A351">IFERROR(INDEX(PV_Totals_By_Item[#All], ROW()-1, COLUMN()), "")</f>
        <v/>
      </c>
      <c r="B351" s="1" t="str" cm="1">
        <f t="array" ref="B351">IFERROR(INDEX(PV_Totals_By_Item[#All], ROW()-1, COLUMN()), "")</f>
        <v/>
      </c>
      <c r="C351" s="1" t="str" cm="1">
        <f t="array" ref="C351">IFERROR(INDEX(PV_Totals_By_Item[#All], ROW()-1, COLUMN()), "")</f>
        <v/>
      </c>
      <c r="D351" s="1" t="str" cm="1">
        <f t="array" ref="D351">IFERROR(INDEX(PV_Totals_By_Item[#All], ROW()-1, COLUMN()), "")</f>
        <v/>
      </c>
      <c r="E351" s="1" t="str" cm="1">
        <f t="array" ref="E351">IFERROR(INDEX(PV_Totals_By_Item[#All], ROW()-1, COLUMN()), "")</f>
        <v/>
      </c>
      <c r="F351" s="1" t="str" cm="1">
        <f t="array" ref="F351">IFERROR(INDEX(PV_Totals_By_Item[#All], ROW()-1, COLUMN()), "")</f>
        <v/>
      </c>
      <c r="G351" s="1" t="str" cm="1">
        <f t="array" ref="G351">IFERROR(INDEX(PV_Totals_By_Item[#All], ROW()-1, COLUMN()), "")</f>
        <v/>
      </c>
      <c r="H351" s="1" t="str" cm="1">
        <f t="array" ref="H351">IFERROR(INDEX(PV_Totals_By_Item[#All], ROW()-1, COLUMN()), "")</f>
        <v/>
      </c>
      <c r="I351" s="1" t="str" cm="1">
        <f t="array" ref="I351">IFERROR(INDEX(PV_Totals_By_Item[#All], ROW()-1, COLUMN()), "")</f>
        <v/>
      </c>
      <c r="J351" s="1" t="str" cm="1">
        <f t="array" ref="J351">IFERROR(INDEX(PV_Totals_By_Item[#All], ROW()-1, COLUMN()), "")</f>
        <v/>
      </c>
    </row>
    <row r="352" spans="1:10">
      <c r="A352" s="1" t="str" cm="1">
        <f t="array" ref="A352">IFERROR(INDEX(PV_Totals_By_Item[#All], ROW()-1, COLUMN()), "")</f>
        <v/>
      </c>
      <c r="B352" s="1" t="str" cm="1">
        <f t="array" ref="B352">IFERROR(INDEX(PV_Totals_By_Item[#All], ROW()-1, COLUMN()), "")</f>
        <v/>
      </c>
      <c r="C352" s="1" t="str" cm="1">
        <f t="array" ref="C352">IFERROR(INDEX(PV_Totals_By_Item[#All], ROW()-1, COLUMN()), "")</f>
        <v/>
      </c>
      <c r="D352" s="1" t="str" cm="1">
        <f t="array" ref="D352">IFERROR(INDEX(PV_Totals_By_Item[#All], ROW()-1, COLUMN()), "")</f>
        <v/>
      </c>
      <c r="E352" s="1" t="str" cm="1">
        <f t="array" ref="E352">IFERROR(INDEX(PV_Totals_By_Item[#All], ROW()-1, COLUMN()), "")</f>
        <v/>
      </c>
      <c r="F352" s="1" t="str" cm="1">
        <f t="array" ref="F352">IFERROR(INDEX(PV_Totals_By_Item[#All], ROW()-1, COLUMN()), "")</f>
        <v/>
      </c>
      <c r="G352" s="1" t="str" cm="1">
        <f t="array" ref="G352">IFERROR(INDEX(PV_Totals_By_Item[#All], ROW()-1, COLUMN()), "")</f>
        <v/>
      </c>
      <c r="H352" s="1" t="str" cm="1">
        <f t="array" ref="H352">IFERROR(INDEX(PV_Totals_By_Item[#All], ROW()-1, COLUMN()), "")</f>
        <v/>
      </c>
      <c r="I352" s="1" t="str" cm="1">
        <f t="array" ref="I352">IFERROR(INDEX(PV_Totals_By_Item[#All], ROW()-1, COLUMN()), "")</f>
        <v/>
      </c>
      <c r="J352" s="1" t="str" cm="1">
        <f t="array" ref="J352">IFERROR(INDEX(PV_Totals_By_Item[#All], ROW()-1, COLUMN()), "")</f>
        <v/>
      </c>
    </row>
    <row r="353" spans="1:10">
      <c r="A353" s="1" t="str" cm="1">
        <f t="array" ref="A353">IFERROR(INDEX(PV_Totals_By_Item[#All], ROW()-1, COLUMN()), "")</f>
        <v/>
      </c>
      <c r="B353" s="1" t="str" cm="1">
        <f t="array" ref="B353">IFERROR(INDEX(PV_Totals_By_Item[#All], ROW()-1, COLUMN()), "")</f>
        <v/>
      </c>
      <c r="C353" s="1" t="str" cm="1">
        <f t="array" ref="C353">IFERROR(INDEX(PV_Totals_By_Item[#All], ROW()-1, COLUMN()), "")</f>
        <v/>
      </c>
      <c r="D353" s="1" t="str" cm="1">
        <f t="array" ref="D353">IFERROR(INDEX(PV_Totals_By_Item[#All], ROW()-1, COLUMN()), "")</f>
        <v/>
      </c>
      <c r="E353" s="1" t="str" cm="1">
        <f t="array" ref="E353">IFERROR(INDEX(PV_Totals_By_Item[#All], ROW()-1, COLUMN()), "")</f>
        <v/>
      </c>
      <c r="F353" s="1" t="str" cm="1">
        <f t="array" ref="F353">IFERROR(INDEX(PV_Totals_By_Item[#All], ROW()-1, COLUMN()), "")</f>
        <v/>
      </c>
      <c r="G353" s="1" t="str" cm="1">
        <f t="array" ref="G353">IFERROR(INDEX(PV_Totals_By_Item[#All], ROW()-1, COLUMN()), "")</f>
        <v/>
      </c>
      <c r="H353" s="1" t="str" cm="1">
        <f t="array" ref="H353">IFERROR(INDEX(PV_Totals_By_Item[#All], ROW()-1, COLUMN()), "")</f>
        <v/>
      </c>
      <c r="I353" s="1" t="str" cm="1">
        <f t="array" ref="I353">IFERROR(INDEX(PV_Totals_By_Item[#All], ROW()-1, COLUMN()), "")</f>
        <v/>
      </c>
      <c r="J353" s="1" t="str" cm="1">
        <f t="array" ref="J353">IFERROR(INDEX(PV_Totals_By_Item[#All], ROW()-1, COLUMN()), "")</f>
        <v/>
      </c>
    </row>
    <row r="354" spans="1:10">
      <c r="A354" s="1" t="str" cm="1">
        <f t="array" ref="A354">IFERROR(INDEX(PV_Totals_By_Item[#All], ROW()-1, COLUMN()), "")</f>
        <v/>
      </c>
      <c r="B354" s="1" t="str" cm="1">
        <f t="array" ref="B354">IFERROR(INDEX(PV_Totals_By_Item[#All], ROW()-1, COLUMN()), "")</f>
        <v/>
      </c>
      <c r="C354" s="1" t="str" cm="1">
        <f t="array" ref="C354">IFERROR(INDEX(PV_Totals_By_Item[#All], ROW()-1, COLUMN()), "")</f>
        <v/>
      </c>
      <c r="D354" s="1" t="str" cm="1">
        <f t="array" ref="D354">IFERROR(INDEX(PV_Totals_By_Item[#All], ROW()-1, COLUMN()), "")</f>
        <v/>
      </c>
      <c r="E354" s="1" t="str" cm="1">
        <f t="array" ref="E354">IFERROR(INDEX(PV_Totals_By_Item[#All], ROW()-1, COLUMN()), "")</f>
        <v/>
      </c>
      <c r="F354" s="1" t="str" cm="1">
        <f t="array" ref="F354">IFERROR(INDEX(PV_Totals_By_Item[#All], ROW()-1, COLUMN()), "")</f>
        <v/>
      </c>
      <c r="G354" s="1" t="str" cm="1">
        <f t="array" ref="G354">IFERROR(INDEX(PV_Totals_By_Item[#All], ROW()-1, COLUMN()), "")</f>
        <v/>
      </c>
      <c r="H354" s="1" t="str" cm="1">
        <f t="array" ref="H354">IFERROR(INDEX(PV_Totals_By_Item[#All], ROW()-1, COLUMN()), "")</f>
        <v/>
      </c>
      <c r="I354" s="1" t="str" cm="1">
        <f t="array" ref="I354">IFERROR(INDEX(PV_Totals_By_Item[#All], ROW()-1, COLUMN()), "")</f>
        <v/>
      </c>
      <c r="J354" s="1" t="str" cm="1">
        <f t="array" ref="J354">IFERROR(INDEX(PV_Totals_By_Item[#All], ROW()-1, COLUMN()), "")</f>
        <v/>
      </c>
    </row>
    <row r="355" spans="1:10">
      <c r="A355" s="1" t="str" cm="1">
        <f t="array" ref="A355">IFERROR(INDEX(PV_Totals_By_Item[#All], ROW()-1, COLUMN()), "")</f>
        <v/>
      </c>
      <c r="B355" s="1" t="str" cm="1">
        <f t="array" ref="B355">IFERROR(INDEX(PV_Totals_By_Item[#All], ROW()-1, COLUMN()), "")</f>
        <v/>
      </c>
      <c r="C355" s="1" t="str" cm="1">
        <f t="array" ref="C355">IFERROR(INDEX(PV_Totals_By_Item[#All], ROW()-1, COLUMN()), "")</f>
        <v/>
      </c>
      <c r="D355" s="1" t="str" cm="1">
        <f t="array" ref="D355">IFERROR(INDEX(PV_Totals_By_Item[#All], ROW()-1, COLUMN()), "")</f>
        <v/>
      </c>
      <c r="E355" s="1" t="str" cm="1">
        <f t="array" ref="E355">IFERROR(INDEX(PV_Totals_By_Item[#All], ROW()-1, COLUMN()), "")</f>
        <v/>
      </c>
      <c r="F355" s="1" t="str" cm="1">
        <f t="array" ref="F355">IFERROR(INDEX(PV_Totals_By_Item[#All], ROW()-1, COLUMN()), "")</f>
        <v/>
      </c>
      <c r="G355" s="1" t="str" cm="1">
        <f t="array" ref="G355">IFERROR(INDEX(PV_Totals_By_Item[#All], ROW()-1, COLUMN()), "")</f>
        <v/>
      </c>
      <c r="H355" s="1" t="str" cm="1">
        <f t="array" ref="H355">IFERROR(INDEX(PV_Totals_By_Item[#All], ROW()-1, COLUMN()), "")</f>
        <v/>
      </c>
      <c r="I355" s="1" t="str" cm="1">
        <f t="array" ref="I355">IFERROR(INDEX(PV_Totals_By_Item[#All], ROW()-1, COLUMN()), "")</f>
        <v/>
      </c>
      <c r="J355" s="1" t="str" cm="1">
        <f t="array" ref="J355">IFERROR(INDEX(PV_Totals_By_Item[#All], ROW()-1, COLUMN()), "")</f>
        <v/>
      </c>
    </row>
    <row r="356" spans="1:10">
      <c r="A356" s="1" t="str" cm="1">
        <f t="array" ref="A356">IFERROR(INDEX(PV_Totals_By_Item[#All], ROW()-1, COLUMN()), "")</f>
        <v/>
      </c>
      <c r="B356" s="1" t="str" cm="1">
        <f t="array" ref="B356">IFERROR(INDEX(PV_Totals_By_Item[#All], ROW()-1, COLUMN()), "")</f>
        <v/>
      </c>
      <c r="C356" s="1" t="str" cm="1">
        <f t="array" ref="C356">IFERROR(INDEX(PV_Totals_By_Item[#All], ROW()-1, COLUMN()), "")</f>
        <v/>
      </c>
      <c r="D356" s="1" t="str" cm="1">
        <f t="array" ref="D356">IFERROR(INDEX(PV_Totals_By_Item[#All], ROW()-1, COLUMN()), "")</f>
        <v/>
      </c>
      <c r="E356" s="1" t="str" cm="1">
        <f t="array" ref="E356">IFERROR(INDEX(PV_Totals_By_Item[#All], ROW()-1, COLUMN()), "")</f>
        <v/>
      </c>
      <c r="F356" s="1" t="str" cm="1">
        <f t="array" ref="F356">IFERROR(INDEX(PV_Totals_By_Item[#All], ROW()-1, COLUMN()), "")</f>
        <v/>
      </c>
      <c r="G356" s="1" t="str" cm="1">
        <f t="array" ref="G356">IFERROR(INDEX(PV_Totals_By_Item[#All], ROW()-1, COLUMN()), "")</f>
        <v/>
      </c>
      <c r="H356" s="1" t="str" cm="1">
        <f t="array" ref="H356">IFERROR(INDEX(PV_Totals_By_Item[#All], ROW()-1, COLUMN()), "")</f>
        <v/>
      </c>
      <c r="I356" s="1" t="str" cm="1">
        <f t="array" ref="I356">IFERROR(INDEX(PV_Totals_By_Item[#All], ROW()-1, COLUMN()), "")</f>
        <v/>
      </c>
      <c r="J356" s="1" t="str" cm="1">
        <f t="array" ref="J356">IFERROR(INDEX(PV_Totals_By_Item[#All], ROW()-1, COLUMN()), "")</f>
        <v/>
      </c>
    </row>
    <row r="357" spans="1:10">
      <c r="A357" s="1" t="str" cm="1">
        <f t="array" ref="A357">IFERROR(INDEX(PV_Totals_By_Item[#All], ROW()-1, COLUMN()), "")</f>
        <v/>
      </c>
      <c r="B357" s="1" t="str" cm="1">
        <f t="array" ref="B357">IFERROR(INDEX(PV_Totals_By_Item[#All], ROW()-1, COLUMN()), "")</f>
        <v/>
      </c>
      <c r="C357" s="1" t="str" cm="1">
        <f t="array" ref="C357">IFERROR(INDEX(PV_Totals_By_Item[#All], ROW()-1, COLUMN()), "")</f>
        <v/>
      </c>
      <c r="D357" s="1" t="str" cm="1">
        <f t="array" ref="D357">IFERROR(INDEX(PV_Totals_By_Item[#All], ROW()-1, COLUMN()), "")</f>
        <v/>
      </c>
      <c r="E357" s="1" t="str" cm="1">
        <f t="array" ref="E357">IFERROR(INDEX(PV_Totals_By_Item[#All], ROW()-1, COLUMN()), "")</f>
        <v/>
      </c>
      <c r="F357" s="1" t="str" cm="1">
        <f t="array" ref="F357">IFERROR(INDEX(PV_Totals_By_Item[#All], ROW()-1, COLUMN()), "")</f>
        <v/>
      </c>
      <c r="G357" s="1" t="str" cm="1">
        <f t="array" ref="G357">IFERROR(INDEX(PV_Totals_By_Item[#All], ROW()-1, COLUMN()), "")</f>
        <v/>
      </c>
      <c r="H357" s="1" t="str" cm="1">
        <f t="array" ref="H357">IFERROR(INDEX(PV_Totals_By_Item[#All], ROW()-1, COLUMN()), "")</f>
        <v/>
      </c>
      <c r="I357" s="1" t="str" cm="1">
        <f t="array" ref="I357">IFERROR(INDEX(PV_Totals_By_Item[#All], ROW()-1, COLUMN()), "")</f>
        <v/>
      </c>
      <c r="J357" s="1" t="str" cm="1">
        <f t="array" ref="J357">IFERROR(INDEX(PV_Totals_By_Item[#All], ROW()-1, COLUMN()), "")</f>
        <v/>
      </c>
    </row>
    <row r="358" spans="1:10">
      <c r="A358" s="1" t="str" cm="1">
        <f t="array" ref="A358">IFERROR(INDEX(PV_Totals_By_Item[#All], ROW()-1, COLUMN()), "")</f>
        <v/>
      </c>
      <c r="B358" s="1" t="str" cm="1">
        <f t="array" ref="B358">IFERROR(INDEX(PV_Totals_By_Item[#All], ROW()-1, COLUMN()), "")</f>
        <v/>
      </c>
      <c r="C358" s="1" t="str" cm="1">
        <f t="array" ref="C358">IFERROR(INDEX(PV_Totals_By_Item[#All], ROW()-1, COLUMN()), "")</f>
        <v/>
      </c>
      <c r="D358" s="1" t="str" cm="1">
        <f t="array" ref="D358">IFERROR(INDEX(PV_Totals_By_Item[#All], ROW()-1, COLUMN()), "")</f>
        <v/>
      </c>
      <c r="E358" s="1" t="str" cm="1">
        <f t="array" ref="E358">IFERROR(INDEX(PV_Totals_By_Item[#All], ROW()-1, COLUMN()), "")</f>
        <v/>
      </c>
      <c r="F358" s="1" t="str" cm="1">
        <f t="array" ref="F358">IFERROR(INDEX(PV_Totals_By_Item[#All], ROW()-1, COLUMN()), "")</f>
        <v/>
      </c>
      <c r="G358" s="1" t="str" cm="1">
        <f t="array" ref="G358">IFERROR(INDEX(PV_Totals_By_Item[#All], ROW()-1, COLUMN()), "")</f>
        <v/>
      </c>
      <c r="H358" s="1" t="str" cm="1">
        <f t="array" ref="H358">IFERROR(INDEX(PV_Totals_By_Item[#All], ROW()-1, COLUMN()), "")</f>
        <v/>
      </c>
      <c r="I358" s="1" t="str" cm="1">
        <f t="array" ref="I358">IFERROR(INDEX(PV_Totals_By_Item[#All], ROW()-1, COLUMN()), "")</f>
        <v/>
      </c>
      <c r="J358" s="1" t="str" cm="1">
        <f t="array" ref="J358">IFERROR(INDEX(PV_Totals_By_Item[#All], ROW()-1, COLUMN()), "")</f>
        <v/>
      </c>
    </row>
    <row r="359" spans="1:10">
      <c r="A359" s="1" t="str" cm="1">
        <f t="array" ref="A359">IFERROR(INDEX(PV_Totals_By_Item[#All], ROW()-1, COLUMN()), "")</f>
        <v/>
      </c>
      <c r="B359" s="1" t="str" cm="1">
        <f t="array" ref="B359">IFERROR(INDEX(PV_Totals_By_Item[#All], ROW()-1, COLUMN()), "")</f>
        <v/>
      </c>
      <c r="C359" s="1" t="str" cm="1">
        <f t="array" ref="C359">IFERROR(INDEX(PV_Totals_By_Item[#All], ROW()-1, COLUMN()), "")</f>
        <v/>
      </c>
      <c r="D359" s="1" t="str" cm="1">
        <f t="array" ref="D359">IFERROR(INDEX(PV_Totals_By_Item[#All], ROW()-1, COLUMN()), "")</f>
        <v/>
      </c>
      <c r="E359" s="1" t="str" cm="1">
        <f t="array" ref="E359">IFERROR(INDEX(PV_Totals_By_Item[#All], ROW()-1, COLUMN()), "")</f>
        <v/>
      </c>
      <c r="F359" s="1" t="str" cm="1">
        <f t="array" ref="F359">IFERROR(INDEX(PV_Totals_By_Item[#All], ROW()-1, COLUMN()), "")</f>
        <v/>
      </c>
      <c r="G359" s="1" t="str" cm="1">
        <f t="array" ref="G359">IFERROR(INDEX(PV_Totals_By_Item[#All], ROW()-1, COLUMN()), "")</f>
        <v/>
      </c>
      <c r="H359" s="1" t="str" cm="1">
        <f t="array" ref="H359">IFERROR(INDEX(PV_Totals_By_Item[#All], ROW()-1, COLUMN()), "")</f>
        <v/>
      </c>
      <c r="I359" s="1" t="str" cm="1">
        <f t="array" ref="I359">IFERROR(INDEX(PV_Totals_By_Item[#All], ROW()-1, COLUMN()), "")</f>
        <v/>
      </c>
      <c r="J359" s="1" t="str" cm="1">
        <f t="array" ref="J359">IFERROR(INDEX(PV_Totals_By_Item[#All], ROW()-1, COLUMN()), "")</f>
        <v/>
      </c>
    </row>
    <row r="360" spans="1:10">
      <c r="A360" s="1" t="str" cm="1">
        <f t="array" ref="A360">IFERROR(INDEX(PV_Totals_By_Item[#All], ROW()-1, COLUMN()), "")</f>
        <v/>
      </c>
      <c r="B360" s="1" t="str" cm="1">
        <f t="array" ref="B360">IFERROR(INDEX(PV_Totals_By_Item[#All], ROW()-1, COLUMN()), "")</f>
        <v/>
      </c>
      <c r="C360" s="1" t="str" cm="1">
        <f t="array" ref="C360">IFERROR(INDEX(PV_Totals_By_Item[#All], ROW()-1, COLUMN()), "")</f>
        <v/>
      </c>
      <c r="D360" s="1" t="str" cm="1">
        <f t="array" ref="D360">IFERROR(INDEX(PV_Totals_By_Item[#All], ROW()-1, COLUMN()), "")</f>
        <v/>
      </c>
      <c r="E360" s="1" t="str" cm="1">
        <f t="array" ref="E360">IFERROR(INDEX(PV_Totals_By_Item[#All], ROW()-1, COLUMN()), "")</f>
        <v/>
      </c>
      <c r="F360" s="1" t="str" cm="1">
        <f t="array" ref="F360">IFERROR(INDEX(PV_Totals_By_Item[#All], ROW()-1, COLUMN()), "")</f>
        <v/>
      </c>
      <c r="G360" s="1" t="str" cm="1">
        <f t="array" ref="G360">IFERROR(INDEX(PV_Totals_By_Item[#All], ROW()-1, COLUMN()), "")</f>
        <v/>
      </c>
      <c r="H360" s="1" t="str" cm="1">
        <f t="array" ref="H360">IFERROR(INDEX(PV_Totals_By_Item[#All], ROW()-1, COLUMN()), "")</f>
        <v/>
      </c>
      <c r="I360" s="1" t="str" cm="1">
        <f t="array" ref="I360">IFERROR(INDEX(PV_Totals_By_Item[#All], ROW()-1, COLUMN()), "")</f>
        <v/>
      </c>
      <c r="J360" s="1" t="str" cm="1">
        <f t="array" ref="J360">IFERROR(INDEX(PV_Totals_By_Item[#All], ROW()-1, COLUMN()), "")</f>
        <v/>
      </c>
    </row>
    <row r="361" spans="1:10">
      <c r="A361" s="1" t="str" cm="1">
        <f t="array" ref="A361">IFERROR(INDEX(PV_Totals_By_Item[#All], ROW()-1, COLUMN()), "")</f>
        <v/>
      </c>
      <c r="B361" s="1" t="str" cm="1">
        <f t="array" ref="B361">IFERROR(INDEX(PV_Totals_By_Item[#All], ROW()-1, COLUMN()), "")</f>
        <v/>
      </c>
      <c r="C361" s="1" t="str" cm="1">
        <f t="array" ref="C361">IFERROR(INDEX(PV_Totals_By_Item[#All], ROW()-1, COLUMN()), "")</f>
        <v/>
      </c>
      <c r="D361" s="1" t="str" cm="1">
        <f t="array" ref="D361">IFERROR(INDEX(PV_Totals_By_Item[#All], ROW()-1, COLUMN()), "")</f>
        <v/>
      </c>
      <c r="E361" s="1" t="str" cm="1">
        <f t="array" ref="E361">IFERROR(INDEX(PV_Totals_By_Item[#All], ROW()-1, COLUMN()), "")</f>
        <v/>
      </c>
      <c r="F361" s="1" t="str" cm="1">
        <f t="array" ref="F361">IFERROR(INDEX(PV_Totals_By_Item[#All], ROW()-1, COLUMN()), "")</f>
        <v/>
      </c>
      <c r="G361" s="1" t="str" cm="1">
        <f t="array" ref="G361">IFERROR(INDEX(PV_Totals_By_Item[#All], ROW()-1, COLUMN()), "")</f>
        <v/>
      </c>
      <c r="H361" s="1" t="str" cm="1">
        <f t="array" ref="H361">IFERROR(INDEX(PV_Totals_By_Item[#All], ROW()-1, COLUMN()), "")</f>
        <v/>
      </c>
      <c r="I361" s="1" t="str" cm="1">
        <f t="array" ref="I361">IFERROR(INDEX(PV_Totals_By_Item[#All], ROW()-1, COLUMN()), "")</f>
        <v/>
      </c>
      <c r="J361" s="1" t="str" cm="1">
        <f t="array" ref="J361">IFERROR(INDEX(PV_Totals_By_Item[#All], ROW()-1, COLUMN()), "")</f>
        <v/>
      </c>
    </row>
    <row r="362" spans="1:10">
      <c r="A362" s="1" t="str" cm="1">
        <f t="array" ref="A362">IFERROR(INDEX(PV_Totals_By_Item[#All], ROW()-1, COLUMN()), "")</f>
        <v/>
      </c>
      <c r="B362" s="1" t="str" cm="1">
        <f t="array" ref="B362">IFERROR(INDEX(PV_Totals_By_Item[#All], ROW()-1, COLUMN()), "")</f>
        <v/>
      </c>
      <c r="C362" s="1" t="str" cm="1">
        <f t="array" ref="C362">IFERROR(INDEX(PV_Totals_By_Item[#All], ROW()-1, COLUMN()), "")</f>
        <v/>
      </c>
      <c r="D362" s="1" t="str" cm="1">
        <f t="array" ref="D362">IFERROR(INDEX(PV_Totals_By_Item[#All], ROW()-1, COLUMN()), "")</f>
        <v/>
      </c>
      <c r="E362" s="1" t="str" cm="1">
        <f t="array" ref="E362">IFERROR(INDEX(PV_Totals_By_Item[#All], ROW()-1, COLUMN()), "")</f>
        <v/>
      </c>
      <c r="F362" s="1" t="str" cm="1">
        <f t="array" ref="F362">IFERROR(INDEX(PV_Totals_By_Item[#All], ROW()-1, COLUMN()), "")</f>
        <v/>
      </c>
      <c r="G362" s="1" t="str" cm="1">
        <f t="array" ref="G362">IFERROR(INDEX(PV_Totals_By_Item[#All], ROW()-1, COLUMN()), "")</f>
        <v/>
      </c>
      <c r="H362" s="1" t="str" cm="1">
        <f t="array" ref="H362">IFERROR(INDEX(PV_Totals_By_Item[#All], ROW()-1, COLUMN()), "")</f>
        <v/>
      </c>
      <c r="I362" s="1" t="str" cm="1">
        <f t="array" ref="I362">IFERROR(INDEX(PV_Totals_By_Item[#All], ROW()-1, COLUMN()), "")</f>
        <v/>
      </c>
      <c r="J362" s="1" t="str" cm="1">
        <f t="array" ref="J362">IFERROR(INDEX(PV_Totals_By_Item[#All], ROW()-1, COLUMN()), "")</f>
        <v/>
      </c>
    </row>
    <row r="363" spans="1:10">
      <c r="A363" s="1" t="str" cm="1">
        <f t="array" ref="A363">IFERROR(INDEX(PV_Totals_By_Item[#All], ROW()-1, COLUMN()), "")</f>
        <v/>
      </c>
      <c r="B363" s="1" t="str" cm="1">
        <f t="array" ref="B363">IFERROR(INDEX(PV_Totals_By_Item[#All], ROW()-1, COLUMN()), "")</f>
        <v/>
      </c>
      <c r="C363" s="1" t="str" cm="1">
        <f t="array" ref="C363">IFERROR(INDEX(PV_Totals_By_Item[#All], ROW()-1, COLUMN()), "")</f>
        <v/>
      </c>
      <c r="D363" s="1" t="str" cm="1">
        <f t="array" ref="D363">IFERROR(INDEX(PV_Totals_By_Item[#All], ROW()-1, COLUMN()), "")</f>
        <v/>
      </c>
      <c r="E363" s="1" t="str" cm="1">
        <f t="array" ref="E363">IFERROR(INDEX(PV_Totals_By_Item[#All], ROW()-1, COLUMN()), "")</f>
        <v/>
      </c>
      <c r="F363" s="1" t="str" cm="1">
        <f t="array" ref="F363">IFERROR(INDEX(PV_Totals_By_Item[#All], ROW()-1, COLUMN()), "")</f>
        <v/>
      </c>
      <c r="G363" s="1" t="str" cm="1">
        <f t="array" ref="G363">IFERROR(INDEX(PV_Totals_By_Item[#All], ROW()-1, COLUMN()), "")</f>
        <v/>
      </c>
      <c r="H363" s="1" t="str" cm="1">
        <f t="array" ref="H363">IFERROR(INDEX(PV_Totals_By_Item[#All], ROW()-1, COLUMN()), "")</f>
        <v/>
      </c>
      <c r="I363" s="1" t="str" cm="1">
        <f t="array" ref="I363">IFERROR(INDEX(PV_Totals_By_Item[#All], ROW()-1, COLUMN()), "")</f>
        <v/>
      </c>
      <c r="J363" s="1" t="str" cm="1">
        <f t="array" ref="J363">IFERROR(INDEX(PV_Totals_By_Item[#All], ROW()-1, COLUMN()), "")</f>
        <v/>
      </c>
    </row>
    <row r="364" spans="1:10">
      <c r="A364" s="1" t="str" cm="1">
        <f t="array" ref="A364">IFERROR(INDEX(PV_Totals_By_Item[#All], ROW()-1, COLUMN()), "")</f>
        <v/>
      </c>
      <c r="B364" s="1" t="str" cm="1">
        <f t="array" ref="B364">IFERROR(INDEX(PV_Totals_By_Item[#All], ROW()-1, COLUMN()), "")</f>
        <v/>
      </c>
      <c r="C364" s="1" t="str" cm="1">
        <f t="array" ref="C364">IFERROR(INDEX(PV_Totals_By_Item[#All], ROW()-1, COLUMN()), "")</f>
        <v/>
      </c>
      <c r="D364" s="1" t="str" cm="1">
        <f t="array" ref="D364">IFERROR(INDEX(PV_Totals_By_Item[#All], ROW()-1, COLUMN()), "")</f>
        <v/>
      </c>
      <c r="E364" s="1" t="str" cm="1">
        <f t="array" ref="E364">IFERROR(INDEX(PV_Totals_By_Item[#All], ROW()-1, COLUMN()), "")</f>
        <v/>
      </c>
      <c r="F364" s="1" t="str" cm="1">
        <f t="array" ref="F364">IFERROR(INDEX(PV_Totals_By_Item[#All], ROW()-1, COLUMN()), "")</f>
        <v/>
      </c>
      <c r="G364" s="1" t="str" cm="1">
        <f t="array" ref="G364">IFERROR(INDEX(PV_Totals_By_Item[#All], ROW()-1, COLUMN()), "")</f>
        <v/>
      </c>
      <c r="H364" s="1" t="str" cm="1">
        <f t="array" ref="H364">IFERROR(INDEX(PV_Totals_By_Item[#All], ROW()-1, COLUMN()), "")</f>
        <v/>
      </c>
      <c r="I364" s="1" t="str" cm="1">
        <f t="array" ref="I364">IFERROR(INDEX(PV_Totals_By_Item[#All], ROW()-1, COLUMN()), "")</f>
        <v/>
      </c>
      <c r="J364" s="1" t="str" cm="1">
        <f t="array" ref="J364">IFERROR(INDEX(PV_Totals_By_Item[#All], ROW()-1, COLUMN()), "")</f>
        <v/>
      </c>
    </row>
    <row r="365" spans="1:10">
      <c r="A365" s="1" t="str" cm="1">
        <f t="array" ref="A365">IFERROR(INDEX(PV_Totals_By_Item[#All], ROW()-1, COLUMN()), "")</f>
        <v/>
      </c>
      <c r="B365" s="1" t="str" cm="1">
        <f t="array" ref="B365">IFERROR(INDEX(PV_Totals_By_Item[#All], ROW()-1, COLUMN()), "")</f>
        <v/>
      </c>
      <c r="C365" s="1" t="str" cm="1">
        <f t="array" ref="C365">IFERROR(INDEX(PV_Totals_By_Item[#All], ROW()-1, COLUMN()), "")</f>
        <v/>
      </c>
      <c r="D365" s="1" t="str" cm="1">
        <f t="array" ref="D365">IFERROR(INDEX(PV_Totals_By_Item[#All], ROW()-1, COLUMN()), "")</f>
        <v/>
      </c>
      <c r="E365" s="1" t="str" cm="1">
        <f t="array" ref="E365">IFERROR(INDEX(PV_Totals_By_Item[#All], ROW()-1, COLUMN()), "")</f>
        <v/>
      </c>
      <c r="F365" s="1" t="str" cm="1">
        <f t="array" ref="F365">IFERROR(INDEX(PV_Totals_By_Item[#All], ROW()-1, COLUMN()), "")</f>
        <v/>
      </c>
      <c r="G365" s="1" t="str" cm="1">
        <f t="array" ref="G365">IFERROR(INDEX(PV_Totals_By_Item[#All], ROW()-1, COLUMN()), "")</f>
        <v/>
      </c>
      <c r="H365" s="1" t="str" cm="1">
        <f t="array" ref="H365">IFERROR(INDEX(PV_Totals_By_Item[#All], ROW()-1, COLUMN()), "")</f>
        <v/>
      </c>
      <c r="I365" s="1" t="str" cm="1">
        <f t="array" ref="I365">IFERROR(INDEX(PV_Totals_By_Item[#All], ROW()-1, COLUMN()), "")</f>
        <v/>
      </c>
      <c r="J365" s="1" t="str" cm="1">
        <f t="array" ref="J365">IFERROR(INDEX(PV_Totals_By_Item[#All], ROW()-1, COLUMN()), "")</f>
        <v/>
      </c>
    </row>
    <row r="366" spans="1:10">
      <c r="A366" s="1" t="str" cm="1">
        <f t="array" ref="A366">IFERROR(INDEX(PV_Totals_By_Item[#All], ROW()-1, COLUMN()), "")</f>
        <v/>
      </c>
      <c r="B366" s="1" t="str" cm="1">
        <f t="array" ref="B366">IFERROR(INDEX(PV_Totals_By_Item[#All], ROW()-1, COLUMN()), "")</f>
        <v/>
      </c>
      <c r="C366" s="1" t="str" cm="1">
        <f t="array" ref="C366">IFERROR(INDEX(PV_Totals_By_Item[#All], ROW()-1, COLUMN()), "")</f>
        <v/>
      </c>
      <c r="D366" s="1" t="str" cm="1">
        <f t="array" ref="D366">IFERROR(INDEX(PV_Totals_By_Item[#All], ROW()-1, COLUMN()), "")</f>
        <v/>
      </c>
      <c r="E366" s="1" t="str" cm="1">
        <f t="array" ref="E366">IFERROR(INDEX(PV_Totals_By_Item[#All], ROW()-1, COLUMN()), "")</f>
        <v/>
      </c>
      <c r="F366" s="1" t="str" cm="1">
        <f t="array" ref="F366">IFERROR(INDEX(PV_Totals_By_Item[#All], ROW()-1, COLUMN()), "")</f>
        <v/>
      </c>
      <c r="G366" s="1" t="str" cm="1">
        <f t="array" ref="G366">IFERROR(INDEX(PV_Totals_By_Item[#All], ROW()-1, COLUMN()), "")</f>
        <v/>
      </c>
      <c r="H366" s="1" t="str" cm="1">
        <f t="array" ref="H366">IFERROR(INDEX(PV_Totals_By_Item[#All], ROW()-1, COLUMN()), "")</f>
        <v/>
      </c>
      <c r="I366" s="1" t="str" cm="1">
        <f t="array" ref="I366">IFERROR(INDEX(PV_Totals_By_Item[#All], ROW()-1, COLUMN()), "")</f>
        <v/>
      </c>
      <c r="J366" s="1" t="str" cm="1">
        <f t="array" ref="J366">IFERROR(INDEX(PV_Totals_By_Item[#All], ROW()-1, COLUMN()), "")</f>
        <v/>
      </c>
    </row>
    <row r="367" spans="1:10">
      <c r="A367" s="1" t="str" cm="1">
        <f t="array" ref="A367">IFERROR(INDEX(PV_Totals_By_Item[#All], ROW()-1, COLUMN()), "")</f>
        <v/>
      </c>
      <c r="B367" s="1" t="str" cm="1">
        <f t="array" ref="B367">IFERROR(INDEX(PV_Totals_By_Item[#All], ROW()-1, COLUMN()), "")</f>
        <v/>
      </c>
      <c r="C367" s="1" t="str" cm="1">
        <f t="array" ref="C367">IFERROR(INDEX(PV_Totals_By_Item[#All], ROW()-1, COLUMN()), "")</f>
        <v/>
      </c>
      <c r="D367" s="1" t="str" cm="1">
        <f t="array" ref="D367">IFERROR(INDEX(PV_Totals_By_Item[#All], ROW()-1, COLUMN()), "")</f>
        <v/>
      </c>
      <c r="E367" s="1" t="str" cm="1">
        <f t="array" ref="E367">IFERROR(INDEX(PV_Totals_By_Item[#All], ROW()-1, COLUMN()), "")</f>
        <v/>
      </c>
      <c r="F367" s="1" t="str" cm="1">
        <f t="array" ref="F367">IFERROR(INDEX(PV_Totals_By_Item[#All], ROW()-1, COLUMN()), "")</f>
        <v/>
      </c>
      <c r="G367" s="1" t="str" cm="1">
        <f t="array" ref="G367">IFERROR(INDEX(PV_Totals_By_Item[#All], ROW()-1, COLUMN()), "")</f>
        <v/>
      </c>
      <c r="H367" s="1" t="str" cm="1">
        <f t="array" ref="H367">IFERROR(INDEX(PV_Totals_By_Item[#All], ROW()-1, COLUMN()), "")</f>
        <v/>
      </c>
      <c r="I367" s="1" t="str" cm="1">
        <f t="array" ref="I367">IFERROR(INDEX(PV_Totals_By_Item[#All], ROW()-1, COLUMN()), "")</f>
        <v/>
      </c>
      <c r="J367" s="1" t="str" cm="1">
        <f t="array" ref="J367">IFERROR(INDEX(PV_Totals_By_Item[#All], ROW()-1, COLUMN()), "")</f>
        <v/>
      </c>
    </row>
    <row r="368" spans="1:10">
      <c r="A368" s="1" t="str" cm="1">
        <f t="array" ref="A368">IFERROR(INDEX(PV_Totals_By_Item[#All], ROW()-1, COLUMN()), "")</f>
        <v/>
      </c>
      <c r="B368" s="1" t="str" cm="1">
        <f t="array" ref="B368">IFERROR(INDEX(PV_Totals_By_Item[#All], ROW()-1, COLUMN()), "")</f>
        <v/>
      </c>
      <c r="C368" s="1" t="str" cm="1">
        <f t="array" ref="C368">IFERROR(INDEX(PV_Totals_By_Item[#All], ROW()-1, COLUMN()), "")</f>
        <v/>
      </c>
      <c r="D368" s="1" t="str" cm="1">
        <f t="array" ref="D368">IFERROR(INDEX(PV_Totals_By_Item[#All], ROW()-1, COLUMN()), "")</f>
        <v/>
      </c>
      <c r="E368" s="1" t="str" cm="1">
        <f t="array" ref="E368">IFERROR(INDEX(PV_Totals_By_Item[#All], ROW()-1, COLUMN()), "")</f>
        <v/>
      </c>
      <c r="F368" s="1" t="str" cm="1">
        <f t="array" ref="F368">IFERROR(INDEX(PV_Totals_By_Item[#All], ROW()-1, COLUMN()), "")</f>
        <v/>
      </c>
      <c r="G368" s="1" t="str" cm="1">
        <f t="array" ref="G368">IFERROR(INDEX(PV_Totals_By_Item[#All], ROW()-1, COLUMN()), "")</f>
        <v/>
      </c>
      <c r="H368" s="1" t="str" cm="1">
        <f t="array" ref="H368">IFERROR(INDEX(PV_Totals_By_Item[#All], ROW()-1, COLUMN()), "")</f>
        <v/>
      </c>
      <c r="I368" s="1" t="str" cm="1">
        <f t="array" ref="I368">IFERROR(INDEX(PV_Totals_By_Item[#All], ROW()-1, COLUMN()), "")</f>
        <v/>
      </c>
      <c r="J368" s="1" t="str" cm="1">
        <f t="array" ref="J368">IFERROR(INDEX(PV_Totals_By_Item[#All], ROW()-1, COLUMN()), "")</f>
        <v/>
      </c>
    </row>
    <row r="369" spans="1:10">
      <c r="A369" s="1" t="str" cm="1">
        <f t="array" ref="A369">IFERROR(INDEX(PV_Totals_By_Item[#All], ROW()-1, COLUMN()), "")</f>
        <v/>
      </c>
      <c r="B369" s="1" t="str" cm="1">
        <f t="array" ref="B369">IFERROR(INDEX(PV_Totals_By_Item[#All], ROW()-1, COLUMN()), "")</f>
        <v/>
      </c>
      <c r="C369" s="1" t="str" cm="1">
        <f t="array" ref="C369">IFERROR(INDEX(PV_Totals_By_Item[#All], ROW()-1, COLUMN()), "")</f>
        <v/>
      </c>
      <c r="D369" s="1" t="str" cm="1">
        <f t="array" ref="D369">IFERROR(INDEX(PV_Totals_By_Item[#All], ROW()-1, COLUMN()), "")</f>
        <v/>
      </c>
      <c r="E369" s="1" t="str" cm="1">
        <f t="array" ref="E369">IFERROR(INDEX(PV_Totals_By_Item[#All], ROW()-1, COLUMN()), "")</f>
        <v/>
      </c>
      <c r="F369" s="1" t="str" cm="1">
        <f t="array" ref="F369">IFERROR(INDEX(PV_Totals_By_Item[#All], ROW()-1, COLUMN()), "")</f>
        <v/>
      </c>
      <c r="G369" s="1" t="str" cm="1">
        <f t="array" ref="G369">IFERROR(INDEX(PV_Totals_By_Item[#All], ROW()-1, COLUMN()), "")</f>
        <v/>
      </c>
      <c r="H369" s="1" t="str" cm="1">
        <f t="array" ref="H369">IFERROR(INDEX(PV_Totals_By_Item[#All], ROW()-1, COLUMN()), "")</f>
        <v/>
      </c>
      <c r="I369" s="1" t="str" cm="1">
        <f t="array" ref="I369">IFERROR(INDEX(PV_Totals_By_Item[#All], ROW()-1, COLUMN()), "")</f>
        <v/>
      </c>
      <c r="J369" s="1" t="str" cm="1">
        <f t="array" ref="J369">IFERROR(INDEX(PV_Totals_By_Item[#All], ROW()-1, COLUMN()), "")</f>
        <v/>
      </c>
    </row>
    <row r="370" spans="1:10">
      <c r="A370" s="1" t="str" cm="1">
        <f t="array" ref="A370">IFERROR(INDEX(PV_Totals_By_Item[#All], ROW()-1, COLUMN()), "")</f>
        <v/>
      </c>
      <c r="B370" s="1" t="str" cm="1">
        <f t="array" ref="B370">IFERROR(INDEX(PV_Totals_By_Item[#All], ROW()-1, COLUMN()), "")</f>
        <v/>
      </c>
      <c r="C370" s="1" t="str" cm="1">
        <f t="array" ref="C370">IFERROR(INDEX(PV_Totals_By_Item[#All], ROW()-1, COLUMN()), "")</f>
        <v/>
      </c>
      <c r="D370" s="1" t="str" cm="1">
        <f t="array" ref="D370">IFERROR(INDEX(PV_Totals_By_Item[#All], ROW()-1, COLUMN()), "")</f>
        <v/>
      </c>
      <c r="E370" s="1" t="str" cm="1">
        <f t="array" ref="E370">IFERROR(INDEX(PV_Totals_By_Item[#All], ROW()-1, COLUMN()), "")</f>
        <v/>
      </c>
      <c r="F370" s="1" t="str" cm="1">
        <f t="array" ref="F370">IFERROR(INDEX(PV_Totals_By_Item[#All], ROW()-1, COLUMN()), "")</f>
        <v/>
      </c>
      <c r="G370" s="1" t="str" cm="1">
        <f t="array" ref="G370">IFERROR(INDEX(PV_Totals_By_Item[#All], ROW()-1, COLUMN()), "")</f>
        <v/>
      </c>
      <c r="H370" s="1" t="str" cm="1">
        <f t="array" ref="H370">IFERROR(INDEX(PV_Totals_By_Item[#All], ROW()-1, COLUMN()), "")</f>
        <v/>
      </c>
      <c r="I370" s="1" t="str" cm="1">
        <f t="array" ref="I370">IFERROR(INDEX(PV_Totals_By_Item[#All], ROW()-1, COLUMN()), "")</f>
        <v/>
      </c>
      <c r="J370" s="1" t="str" cm="1">
        <f t="array" ref="J370">IFERROR(INDEX(PV_Totals_By_Item[#All], ROW()-1, COLUMN()), "")</f>
        <v/>
      </c>
    </row>
    <row r="371" spans="1:10">
      <c r="A371" s="1" t="str" cm="1">
        <f t="array" ref="A371">IFERROR(INDEX(PV_Totals_By_Item[#All], ROW()-1, COLUMN()), "")</f>
        <v/>
      </c>
      <c r="B371" s="1" t="str" cm="1">
        <f t="array" ref="B371">IFERROR(INDEX(PV_Totals_By_Item[#All], ROW()-1, COLUMN()), "")</f>
        <v/>
      </c>
      <c r="C371" s="1" t="str" cm="1">
        <f t="array" ref="C371">IFERROR(INDEX(PV_Totals_By_Item[#All], ROW()-1, COLUMN()), "")</f>
        <v/>
      </c>
      <c r="D371" s="1" t="str" cm="1">
        <f t="array" ref="D371">IFERROR(INDEX(PV_Totals_By_Item[#All], ROW()-1, COLUMN()), "")</f>
        <v/>
      </c>
      <c r="E371" s="1" t="str" cm="1">
        <f t="array" ref="E371">IFERROR(INDEX(PV_Totals_By_Item[#All], ROW()-1, COLUMN()), "")</f>
        <v/>
      </c>
      <c r="F371" s="1" t="str" cm="1">
        <f t="array" ref="F371">IFERROR(INDEX(PV_Totals_By_Item[#All], ROW()-1, COLUMN()), "")</f>
        <v/>
      </c>
      <c r="G371" s="1" t="str" cm="1">
        <f t="array" ref="G371">IFERROR(INDEX(PV_Totals_By_Item[#All], ROW()-1, COLUMN()), "")</f>
        <v/>
      </c>
      <c r="H371" s="1" t="str" cm="1">
        <f t="array" ref="H371">IFERROR(INDEX(PV_Totals_By_Item[#All], ROW()-1, COLUMN()), "")</f>
        <v/>
      </c>
      <c r="I371" s="1" t="str" cm="1">
        <f t="array" ref="I371">IFERROR(INDEX(PV_Totals_By_Item[#All], ROW()-1, COLUMN()), "")</f>
        <v/>
      </c>
      <c r="J371" s="1" t="str" cm="1">
        <f t="array" ref="J371">IFERROR(INDEX(PV_Totals_By_Item[#All], ROW()-1, COLUMN()), "")</f>
        <v/>
      </c>
    </row>
    <row r="372" spans="1:10">
      <c r="A372" s="1" t="str" cm="1">
        <f t="array" ref="A372">IFERROR(INDEX(PV_Totals_By_Item[#All], ROW()-1, COLUMN()), "")</f>
        <v/>
      </c>
      <c r="B372" s="1" t="str" cm="1">
        <f t="array" ref="B372">IFERROR(INDEX(PV_Totals_By_Item[#All], ROW()-1, COLUMN()), "")</f>
        <v/>
      </c>
      <c r="C372" s="1" t="str" cm="1">
        <f t="array" ref="C372">IFERROR(INDEX(PV_Totals_By_Item[#All], ROW()-1, COLUMN()), "")</f>
        <v/>
      </c>
      <c r="D372" s="1" t="str" cm="1">
        <f t="array" ref="D372">IFERROR(INDEX(PV_Totals_By_Item[#All], ROW()-1, COLUMN()), "")</f>
        <v/>
      </c>
      <c r="E372" s="1" t="str" cm="1">
        <f t="array" ref="E372">IFERROR(INDEX(PV_Totals_By_Item[#All], ROW()-1, COLUMN()), "")</f>
        <v/>
      </c>
      <c r="F372" s="1" t="str" cm="1">
        <f t="array" ref="F372">IFERROR(INDEX(PV_Totals_By_Item[#All], ROW()-1, COLUMN()), "")</f>
        <v/>
      </c>
      <c r="G372" s="1" t="str" cm="1">
        <f t="array" ref="G372">IFERROR(INDEX(PV_Totals_By_Item[#All], ROW()-1, COLUMN()), "")</f>
        <v/>
      </c>
      <c r="H372" s="1" t="str" cm="1">
        <f t="array" ref="H372">IFERROR(INDEX(PV_Totals_By_Item[#All], ROW()-1, COLUMN()), "")</f>
        <v/>
      </c>
      <c r="I372" s="1" t="str" cm="1">
        <f t="array" ref="I372">IFERROR(INDEX(PV_Totals_By_Item[#All], ROW()-1, COLUMN()), "")</f>
        <v/>
      </c>
      <c r="J372" s="1" t="str" cm="1">
        <f t="array" ref="J372">IFERROR(INDEX(PV_Totals_By_Item[#All], ROW()-1, COLUMN()), "")</f>
        <v/>
      </c>
    </row>
    <row r="373" spans="1:10">
      <c r="A373" s="1" t="str" cm="1">
        <f t="array" ref="A373">IFERROR(INDEX(PV_Totals_By_Item[#All], ROW()-1, COLUMN()), "")</f>
        <v/>
      </c>
      <c r="B373" s="1" t="str" cm="1">
        <f t="array" ref="B373">IFERROR(INDEX(PV_Totals_By_Item[#All], ROW()-1, COLUMN()), "")</f>
        <v/>
      </c>
      <c r="C373" s="1" t="str" cm="1">
        <f t="array" ref="C373">IFERROR(INDEX(PV_Totals_By_Item[#All], ROW()-1, COLUMN()), "")</f>
        <v/>
      </c>
      <c r="D373" s="1" t="str" cm="1">
        <f t="array" ref="D373">IFERROR(INDEX(PV_Totals_By_Item[#All], ROW()-1, COLUMN()), "")</f>
        <v/>
      </c>
      <c r="E373" s="1" t="str" cm="1">
        <f t="array" ref="E373">IFERROR(INDEX(PV_Totals_By_Item[#All], ROW()-1, COLUMN()), "")</f>
        <v/>
      </c>
      <c r="F373" s="1" t="str" cm="1">
        <f t="array" ref="F373">IFERROR(INDEX(PV_Totals_By_Item[#All], ROW()-1, COLUMN()), "")</f>
        <v/>
      </c>
      <c r="G373" s="1" t="str" cm="1">
        <f t="array" ref="G373">IFERROR(INDEX(PV_Totals_By_Item[#All], ROW()-1, COLUMN()), "")</f>
        <v/>
      </c>
      <c r="H373" s="1" t="str" cm="1">
        <f t="array" ref="H373">IFERROR(INDEX(PV_Totals_By_Item[#All], ROW()-1, COLUMN()), "")</f>
        <v/>
      </c>
      <c r="I373" s="1" t="str" cm="1">
        <f t="array" ref="I373">IFERROR(INDEX(PV_Totals_By_Item[#All], ROW()-1, COLUMN()), "")</f>
        <v/>
      </c>
      <c r="J373" s="1" t="str" cm="1">
        <f t="array" ref="J373">IFERROR(INDEX(PV_Totals_By_Item[#All], ROW()-1, COLUMN()), "")</f>
        <v/>
      </c>
    </row>
    <row r="374" spans="1:10">
      <c r="A374" s="1" t="str" cm="1">
        <f t="array" ref="A374">IFERROR(INDEX(PV_Totals_By_Item[#All], ROW()-1, COLUMN()), "")</f>
        <v/>
      </c>
      <c r="B374" s="1" t="str" cm="1">
        <f t="array" ref="B374">IFERROR(INDEX(PV_Totals_By_Item[#All], ROW()-1, COLUMN()), "")</f>
        <v/>
      </c>
      <c r="C374" s="1" t="str" cm="1">
        <f t="array" ref="C374">IFERROR(INDEX(PV_Totals_By_Item[#All], ROW()-1, COLUMN()), "")</f>
        <v/>
      </c>
      <c r="D374" s="1" t="str" cm="1">
        <f t="array" ref="D374">IFERROR(INDEX(PV_Totals_By_Item[#All], ROW()-1, COLUMN()), "")</f>
        <v/>
      </c>
      <c r="E374" s="1" t="str" cm="1">
        <f t="array" ref="E374">IFERROR(INDEX(PV_Totals_By_Item[#All], ROW()-1, COLUMN()), "")</f>
        <v/>
      </c>
      <c r="F374" s="1" t="str" cm="1">
        <f t="array" ref="F374">IFERROR(INDEX(PV_Totals_By_Item[#All], ROW()-1, COLUMN()), "")</f>
        <v/>
      </c>
      <c r="G374" s="1" t="str" cm="1">
        <f t="array" ref="G374">IFERROR(INDEX(PV_Totals_By_Item[#All], ROW()-1, COLUMN()), "")</f>
        <v/>
      </c>
      <c r="H374" s="1" t="str" cm="1">
        <f t="array" ref="H374">IFERROR(INDEX(PV_Totals_By_Item[#All], ROW()-1, COLUMN()), "")</f>
        <v/>
      </c>
      <c r="I374" s="1" t="str" cm="1">
        <f t="array" ref="I374">IFERROR(INDEX(PV_Totals_By_Item[#All], ROW()-1, COLUMN()), "")</f>
        <v/>
      </c>
      <c r="J374" s="1" t="str" cm="1">
        <f t="array" ref="J374">IFERROR(INDEX(PV_Totals_By_Item[#All], ROW()-1, COLUMN()), "")</f>
        <v/>
      </c>
    </row>
    <row r="375" spans="1:10">
      <c r="A375" s="1" t="str" cm="1">
        <f t="array" ref="A375">IFERROR(INDEX(PV_Totals_By_Item[#All], ROW()-1, COLUMN()), "")</f>
        <v/>
      </c>
      <c r="B375" s="1" t="str" cm="1">
        <f t="array" ref="B375">IFERROR(INDEX(PV_Totals_By_Item[#All], ROW()-1, COLUMN()), "")</f>
        <v/>
      </c>
      <c r="C375" s="1" t="str" cm="1">
        <f t="array" ref="C375">IFERROR(INDEX(PV_Totals_By_Item[#All], ROW()-1, COLUMN()), "")</f>
        <v/>
      </c>
      <c r="D375" s="1" t="str" cm="1">
        <f t="array" ref="D375">IFERROR(INDEX(PV_Totals_By_Item[#All], ROW()-1, COLUMN()), "")</f>
        <v/>
      </c>
      <c r="E375" s="1" t="str" cm="1">
        <f t="array" ref="E375">IFERROR(INDEX(PV_Totals_By_Item[#All], ROW()-1, COLUMN()), "")</f>
        <v/>
      </c>
      <c r="F375" s="1" t="str" cm="1">
        <f t="array" ref="F375">IFERROR(INDEX(PV_Totals_By_Item[#All], ROW()-1, COLUMN()), "")</f>
        <v/>
      </c>
      <c r="G375" s="1" t="str" cm="1">
        <f t="array" ref="G375">IFERROR(INDEX(PV_Totals_By_Item[#All], ROW()-1, COLUMN()), "")</f>
        <v/>
      </c>
      <c r="H375" s="1" t="str" cm="1">
        <f t="array" ref="H375">IFERROR(INDEX(PV_Totals_By_Item[#All], ROW()-1, COLUMN()), "")</f>
        <v/>
      </c>
      <c r="I375" s="1" t="str" cm="1">
        <f t="array" ref="I375">IFERROR(INDEX(PV_Totals_By_Item[#All], ROW()-1, COLUMN()), "")</f>
        <v/>
      </c>
      <c r="J375" s="1" t="str" cm="1">
        <f t="array" ref="J375">IFERROR(INDEX(PV_Totals_By_Item[#All], ROW()-1, COLUMN()), "")</f>
        <v/>
      </c>
    </row>
    <row r="376" spans="1:10">
      <c r="A376" s="1" t="str" cm="1">
        <f t="array" ref="A376">IFERROR(INDEX(PV_Totals_By_Item[#All], ROW()-1, COLUMN()), "")</f>
        <v/>
      </c>
      <c r="B376" s="1" t="str" cm="1">
        <f t="array" ref="B376">IFERROR(INDEX(PV_Totals_By_Item[#All], ROW()-1, COLUMN()), "")</f>
        <v/>
      </c>
      <c r="C376" s="1" t="str" cm="1">
        <f t="array" ref="C376">IFERROR(INDEX(PV_Totals_By_Item[#All], ROW()-1, COLUMN()), "")</f>
        <v/>
      </c>
      <c r="D376" s="1" t="str" cm="1">
        <f t="array" ref="D376">IFERROR(INDEX(PV_Totals_By_Item[#All], ROW()-1, COLUMN()), "")</f>
        <v/>
      </c>
      <c r="E376" s="1" t="str" cm="1">
        <f t="array" ref="E376">IFERROR(INDEX(PV_Totals_By_Item[#All], ROW()-1, COLUMN()), "")</f>
        <v/>
      </c>
      <c r="F376" s="1" t="str" cm="1">
        <f t="array" ref="F376">IFERROR(INDEX(PV_Totals_By_Item[#All], ROW()-1, COLUMN()), "")</f>
        <v/>
      </c>
      <c r="G376" s="1" t="str" cm="1">
        <f t="array" ref="G376">IFERROR(INDEX(PV_Totals_By_Item[#All], ROW()-1, COLUMN()), "")</f>
        <v/>
      </c>
      <c r="H376" s="1" t="str" cm="1">
        <f t="array" ref="H376">IFERROR(INDEX(PV_Totals_By_Item[#All], ROW()-1, COLUMN()), "")</f>
        <v/>
      </c>
      <c r="I376" s="1" t="str" cm="1">
        <f t="array" ref="I376">IFERROR(INDEX(PV_Totals_By_Item[#All], ROW()-1, COLUMN()), "")</f>
        <v/>
      </c>
      <c r="J376" s="1" t="str" cm="1">
        <f t="array" ref="J376">IFERROR(INDEX(PV_Totals_By_Item[#All], ROW()-1, COLUMN()), "")</f>
        <v/>
      </c>
    </row>
    <row r="377" spans="1:10">
      <c r="A377" s="1" t="str" cm="1">
        <f t="array" ref="A377">IFERROR(INDEX(PV_Totals_By_Item[#All], ROW()-1, COLUMN()), "")</f>
        <v/>
      </c>
      <c r="B377" s="1" t="str" cm="1">
        <f t="array" ref="B377">IFERROR(INDEX(PV_Totals_By_Item[#All], ROW()-1, COLUMN()), "")</f>
        <v/>
      </c>
      <c r="C377" s="1" t="str" cm="1">
        <f t="array" ref="C377">IFERROR(INDEX(PV_Totals_By_Item[#All], ROW()-1, COLUMN()), "")</f>
        <v/>
      </c>
      <c r="D377" s="1" t="str" cm="1">
        <f t="array" ref="D377">IFERROR(INDEX(PV_Totals_By_Item[#All], ROW()-1, COLUMN()), "")</f>
        <v/>
      </c>
      <c r="E377" s="1" t="str" cm="1">
        <f t="array" ref="E377">IFERROR(INDEX(PV_Totals_By_Item[#All], ROW()-1, COLUMN()), "")</f>
        <v/>
      </c>
      <c r="F377" s="1" t="str" cm="1">
        <f t="array" ref="F377">IFERROR(INDEX(PV_Totals_By_Item[#All], ROW()-1, COLUMN()), "")</f>
        <v/>
      </c>
      <c r="G377" s="1" t="str" cm="1">
        <f t="array" ref="G377">IFERROR(INDEX(PV_Totals_By_Item[#All], ROW()-1, COLUMN()), "")</f>
        <v/>
      </c>
      <c r="H377" s="1" t="str" cm="1">
        <f t="array" ref="H377">IFERROR(INDEX(PV_Totals_By_Item[#All], ROW()-1, COLUMN()), "")</f>
        <v/>
      </c>
      <c r="I377" s="1" t="str" cm="1">
        <f t="array" ref="I377">IFERROR(INDEX(PV_Totals_By_Item[#All], ROW()-1, COLUMN()), "")</f>
        <v/>
      </c>
      <c r="J377" s="1" t="str" cm="1">
        <f t="array" ref="J377">IFERROR(INDEX(PV_Totals_By_Item[#All], ROW()-1, COLUMN()), "")</f>
        <v/>
      </c>
    </row>
    <row r="378" spans="1:10">
      <c r="A378" s="1" t="str" cm="1">
        <f t="array" ref="A378">IFERROR(INDEX(PV_Totals_By_Item[#All], ROW()-1, COLUMN()), "")</f>
        <v/>
      </c>
      <c r="B378" s="1" t="str" cm="1">
        <f t="array" ref="B378">IFERROR(INDEX(PV_Totals_By_Item[#All], ROW()-1, COLUMN()), "")</f>
        <v/>
      </c>
      <c r="C378" s="1" t="str" cm="1">
        <f t="array" ref="C378">IFERROR(INDEX(PV_Totals_By_Item[#All], ROW()-1, COLUMN()), "")</f>
        <v/>
      </c>
      <c r="D378" s="1" t="str" cm="1">
        <f t="array" ref="D378">IFERROR(INDEX(PV_Totals_By_Item[#All], ROW()-1, COLUMN()), "")</f>
        <v/>
      </c>
      <c r="E378" s="1" t="str" cm="1">
        <f t="array" ref="E378">IFERROR(INDEX(PV_Totals_By_Item[#All], ROW()-1, COLUMN()), "")</f>
        <v/>
      </c>
      <c r="F378" s="1" t="str" cm="1">
        <f t="array" ref="F378">IFERROR(INDEX(PV_Totals_By_Item[#All], ROW()-1, COLUMN()), "")</f>
        <v/>
      </c>
      <c r="G378" s="1" t="str" cm="1">
        <f t="array" ref="G378">IFERROR(INDEX(PV_Totals_By_Item[#All], ROW()-1, COLUMN()), "")</f>
        <v/>
      </c>
      <c r="H378" s="1" t="str" cm="1">
        <f t="array" ref="H378">IFERROR(INDEX(PV_Totals_By_Item[#All], ROW()-1, COLUMN()), "")</f>
        <v/>
      </c>
      <c r="I378" s="1" t="str" cm="1">
        <f t="array" ref="I378">IFERROR(INDEX(PV_Totals_By_Item[#All], ROW()-1, COLUMN()), "")</f>
        <v/>
      </c>
      <c r="J378" s="1" t="str" cm="1">
        <f t="array" ref="J378">IFERROR(INDEX(PV_Totals_By_Item[#All], ROW()-1, COLUMN()), "")</f>
        <v/>
      </c>
    </row>
    <row r="379" spans="1:10">
      <c r="A379" s="1" t="str" cm="1">
        <f t="array" ref="A379">IFERROR(INDEX(PV_Totals_By_Item[#All], ROW()-1, COLUMN()), "")</f>
        <v/>
      </c>
      <c r="B379" s="1" t="str" cm="1">
        <f t="array" ref="B379">IFERROR(INDEX(PV_Totals_By_Item[#All], ROW()-1, COLUMN()), "")</f>
        <v/>
      </c>
      <c r="C379" s="1" t="str" cm="1">
        <f t="array" ref="C379">IFERROR(INDEX(PV_Totals_By_Item[#All], ROW()-1, COLUMN()), "")</f>
        <v/>
      </c>
      <c r="D379" s="1" t="str" cm="1">
        <f t="array" ref="D379">IFERROR(INDEX(PV_Totals_By_Item[#All], ROW()-1, COLUMN()), "")</f>
        <v/>
      </c>
      <c r="E379" s="1" t="str" cm="1">
        <f t="array" ref="E379">IFERROR(INDEX(PV_Totals_By_Item[#All], ROW()-1, COLUMN()), "")</f>
        <v/>
      </c>
      <c r="F379" s="1" t="str" cm="1">
        <f t="array" ref="F379">IFERROR(INDEX(PV_Totals_By_Item[#All], ROW()-1, COLUMN()), "")</f>
        <v/>
      </c>
      <c r="G379" s="1" t="str" cm="1">
        <f t="array" ref="G379">IFERROR(INDEX(PV_Totals_By_Item[#All], ROW()-1, COLUMN()), "")</f>
        <v/>
      </c>
      <c r="H379" s="1" t="str" cm="1">
        <f t="array" ref="H379">IFERROR(INDEX(PV_Totals_By_Item[#All], ROW()-1, COLUMN()), "")</f>
        <v/>
      </c>
      <c r="I379" s="1" t="str" cm="1">
        <f t="array" ref="I379">IFERROR(INDEX(PV_Totals_By_Item[#All], ROW()-1, COLUMN()), "")</f>
        <v/>
      </c>
      <c r="J379" s="1" t="str" cm="1">
        <f t="array" ref="J379">IFERROR(INDEX(PV_Totals_By_Item[#All], ROW()-1, COLUMN()), "")</f>
        <v/>
      </c>
    </row>
    <row r="380" spans="1:10">
      <c r="A380" s="1" t="str" cm="1">
        <f t="array" ref="A380">IFERROR(INDEX(PV_Totals_By_Item[#All], ROW()-1, COLUMN()), "")</f>
        <v/>
      </c>
      <c r="B380" s="1" t="str" cm="1">
        <f t="array" ref="B380">IFERROR(INDEX(PV_Totals_By_Item[#All], ROW()-1, COLUMN()), "")</f>
        <v/>
      </c>
      <c r="C380" s="1" t="str" cm="1">
        <f t="array" ref="C380">IFERROR(INDEX(PV_Totals_By_Item[#All], ROW()-1, COLUMN()), "")</f>
        <v/>
      </c>
      <c r="D380" s="1" t="str" cm="1">
        <f t="array" ref="D380">IFERROR(INDEX(PV_Totals_By_Item[#All], ROW()-1, COLUMN()), "")</f>
        <v/>
      </c>
      <c r="E380" s="1" t="str" cm="1">
        <f t="array" ref="E380">IFERROR(INDEX(PV_Totals_By_Item[#All], ROW()-1, COLUMN()), "")</f>
        <v/>
      </c>
      <c r="F380" s="1" t="str" cm="1">
        <f t="array" ref="F380">IFERROR(INDEX(PV_Totals_By_Item[#All], ROW()-1, COLUMN()), "")</f>
        <v/>
      </c>
      <c r="G380" s="1" t="str" cm="1">
        <f t="array" ref="G380">IFERROR(INDEX(PV_Totals_By_Item[#All], ROW()-1, COLUMN()), "")</f>
        <v/>
      </c>
      <c r="H380" s="1" t="str" cm="1">
        <f t="array" ref="H380">IFERROR(INDEX(PV_Totals_By_Item[#All], ROW()-1, COLUMN()), "")</f>
        <v/>
      </c>
      <c r="I380" s="1" t="str" cm="1">
        <f t="array" ref="I380">IFERROR(INDEX(PV_Totals_By_Item[#All], ROW()-1, COLUMN()), "")</f>
        <v/>
      </c>
      <c r="J380" s="1" t="str" cm="1">
        <f t="array" ref="J380">IFERROR(INDEX(PV_Totals_By_Item[#All], ROW()-1, COLUMN()), "")</f>
        <v/>
      </c>
    </row>
    <row r="381" spans="1:10">
      <c r="A381" s="1" t="str" cm="1">
        <f t="array" ref="A381">IFERROR(INDEX(PV_Totals_By_Item[#All], ROW()-1, COLUMN()), "")</f>
        <v/>
      </c>
      <c r="B381" s="1" t="str" cm="1">
        <f t="array" ref="B381">IFERROR(INDEX(PV_Totals_By_Item[#All], ROW()-1, COLUMN()), "")</f>
        <v/>
      </c>
      <c r="C381" s="1" t="str" cm="1">
        <f t="array" ref="C381">IFERROR(INDEX(PV_Totals_By_Item[#All], ROW()-1, COLUMN()), "")</f>
        <v/>
      </c>
      <c r="D381" s="1" t="str" cm="1">
        <f t="array" ref="D381">IFERROR(INDEX(PV_Totals_By_Item[#All], ROW()-1, COLUMN()), "")</f>
        <v/>
      </c>
      <c r="E381" s="1" t="str" cm="1">
        <f t="array" ref="E381">IFERROR(INDEX(PV_Totals_By_Item[#All], ROW()-1, COLUMN()), "")</f>
        <v/>
      </c>
      <c r="F381" s="1" t="str" cm="1">
        <f t="array" ref="F381">IFERROR(INDEX(PV_Totals_By_Item[#All], ROW()-1, COLUMN()), "")</f>
        <v/>
      </c>
      <c r="G381" s="1" t="str" cm="1">
        <f t="array" ref="G381">IFERROR(INDEX(PV_Totals_By_Item[#All], ROW()-1, COLUMN()), "")</f>
        <v/>
      </c>
      <c r="H381" s="1" t="str" cm="1">
        <f t="array" ref="H381">IFERROR(INDEX(PV_Totals_By_Item[#All], ROW()-1, COLUMN()), "")</f>
        <v/>
      </c>
      <c r="I381" s="1" t="str" cm="1">
        <f t="array" ref="I381">IFERROR(INDEX(PV_Totals_By_Item[#All], ROW()-1, COLUMN()), "")</f>
        <v/>
      </c>
      <c r="J381" s="1" t="str" cm="1">
        <f t="array" ref="J381">IFERROR(INDEX(PV_Totals_By_Item[#All], ROW()-1, COLUMN()), "")</f>
        <v/>
      </c>
    </row>
    <row r="382" spans="1:10">
      <c r="A382" s="1" t="str" cm="1">
        <f t="array" ref="A382">IFERROR(INDEX(PV_Totals_By_Item[#All], ROW()-1, COLUMN()), "")</f>
        <v/>
      </c>
      <c r="B382" s="1" t="str" cm="1">
        <f t="array" ref="B382">IFERROR(INDEX(PV_Totals_By_Item[#All], ROW()-1, COLUMN()), "")</f>
        <v/>
      </c>
      <c r="C382" s="1" t="str" cm="1">
        <f t="array" ref="C382">IFERROR(INDEX(PV_Totals_By_Item[#All], ROW()-1, COLUMN()), "")</f>
        <v/>
      </c>
      <c r="D382" s="1" t="str" cm="1">
        <f t="array" ref="D382">IFERROR(INDEX(PV_Totals_By_Item[#All], ROW()-1, COLUMN()), "")</f>
        <v/>
      </c>
      <c r="E382" s="1" t="str" cm="1">
        <f t="array" ref="E382">IFERROR(INDEX(PV_Totals_By_Item[#All], ROW()-1, COLUMN()), "")</f>
        <v/>
      </c>
      <c r="F382" s="1" t="str" cm="1">
        <f t="array" ref="F382">IFERROR(INDEX(PV_Totals_By_Item[#All], ROW()-1, COLUMN()), "")</f>
        <v/>
      </c>
      <c r="G382" s="1" t="str" cm="1">
        <f t="array" ref="G382">IFERROR(INDEX(PV_Totals_By_Item[#All], ROW()-1, COLUMN()), "")</f>
        <v/>
      </c>
      <c r="H382" s="1" t="str" cm="1">
        <f t="array" ref="H382">IFERROR(INDEX(PV_Totals_By_Item[#All], ROW()-1, COLUMN()), "")</f>
        <v/>
      </c>
      <c r="I382" s="1" t="str" cm="1">
        <f t="array" ref="I382">IFERROR(INDEX(PV_Totals_By_Item[#All], ROW()-1, COLUMN()), "")</f>
        <v/>
      </c>
      <c r="J382" s="1" t="str" cm="1">
        <f t="array" ref="J382">IFERROR(INDEX(PV_Totals_By_Item[#All], ROW()-1, COLUMN()), "")</f>
        <v/>
      </c>
    </row>
    <row r="383" spans="1:10">
      <c r="A383" s="1" t="str" cm="1">
        <f t="array" ref="A383">IFERROR(INDEX(PV_Totals_By_Item[#All], ROW()-1, COLUMN()), "")</f>
        <v/>
      </c>
      <c r="B383" s="1" t="str" cm="1">
        <f t="array" ref="B383">IFERROR(INDEX(PV_Totals_By_Item[#All], ROW()-1, COLUMN()), "")</f>
        <v/>
      </c>
      <c r="C383" s="1" t="str" cm="1">
        <f t="array" ref="C383">IFERROR(INDEX(PV_Totals_By_Item[#All], ROW()-1, COLUMN()), "")</f>
        <v/>
      </c>
      <c r="D383" s="1" t="str" cm="1">
        <f t="array" ref="D383">IFERROR(INDEX(PV_Totals_By_Item[#All], ROW()-1, COLUMN()), "")</f>
        <v/>
      </c>
      <c r="E383" s="1" t="str" cm="1">
        <f t="array" ref="E383">IFERROR(INDEX(PV_Totals_By_Item[#All], ROW()-1, COLUMN()), "")</f>
        <v/>
      </c>
      <c r="F383" s="1" t="str" cm="1">
        <f t="array" ref="F383">IFERROR(INDEX(PV_Totals_By_Item[#All], ROW()-1, COLUMN()), "")</f>
        <v/>
      </c>
      <c r="G383" s="1" t="str" cm="1">
        <f t="array" ref="G383">IFERROR(INDEX(PV_Totals_By_Item[#All], ROW()-1, COLUMN()), "")</f>
        <v/>
      </c>
      <c r="H383" s="1" t="str" cm="1">
        <f t="array" ref="H383">IFERROR(INDEX(PV_Totals_By_Item[#All], ROW()-1, COLUMN()), "")</f>
        <v/>
      </c>
      <c r="I383" s="1" t="str" cm="1">
        <f t="array" ref="I383">IFERROR(INDEX(PV_Totals_By_Item[#All], ROW()-1, COLUMN()), "")</f>
        <v/>
      </c>
      <c r="J383" s="1" t="str" cm="1">
        <f t="array" ref="J383">IFERROR(INDEX(PV_Totals_By_Item[#All], ROW()-1, COLUMN()), "")</f>
        <v/>
      </c>
    </row>
    <row r="384" spans="1:10">
      <c r="A384" s="1" t="str" cm="1">
        <f t="array" ref="A384">IFERROR(INDEX(PV_Totals_By_Item[#All], ROW()-1, COLUMN()), "")</f>
        <v/>
      </c>
      <c r="B384" s="1" t="str" cm="1">
        <f t="array" ref="B384">IFERROR(INDEX(PV_Totals_By_Item[#All], ROW()-1, COLUMN()), "")</f>
        <v/>
      </c>
      <c r="C384" s="1" t="str" cm="1">
        <f t="array" ref="C384">IFERROR(INDEX(PV_Totals_By_Item[#All], ROW()-1, COLUMN()), "")</f>
        <v/>
      </c>
      <c r="D384" s="1" t="str" cm="1">
        <f t="array" ref="D384">IFERROR(INDEX(PV_Totals_By_Item[#All], ROW()-1, COLUMN()), "")</f>
        <v/>
      </c>
      <c r="E384" s="1" t="str" cm="1">
        <f t="array" ref="E384">IFERROR(INDEX(PV_Totals_By_Item[#All], ROW()-1, COLUMN()), "")</f>
        <v/>
      </c>
      <c r="F384" s="1" t="str" cm="1">
        <f t="array" ref="F384">IFERROR(INDEX(PV_Totals_By_Item[#All], ROW()-1, COLUMN()), "")</f>
        <v/>
      </c>
      <c r="G384" s="1" t="str" cm="1">
        <f t="array" ref="G384">IFERROR(INDEX(PV_Totals_By_Item[#All], ROW()-1, COLUMN()), "")</f>
        <v/>
      </c>
      <c r="H384" s="1" t="str" cm="1">
        <f t="array" ref="H384">IFERROR(INDEX(PV_Totals_By_Item[#All], ROW()-1, COLUMN()), "")</f>
        <v/>
      </c>
      <c r="I384" s="1" t="str" cm="1">
        <f t="array" ref="I384">IFERROR(INDEX(PV_Totals_By_Item[#All], ROW()-1, COLUMN()), "")</f>
        <v/>
      </c>
      <c r="J384" s="1" t="str" cm="1">
        <f t="array" ref="J384">IFERROR(INDEX(PV_Totals_By_Item[#All], ROW()-1, COLUMN()), "")</f>
        <v/>
      </c>
    </row>
    <row r="385" spans="1:10">
      <c r="A385" s="1" t="str" cm="1">
        <f t="array" ref="A385">IFERROR(INDEX(PV_Totals_By_Item[#All], ROW()-1, COLUMN()), "")</f>
        <v/>
      </c>
      <c r="B385" s="1" t="str" cm="1">
        <f t="array" ref="B385">IFERROR(INDEX(PV_Totals_By_Item[#All], ROW()-1, COLUMN()), "")</f>
        <v/>
      </c>
      <c r="C385" s="1" t="str" cm="1">
        <f t="array" ref="C385">IFERROR(INDEX(PV_Totals_By_Item[#All], ROW()-1, COLUMN()), "")</f>
        <v/>
      </c>
      <c r="D385" s="1" t="str" cm="1">
        <f t="array" ref="D385">IFERROR(INDEX(PV_Totals_By_Item[#All], ROW()-1, COLUMN()), "")</f>
        <v/>
      </c>
      <c r="E385" s="1" t="str" cm="1">
        <f t="array" ref="E385">IFERROR(INDEX(PV_Totals_By_Item[#All], ROW()-1, COLUMN()), "")</f>
        <v/>
      </c>
      <c r="F385" s="1" t="str" cm="1">
        <f t="array" ref="F385">IFERROR(INDEX(PV_Totals_By_Item[#All], ROW()-1, COLUMN()), "")</f>
        <v/>
      </c>
      <c r="G385" s="1" t="str" cm="1">
        <f t="array" ref="G385">IFERROR(INDEX(PV_Totals_By_Item[#All], ROW()-1, COLUMN()), "")</f>
        <v/>
      </c>
      <c r="H385" s="1" t="str" cm="1">
        <f t="array" ref="H385">IFERROR(INDEX(PV_Totals_By_Item[#All], ROW()-1, COLUMN()), "")</f>
        <v/>
      </c>
      <c r="I385" s="1" t="str" cm="1">
        <f t="array" ref="I385">IFERROR(INDEX(PV_Totals_By_Item[#All], ROW()-1, COLUMN()), "")</f>
        <v/>
      </c>
      <c r="J385" s="1" t="str" cm="1">
        <f t="array" ref="J385">IFERROR(INDEX(PV_Totals_By_Item[#All], ROW()-1, COLUMN()), "")</f>
        <v/>
      </c>
    </row>
    <row r="386" spans="1:10">
      <c r="A386" s="1" t="str" cm="1">
        <f t="array" ref="A386">IFERROR(INDEX(PV_Totals_By_Item[#All], ROW()-1, COLUMN()), "")</f>
        <v/>
      </c>
      <c r="B386" s="1" t="str" cm="1">
        <f t="array" ref="B386">IFERROR(INDEX(PV_Totals_By_Item[#All], ROW()-1, COLUMN()), "")</f>
        <v/>
      </c>
      <c r="C386" s="1" t="str" cm="1">
        <f t="array" ref="C386">IFERROR(INDEX(PV_Totals_By_Item[#All], ROW()-1, COLUMN()), "")</f>
        <v/>
      </c>
      <c r="D386" s="1" t="str" cm="1">
        <f t="array" ref="D386">IFERROR(INDEX(PV_Totals_By_Item[#All], ROW()-1, COLUMN()), "")</f>
        <v/>
      </c>
      <c r="E386" s="1" t="str" cm="1">
        <f t="array" ref="E386">IFERROR(INDEX(PV_Totals_By_Item[#All], ROW()-1, COLUMN()), "")</f>
        <v/>
      </c>
      <c r="F386" s="1" t="str" cm="1">
        <f t="array" ref="F386">IFERROR(INDEX(PV_Totals_By_Item[#All], ROW()-1, COLUMN()), "")</f>
        <v/>
      </c>
      <c r="G386" s="1" t="str" cm="1">
        <f t="array" ref="G386">IFERROR(INDEX(PV_Totals_By_Item[#All], ROW()-1, COLUMN()), "")</f>
        <v/>
      </c>
      <c r="H386" s="1" t="str" cm="1">
        <f t="array" ref="H386">IFERROR(INDEX(PV_Totals_By_Item[#All], ROW()-1, COLUMN()), "")</f>
        <v/>
      </c>
      <c r="I386" s="1" t="str" cm="1">
        <f t="array" ref="I386">IFERROR(INDEX(PV_Totals_By_Item[#All], ROW()-1, COLUMN()), "")</f>
        <v/>
      </c>
      <c r="J386" s="1" t="str" cm="1">
        <f t="array" ref="J386">IFERROR(INDEX(PV_Totals_By_Item[#All], ROW()-1, COLUMN()), "")</f>
        <v/>
      </c>
    </row>
    <row r="387" spans="1:10">
      <c r="A387" s="1" t="str" cm="1">
        <f t="array" ref="A387">IFERROR(INDEX(PV_Totals_By_Item[#All], ROW()-1, COLUMN()), "")</f>
        <v/>
      </c>
      <c r="B387" s="1" t="str" cm="1">
        <f t="array" ref="B387">IFERROR(INDEX(PV_Totals_By_Item[#All], ROW()-1, COLUMN()), "")</f>
        <v/>
      </c>
      <c r="C387" s="1" t="str" cm="1">
        <f t="array" ref="C387">IFERROR(INDEX(PV_Totals_By_Item[#All], ROW()-1, COLUMN()), "")</f>
        <v/>
      </c>
      <c r="D387" s="1" t="str" cm="1">
        <f t="array" ref="D387">IFERROR(INDEX(PV_Totals_By_Item[#All], ROW()-1, COLUMN()), "")</f>
        <v/>
      </c>
      <c r="E387" s="1" t="str" cm="1">
        <f t="array" ref="E387">IFERROR(INDEX(PV_Totals_By_Item[#All], ROW()-1, COLUMN()), "")</f>
        <v/>
      </c>
      <c r="F387" s="1" t="str" cm="1">
        <f t="array" ref="F387">IFERROR(INDEX(PV_Totals_By_Item[#All], ROW()-1, COLUMN()), "")</f>
        <v/>
      </c>
      <c r="G387" s="1" t="str" cm="1">
        <f t="array" ref="G387">IFERROR(INDEX(PV_Totals_By_Item[#All], ROW()-1, COLUMN()), "")</f>
        <v/>
      </c>
      <c r="H387" s="1" t="str" cm="1">
        <f t="array" ref="H387">IFERROR(INDEX(PV_Totals_By_Item[#All], ROW()-1, COLUMN()), "")</f>
        <v/>
      </c>
      <c r="I387" s="1" t="str" cm="1">
        <f t="array" ref="I387">IFERROR(INDEX(PV_Totals_By_Item[#All], ROW()-1, COLUMN()), "")</f>
        <v/>
      </c>
      <c r="J387" s="1" t="str" cm="1">
        <f t="array" ref="J387">IFERROR(INDEX(PV_Totals_By_Item[#All], ROW()-1, COLUMN()), "")</f>
        <v/>
      </c>
    </row>
    <row r="388" spans="1:10">
      <c r="A388" s="1" t="str" cm="1">
        <f t="array" ref="A388">IFERROR(INDEX(PV_Totals_By_Item[#All], ROW()-1, COLUMN()), "")</f>
        <v/>
      </c>
      <c r="B388" s="1" t="str" cm="1">
        <f t="array" ref="B388">IFERROR(INDEX(PV_Totals_By_Item[#All], ROW()-1, COLUMN()), "")</f>
        <v/>
      </c>
      <c r="C388" s="1" t="str" cm="1">
        <f t="array" ref="C388">IFERROR(INDEX(PV_Totals_By_Item[#All], ROW()-1, COLUMN()), "")</f>
        <v/>
      </c>
      <c r="D388" s="1" t="str" cm="1">
        <f t="array" ref="D388">IFERROR(INDEX(PV_Totals_By_Item[#All], ROW()-1, COLUMN()), "")</f>
        <v/>
      </c>
      <c r="E388" s="1" t="str" cm="1">
        <f t="array" ref="E388">IFERROR(INDEX(PV_Totals_By_Item[#All], ROW()-1, COLUMN()), "")</f>
        <v/>
      </c>
      <c r="F388" s="1" t="str" cm="1">
        <f t="array" ref="F388">IFERROR(INDEX(PV_Totals_By_Item[#All], ROW()-1, COLUMN()), "")</f>
        <v/>
      </c>
      <c r="G388" s="1" t="str" cm="1">
        <f t="array" ref="G388">IFERROR(INDEX(PV_Totals_By_Item[#All], ROW()-1, COLUMN()), "")</f>
        <v/>
      </c>
      <c r="H388" s="1" t="str" cm="1">
        <f t="array" ref="H388">IFERROR(INDEX(PV_Totals_By_Item[#All], ROW()-1, COLUMN()), "")</f>
        <v/>
      </c>
      <c r="I388" s="1" t="str" cm="1">
        <f t="array" ref="I388">IFERROR(INDEX(PV_Totals_By_Item[#All], ROW()-1, COLUMN()), "")</f>
        <v/>
      </c>
      <c r="J388" s="1" t="str" cm="1">
        <f t="array" ref="J388">IFERROR(INDEX(PV_Totals_By_Item[#All], ROW()-1, COLUMN()), "")</f>
        <v/>
      </c>
    </row>
    <row r="389" spans="1:10">
      <c r="A389" s="1" t="str" cm="1">
        <f t="array" ref="A389">IFERROR(INDEX(PV_Totals_By_Item[#All], ROW()-1, COLUMN()), "")</f>
        <v/>
      </c>
      <c r="B389" s="1" t="str" cm="1">
        <f t="array" ref="B389">IFERROR(INDEX(PV_Totals_By_Item[#All], ROW()-1, COLUMN()), "")</f>
        <v/>
      </c>
      <c r="C389" s="1" t="str" cm="1">
        <f t="array" ref="C389">IFERROR(INDEX(PV_Totals_By_Item[#All], ROW()-1, COLUMN()), "")</f>
        <v/>
      </c>
      <c r="D389" s="1" t="str" cm="1">
        <f t="array" ref="D389">IFERROR(INDEX(PV_Totals_By_Item[#All], ROW()-1, COLUMN()), "")</f>
        <v/>
      </c>
      <c r="E389" s="1" t="str" cm="1">
        <f t="array" ref="E389">IFERROR(INDEX(PV_Totals_By_Item[#All], ROW()-1, COLUMN()), "")</f>
        <v/>
      </c>
      <c r="F389" s="1" t="str" cm="1">
        <f t="array" ref="F389">IFERROR(INDEX(PV_Totals_By_Item[#All], ROW()-1, COLUMN()), "")</f>
        <v/>
      </c>
      <c r="G389" s="1" t="str" cm="1">
        <f t="array" ref="G389">IFERROR(INDEX(PV_Totals_By_Item[#All], ROW()-1, COLUMN()), "")</f>
        <v/>
      </c>
      <c r="H389" s="1" t="str" cm="1">
        <f t="array" ref="H389">IFERROR(INDEX(PV_Totals_By_Item[#All], ROW()-1, COLUMN()), "")</f>
        <v/>
      </c>
      <c r="I389" s="1" t="str" cm="1">
        <f t="array" ref="I389">IFERROR(INDEX(PV_Totals_By_Item[#All], ROW()-1, COLUMN()), "")</f>
        <v/>
      </c>
      <c r="J389" s="1" t="str" cm="1">
        <f t="array" ref="J389">IFERROR(INDEX(PV_Totals_By_Item[#All], ROW()-1, COLUMN()), "")</f>
        <v/>
      </c>
    </row>
    <row r="390" spans="1:10">
      <c r="A390" s="1" t="str" cm="1">
        <f t="array" ref="A390">IFERROR(INDEX(PV_Totals_By_Item[#All], ROW()-1, COLUMN()), "")</f>
        <v/>
      </c>
      <c r="B390" s="1" t="str" cm="1">
        <f t="array" ref="B390">IFERROR(INDEX(PV_Totals_By_Item[#All], ROW()-1, COLUMN()), "")</f>
        <v/>
      </c>
      <c r="C390" s="1" t="str" cm="1">
        <f t="array" ref="C390">IFERROR(INDEX(PV_Totals_By_Item[#All], ROW()-1, COLUMN()), "")</f>
        <v/>
      </c>
      <c r="D390" s="1" t="str" cm="1">
        <f t="array" ref="D390">IFERROR(INDEX(PV_Totals_By_Item[#All], ROW()-1, COLUMN()), "")</f>
        <v/>
      </c>
      <c r="E390" s="1" t="str" cm="1">
        <f t="array" ref="E390">IFERROR(INDEX(PV_Totals_By_Item[#All], ROW()-1, COLUMN()), "")</f>
        <v/>
      </c>
      <c r="F390" s="1" t="str" cm="1">
        <f t="array" ref="F390">IFERROR(INDEX(PV_Totals_By_Item[#All], ROW()-1, COLUMN()), "")</f>
        <v/>
      </c>
      <c r="G390" s="1" t="str" cm="1">
        <f t="array" ref="G390">IFERROR(INDEX(PV_Totals_By_Item[#All], ROW()-1, COLUMN()), "")</f>
        <v/>
      </c>
      <c r="H390" s="1" t="str" cm="1">
        <f t="array" ref="H390">IFERROR(INDEX(PV_Totals_By_Item[#All], ROW()-1, COLUMN()), "")</f>
        <v/>
      </c>
      <c r="I390" s="1" t="str" cm="1">
        <f t="array" ref="I390">IFERROR(INDEX(PV_Totals_By_Item[#All], ROW()-1, COLUMN()), "")</f>
        <v/>
      </c>
      <c r="J390" s="1" t="str" cm="1">
        <f t="array" ref="J390">IFERROR(INDEX(PV_Totals_By_Item[#All], ROW()-1, COLUMN()), "")</f>
        <v/>
      </c>
    </row>
    <row r="391" spans="1:10">
      <c r="A391" s="1" t="str" cm="1">
        <f t="array" ref="A391">IFERROR(INDEX(PV_Totals_By_Item[#All], ROW()-1, COLUMN()), "")</f>
        <v/>
      </c>
      <c r="B391" s="1" t="str" cm="1">
        <f t="array" ref="B391">IFERROR(INDEX(PV_Totals_By_Item[#All], ROW()-1, COLUMN()), "")</f>
        <v/>
      </c>
      <c r="C391" s="1" t="str" cm="1">
        <f t="array" ref="C391">IFERROR(INDEX(PV_Totals_By_Item[#All], ROW()-1, COLUMN()), "")</f>
        <v/>
      </c>
      <c r="D391" s="1" t="str" cm="1">
        <f t="array" ref="D391">IFERROR(INDEX(PV_Totals_By_Item[#All], ROW()-1, COLUMN()), "")</f>
        <v/>
      </c>
      <c r="E391" s="1" t="str" cm="1">
        <f t="array" ref="E391">IFERROR(INDEX(PV_Totals_By_Item[#All], ROW()-1, COLUMN()), "")</f>
        <v/>
      </c>
      <c r="F391" s="1" t="str" cm="1">
        <f t="array" ref="F391">IFERROR(INDEX(PV_Totals_By_Item[#All], ROW()-1, COLUMN()), "")</f>
        <v/>
      </c>
      <c r="G391" s="1" t="str" cm="1">
        <f t="array" ref="G391">IFERROR(INDEX(PV_Totals_By_Item[#All], ROW()-1, COLUMN()), "")</f>
        <v/>
      </c>
      <c r="H391" s="1" t="str" cm="1">
        <f t="array" ref="H391">IFERROR(INDEX(PV_Totals_By_Item[#All], ROW()-1, COLUMN()), "")</f>
        <v/>
      </c>
      <c r="I391" s="1" t="str" cm="1">
        <f t="array" ref="I391">IFERROR(INDEX(PV_Totals_By_Item[#All], ROW()-1, COLUMN()), "")</f>
        <v/>
      </c>
      <c r="J391" s="1" t="str" cm="1">
        <f t="array" ref="J391">IFERROR(INDEX(PV_Totals_By_Item[#All], ROW()-1, COLUMN()), "")</f>
        <v/>
      </c>
    </row>
    <row r="392" spans="1:10">
      <c r="A392" s="1" t="str" cm="1">
        <f t="array" ref="A392">IFERROR(INDEX(PV_Totals_By_Item[#All], ROW()-1, COLUMN()), "")</f>
        <v/>
      </c>
      <c r="B392" s="1" t="str" cm="1">
        <f t="array" ref="B392">IFERROR(INDEX(PV_Totals_By_Item[#All], ROW()-1, COLUMN()), "")</f>
        <v/>
      </c>
      <c r="C392" s="1" t="str" cm="1">
        <f t="array" ref="C392">IFERROR(INDEX(PV_Totals_By_Item[#All], ROW()-1, COLUMN()), "")</f>
        <v/>
      </c>
      <c r="D392" s="1" t="str" cm="1">
        <f t="array" ref="D392">IFERROR(INDEX(PV_Totals_By_Item[#All], ROW()-1, COLUMN()), "")</f>
        <v/>
      </c>
      <c r="E392" s="1" t="str" cm="1">
        <f t="array" ref="E392">IFERROR(INDEX(PV_Totals_By_Item[#All], ROW()-1, COLUMN()), "")</f>
        <v/>
      </c>
      <c r="F392" s="1" t="str" cm="1">
        <f t="array" ref="F392">IFERROR(INDEX(PV_Totals_By_Item[#All], ROW()-1, COLUMN()), "")</f>
        <v/>
      </c>
      <c r="G392" s="1" t="str" cm="1">
        <f t="array" ref="G392">IFERROR(INDEX(PV_Totals_By_Item[#All], ROW()-1, COLUMN()), "")</f>
        <v/>
      </c>
      <c r="H392" s="1" t="str" cm="1">
        <f t="array" ref="H392">IFERROR(INDEX(PV_Totals_By_Item[#All], ROW()-1, COLUMN()), "")</f>
        <v/>
      </c>
      <c r="I392" s="1" t="str" cm="1">
        <f t="array" ref="I392">IFERROR(INDEX(PV_Totals_By_Item[#All], ROW()-1, COLUMN()), "")</f>
        <v/>
      </c>
      <c r="J392" s="1" t="str" cm="1">
        <f t="array" ref="J392">IFERROR(INDEX(PV_Totals_By_Item[#All], ROW()-1, COLUMN()), "")</f>
        <v/>
      </c>
    </row>
    <row r="393" spans="1:10">
      <c r="A393" s="1" t="str" cm="1">
        <f t="array" ref="A393">IFERROR(INDEX(PV_Totals_By_Item[#All], ROW()-1, COLUMN()), "")</f>
        <v/>
      </c>
      <c r="B393" s="1" t="str" cm="1">
        <f t="array" ref="B393">IFERROR(INDEX(PV_Totals_By_Item[#All], ROW()-1, COLUMN()), "")</f>
        <v/>
      </c>
      <c r="C393" s="1" t="str" cm="1">
        <f t="array" ref="C393">IFERROR(INDEX(PV_Totals_By_Item[#All], ROW()-1, COLUMN()), "")</f>
        <v/>
      </c>
      <c r="D393" s="1" t="str" cm="1">
        <f t="array" ref="D393">IFERROR(INDEX(PV_Totals_By_Item[#All], ROW()-1, COLUMN()), "")</f>
        <v/>
      </c>
      <c r="E393" s="1" t="str" cm="1">
        <f t="array" ref="E393">IFERROR(INDEX(PV_Totals_By_Item[#All], ROW()-1, COLUMN()), "")</f>
        <v/>
      </c>
      <c r="F393" s="1" t="str" cm="1">
        <f t="array" ref="F393">IFERROR(INDEX(PV_Totals_By_Item[#All], ROW()-1, COLUMN()), "")</f>
        <v/>
      </c>
      <c r="G393" s="1" t="str" cm="1">
        <f t="array" ref="G393">IFERROR(INDEX(PV_Totals_By_Item[#All], ROW()-1, COLUMN()), "")</f>
        <v/>
      </c>
      <c r="H393" s="1" t="str" cm="1">
        <f t="array" ref="H393">IFERROR(INDEX(PV_Totals_By_Item[#All], ROW()-1, COLUMN()), "")</f>
        <v/>
      </c>
      <c r="I393" s="1" t="str" cm="1">
        <f t="array" ref="I393">IFERROR(INDEX(PV_Totals_By_Item[#All], ROW()-1, COLUMN()), "")</f>
        <v/>
      </c>
      <c r="J393" s="1" t="str" cm="1">
        <f t="array" ref="J393">IFERROR(INDEX(PV_Totals_By_Item[#All], ROW()-1, COLUMN()), "")</f>
        <v/>
      </c>
    </row>
    <row r="394" spans="1:10">
      <c r="A394" s="1" t="str" cm="1">
        <f t="array" ref="A394">IFERROR(INDEX(PV_Totals_By_Item[#All], ROW()-1, COLUMN()), "")</f>
        <v/>
      </c>
      <c r="B394" s="1" t="str" cm="1">
        <f t="array" ref="B394">IFERROR(INDEX(PV_Totals_By_Item[#All], ROW()-1, COLUMN()), "")</f>
        <v/>
      </c>
      <c r="C394" s="1" t="str" cm="1">
        <f t="array" ref="C394">IFERROR(INDEX(PV_Totals_By_Item[#All], ROW()-1, COLUMN()), "")</f>
        <v/>
      </c>
      <c r="D394" s="1" t="str" cm="1">
        <f t="array" ref="D394">IFERROR(INDEX(PV_Totals_By_Item[#All], ROW()-1, COLUMN()), "")</f>
        <v/>
      </c>
      <c r="E394" s="1" t="str" cm="1">
        <f t="array" ref="E394">IFERROR(INDEX(PV_Totals_By_Item[#All], ROW()-1, COLUMN()), "")</f>
        <v/>
      </c>
      <c r="F394" s="1" t="str" cm="1">
        <f t="array" ref="F394">IFERROR(INDEX(PV_Totals_By_Item[#All], ROW()-1, COLUMN()), "")</f>
        <v/>
      </c>
      <c r="G394" s="1" t="str" cm="1">
        <f t="array" ref="G394">IFERROR(INDEX(PV_Totals_By_Item[#All], ROW()-1, COLUMN()), "")</f>
        <v/>
      </c>
      <c r="H394" s="1" t="str" cm="1">
        <f t="array" ref="H394">IFERROR(INDEX(PV_Totals_By_Item[#All], ROW()-1, COLUMN()), "")</f>
        <v/>
      </c>
      <c r="I394" s="1" t="str" cm="1">
        <f t="array" ref="I394">IFERROR(INDEX(PV_Totals_By_Item[#All], ROW()-1, COLUMN()), "")</f>
        <v/>
      </c>
      <c r="J394" s="1" t="str" cm="1">
        <f t="array" ref="J394">IFERROR(INDEX(PV_Totals_By_Item[#All], ROW()-1, COLUMN()), "")</f>
        <v/>
      </c>
    </row>
    <row r="395" spans="1:10">
      <c r="A395" s="1" t="str" cm="1">
        <f t="array" ref="A395">IFERROR(INDEX(PV_Totals_By_Item[#All], ROW()-1, COLUMN()), "")</f>
        <v/>
      </c>
      <c r="B395" s="1" t="str" cm="1">
        <f t="array" ref="B395">IFERROR(INDEX(PV_Totals_By_Item[#All], ROW()-1, COLUMN()), "")</f>
        <v/>
      </c>
      <c r="C395" s="1" t="str" cm="1">
        <f t="array" ref="C395">IFERROR(INDEX(PV_Totals_By_Item[#All], ROW()-1, COLUMN()), "")</f>
        <v/>
      </c>
      <c r="D395" s="1" t="str" cm="1">
        <f t="array" ref="D395">IFERROR(INDEX(PV_Totals_By_Item[#All], ROW()-1, COLUMN()), "")</f>
        <v/>
      </c>
      <c r="E395" s="1" t="str" cm="1">
        <f t="array" ref="E395">IFERROR(INDEX(PV_Totals_By_Item[#All], ROW()-1, COLUMN()), "")</f>
        <v/>
      </c>
      <c r="F395" s="1" t="str" cm="1">
        <f t="array" ref="F395">IFERROR(INDEX(PV_Totals_By_Item[#All], ROW()-1, COLUMN()), "")</f>
        <v/>
      </c>
      <c r="G395" s="1" t="str" cm="1">
        <f t="array" ref="G395">IFERROR(INDEX(PV_Totals_By_Item[#All], ROW()-1, COLUMN()), "")</f>
        <v/>
      </c>
      <c r="H395" s="1" t="str" cm="1">
        <f t="array" ref="H395">IFERROR(INDEX(PV_Totals_By_Item[#All], ROW()-1, COLUMN()), "")</f>
        <v/>
      </c>
      <c r="I395" s="1" t="str" cm="1">
        <f t="array" ref="I395">IFERROR(INDEX(PV_Totals_By_Item[#All], ROW()-1, COLUMN()), "")</f>
        <v/>
      </c>
      <c r="J395" s="1" t="str" cm="1">
        <f t="array" ref="J395">IFERROR(INDEX(PV_Totals_By_Item[#All], ROW()-1, COLUMN()), "")</f>
        <v/>
      </c>
    </row>
    <row r="396" spans="1:10">
      <c r="A396" s="1" t="str" cm="1">
        <f t="array" ref="A396">IFERROR(INDEX(PV_Totals_By_Item[#All], ROW()-1, COLUMN()), "")</f>
        <v/>
      </c>
      <c r="B396" s="1" t="str" cm="1">
        <f t="array" ref="B396">IFERROR(INDEX(PV_Totals_By_Item[#All], ROW()-1, COLUMN()), "")</f>
        <v/>
      </c>
      <c r="C396" s="1" t="str" cm="1">
        <f t="array" ref="C396">IFERROR(INDEX(PV_Totals_By_Item[#All], ROW()-1, COLUMN()), "")</f>
        <v/>
      </c>
      <c r="D396" s="1" t="str" cm="1">
        <f t="array" ref="D396">IFERROR(INDEX(PV_Totals_By_Item[#All], ROW()-1, COLUMN()), "")</f>
        <v/>
      </c>
      <c r="E396" s="1" t="str" cm="1">
        <f t="array" ref="E396">IFERROR(INDEX(PV_Totals_By_Item[#All], ROW()-1, COLUMN()), "")</f>
        <v/>
      </c>
      <c r="F396" s="1" t="str" cm="1">
        <f t="array" ref="F396">IFERROR(INDEX(PV_Totals_By_Item[#All], ROW()-1, COLUMN()), "")</f>
        <v/>
      </c>
      <c r="G396" s="1" t="str" cm="1">
        <f t="array" ref="G396">IFERROR(INDEX(PV_Totals_By_Item[#All], ROW()-1, COLUMN()), "")</f>
        <v/>
      </c>
      <c r="H396" s="1" t="str" cm="1">
        <f t="array" ref="H396">IFERROR(INDEX(PV_Totals_By_Item[#All], ROW()-1, COLUMN()), "")</f>
        <v/>
      </c>
      <c r="I396" s="1" t="str" cm="1">
        <f t="array" ref="I396">IFERROR(INDEX(PV_Totals_By_Item[#All], ROW()-1, COLUMN()), "")</f>
        <v/>
      </c>
      <c r="J396" s="1" t="str" cm="1">
        <f t="array" ref="J396">IFERROR(INDEX(PV_Totals_By_Item[#All], ROW()-1, COLUMN()), "")</f>
        <v/>
      </c>
    </row>
    <row r="397" spans="1:10">
      <c r="A397" s="1" t="str" cm="1">
        <f t="array" ref="A397">IFERROR(INDEX(PV_Totals_By_Item[#All], ROW()-1, COLUMN()), "")</f>
        <v/>
      </c>
      <c r="B397" s="1" t="str" cm="1">
        <f t="array" ref="B397">IFERROR(INDEX(PV_Totals_By_Item[#All], ROW()-1, COLUMN()), "")</f>
        <v/>
      </c>
      <c r="C397" s="1" t="str" cm="1">
        <f t="array" ref="C397">IFERROR(INDEX(PV_Totals_By_Item[#All], ROW()-1, COLUMN()), "")</f>
        <v/>
      </c>
      <c r="D397" s="1" t="str" cm="1">
        <f t="array" ref="D397">IFERROR(INDEX(PV_Totals_By_Item[#All], ROW()-1, COLUMN()), "")</f>
        <v/>
      </c>
      <c r="E397" s="1" t="str" cm="1">
        <f t="array" ref="E397">IFERROR(INDEX(PV_Totals_By_Item[#All], ROW()-1, COLUMN()), "")</f>
        <v/>
      </c>
      <c r="F397" s="1" t="str" cm="1">
        <f t="array" ref="F397">IFERROR(INDEX(PV_Totals_By_Item[#All], ROW()-1, COLUMN()), "")</f>
        <v/>
      </c>
      <c r="G397" s="1" t="str" cm="1">
        <f t="array" ref="G397">IFERROR(INDEX(PV_Totals_By_Item[#All], ROW()-1, COLUMN()), "")</f>
        <v/>
      </c>
      <c r="H397" s="1" t="str" cm="1">
        <f t="array" ref="H397">IFERROR(INDEX(PV_Totals_By_Item[#All], ROW()-1, COLUMN()), "")</f>
        <v/>
      </c>
      <c r="I397" s="1" t="str" cm="1">
        <f t="array" ref="I397">IFERROR(INDEX(PV_Totals_By_Item[#All], ROW()-1, COLUMN()), "")</f>
        <v/>
      </c>
      <c r="J397" s="1" t="str" cm="1">
        <f t="array" ref="J397">IFERROR(INDEX(PV_Totals_By_Item[#All], ROW()-1, COLUMN()), "")</f>
        <v/>
      </c>
    </row>
    <row r="398" spans="1:10">
      <c r="A398" s="1" t="str" cm="1">
        <f t="array" ref="A398">IFERROR(INDEX(PV_Totals_By_Item[#All], ROW()-1, COLUMN()), "")</f>
        <v/>
      </c>
      <c r="B398" s="1" t="str" cm="1">
        <f t="array" ref="B398">IFERROR(INDEX(PV_Totals_By_Item[#All], ROW()-1, COLUMN()), "")</f>
        <v/>
      </c>
      <c r="C398" s="1" t="str" cm="1">
        <f t="array" ref="C398">IFERROR(INDEX(PV_Totals_By_Item[#All], ROW()-1, COLUMN()), "")</f>
        <v/>
      </c>
      <c r="D398" s="1" t="str" cm="1">
        <f t="array" ref="D398">IFERROR(INDEX(PV_Totals_By_Item[#All], ROW()-1, COLUMN()), "")</f>
        <v/>
      </c>
      <c r="E398" s="1" t="str" cm="1">
        <f t="array" ref="E398">IFERROR(INDEX(PV_Totals_By_Item[#All], ROW()-1, COLUMN()), "")</f>
        <v/>
      </c>
      <c r="F398" s="1" t="str" cm="1">
        <f t="array" ref="F398">IFERROR(INDEX(PV_Totals_By_Item[#All], ROW()-1, COLUMN()), "")</f>
        <v/>
      </c>
      <c r="G398" s="1" t="str" cm="1">
        <f t="array" ref="G398">IFERROR(INDEX(PV_Totals_By_Item[#All], ROW()-1, COLUMN()), "")</f>
        <v/>
      </c>
      <c r="H398" s="1" t="str" cm="1">
        <f t="array" ref="H398">IFERROR(INDEX(PV_Totals_By_Item[#All], ROW()-1, COLUMN()), "")</f>
        <v/>
      </c>
      <c r="I398" s="1" t="str" cm="1">
        <f t="array" ref="I398">IFERROR(INDEX(PV_Totals_By_Item[#All], ROW()-1, COLUMN()), "")</f>
        <v/>
      </c>
      <c r="J398" s="1" t="str" cm="1">
        <f t="array" ref="J398">IFERROR(INDEX(PV_Totals_By_Item[#All], ROW()-1, COLUMN()), "")</f>
        <v/>
      </c>
    </row>
    <row r="399" spans="1:10">
      <c r="A399" s="1" t="str" cm="1">
        <f t="array" ref="A399">IFERROR(INDEX(PV_Totals_By_Item[#All], ROW()-1, COLUMN()), "")</f>
        <v/>
      </c>
      <c r="B399" s="1" t="str" cm="1">
        <f t="array" ref="B399">IFERROR(INDEX(PV_Totals_By_Item[#All], ROW()-1, COLUMN()), "")</f>
        <v/>
      </c>
      <c r="C399" s="1" t="str" cm="1">
        <f t="array" ref="C399">IFERROR(INDEX(PV_Totals_By_Item[#All], ROW()-1, COLUMN()), "")</f>
        <v/>
      </c>
      <c r="D399" s="1" t="str" cm="1">
        <f t="array" ref="D399">IFERROR(INDEX(PV_Totals_By_Item[#All], ROW()-1, COLUMN()), "")</f>
        <v/>
      </c>
      <c r="E399" s="1" t="str" cm="1">
        <f t="array" ref="E399">IFERROR(INDEX(PV_Totals_By_Item[#All], ROW()-1, COLUMN()), "")</f>
        <v/>
      </c>
      <c r="F399" s="1" t="str" cm="1">
        <f t="array" ref="F399">IFERROR(INDEX(PV_Totals_By_Item[#All], ROW()-1, COLUMN()), "")</f>
        <v/>
      </c>
      <c r="G399" s="1" t="str" cm="1">
        <f t="array" ref="G399">IFERROR(INDEX(PV_Totals_By_Item[#All], ROW()-1, COLUMN()), "")</f>
        <v/>
      </c>
      <c r="H399" s="1" t="str" cm="1">
        <f t="array" ref="H399">IFERROR(INDEX(PV_Totals_By_Item[#All], ROW()-1, COLUMN()), "")</f>
        <v/>
      </c>
      <c r="I399" s="1" t="str" cm="1">
        <f t="array" ref="I399">IFERROR(INDEX(PV_Totals_By_Item[#All], ROW()-1, COLUMN()), "")</f>
        <v/>
      </c>
      <c r="J399" s="1" t="str" cm="1">
        <f t="array" ref="J399">IFERROR(INDEX(PV_Totals_By_Item[#All], ROW()-1, COLUMN()), "")</f>
        <v/>
      </c>
    </row>
    <row r="400" spans="1:10">
      <c r="A400" s="1" t="str" cm="1">
        <f t="array" ref="A400">IFERROR(INDEX(PV_Totals_By_Item[#All], ROW()-1, COLUMN()), "")</f>
        <v/>
      </c>
      <c r="B400" s="1" t="str" cm="1">
        <f t="array" ref="B400">IFERROR(INDEX(PV_Totals_By_Item[#All], ROW()-1, COLUMN()), "")</f>
        <v/>
      </c>
      <c r="C400" s="1" t="str" cm="1">
        <f t="array" ref="C400">IFERROR(INDEX(PV_Totals_By_Item[#All], ROW()-1, COLUMN()), "")</f>
        <v/>
      </c>
      <c r="D400" s="1" t="str" cm="1">
        <f t="array" ref="D400">IFERROR(INDEX(PV_Totals_By_Item[#All], ROW()-1, COLUMN()), "")</f>
        <v/>
      </c>
      <c r="E400" s="1" t="str" cm="1">
        <f t="array" ref="E400">IFERROR(INDEX(PV_Totals_By_Item[#All], ROW()-1, COLUMN()), "")</f>
        <v/>
      </c>
      <c r="F400" s="1" t="str" cm="1">
        <f t="array" ref="F400">IFERROR(INDEX(PV_Totals_By_Item[#All], ROW()-1, COLUMN()), "")</f>
        <v/>
      </c>
      <c r="G400" s="1" t="str" cm="1">
        <f t="array" ref="G400">IFERROR(INDEX(PV_Totals_By_Item[#All], ROW()-1, COLUMN()), "")</f>
        <v/>
      </c>
      <c r="H400" s="1" t="str" cm="1">
        <f t="array" ref="H400">IFERROR(INDEX(PV_Totals_By_Item[#All], ROW()-1, COLUMN()), "")</f>
        <v/>
      </c>
      <c r="I400" s="1" t="str" cm="1">
        <f t="array" ref="I400">IFERROR(INDEX(PV_Totals_By_Item[#All], ROW()-1, COLUMN()), "")</f>
        <v/>
      </c>
      <c r="J400" s="1" t="str" cm="1">
        <f t="array" ref="J400">IFERROR(INDEX(PV_Totals_By_Item[#All], ROW()-1, COLUMN()), "")</f>
        <v/>
      </c>
    </row>
    <row r="401" spans="1:10">
      <c r="A401" s="1" t="str" cm="1">
        <f t="array" ref="A401">IFERROR(INDEX(PV_Totals_By_Item[#All], ROW()-1, COLUMN()), "")</f>
        <v/>
      </c>
      <c r="B401" s="1" t="str" cm="1">
        <f t="array" ref="B401">IFERROR(INDEX(PV_Totals_By_Item[#All], ROW()-1, COLUMN()), "")</f>
        <v/>
      </c>
      <c r="C401" s="1" t="str" cm="1">
        <f t="array" ref="C401">IFERROR(INDEX(PV_Totals_By_Item[#All], ROW()-1, COLUMN()), "")</f>
        <v/>
      </c>
      <c r="D401" s="1" t="str" cm="1">
        <f t="array" ref="D401">IFERROR(INDEX(PV_Totals_By_Item[#All], ROW()-1, COLUMN()), "")</f>
        <v/>
      </c>
      <c r="E401" s="1" t="str" cm="1">
        <f t="array" ref="E401">IFERROR(INDEX(PV_Totals_By_Item[#All], ROW()-1, COLUMN()), "")</f>
        <v/>
      </c>
      <c r="F401" s="1" t="str" cm="1">
        <f t="array" ref="F401">IFERROR(INDEX(PV_Totals_By_Item[#All], ROW()-1, COLUMN()), "")</f>
        <v/>
      </c>
      <c r="G401" s="1" t="str" cm="1">
        <f t="array" ref="G401">IFERROR(INDEX(PV_Totals_By_Item[#All], ROW()-1, COLUMN()), "")</f>
        <v/>
      </c>
      <c r="H401" s="1" t="str" cm="1">
        <f t="array" ref="H401">IFERROR(INDEX(PV_Totals_By_Item[#All], ROW()-1, COLUMN()), "")</f>
        <v/>
      </c>
      <c r="I401" s="1" t="str" cm="1">
        <f t="array" ref="I401">IFERROR(INDEX(PV_Totals_By_Item[#All], ROW()-1, COLUMN()), "")</f>
        <v/>
      </c>
      <c r="J401" s="1" t="str" cm="1">
        <f t="array" ref="J401">IFERROR(INDEX(PV_Totals_By_Item[#All], ROW()-1, COLUMN()), "")</f>
        <v/>
      </c>
    </row>
    <row r="402" spans="1:10">
      <c r="A402" s="1" t="str" cm="1">
        <f t="array" ref="A402">IFERROR(INDEX(PV_Totals_By_Item[#All], ROW()-1, COLUMN()), "")</f>
        <v/>
      </c>
      <c r="B402" s="1" t="str" cm="1">
        <f t="array" ref="B402">IFERROR(INDEX(PV_Totals_By_Item[#All], ROW()-1, COLUMN()), "")</f>
        <v/>
      </c>
      <c r="C402" s="1" t="str" cm="1">
        <f t="array" ref="C402">IFERROR(INDEX(PV_Totals_By_Item[#All], ROW()-1, COLUMN()), "")</f>
        <v/>
      </c>
      <c r="D402" s="1" t="str" cm="1">
        <f t="array" ref="D402">IFERROR(INDEX(PV_Totals_By_Item[#All], ROW()-1, COLUMN()), "")</f>
        <v/>
      </c>
      <c r="E402" s="1" t="str" cm="1">
        <f t="array" ref="E402">IFERROR(INDEX(PV_Totals_By_Item[#All], ROW()-1, COLUMN()), "")</f>
        <v/>
      </c>
      <c r="F402" s="1" t="str" cm="1">
        <f t="array" ref="F402">IFERROR(INDEX(PV_Totals_By_Item[#All], ROW()-1, COLUMN()), "")</f>
        <v/>
      </c>
      <c r="G402" s="1" t="str" cm="1">
        <f t="array" ref="G402">IFERROR(INDEX(PV_Totals_By_Item[#All], ROW()-1, COLUMN()), "")</f>
        <v/>
      </c>
      <c r="H402" s="1" t="str" cm="1">
        <f t="array" ref="H402">IFERROR(INDEX(PV_Totals_By_Item[#All], ROW()-1, COLUMN()), "")</f>
        <v/>
      </c>
      <c r="I402" s="1" t="str" cm="1">
        <f t="array" ref="I402">IFERROR(INDEX(PV_Totals_By_Item[#All], ROW()-1, COLUMN()), "")</f>
        <v/>
      </c>
      <c r="J402" s="1" t="str" cm="1">
        <f t="array" ref="J402">IFERROR(INDEX(PV_Totals_By_Item[#All], ROW()-1, COLUMN()), "")</f>
        <v/>
      </c>
    </row>
    <row r="403" spans="1:10">
      <c r="A403" s="1" t="str" cm="1">
        <f t="array" ref="A403">IFERROR(INDEX(PV_Totals_By_Item[#All], ROW()-1, COLUMN()), "")</f>
        <v/>
      </c>
      <c r="B403" s="1" t="str" cm="1">
        <f t="array" ref="B403">IFERROR(INDEX(PV_Totals_By_Item[#All], ROW()-1, COLUMN()), "")</f>
        <v/>
      </c>
      <c r="C403" s="1" t="str" cm="1">
        <f t="array" ref="C403">IFERROR(INDEX(PV_Totals_By_Item[#All], ROW()-1, COLUMN()), "")</f>
        <v/>
      </c>
      <c r="D403" s="1" t="str" cm="1">
        <f t="array" ref="D403">IFERROR(INDEX(PV_Totals_By_Item[#All], ROW()-1, COLUMN()), "")</f>
        <v/>
      </c>
      <c r="E403" s="1" t="str" cm="1">
        <f t="array" ref="E403">IFERROR(INDEX(PV_Totals_By_Item[#All], ROW()-1, COLUMN()), "")</f>
        <v/>
      </c>
      <c r="F403" s="1" t="str" cm="1">
        <f t="array" ref="F403">IFERROR(INDEX(PV_Totals_By_Item[#All], ROW()-1, COLUMN()), "")</f>
        <v/>
      </c>
      <c r="G403" s="1" t="str" cm="1">
        <f t="array" ref="G403">IFERROR(INDEX(PV_Totals_By_Item[#All], ROW()-1, COLUMN()), "")</f>
        <v/>
      </c>
      <c r="H403" s="1" t="str" cm="1">
        <f t="array" ref="H403">IFERROR(INDEX(PV_Totals_By_Item[#All], ROW()-1, COLUMN()), "")</f>
        <v/>
      </c>
      <c r="I403" s="1" t="str" cm="1">
        <f t="array" ref="I403">IFERROR(INDEX(PV_Totals_By_Item[#All], ROW()-1, COLUMN()), "")</f>
        <v/>
      </c>
      <c r="J403" s="1" t="str" cm="1">
        <f t="array" ref="J403">IFERROR(INDEX(PV_Totals_By_Item[#All], ROW()-1, COLUMN()), "")</f>
        <v/>
      </c>
    </row>
    <row r="404" spans="1:10">
      <c r="A404" s="1" t="str" cm="1">
        <f t="array" ref="A404">IFERROR(INDEX(PV_Totals_By_Item[#All], ROW()-1, COLUMN()), "")</f>
        <v/>
      </c>
      <c r="B404" s="1" t="str" cm="1">
        <f t="array" ref="B404">IFERROR(INDEX(PV_Totals_By_Item[#All], ROW()-1, COLUMN()), "")</f>
        <v/>
      </c>
      <c r="C404" s="1" t="str" cm="1">
        <f t="array" ref="C404">IFERROR(INDEX(PV_Totals_By_Item[#All], ROW()-1, COLUMN()), "")</f>
        <v/>
      </c>
      <c r="D404" s="1" t="str" cm="1">
        <f t="array" ref="D404">IFERROR(INDEX(PV_Totals_By_Item[#All], ROW()-1, COLUMN()), "")</f>
        <v/>
      </c>
      <c r="E404" s="1" t="str" cm="1">
        <f t="array" ref="E404">IFERROR(INDEX(PV_Totals_By_Item[#All], ROW()-1, COLUMN()), "")</f>
        <v/>
      </c>
      <c r="F404" s="1" t="str" cm="1">
        <f t="array" ref="F404">IFERROR(INDEX(PV_Totals_By_Item[#All], ROW()-1, COLUMN()), "")</f>
        <v/>
      </c>
      <c r="G404" s="1" t="str" cm="1">
        <f t="array" ref="G404">IFERROR(INDEX(PV_Totals_By_Item[#All], ROW()-1, COLUMN()), "")</f>
        <v/>
      </c>
      <c r="H404" s="1" t="str" cm="1">
        <f t="array" ref="H404">IFERROR(INDEX(PV_Totals_By_Item[#All], ROW()-1, COLUMN()), "")</f>
        <v/>
      </c>
      <c r="I404" s="1" t="str" cm="1">
        <f t="array" ref="I404">IFERROR(INDEX(PV_Totals_By_Item[#All], ROW()-1, COLUMN()), "")</f>
        <v/>
      </c>
      <c r="J404" s="1" t="str" cm="1">
        <f t="array" ref="J404">IFERROR(INDEX(PV_Totals_By_Item[#All], ROW()-1, COLUMN()), "")</f>
        <v/>
      </c>
    </row>
    <row r="405" spans="1:10">
      <c r="A405" s="1" t="str" cm="1">
        <f t="array" ref="A405">IFERROR(INDEX(PV_Totals_By_Item[#All], ROW()-1, COLUMN()), "")</f>
        <v/>
      </c>
      <c r="B405" s="1" t="str" cm="1">
        <f t="array" ref="B405">IFERROR(INDEX(PV_Totals_By_Item[#All], ROW()-1, COLUMN()), "")</f>
        <v/>
      </c>
      <c r="C405" s="1" t="str" cm="1">
        <f t="array" ref="C405">IFERROR(INDEX(PV_Totals_By_Item[#All], ROW()-1, COLUMN()), "")</f>
        <v/>
      </c>
      <c r="D405" s="1" t="str" cm="1">
        <f t="array" ref="D405">IFERROR(INDEX(PV_Totals_By_Item[#All], ROW()-1, COLUMN()), "")</f>
        <v/>
      </c>
      <c r="E405" s="1" t="str" cm="1">
        <f t="array" ref="E405">IFERROR(INDEX(PV_Totals_By_Item[#All], ROW()-1, COLUMN()), "")</f>
        <v/>
      </c>
      <c r="F405" s="1" t="str" cm="1">
        <f t="array" ref="F405">IFERROR(INDEX(PV_Totals_By_Item[#All], ROW()-1, COLUMN()), "")</f>
        <v/>
      </c>
      <c r="G405" s="1" t="str" cm="1">
        <f t="array" ref="G405">IFERROR(INDEX(PV_Totals_By_Item[#All], ROW()-1, COLUMN()), "")</f>
        <v/>
      </c>
      <c r="H405" s="1" t="str" cm="1">
        <f t="array" ref="H405">IFERROR(INDEX(PV_Totals_By_Item[#All], ROW()-1, COLUMN()), "")</f>
        <v/>
      </c>
      <c r="I405" s="1" t="str" cm="1">
        <f t="array" ref="I405">IFERROR(INDEX(PV_Totals_By_Item[#All], ROW()-1, COLUMN()), "")</f>
        <v/>
      </c>
      <c r="J405" s="1" t="str" cm="1">
        <f t="array" ref="J405">IFERROR(INDEX(PV_Totals_By_Item[#All], ROW()-1, COLUMN()), "")</f>
        <v/>
      </c>
    </row>
    <row r="406" spans="1:10">
      <c r="A406" s="1" t="str" cm="1">
        <f t="array" ref="A406">IFERROR(INDEX(PV_Totals_By_Item[#All], ROW()-1, COLUMN()), "")</f>
        <v/>
      </c>
      <c r="B406" s="1" t="str" cm="1">
        <f t="array" ref="B406">IFERROR(INDEX(PV_Totals_By_Item[#All], ROW()-1, COLUMN()), "")</f>
        <v/>
      </c>
      <c r="C406" s="1" t="str" cm="1">
        <f t="array" ref="C406">IFERROR(INDEX(PV_Totals_By_Item[#All], ROW()-1, COLUMN()), "")</f>
        <v/>
      </c>
      <c r="D406" s="1" t="str" cm="1">
        <f t="array" ref="D406">IFERROR(INDEX(PV_Totals_By_Item[#All], ROW()-1, COLUMN()), "")</f>
        <v/>
      </c>
      <c r="E406" s="1" t="str" cm="1">
        <f t="array" ref="E406">IFERROR(INDEX(PV_Totals_By_Item[#All], ROW()-1, COLUMN()), "")</f>
        <v/>
      </c>
      <c r="F406" s="1" t="str" cm="1">
        <f t="array" ref="F406">IFERROR(INDEX(PV_Totals_By_Item[#All], ROW()-1, COLUMN()), "")</f>
        <v/>
      </c>
      <c r="G406" s="1" t="str" cm="1">
        <f t="array" ref="G406">IFERROR(INDEX(PV_Totals_By_Item[#All], ROW()-1, COLUMN()), "")</f>
        <v/>
      </c>
      <c r="H406" s="1" t="str" cm="1">
        <f t="array" ref="H406">IFERROR(INDEX(PV_Totals_By_Item[#All], ROW()-1, COLUMN()), "")</f>
        <v/>
      </c>
      <c r="I406" s="1" t="str" cm="1">
        <f t="array" ref="I406">IFERROR(INDEX(PV_Totals_By_Item[#All], ROW()-1, COLUMN()), "")</f>
        <v/>
      </c>
      <c r="J406" s="1" t="str" cm="1">
        <f t="array" ref="J406">IFERROR(INDEX(PV_Totals_By_Item[#All], ROW()-1, COLUMN()), "")</f>
        <v/>
      </c>
    </row>
    <row r="407" spans="1:10">
      <c r="A407" s="1" t="str" cm="1">
        <f t="array" ref="A407">IFERROR(INDEX(PV_Totals_By_Item[#All], ROW()-1, COLUMN()), "")</f>
        <v/>
      </c>
      <c r="B407" s="1" t="str" cm="1">
        <f t="array" ref="B407">IFERROR(INDEX(PV_Totals_By_Item[#All], ROW()-1, COLUMN()), "")</f>
        <v/>
      </c>
      <c r="C407" s="1" t="str" cm="1">
        <f t="array" ref="C407">IFERROR(INDEX(PV_Totals_By_Item[#All], ROW()-1, COLUMN()), "")</f>
        <v/>
      </c>
      <c r="D407" s="1" t="str" cm="1">
        <f t="array" ref="D407">IFERROR(INDEX(PV_Totals_By_Item[#All], ROW()-1, COLUMN()), "")</f>
        <v/>
      </c>
      <c r="E407" s="1" t="str" cm="1">
        <f t="array" ref="E407">IFERROR(INDEX(PV_Totals_By_Item[#All], ROW()-1, COLUMN()), "")</f>
        <v/>
      </c>
      <c r="F407" s="1" t="str" cm="1">
        <f t="array" ref="F407">IFERROR(INDEX(PV_Totals_By_Item[#All], ROW()-1, COLUMN()), "")</f>
        <v/>
      </c>
      <c r="G407" s="1" t="str" cm="1">
        <f t="array" ref="G407">IFERROR(INDEX(PV_Totals_By_Item[#All], ROW()-1, COLUMN()), "")</f>
        <v/>
      </c>
      <c r="H407" s="1" t="str" cm="1">
        <f t="array" ref="H407">IFERROR(INDEX(PV_Totals_By_Item[#All], ROW()-1, COLUMN()), "")</f>
        <v/>
      </c>
      <c r="I407" s="1" t="str" cm="1">
        <f t="array" ref="I407">IFERROR(INDEX(PV_Totals_By_Item[#All], ROW()-1, COLUMN()), "")</f>
        <v/>
      </c>
      <c r="J407" s="1" t="str" cm="1">
        <f t="array" ref="J407">IFERROR(INDEX(PV_Totals_By_Item[#All], ROW()-1, COLUMN()), "")</f>
        <v/>
      </c>
    </row>
    <row r="408" spans="1:10">
      <c r="A408" s="1" t="str" cm="1">
        <f t="array" ref="A408">IFERROR(INDEX(PV_Totals_By_Item[#All], ROW()-1, COLUMN()), "")</f>
        <v/>
      </c>
      <c r="B408" s="1" t="str" cm="1">
        <f t="array" ref="B408">IFERROR(INDEX(PV_Totals_By_Item[#All], ROW()-1, COLUMN()), "")</f>
        <v/>
      </c>
      <c r="C408" s="1" t="str" cm="1">
        <f t="array" ref="C408">IFERROR(INDEX(PV_Totals_By_Item[#All], ROW()-1, COLUMN()), "")</f>
        <v/>
      </c>
      <c r="D408" s="1" t="str" cm="1">
        <f t="array" ref="D408">IFERROR(INDEX(PV_Totals_By_Item[#All], ROW()-1, COLUMN()), "")</f>
        <v/>
      </c>
      <c r="E408" s="1" t="str" cm="1">
        <f t="array" ref="E408">IFERROR(INDEX(PV_Totals_By_Item[#All], ROW()-1, COLUMN()), "")</f>
        <v/>
      </c>
      <c r="F408" s="1" t="str" cm="1">
        <f t="array" ref="F408">IFERROR(INDEX(PV_Totals_By_Item[#All], ROW()-1, COLUMN()), "")</f>
        <v/>
      </c>
      <c r="G408" s="1" t="str" cm="1">
        <f t="array" ref="G408">IFERROR(INDEX(PV_Totals_By_Item[#All], ROW()-1, COLUMN()), "")</f>
        <v/>
      </c>
      <c r="H408" s="1" t="str" cm="1">
        <f t="array" ref="H408">IFERROR(INDEX(PV_Totals_By_Item[#All], ROW()-1, COLUMN()), "")</f>
        <v/>
      </c>
      <c r="I408" s="1" t="str" cm="1">
        <f t="array" ref="I408">IFERROR(INDEX(PV_Totals_By_Item[#All], ROW()-1, COLUMN()), "")</f>
        <v/>
      </c>
      <c r="J408" s="1" t="str" cm="1">
        <f t="array" ref="J408">IFERROR(INDEX(PV_Totals_By_Item[#All], ROW()-1, COLUMN()), "")</f>
        <v/>
      </c>
    </row>
    <row r="409" spans="1:10">
      <c r="A409" s="1" t="str" cm="1">
        <f t="array" ref="A409">IFERROR(INDEX(PV_Totals_By_Item[#All], ROW()-1, COLUMN()), "")</f>
        <v/>
      </c>
      <c r="B409" s="1" t="str" cm="1">
        <f t="array" ref="B409">IFERROR(INDEX(PV_Totals_By_Item[#All], ROW()-1, COLUMN()), "")</f>
        <v/>
      </c>
      <c r="C409" s="1" t="str" cm="1">
        <f t="array" ref="C409">IFERROR(INDEX(PV_Totals_By_Item[#All], ROW()-1, COLUMN()), "")</f>
        <v/>
      </c>
      <c r="D409" s="1" t="str" cm="1">
        <f t="array" ref="D409">IFERROR(INDEX(PV_Totals_By_Item[#All], ROW()-1, COLUMN()), "")</f>
        <v/>
      </c>
      <c r="E409" s="1" t="str" cm="1">
        <f t="array" ref="E409">IFERROR(INDEX(PV_Totals_By_Item[#All], ROW()-1, COLUMN()), "")</f>
        <v/>
      </c>
      <c r="F409" s="1" t="str" cm="1">
        <f t="array" ref="F409">IFERROR(INDEX(PV_Totals_By_Item[#All], ROW()-1, COLUMN()), "")</f>
        <v/>
      </c>
      <c r="G409" s="1" t="str" cm="1">
        <f t="array" ref="G409">IFERROR(INDEX(PV_Totals_By_Item[#All], ROW()-1, COLUMN()), "")</f>
        <v/>
      </c>
      <c r="H409" s="1" t="str" cm="1">
        <f t="array" ref="H409">IFERROR(INDEX(PV_Totals_By_Item[#All], ROW()-1, COLUMN()), "")</f>
        <v/>
      </c>
      <c r="I409" s="1" t="str" cm="1">
        <f t="array" ref="I409">IFERROR(INDEX(PV_Totals_By_Item[#All], ROW()-1, COLUMN()), "")</f>
        <v/>
      </c>
      <c r="J409" s="1" t="str" cm="1">
        <f t="array" ref="J409">IFERROR(INDEX(PV_Totals_By_Item[#All], ROW()-1, COLUMN()), "")</f>
        <v/>
      </c>
    </row>
    <row r="410" spans="1:10">
      <c r="A410" s="1" t="str" cm="1">
        <f t="array" ref="A410">IFERROR(INDEX(PV_Totals_By_Item[#All], ROW()-1, COLUMN()), "")</f>
        <v/>
      </c>
      <c r="B410" s="1" t="str" cm="1">
        <f t="array" ref="B410">IFERROR(INDEX(PV_Totals_By_Item[#All], ROW()-1, COLUMN()), "")</f>
        <v/>
      </c>
      <c r="C410" s="1" t="str" cm="1">
        <f t="array" ref="C410">IFERROR(INDEX(PV_Totals_By_Item[#All], ROW()-1, COLUMN()), "")</f>
        <v/>
      </c>
      <c r="D410" s="1" t="str" cm="1">
        <f t="array" ref="D410">IFERROR(INDEX(PV_Totals_By_Item[#All], ROW()-1, COLUMN()), "")</f>
        <v/>
      </c>
      <c r="E410" s="1" t="str" cm="1">
        <f t="array" ref="E410">IFERROR(INDEX(PV_Totals_By_Item[#All], ROW()-1, COLUMN()), "")</f>
        <v/>
      </c>
      <c r="F410" s="1" t="str" cm="1">
        <f t="array" ref="F410">IFERROR(INDEX(PV_Totals_By_Item[#All], ROW()-1, COLUMN()), "")</f>
        <v/>
      </c>
      <c r="G410" s="1" t="str" cm="1">
        <f t="array" ref="G410">IFERROR(INDEX(PV_Totals_By_Item[#All], ROW()-1, COLUMN()), "")</f>
        <v/>
      </c>
      <c r="H410" s="1" t="str" cm="1">
        <f t="array" ref="H410">IFERROR(INDEX(PV_Totals_By_Item[#All], ROW()-1, COLUMN()), "")</f>
        <v/>
      </c>
      <c r="I410" s="1" t="str" cm="1">
        <f t="array" ref="I410">IFERROR(INDEX(PV_Totals_By_Item[#All], ROW()-1, COLUMN()), "")</f>
        <v/>
      </c>
      <c r="J410" s="1" t="str" cm="1">
        <f t="array" ref="J410">IFERROR(INDEX(PV_Totals_By_Item[#All], ROW()-1, COLUMN()), "")</f>
        <v/>
      </c>
    </row>
    <row r="411" spans="1:10">
      <c r="A411" s="1" t="str" cm="1">
        <f t="array" ref="A411">IFERROR(INDEX(PV_Totals_By_Item[#All], ROW()-1, COLUMN()), "")</f>
        <v/>
      </c>
      <c r="B411" s="1" t="str" cm="1">
        <f t="array" ref="B411">IFERROR(INDEX(PV_Totals_By_Item[#All], ROW()-1, COLUMN()), "")</f>
        <v/>
      </c>
      <c r="C411" s="1" t="str" cm="1">
        <f t="array" ref="C411">IFERROR(INDEX(PV_Totals_By_Item[#All], ROW()-1, COLUMN()), "")</f>
        <v/>
      </c>
      <c r="D411" s="1" t="str" cm="1">
        <f t="array" ref="D411">IFERROR(INDEX(PV_Totals_By_Item[#All], ROW()-1, COLUMN()), "")</f>
        <v/>
      </c>
      <c r="E411" s="1" t="str" cm="1">
        <f t="array" ref="E411">IFERROR(INDEX(PV_Totals_By_Item[#All], ROW()-1, COLUMN()), "")</f>
        <v/>
      </c>
      <c r="F411" s="1" t="str" cm="1">
        <f t="array" ref="F411">IFERROR(INDEX(PV_Totals_By_Item[#All], ROW()-1, COLUMN()), "")</f>
        <v/>
      </c>
      <c r="G411" s="1" t="str" cm="1">
        <f t="array" ref="G411">IFERROR(INDEX(PV_Totals_By_Item[#All], ROW()-1, COLUMN()), "")</f>
        <v/>
      </c>
      <c r="H411" s="1" t="str" cm="1">
        <f t="array" ref="H411">IFERROR(INDEX(PV_Totals_By_Item[#All], ROW()-1, COLUMN()), "")</f>
        <v/>
      </c>
      <c r="I411" s="1" t="str" cm="1">
        <f t="array" ref="I411">IFERROR(INDEX(PV_Totals_By_Item[#All], ROW()-1, COLUMN()), "")</f>
        <v/>
      </c>
      <c r="J411" s="1" t="str" cm="1">
        <f t="array" ref="J411">IFERROR(INDEX(PV_Totals_By_Item[#All], ROW()-1, COLUMN()), "")</f>
        <v/>
      </c>
    </row>
    <row r="412" spans="1:10">
      <c r="A412" s="1" t="str" cm="1">
        <f t="array" ref="A412">IFERROR(INDEX(PV_Totals_By_Item[#All], ROW()-1, COLUMN()), "")</f>
        <v/>
      </c>
      <c r="B412" s="1" t="str" cm="1">
        <f t="array" ref="B412">IFERROR(INDEX(PV_Totals_By_Item[#All], ROW()-1, COLUMN()), "")</f>
        <v/>
      </c>
      <c r="C412" s="1" t="str" cm="1">
        <f t="array" ref="C412">IFERROR(INDEX(PV_Totals_By_Item[#All], ROW()-1, COLUMN()), "")</f>
        <v/>
      </c>
      <c r="D412" s="1" t="str" cm="1">
        <f t="array" ref="D412">IFERROR(INDEX(PV_Totals_By_Item[#All], ROW()-1, COLUMN()), "")</f>
        <v/>
      </c>
      <c r="E412" s="1" t="str" cm="1">
        <f t="array" ref="E412">IFERROR(INDEX(PV_Totals_By_Item[#All], ROW()-1, COLUMN()), "")</f>
        <v/>
      </c>
      <c r="F412" s="1" t="str" cm="1">
        <f t="array" ref="F412">IFERROR(INDEX(PV_Totals_By_Item[#All], ROW()-1, COLUMN()), "")</f>
        <v/>
      </c>
      <c r="G412" s="1" t="str" cm="1">
        <f t="array" ref="G412">IFERROR(INDEX(PV_Totals_By_Item[#All], ROW()-1, COLUMN()), "")</f>
        <v/>
      </c>
      <c r="H412" s="1" t="str" cm="1">
        <f t="array" ref="H412">IFERROR(INDEX(PV_Totals_By_Item[#All], ROW()-1, COLUMN()), "")</f>
        <v/>
      </c>
      <c r="I412" s="1" t="str" cm="1">
        <f t="array" ref="I412">IFERROR(INDEX(PV_Totals_By_Item[#All], ROW()-1, COLUMN()), "")</f>
        <v/>
      </c>
      <c r="J412" s="1" t="str" cm="1">
        <f t="array" ref="J412">IFERROR(INDEX(PV_Totals_By_Item[#All], ROW()-1, COLUMN()), "")</f>
        <v/>
      </c>
    </row>
    <row r="413" spans="1:10">
      <c r="A413" s="1" t="str" cm="1">
        <f t="array" ref="A413">IFERROR(INDEX(PV_Totals_By_Item[#All], ROW()-1, COLUMN()), "")</f>
        <v/>
      </c>
      <c r="B413" s="1" t="str" cm="1">
        <f t="array" ref="B413">IFERROR(INDEX(PV_Totals_By_Item[#All], ROW()-1, COLUMN()), "")</f>
        <v/>
      </c>
      <c r="C413" s="1" t="str" cm="1">
        <f t="array" ref="C413">IFERROR(INDEX(PV_Totals_By_Item[#All], ROW()-1, COLUMN()), "")</f>
        <v/>
      </c>
      <c r="D413" s="1" t="str" cm="1">
        <f t="array" ref="D413">IFERROR(INDEX(PV_Totals_By_Item[#All], ROW()-1, COLUMN()), "")</f>
        <v/>
      </c>
      <c r="E413" s="1" t="str" cm="1">
        <f t="array" ref="E413">IFERROR(INDEX(PV_Totals_By_Item[#All], ROW()-1, COLUMN()), "")</f>
        <v/>
      </c>
      <c r="F413" s="1" t="str" cm="1">
        <f t="array" ref="F413">IFERROR(INDEX(PV_Totals_By_Item[#All], ROW()-1, COLUMN()), "")</f>
        <v/>
      </c>
      <c r="G413" s="1" t="str" cm="1">
        <f t="array" ref="G413">IFERROR(INDEX(PV_Totals_By_Item[#All], ROW()-1, COLUMN()), "")</f>
        <v/>
      </c>
      <c r="H413" s="1" t="str" cm="1">
        <f t="array" ref="H413">IFERROR(INDEX(PV_Totals_By_Item[#All], ROW()-1, COLUMN()), "")</f>
        <v/>
      </c>
      <c r="I413" s="1" t="str" cm="1">
        <f t="array" ref="I413">IFERROR(INDEX(PV_Totals_By_Item[#All], ROW()-1, COLUMN()), "")</f>
        <v/>
      </c>
      <c r="J413" s="1" t="str" cm="1">
        <f t="array" ref="J413">IFERROR(INDEX(PV_Totals_By_Item[#All], ROW()-1, COLUMN()), "")</f>
        <v/>
      </c>
    </row>
    <row r="414" spans="1:10">
      <c r="A414" s="1" t="str" cm="1">
        <f t="array" ref="A414">IFERROR(INDEX(PV_Totals_By_Item[#All], ROW()-1, COLUMN()), "")</f>
        <v/>
      </c>
      <c r="B414" s="1" t="str" cm="1">
        <f t="array" ref="B414">IFERROR(INDEX(PV_Totals_By_Item[#All], ROW()-1, COLUMN()), "")</f>
        <v/>
      </c>
      <c r="C414" s="1" t="str" cm="1">
        <f t="array" ref="C414">IFERROR(INDEX(PV_Totals_By_Item[#All], ROW()-1, COLUMN()), "")</f>
        <v/>
      </c>
      <c r="D414" s="1" t="str" cm="1">
        <f t="array" ref="D414">IFERROR(INDEX(PV_Totals_By_Item[#All], ROW()-1, COLUMN()), "")</f>
        <v/>
      </c>
      <c r="E414" s="1" t="str" cm="1">
        <f t="array" ref="E414">IFERROR(INDEX(PV_Totals_By_Item[#All], ROW()-1, COLUMN()), "")</f>
        <v/>
      </c>
      <c r="F414" s="1" t="str" cm="1">
        <f t="array" ref="F414">IFERROR(INDEX(PV_Totals_By_Item[#All], ROW()-1, COLUMN()), "")</f>
        <v/>
      </c>
      <c r="G414" s="1" t="str" cm="1">
        <f t="array" ref="G414">IFERROR(INDEX(PV_Totals_By_Item[#All], ROW()-1, COLUMN()), "")</f>
        <v/>
      </c>
      <c r="H414" s="1" t="str" cm="1">
        <f t="array" ref="H414">IFERROR(INDEX(PV_Totals_By_Item[#All], ROW()-1, COLUMN()), "")</f>
        <v/>
      </c>
      <c r="I414" s="1" t="str" cm="1">
        <f t="array" ref="I414">IFERROR(INDEX(PV_Totals_By_Item[#All], ROW()-1, COLUMN()), "")</f>
        <v/>
      </c>
      <c r="J414" s="1" t="str" cm="1">
        <f t="array" ref="J414">IFERROR(INDEX(PV_Totals_By_Item[#All], ROW()-1, COLUMN()), "")</f>
        <v/>
      </c>
    </row>
    <row r="415" spans="1:10">
      <c r="A415" s="1" t="str" cm="1">
        <f t="array" ref="A415">IFERROR(INDEX(PV_Totals_By_Item[#All], ROW()-1, COLUMN()), "")</f>
        <v/>
      </c>
      <c r="B415" s="1" t="str" cm="1">
        <f t="array" ref="B415">IFERROR(INDEX(PV_Totals_By_Item[#All], ROW()-1, COLUMN()), "")</f>
        <v/>
      </c>
      <c r="C415" s="1" t="str" cm="1">
        <f t="array" ref="C415">IFERROR(INDEX(PV_Totals_By_Item[#All], ROW()-1, COLUMN()), "")</f>
        <v/>
      </c>
      <c r="D415" s="1" t="str" cm="1">
        <f t="array" ref="D415">IFERROR(INDEX(PV_Totals_By_Item[#All], ROW()-1, COLUMN()), "")</f>
        <v/>
      </c>
      <c r="E415" s="1" t="str" cm="1">
        <f t="array" ref="E415">IFERROR(INDEX(PV_Totals_By_Item[#All], ROW()-1, COLUMN()), "")</f>
        <v/>
      </c>
      <c r="F415" s="1" t="str" cm="1">
        <f t="array" ref="F415">IFERROR(INDEX(PV_Totals_By_Item[#All], ROW()-1, COLUMN()), "")</f>
        <v/>
      </c>
      <c r="G415" s="1" t="str" cm="1">
        <f t="array" ref="G415">IFERROR(INDEX(PV_Totals_By_Item[#All], ROW()-1, COLUMN()), "")</f>
        <v/>
      </c>
      <c r="H415" s="1" t="str" cm="1">
        <f t="array" ref="H415">IFERROR(INDEX(PV_Totals_By_Item[#All], ROW()-1, COLUMN()), "")</f>
        <v/>
      </c>
      <c r="I415" s="1" t="str" cm="1">
        <f t="array" ref="I415">IFERROR(INDEX(PV_Totals_By_Item[#All], ROW()-1, COLUMN()), "")</f>
        <v/>
      </c>
      <c r="J415" s="1" t="str" cm="1">
        <f t="array" ref="J415">IFERROR(INDEX(PV_Totals_By_Item[#All], ROW()-1, COLUMN()), "")</f>
        <v/>
      </c>
    </row>
    <row r="416" spans="1:10">
      <c r="A416" s="1" t="str" cm="1">
        <f t="array" ref="A416">IFERROR(INDEX(PV_Totals_By_Item[#All], ROW()-1, COLUMN()), "")</f>
        <v/>
      </c>
      <c r="B416" s="1" t="str" cm="1">
        <f t="array" ref="B416">IFERROR(INDEX(PV_Totals_By_Item[#All], ROW()-1, COLUMN()), "")</f>
        <v/>
      </c>
      <c r="C416" s="1" t="str" cm="1">
        <f t="array" ref="C416">IFERROR(INDEX(PV_Totals_By_Item[#All], ROW()-1, COLUMN()), "")</f>
        <v/>
      </c>
      <c r="D416" s="1" t="str" cm="1">
        <f t="array" ref="D416">IFERROR(INDEX(PV_Totals_By_Item[#All], ROW()-1, COLUMN()), "")</f>
        <v/>
      </c>
      <c r="E416" s="1" t="str" cm="1">
        <f t="array" ref="E416">IFERROR(INDEX(PV_Totals_By_Item[#All], ROW()-1, COLUMN()), "")</f>
        <v/>
      </c>
      <c r="F416" s="1" t="str" cm="1">
        <f t="array" ref="F416">IFERROR(INDEX(PV_Totals_By_Item[#All], ROW()-1, COLUMN()), "")</f>
        <v/>
      </c>
      <c r="G416" s="1" t="str" cm="1">
        <f t="array" ref="G416">IFERROR(INDEX(PV_Totals_By_Item[#All], ROW()-1, COLUMN()), "")</f>
        <v/>
      </c>
      <c r="H416" s="1" t="str" cm="1">
        <f t="array" ref="H416">IFERROR(INDEX(PV_Totals_By_Item[#All], ROW()-1, COLUMN()), "")</f>
        <v/>
      </c>
      <c r="I416" s="1" t="str" cm="1">
        <f t="array" ref="I416">IFERROR(INDEX(PV_Totals_By_Item[#All], ROW()-1, COLUMN()), "")</f>
        <v/>
      </c>
      <c r="J416" s="1" t="str" cm="1">
        <f t="array" ref="J416">IFERROR(INDEX(PV_Totals_By_Item[#All], ROW()-1, COLUMN()), "")</f>
        <v/>
      </c>
    </row>
    <row r="417" spans="1:10">
      <c r="A417" s="1" t="str" cm="1">
        <f t="array" ref="A417">IFERROR(INDEX(PV_Totals_By_Item[#All], ROW()-1, COLUMN()), "")</f>
        <v/>
      </c>
      <c r="B417" s="1" t="str" cm="1">
        <f t="array" ref="B417">IFERROR(INDEX(PV_Totals_By_Item[#All], ROW()-1, COLUMN()), "")</f>
        <v/>
      </c>
      <c r="C417" s="1" t="str" cm="1">
        <f t="array" ref="C417">IFERROR(INDEX(PV_Totals_By_Item[#All], ROW()-1, COLUMN()), "")</f>
        <v/>
      </c>
      <c r="D417" s="1" t="str" cm="1">
        <f t="array" ref="D417">IFERROR(INDEX(PV_Totals_By_Item[#All], ROW()-1, COLUMN()), "")</f>
        <v/>
      </c>
      <c r="E417" s="1" t="str" cm="1">
        <f t="array" ref="E417">IFERROR(INDEX(PV_Totals_By_Item[#All], ROW()-1, COLUMN()), "")</f>
        <v/>
      </c>
      <c r="F417" s="1" t="str" cm="1">
        <f t="array" ref="F417">IFERROR(INDEX(PV_Totals_By_Item[#All], ROW()-1, COLUMN()), "")</f>
        <v/>
      </c>
      <c r="G417" s="1" t="str" cm="1">
        <f t="array" ref="G417">IFERROR(INDEX(PV_Totals_By_Item[#All], ROW()-1, COLUMN()), "")</f>
        <v/>
      </c>
      <c r="H417" s="1" t="str" cm="1">
        <f t="array" ref="H417">IFERROR(INDEX(PV_Totals_By_Item[#All], ROW()-1, COLUMN()), "")</f>
        <v/>
      </c>
      <c r="I417" s="1" t="str" cm="1">
        <f t="array" ref="I417">IFERROR(INDEX(PV_Totals_By_Item[#All], ROW()-1, COLUMN()), "")</f>
        <v/>
      </c>
      <c r="J417" s="1" t="str" cm="1">
        <f t="array" ref="J417">IFERROR(INDEX(PV_Totals_By_Item[#All], ROW()-1, COLUMN()), "")</f>
        <v/>
      </c>
    </row>
    <row r="418" spans="1:10">
      <c r="A418" s="1" t="str" cm="1">
        <f t="array" ref="A418">IFERROR(INDEX(PV_Totals_By_Item[#All], ROW()-1, COLUMN()), "")</f>
        <v/>
      </c>
      <c r="B418" s="1" t="str" cm="1">
        <f t="array" ref="B418">IFERROR(INDEX(PV_Totals_By_Item[#All], ROW()-1, COLUMN()), "")</f>
        <v/>
      </c>
      <c r="C418" s="1" t="str" cm="1">
        <f t="array" ref="C418">IFERROR(INDEX(PV_Totals_By_Item[#All], ROW()-1, COLUMN()), "")</f>
        <v/>
      </c>
      <c r="D418" s="1" t="str" cm="1">
        <f t="array" ref="D418">IFERROR(INDEX(PV_Totals_By_Item[#All], ROW()-1, COLUMN()), "")</f>
        <v/>
      </c>
      <c r="E418" s="1" t="str" cm="1">
        <f t="array" ref="E418">IFERROR(INDEX(PV_Totals_By_Item[#All], ROW()-1, COLUMN()), "")</f>
        <v/>
      </c>
      <c r="F418" s="1" t="str" cm="1">
        <f t="array" ref="F418">IFERROR(INDEX(PV_Totals_By_Item[#All], ROW()-1, COLUMN()), "")</f>
        <v/>
      </c>
      <c r="G418" s="1" t="str" cm="1">
        <f t="array" ref="G418">IFERROR(INDEX(PV_Totals_By_Item[#All], ROW()-1, COLUMN()), "")</f>
        <v/>
      </c>
      <c r="H418" s="1" t="str" cm="1">
        <f t="array" ref="H418">IFERROR(INDEX(PV_Totals_By_Item[#All], ROW()-1, COLUMN()), "")</f>
        <v/>
      </c>
      <c r="I418" s="1" t="str" cm="1">
        <f t="array" ref="I418">IFERROR(INDEX(PV_Totals_By_Item[#All], ROW()-1, COLUMN()), "")</f>
        <v/>
      </c>
      <c r="J418" s="1" t="str" cm="1">
        <f t="array" ref="J418">IFERROR(INDEX(PV_Totals_By_Item[#All], ROW()-1, COLUMN()), "")</f>
        <v/>
      </c>
    </row>
    <row r="419" spans="1:10">
      <c r="A419" s="1" t="str" cm="1">
        <f t="array" ref="A419">IFERROR(INDEX(PV_Totals_By_Item[#All], ROW()-1, COLUMN()), "")</f>
        <v/>
      </c>
      <c r="B419" s="1" t="str" cm="1">
        <f t="array" ref="B419">IFERROR(INDEX(PV_Totals_By_Item[#All], ROW()-1, COLUMN()), "")</f>
        <v/>
      </c>
      <c r="C419" s="1" t="str" cm="1">
        <f t="array" ref="C419">IFERROR(INDEX(PV_Totals_By_Item[#All], ROW()-1, COLUMN()), "")</f>
        <v/>
      </c>
      <c r="D419" s="1" t="str" cm="1">
        <f t="array" ref="D419">IFERROR(INDEX(PV_Totals_By_Item[#All], ROW()-1, COLUMN()), "")</f>
        <v/>
      </c>
      <c r="E419" s="1" t="str" cm="1">
        <f t="array" ref="E419">IFERROR(INDEX(PV_Totals_By_Item[#All], ROW()-1, COLUMN()), "")</f>
        <v/>
      </c>
      <c r="F419" s="1" t="str" cm="1">
        <f t="array" ref="F419">IFERROR(INDEX(PV_Totals_By_Item[#All], ROW()-1, COLUMN()), "")</f>
        <v/>
      </c>
      <c r="G419" s="1" t="str" cm="1">
        <f t="array" ref="G419">IFERROR(INDEX(PV_Totals_By_Item[#All], ROW()-1, COLUMN()), "")</f>
        <v/>
      </c>
      <c r="H419" s="1" t="str" cm="1">
        <f t="array" ref="H419">IFERROR(INDEX(PV_Totals_By_Item[#All], ROW()-1, COLUMN()), "")</f>
        <v/>
      </c>
      <c r="I419" s="1" t="str" cm="1">
        <f t="array" ref="I419">IFERROR(INDEX(PV_Totals_By_Item[#All], ROW()-1, COLUMN()), "")</f>
        <v/>
      </c>
      <c r="J419" s="1" t="str" cm="1">
        <f t="array" ref="J419">IFERROR(INDEX(PV_Totals_By_Item[#All], ROW()-1, COLUMN()), "")</f>
        <v/>
      </c>
    </row>
    <row r="420" spans="1:10">
      <c r="A420" s="1" t="str" cm="1">
        <f t="array" ref="A420">IFERROR(INDEX(PV_Totals_By_Item[#All], ROW()-1, COLUMN()), "")</f>
        <v/>
      </c>
      <c r="B420" s="1" t="str" cm="1">
        <f t="array" ref="B420">IFERROR(INDEX(PV_Totals_By_Item[#All], ROW()-1, COLUMN()), "")</f>
        <v/>
      </c>
      <c r="C420" s="1" t="str" cm="1">
        <f t="array" ref="C420">IFERROR(INDEX(PV_Totals_By_Item[#All], ROW()-1, COLUMN()), "")</f>
        <v/>
      </c>
      <c r="D420" s="1" t="str" cm="1">
        <f t="array" ref="D420">IFERROR(INDEX(PV_Totals_By_Item[#All], ROW()-1, COLUMN()), "")</f>
        <v/>
      </c>
      <c r="E420" s="1" t="str" cm="1">
        <f t="array" ref="E420">IFERROR(INDEX(PV_Totals_By_Item[#All], ROW()-1, COLUMN()), "")</f>
        <v/>
      </c>
      <c r="F420" s="1" t="str" cm="1">
        <f t="array" ref="F420">IFERROR(INDEX(PV_Totals_By_Item[#All], ROW()-1, COLUMN()), "")</f>
        <v/>
      </c>
      <c r="G420" s="1" t="str" cm="1">
        <f t="array" ref="G420">IFERROR(INDEX(PV_Totals_By_Item[#All], ROW()-1, COLUMN()), "")</f>
        <v/>
      </c>
      <c r="H420" s="1" t="str" cm="1">
        <f t="array" ref="H420">IFERROR(INDEX(PV_Totals_By_Item[#All], ROW()-1, COLUMN()), "")</f>
        <v/>
      </c>
      <c r="I420" s="1" t="str" cm="1">
        <f t="array" ref="I420">IFERROR(INDEX(PV_Totals_By_Item[#All], ROW()-1, COLUMN()), "")</f>
        <v/>
      </c>
      <c r="J420" s="1" t="str" cm="1">
        <f t="array" ref="J420">IFERROR(INDEX(PV_Totals_By_Item[#All], ROW()-1, COLUMN()), "")</f>
        <v/>
      </c>
    </row>
    <row r="421" spans="1:10">
      <c r="A421" s="1" t="str" cm="1">
        <f t="array" ref="A421">IFERROR(INDEX(PV_Totals_By_Item[#All], ROW()-1, COLUMN()), "")</f>
        <v/>
      </c>
      <c r="B421" s="1" t="str" cm="1">
        <f t="array" ref="B421">IFERROR(INDEX(PV_Totals_By_Item[#All], ROW()-1, COLUMN()), "")</f>
        <v/>
      </c>
      <c r="C421" s="1" t="str" cm="1">
        <f t="array" ref="C421">IFERROR(INDEX(PV_Totals_By_Item[#All], ROW()-1, COLUMN()), "")</f>
        <v/>
      </c>
      <c r="D421" s="1" t="str" cm="1">
        <f t="array" ref="D421">IFERROR(INDEX(PV_Totals_By_Item[#All], ROW()-1, COLUMN()), "")</f>
        <v/>
      </c>
      <c r="E421" s="1" t="str" cm="1">
        <f t="array" ref="E421">IFERROR(INDEX(PV_Totals_By_Item[#All], ROW()-1, COLUMN()), "")</f>
        <v/>
      </c>
      <c r="F421" s="1" t="str" cm="1">
        <f t="array" ref="F421">IFERROR(INDEX(PV_Totals_By_Item[#All], ROW()-1, COLUMN()), "")</f>
        <v/>
      </c>
      <c r="G421" s="1" t="str" cm="1">
        <f t="array" ref="G421">IFERROR(INDEX(PV_Totals_By_Item[#All], ROW()-1, COLUMN()), "")</f>
        <v/>
      </c>
      <c r="H421" s="1" t="str" cm="1">
        <f t="array" ref="H421">IFERROR(INDEX(PV_Totals_By_Item[#All], ROW()-1, COLUMN()), "")</f>
        <v/>
      </c>
      <c r="I421" s="1" t="str" cm="1">
        <f t="array" ref="I421">IFERROR(INDEX(PV_Totals_By_Item[#All], ROW()-1, COLUMN()), "")</f>
        <v/>
      </c>
      <c r="J421" s="1" t="str" cm="1">
        <f t="array" ref="J421">IFERROR(INDEX(PV_Totals_By_Item[#All], ROW()-1, COLUMN()), "")</f>
        <v/>
      </c>
    </row>
    <row r="422" spans="1:10">
      <c r="A422" s="1" t="str" cm="1">
        <f t="array" ref="A422">IFERROR(INDEX(PV_Totals_By_Item[#All], ROW()-1, COLUMN()), "")</f>
        <v/>
      </c>
      <c r="B422" s="1" t="str" cm="1">
        <f t="array" ref="B422">IFERROR(INDEX(PV_Totals_By_Item[#All], ROW()-1, COLUMN()), "")</f>
        <v/>
      </c>
      <c r="C422" s="1" t="str" cm="1">
        <f t="array" ref="C422">IFERROR(INDEX(PV_Totals_By_Item[#All], ROW()-1, COLUMN()), "")</f>
        <v/>
      </c>
      <c r="D422" s="1" t="str" cm="1">
        <f t="array" ref="D422">IFERROR(INDEX(PV_Totals_By_Item[#All], ROW()-1, COLUMN()), "")</f>
        <v/>
      </c>
      <c r="E422" s="1" t="str" cm="1">
        <f t="array" ref="E422">IFERROR(INDEX(PV_Totals_By_Item[#All], ROW()-1, COLUMN()), "")</f>
        <v/>
      </c>
      <c r="F422" s="1" t="str" cm="1">
        <f t="array" ref="F422">IFERROR(INDEX(PV_Totals_By_Item[#All], ROW()-1, COLUMN()), "")</f>
        <v/>
      </c>
      <c r="G422" s="1" t="str" cm="1">
        <f t="array" ref="G422">IFERROR(INDEX(PV_Totals_By_Item[#All], ROW()-1, COLUMN()), "")</f>
        <v/>
      </c>
      <c r="H422" s="1" t="str" cm="1">
        <f t="array" ref="H422">IFERROR(INDEX(PV_Totals_By_Item[#All], ROW()-1, COLUMN()), "")</f>
        <v/>
      </c>
      <c r="I422" s="1" t="str" cm="1">
        <f t="array" ref="I422">IFERROR(INDEX(PV_Totals_By_Item[#All], ROW()-1, COLUMN()), "")</f>
        <v/>
      </c>
      <c r="J422" s="1" t="str" cm="1">
        <f t="array" ref="J422">IFERROR(INDEX(PV_Totals_By_Item[#All], ROW()-1, COLUMN()), "")</f>
        <v/>
      </c>
    </row>
    <row r="423" spans="1:10">
      <c r="A423" s="1" t="str" cm="1">
        <f t="array" ref="A423">IFERROR(INDEX(PV_Totals_By_Item[#All], ROW()-1, COLUMN()), "")</f>
        <v/>
      </c>
      <c r="B423" s="1" t="str" cm="1">
        <f t="array" ref="B423">IFERROR(INDEX(PV_Totals_By_Item[#All], ROW()-1, COLUMN()), "")</f>
        <v/>
      </c>
      <c r="C423" s="1" t="str" cm="1">
        <f t="array" ref="C423">IFERROR(INDEX(PV_Totals_By_Item[#All], ROW()-1, COLUMN()), "")</f>
        <v/>
      </c>
      <c r="D423" s="1" t="str" cm="1">
        <f t="array" ref="D423">IFERROR(INDEX(PV_Totals_By_Item[#All], ROW()-1, COLUMN()), "")</f>
        <v/>
      </c>
      <c r="E423" s="1" t="str" cm="1">
        <f t="array" ref="E423">IFERROR(INDEX(PV_Totals_By_Item[#All], ROW()-1, COLUMN()), "")</f>
        <v/>
      </c>
      <c r="F423" s="1" t="str" cm="1">
        <f t="array" ref="F423">IFERROR(INDEX(PV_Totals_By_Item[#All], ROW()-1, COLUMN()), "")</f>
        <v/>
      </c>
      <c r="G423" s="1" t="str" cm="1">
        <f t="array" ref="G423">IFERROR(INDEX(PV_Totals_By_Item[#All], ROW()-1, COLUMN()), "")</f>
        <v/>
      </c>
      <c r="H423" s="1" t="str" cm="1">
        <f t="array" ref="H423">IFERROR(INDEX(PV_Totals_By_Item[#All], ROW()-1, COLUMN()), "")</f>
        <v/>
      </c>
      <c r="I423" s="1" t="str" cm="1">
        <f t="array" ref="I423">IFERROR(INDEX(PV_Totals_By_Item[#All], ROW()-1, COLUMN()), "")</f>
        <v/>
      </c>
      <c r="J423" s="1" t="str" cm="1">
        <f t="array" ref="J423">IFERROR(INDEX(PV_Totals_By_Item[#All], ROW()-1, COLUMN()), "")</f>
        <v/>
      </c>
    </row>
    <row r="424" spans="1:10">
      <c r="A424" s="1" t="str" cm="1">
        <f t="array" ref="A424">IFERROR(INDEX(PV_Totals_By_Item[#All], ROW()-1, COLUMN()), "")</f>
        <v/>
      </c>
      <c r="B424" s="1" t="str" cm="1">
        <f t="array" ref="B424">IFERROR(INDEX(PV_Totals_By_Item[#All], ROW()-1, COLUMN()), "")</f>
        <v/>
      </c>
      <c r="C424" s="1" t="str" cm="1">
        <f t="array" ref="C424">IFERROR(INDEX(PV_Totals_By_Item[#All], ROW()-1, COLUMN()), "")</f>
        <v/>
      </c>
      <c r="D424" s="1" t="str" cm="1">
        <f t="array" ref="D424">IFERROR(INDEX(PV_Totals_By_Item[#All], ROW()-1, COLUMN()), "")</f>
        <v/>
      </c>
      <c r="E424" s="1" t="str" cm="1">
        <f t="array" ref="E424">IFERROR(INDEX(PV_Totals_By_Item[#All], ROW()-1, COLUMN()), "")</f>
        <v/>
      </c>
      <c r="F424" s="1" t="str" cm="1">
        <f t="array" ref="F424">IFERROR(INDEX(PV_Totals_By_Item[#All], ROW()-1, COLUMN()), "")</f>
        <v/>
      </c>
      <c r="G424" s="1" t="str" cm="1">
        <f t="array" ref="G424">IFERROR(INDEX(PV_Totals_By_Item[#All], ROW()-1, COLUMN()), "")</f>
        <v/>
      </c>
      <c r="H424" s="1" t="str" cm="1">
        <f t="array" ref="H424">IFERROR(INDEX(PV_Totals_By_Item[#All], ROW()-1, COLUMN()), "")</f>
        <v/>
      </c>
      <c r="I424" s="1" t="str" cm="1">
        <f t="array" ref="I424">IFERROR(INDEX(PV_Totals_By_Item[#All], ROW()-1, COLUMN()), "")</f>
        <v/>
      </c>
      <c r="J424" s="1" t="str" cm="1">
        <f t="array" ref="J424">IFERROR(INDEX(PV_Totals_By_Item[#All], ROW()-1, COLUMN()), "")</f>
        <v/>
      </c>
    </row>
    <row r="425" spans="1:10">
      <c r="A425" s="1" t="str" cm="1">
        <f t="array" ref="A425">IFERROR(INDEX(PV_Totals_By_Item[#All], ROW()-1, COLUMN()), "")</f>
        <v/>
      </c>
      <c r="B425" s="1" t="str" cm="1">
        <f t="array" ref="B425">IFERROR(INDEX(PV_Totals_By_Item[#All], ROW()-1, COLUMN()), "")</f>
        <v/>
      </c>
      <c r="C425" s="1" t="str" cm="1">
        <f t="array" ref="C425">IFERROR(INDEX(PV_Totals_By_Item[#All], ROW()-1, COLUMN()), "")</f>
        <v/>
      </c>
      <c r="D425" s="1" t="str" cm="1">
        <f t="array" ref="D425">IFERROR(INDEX(PV_Totals_By_Item[#All], ROW()-1, COLUMN()), "")</f>
        <v/>
      </c>
      <c r="E425" s="1" t="str" cm="1">
        <f t="array" ref="E425">IFERROR(INDEX(PV_Totals_By_Item[#All], ROW()-1, COLUMN()), "")</f>
        <v/>
      </c>
      <c r="F425" s="1" t="str" cm="1">
        <f t="array" ref="F425">IFERROR(INDEX(PV_Totals_By_Item[#All], ROW()-1, COLUMN()), "")</f>
        <v/>
      </c>
      <c r="G425" s="1" t="str" cm="1">
        <f t="array" ref="G425">IFERROR(INDEX(PV_Totals_By_Item[#All], ROW()-1, COLUMN()), "")</f>
        <v/>
      </c>
      <c r="H425" s="1" t="str" cm="1">
        <f t="array" ref="H425">IFERROR(INDEX(PV_Totals_By_Item[#All], ROW()-1, COLUMN()), "")</f>
        <v/>
      </c>
      <c r="I425" s="1" t="str" cm="1">
        <f t="array" ref="I425">IFERROR(INDEX(PV_Totals_By_Item[#All], ROW()-1, COLUMN()), "")</f>
        <v/>
      </c>
      <c r="J425" s="1" t="str" cm="1">
        <f t="array" ref="J425">IFERROR(INDEX(PV_Totals_By_Item[#All], ROW()-1, COLUMN()), "")</f>
        <v/>
      </c>
    </row>
    <row r="426" spans="1:10">
      <c r="A426" s="1" t="str" cm="1">
        <f t="array" ref="A426">IFERROR(INDEX(PV_Totals_By_Item[#All], ROW()-1, COLUMN()), "")</f>
        <v/>
      </c>
      <c r="B426" s="1" t="str" cm="1">
        <f t="array" ref="B426">IFERROR(INDEX(PV_Totals_By_Item[#All], ROW()-1, COLUMN()), "")</f>
        <v/>
      </c>
      <c r="C426" s="1" t="str" cm="1">
        <f t="array" ref="C426">IFERROR(INDEX(PV_Totals_By_Item[#All], ROW()-1, COLUMN()), "")</f>
        <v/>
      </c>
      <c r="D426" s="1" t="str" cm="1">
        <f t="array" ref="D426">IFERROR(INDEX(PV_Totals_By_Item[#All], ROW()-1, COLUMN()), "")</f>
        <v/>
      </c>
      <c r="E426" s="1" t="str" cm="1">
        <f t="array" ref="E426">IFERROR(INDEX(PV_Totals_By_Item[#All], ROW()-1, COLUMN()), "")</f>
        <v/>
      </c>
      <c r="F426" s="1" t="str" cm="1">
        <f t="array" ref="F426">IFERROR(INDEX(PV_Totals_By_Item[#All], ROW()-1, COLUMN()), "")</f>
        <v/>
      </c>
      <c r="G426" s="1" t="str" cm="1">
        <f t="array" ref="G426">IFERROR(INDEX(PV_Totals_By_Item[#All], ROW()-1, COLUMN()), "")</f>
        <v/>
      </c>
      <c r="H426" s="1" t="str" cm="1">
        <f t="array" ref="H426">IFERROR(INDEX(PV_Totals_By_Item[#All], ROW()-1, COLUMN()), "")</f>
        <v/>
      </c>
      <c r="I426" s="1" t="str" cm="1">
        <f t="array" ref="I426">IFERROR(INDEX(PV_Totals_By_Item[#All], ROW()-1, COLUMN()), "")</f>
        <v/>
      </c>
      <c r="J426" s="1" t="str" cm="1">
        <f t="array" ref="J426">IFERROR(INDEX(PV_Totals_By_Item[#All], ROW()-1, COLUMN()), "")</f>
        <v/>
      </c>
    </row>
    <row r="427" spans="1:10">
      <c r="A427" s="1" t="str" cm="1">
        <f t="array" ref="A427">IFERROR(INDEX(PV_Totals_By_Item[#All], ROW()-1, COLUMN()), "")</f>
        <v/>
      </c>
      <c r="B427" s="1" t="str" cm="1">
        <f t="array" ref="B427">IFERROR(INDEX(PV_Totals_By_Item[#All], ROW()-1, COLUMN()), "")</f>
        <v/>
      </c>
      <c r="C427" s="1" t="str" cm="1">
        <f t="array" ref="C427">IFERROR(INDEX(PV_Totals_By_Item[#All], ROW()-1, COLUMN()), "")</f>
        <v/>
      </c>
      <c r="D427" s="1" t="str" cm="1">
        <f t="array" ref="D427">IFERROR(INDEX(PV_Totals_By_Item[#All], ROW()-1, COLUMN()), "")</f>
        <v/>
      </c>
      <c r="E427" s="1" t="str" cm="1">
        <f t="array" ref="E427">IFERROR(INDEX(PV_Totals_By_Item[#All], ROW()-1, COLUMN()), "")</f>
        <v/>
      </c>
      <c r="F427" s="1" t="str" cm="1">
        <f t="array" ref="F427">IFERROR(INDEX(PV_Totals_By_Item[#All], ROW()-1, COLUMN()), "")</f>
        <v/>
      </c>
      <c r="G427" s="1" t="str" cm="1">
        <f t="array" ref="G427">IFERROR(INDEX(PV_Totals_By_Item[#All], ROW()-1, COLUMN()), "")</f>
        <v/>
      </c>
      <c r="H427" s="1" t="str" cm="1">
        <f t="array" ref="H427">IFERROR(INDEX(PV_Totals_By_Item[#All], ROW()-1, COLUMN()), "")</f>
        <v/>
      </c>
      <c r="I427" s="1" t="str" cm="1">
        <f t="array" ref="I427">IFERROR(INDEX(PV_Totals_By_Item[#All], ROW()-1, COLUMN()), "")</f>
        <v/>
      </c>
      <c r="J427" s="1" t="str" cm="1">
        <f t="array" ref="J427">IFERROR(INDEX(PV_Totals_By_Item[#All], ROW()-1, COLUMN()), "")</f>
        <v/>
      </c>
    </row>
    <row r="428" spans="1:10">
      <c r="A428" s="1" t="str" cm="1">
        <f t="array" ref="A428">IFERROR(INDEX(PV_Totals_By_Item[#All], ROW()-1, COLUMN()), "")</f>
        <v/>
      </c>
      <c r="B428" s="1" t="str" cm="1">
        <f t="array" ref="B428">IFERROR(INDEX(PV_Totals_By_Item[#All], ROW()-1, COLUMN()), "")</f>
        <v/>
      </c>
      <c r="C428" s="1" t="str" cm="1">
        <f t="array" ref="C428">IFERROR(INDEX(PV_Totals_By_Item[#All], ROW()-1, COLUMN()), "")</f>
        <v/>
      </c>
      <c r="D428" s="1" t="str" cm="1">
        <f t="array" ref="D428">IFERROR(INDEX(PV_Totals_By_Item[#All], ROW()-1, COLUMN()), "")</f>
        <v/>
      </c>
      <c r="E428" s="1" t="str" cm="1">
        <f t="array" ref="E428">IFERROR(INDEX(PV_Totals_By_Item[#All], ROW()-1, COLUMN()), "")</f>
        <v/>
      </c>
      <c r="F428" s="1" t="str" cm="1">
        <f t="array" ref="F428">IFERROR(INDEX(PV_Totals_By_Item[#All], ROW()-1, COLUMN()), "")</f>
        <v/>
      </c>
      <c r="G428" s="1" t="str" cm="1">
        <f t="array" ref="G428">IFERROR(INDEX(PV_Totals_By_Item[#All], ROW()-1, COLUMN()), "")</f>
        <v/>
      </c>
      <c r="H428" s="1" t="str" cm="1">
        <f t="array" ref="H428">IFERROR(INDEX(PV_Totals_By_Item[#All], ROW()-1, COLUMN()), "")</f>
        <v/>
      </c>
      <c r="I428" s="1" t="str" cm="1">
        <f t="array" ref="I428">IFERROR(INDEX(PV_Totals_By_Item[#All], ROW()-1, COLUMN()), "")</f>
        <v/>
      </c>
      <c r="J428" s="1" t="str" cm="1">
        <f t="array" ref="J428">IFERROR(INDEX(PV_Totals_By_Item[#All], ROW()-1, COLUMN()), "")</f>
        <v/>
      </c>
    </row>
    <row r="429" spans="1:10">
      <c r="A429" s="1" t="str" cm="1">
        <f t="array" ref="A429">IFERROR(INDEX(PV_Totals_By_Item[#All], ROW()-1, COLUMN()), "")</f>
        <v/>
      </c>
      <c r="B429" s="1" t="str" cm="1">
        <f t="array" ref="B429">IFERROR(INDEX(PV_Totals_By_Item[#All], ROW()-1, COLUMN()), "")</f>
        <v/>
      </c>
      <c r="C429" s="1" t="str" cm="1">
        <f t="array" ref="C429">IFERROR(INDEX(PV_Totals_By_Item[#All], ROW()-1, COLUMN()), "")</f>
        <v/>
      </c>
      <c r="D429" s="1" t="str" cm="1">
        <f t="array" ref="D429">IFERROR(INDEX(PV_Totals_By_Item[#All], ROW()-1, COLUMN()), "")</f>
        <v/>
      </c>
      <c r="E429" s="1" t="str" cm="1">
        <f t="array" ref="E429">IFERROR(INDEX(PV_Totals_By_Item[#All], ROW()-1, COLUMN()), "")</f>
        <v/>
      </c>
      <c r="F429" s="1" t="str" cm="1">
        <f t="array" ref="F429">IFERROR(INDEX(PV_Totals_By_Item[#All], ROW()-1, COLUMN()), "")</f>
        <v/>
      </c>
      <c r="G429" s="1" t="str" cm="1">
        <f t="array" ref="G429">IFERROR(INDEX(PV_Totals_By_Item[#All], ROW()-1, COLUMN()), "")</f>
        <v/>
      </c>
      <c r="H429" s="1" t="str" cm="1">
        <f t="array" ref="H429">IFERROR(INDEX(PV_Totals_By_Item[#All], ROW()-1, COLUMN()), "")</f>
        <v/>
      </c>
      <c r="I429" s="1" t="str" cm="1">
        <f t="array" ref="I429">IFERROR(INDEX(PV_Totals_By_Item[#All], ROW()-1, COLUMN()), "")</f>
        <v/>
      </c>
      <c r="J429" s="1" t="str" cm="1">
        <f t="array" ref="J429">IFERROR(INDEX(PV_Totals_By_Item[#All], ROW()-1, COLUMN()), "")</f>
        <v/>
      </c>
    </row>
    <row r="430" spans="1:10">
      <c r="A430" s="1" t="str" cm="1">
        <f t="array" ref="A430">IFERROR(INDEX(PV_Totals_By_Item[#All], ROW()-1, COLUMN()), "")</f>
        <v/>
      </c>
      <c r="B430" s="1" t="str" cm="1">
        <f t="array" ref="B430">IFERROR(INDEX(PV_Totals_By_Item[#All], ROW()-1, COLUMN()), "")</f>
        <v/>
      </c>
      <c r="C430" s="1" t="str" cm="1">
        <f t="array" ref="C430">IFERROR(INDEX(PV_Totals_By_Item[#All], ROW()-1, COLUMN()), "")</f>
        <v/>
      </c>
      <c r="D430" s="1" t="str" cm="1">
        <f t="array" ref="D430">IFERROR(INDEX(PV_Totals_By_Item[#All], ROW()-1, COLUMN()), "")</f>
        <v/>
      </c>
      <c r="E430" s="1" t="str" cm="1">
        <f t="array" ref="E430">IFERROR(INDEX(PV_Totals_By_Item[#All], ROW()-1, COLUMN()), "")</f>
        <v/>
      </c>
      <c r="F430" s="1" t="str" cm="1">
        <f t="array" ref="F430">IFERROR(INDEX(PV_Totals_By_Item[#All], ROW()-1, COLUMN()), "")</f>
        <v/>
      </c>
      <c r="G430" s="1" t="str" cm="1">
        <f t="array" ref="G430">IFERROR(INDEX(PV_Totals_By_Item[#All], ROW()-1, COLUMN()), "")</f>
        <v/>
      </c>
      <c r="H430" s="1" t="str" cm="1">
        <f t="array" ref="H430">IFERROR(INDEX(PV_Totals_By_Item[#All], ROW()-1, COLUMN()), "")</f>
        <v/>
      </c>
      <c r="I430" s="1" t="str" cm="1">
        <f t="array" ref="I430">IFERROR(INDEX(PV_Totals_By_Item[#All], ROW()-1, COLUMN()), "")</f>
        <v/>
      </c>
      <c r="J430" s="1" t="str" cm="1">
        <f t="array" ref="J430">IFERROR(INDEX(PV_Totals_By_Item[#All], ROW()-1, COLUMN()), "")</f>
        <v/>
      </c>
    </row>
    <row r="431" spans="1:10">
      <c r="A431" s="1" t="str" cm="1">
        <f t="array" ref="A431">IFERROR(INDEX(PV_Totals_By_Item[#All], ROW()-1, COLUMN()), "")</f>
        <v/>
      </c>
      <c r="B431" s="1" t="str" cm="1">
        <f t="array" ref="B431">IFERROR(INDEX(PV_Totals_By_Item[#All], ROW()-1, COLUMN()), "")</f>
        <v/>
      </c>
      <c r="C431" s="1" t="str" cm="1">
        <f t="array" ref="C431">IFERROR(INDEX(PV_Totals_By_Item[#All], ROW()-1, COLUMN()), "")</f>
        <v/>
      </c>
      <c r="D431" s="1" t="str" cm="1">
        <f t="array" ref="D431">IFERROR(INDEX(PV_Totals_By_Item[#All], ROW()-1, COLUMN()), "")</f>
        <v/>
      </c>
      <c r="E431" s="1" t="str" cm="1">
        <f t="array" ref="E431">IFERROR(INDEX(PV_Totals_By_Item[#All], ROW()-1, COLUMN()), "")</f>
        <v/>
      </c>
      <c r="F431" s="1" t="str" cm="1">
        <f t="array" ref="F431">IFERROR(INDEX(PV_Totals_By_Item[#All], ROW()-1, COLUMN()), "")</f>
        <v/>
      </c>
      <c r="G431" s="1" t="str" cm="1">
        <f t="array" ref="G431">IFERROR(INDEX(PV_Totals_By_Item[#All], ROW()-1, COLUMN()), "")</f>
        <v/>
      </c>
      <c r="H431" s="1" t="str" cm="1">
        <f t="array" ref="H431">IFERROR(INDEX(PV_Totals_By_Item[#All], ROW()-1, COLUMN()), "")</f>
        <v/>
      </c>
      <c r="I431" s="1" t="str" cm="1">
        <f t="array" ref="I431">IFERROR(INDEX(PV_Totals_By_Item[#All], ROW()-1, COLUMN()), "")</f>
        <v/>
      </c>
      <c r="J431" s="1" t="str" cm="1">
        <f t="array" ref="J431">IFERROR(INDEX(PV_Totals_By_Item[#All], ROW()-1, COLUMN()), "")</f>
        <v/>
      </c>
    </row>
    <row r="432" spans="1:10">
      <c r="A432" s="1" t="str" cm="1">
        <f t="array" ref="A432">IFERROR(INDEX(PV_Totals_By_Item[#All], ROW()-1, COLUMN()), "")</f>
        <v/>
      </c>
      <c r="B432" s="1" t="str" cm="1">
        <f t="array" ref="B432">IFERROR(INDEX(PV_Totals_By_Item[#All], ROW()-1, COLUMN()), "")</f>
        <v/>
      </c>
      <c r="C432" s="1" t="str" cm="1">
        <f t="array" ref="C432">IFERROR(INDEX(PV_Totals_By_Item[#All], ROW()-1, COLUMN()), "")</f>
        <v/>
      </c>
      <c r="D432" s="1" t="str" cm="1">
        <f t="array" ref="D432">IFERROR(INDEX(PV_Totals_By_Item[#All], ROW()-1, COLUMN()), "")</f>
        <v/>
      </c>
      <c r="E432" s="1" t="str" cm="1">
        <f t="array" ref="E432">IFERROR(INDEX(PV_Totals_By_Item[#All], ROW()-1, COLUMN()), "")</f>
        <v/>
      </c>
      <c r="F432" s="1" t="str" cm="1">
        <f t="array" ref="F432">IFERROR(INDEX(PV_Totals_By_Item[#All], ROW()-1, COLUMN()), "")</f>
        <v/>
      </c>
      <c r="G432" s="1" t="str" cm="1">
        <f t="array" ref="G432">IFERROR(INDEX(PV_Totals_By_Item[#All], ROW()-1, COLUMN()), "")</f>
        <v/>
      </c>
      <c r="H432" s="1" t="str" cm="1">
        <f t="array" ref="H432">IFERROR(INDEX(PV_Totals_By_Item[#All], ROW()-1, COLUMN()), "")</f>
        <v/>
      </c>
      <c r="I432" s="1" t="str" cm="1">
        <f t="array" ref="I432">IFERROR(INDEX(PV_Totals_By_Item[#All], ROW()-1, COLUMN()), "")</f>
        <v/>
      </c>
      <c r="J432" s="1" t="str" cm="1">
        <f t="array" ref="J432">IFERROR(INDEX(PV_Totals_By_Item[#All], ROW()-1, COLUMN()), "")</f>
        <v/>
      </c>
    </row>
    <row r="433" spans="1:10">
      <c r="A433" s="1" t="str" cm="1">
        <f t="array" ref="A433">IFERROR(INDEX(PV_Totals_By_Item[#All], ROW()-1, COLUMN()), "")</f>
        <v/>
      </c>
      <c r="B433" s="1" t="str" cm="1">
        <f t="array" ref="B433">IFERROR(INDEX(PV_Totals_By_Item[#All], ROW()-1, COLUMN()), "")</f>
        <v/>
      </c>
      <c r="C433" s="1" t="str" cm="1">
        <f t="array" ref="C433">IFERROR(INDEX(PV_Totals_By_Item[#All], ROW()-1, COLUMN()), "")</f>
        <v/>
      </c>
      <c r="D433" s="1" t="str" cm="1">
        <f t="array" ref="D433">IFERROR(INDEX(PV_Totals_By_Item[#All], ROW()-1, COLUMN()), "")</f>
        <v/>
      </c>
      <c r="E433" s="1" t="str" cm="1">
        <f t="array" ref="E433">IFERROR(INDEX(PV_Totals_By_Item[#All], ROW()-1, COLUMN()), "")</f>
        <v/>
      </c>
      <c r="F433" s="1" t="str" cm="1">
        <f t="array" ref="F433">IFERROR(INDEX(PV_Totals_By_Item[#All], ROW()-1, COLUMN()), "")</f>
        <v/>
      </c>
      <c r="G433" s="1" t="str" cm="1">
        <f t="array" ref="G433">IFERROR(INDEX(PV_Totals_By_Item[#All], ROW()-1, COLUMN()), "")</f>
        <v/>
      </c>
      <c r="H433" s="1" t="str" cm="1">
        <f t="array" ref="H433">IFERROR(INDEX(PV_Totals_By_Item[#All], ROW()-1, COLUMN()), "")</f>
        <v/>
      </c>
      <c r="I433" s="1" t="str" cm="1">
        <f t="array" ref="I433">IFERROR(INDEX(PV_Totals_By_Item[#All], ROW()-1, COLUMN()), "")</f>
        <v/>
      </c>
      <c r="J433" s="1" t="str" cm="1">
        <f t="array" ref="J433">IFERROR(INDEX(PV_Totals_By_Item[#All], ROW()-1, COLUMN()), "")</f>
        <v/>
      </c>
    </row>
    <row r="434" spans="1:10">
      <c r="A434" s="1" t="str" cm="1">
        <f t="array" ref="A434">IFERROR(INDEX(PV_Totals_By_Item[#All], ROW()-1, COLUMN()), "")</f>
        <v/>
      </c>
      <c r="B434" s="1" t="str" cm="1">
        <f t="array" ref="B434">IFERROR(INDEX(PV_Totals_By_Item[#All], ROW()-1, COLUMN()), "")</f>
        <v/>
      </c>
      <c r="C434" s="1" t="str" cm="1">
        <f t="array" ref="C434">IFERROR(INDEX(PV_Totals_By_Item[#All], ROW()-1, COLUMN()), "")</f>
        <v/>
      </c>
      <c r="D434" s="1" t="str" cm="1">
        <f t="array" ref="D434">IFERROR(INDEX(PV_Totals_By_Item[#All], ROW()-1, COLUMN()), "")</f>
        <v/>
      </c>
      <c r="E434" s="1" t="str" cm="1">
        <f t="array" ref="E434">IFERROR(INDEX(PV_Totals_By_Item[#All], ROW()-1, COLUMN()), "")</f>
        <v/>
      </c>
      <c r="F434" s="1" t="str" cm="1">
        <f t="array" ref="F434">IFERROR(INDEX(PV_Totals_By_Item[#All], ROW()-1, COLUMN()), "")</f>
        <v/>
      </c>
      <c r="G434" s="1" t="str" cm="1">
        <f t="array" ref="G434">IFERROR(INDEX(PV_Totals_By_Item[#All], ROW()-1, COLUMN()), "")</f>
        <v/>
      </c>
      <c r="H434" s="1" t="str" cm="1">
        <f t="array" ref="H434">IFERROR(INDEX(PV_Totals_By_Item[#All], ROW()-1, COLUMN()), "")</f>
        <v/>
      </c>
      <c r="I434" s="1" t="str" cm="1">
        <f t="array" ref="I434">IFERROR(INDEX(PV_Totals_By_Item[#All], ROW()-1, COLUMN()), "")</f>
        <v/>
      </c>
      <c r="J434" s="1" t="str" cm="1">
        <f t="array" ref="J434">IFERROR(INDEX(PV_Totals_By_Item[#All], ROW()-1, COLUMN()), "")</f>
        <v/>
      </c>
    </row>
    <row r="435" spans="1:10">
      <c r="A435" s="1" t="str" cm="1">
        <f t="array" ref="A435">IFERROR(INDEX(PV_Totals_By_Item[#All], ROW()-1, COLUMN()), "")</f>
        <v/>
      </c>
      <c r="B435" s="1" t="str" cm="1">
        <f t="array" ref="B435">IFERROR(INDEX(PV_Totals_By_Item[#All], ROW()-1, COLUMN()), "")</f>
        <v/>
      </c>
      <c r="C435" s="1" t="str" cm="1">
        <f t="array" ref="C435">IFERROR(INDEX(PV_Totals_By_Item[#All], ROW()-1, COLUMN()), "")</f>
        <v/>
      </c>
      <c r="D435" s="1" t="str" cm="1">
        <f t="array" ref="D435">IFERROR(INDEX(PV_Totals_By_Item[#All], ROW()-1, COLUMN()), "")</f>
        <v/>
      </c>
      <c r="E435" s="1" t="str" cm="1">
        <f t="array" ref="E435">IFERROR(INDEX(PV_Totals_By_Item[#All], ROW()-1, COLUMN()), "")</f>
        <v/>
      </c>
      <c r="F435" s="1" t="str" cm="1">
        <f t="array" ref="F435">IFERROR(INDEX(PV_Totals_By_Item[#All], ROW()-1, COLUMN()), "")</f>
        <v/>
      </c>
      <c r="G435" s="1" t="str" cm="1">
        <f t="array" ref="G435">IFERROR(INDEX(PV_Totals_By_Item[#All], ROW()-1, COLUMN()), "")</f>
        <v/>
      </c>
      <c r="H435" s="1" t="str" cm="1">
        <f t="array" ref="H435">IFERROR(INDEX(PV_Totals_By_Item[#All], ROW()-1, COLUMN()), "")</f>
        <v/>
      </c>
      <c r="I435" s="1" t="str" cm="1">
        <f t="array" ref="I435">IFERROR(INDEX(PV_Totals_By_Item[#All], ROW()-1, COLUMN()), "")</f>
        <v/>
      </c>
      <c r="J435" s="1" t="str" cm="1">
        <f t="array" ref="J435">IFERROR(INDEX(PV_Totals_By_Item[#All], ROW()-1, COLUMN()), "")</f>
        <v/>
      </c>
    </row>
    <row r="436" spans="1:10">
      <c r="A436" s="1" t="str" cm="1">
        <f t="array" ref="A436">IFERROR(INDEX(PV_Totals_By_Item[#All], ROW()-1, COLUMN()), "")</f>
        <v/>
      </c>
      <c r="B436" s="1" t="str" cm="1">
        <f t="array" ref="B436">IFERROR(INDEX(PV_Totals_By_Item[#All], ROW()-1, COLUMN()), "")</f>
        <v/>
      </c>
      <c r="C436" s="1" t="str" cm="1">
        <f t="array" ref="C436">IFERROR(INDEX(PV_Totals_By_Item[#All], ROW()-1, COLUMN()), "")</f>
        <v/>
      </c>
      <c r="D436" s="1" t="str" cm="1">
        <f t="array" ref="D436">IFERROR(INDEX(PV_Totals_By_Item[#All], ROW()-1, COLUMN()), "")</f>
        <v/>
      </c>
      <c r="E436" s="1" t="str" cm="1">
        <f t="array" ref="E436">IFERROR(INDEX(PV_Totals_By_Item[#All], ROW()-1, COLUMN()), "")</f>
        <v/>
      </c>
      <c r="F436" s="1" t="str" cm="1">
        <f t="array" ref="F436">IFERROR(INDEX(PV_Totals_By_Item[#All], ROW()-1, COLUMN()), "")</f>
        <v/>
      </c>
      <c r="G436" s="1" t="str" cm="1">
        <f t="array" ref="G436">IFERROR(INDEX(PV_Totals_By_Item[#All], ROW()-1, COLUMN()), "")</f>
        <v/>
      </c>
      <c r="H436" s="1" t="str" cm="1">
        <f t="array" ref="H436">IFERROR(INDEX(PV_Totals_By_Item[#All], ROW()-1, COLUMN()), "")</f>
        <v/>
      </c>
      <c r="I436" s="1" t="str" cm="1">
        <f t="array" ref="I436">IFERROR(INDEX(PV_Totals_By_Item[#All], ROW()-1, COLUMN()), "")</f>
        <v/>
      </c>
      <c r="J436" s="1" t="str" cm="1">
        <f t="array" ref="J436">IFERROR(INDEX(PV_Totals_By_Item[#All], ROW()-1, COLUMN()), "")</f>
        <v/>
      </c>
    </row>
    <row r="437" spans="1:10">
      <c r="A437" s="1" t="str" cm="1">
        <f t="array" ref="A437">IFERROR(INDEX(PV_Totals_By_Item[#All], ROW()-1, COLUMN()), "")</f>
        <v/>
      </c>
      <c r="B437" s="1" t="str" cm="1">
        <f t="array" ref="B437">IFERROR(INDEX(PV_Totals_By_Item[#All], ROW()-1, COLUMN()), "")</f>
        <v/>
      </c>
      <c r="C437" s="1" t="str" cm="1">
        <f t="array" ref="C437">IFERROR(INDEX(PV_Totals_By_Item[#All], ROW()-1, COLUMN()), "")</f>
        <v/>
      </c>
      <c r="D437" s="1" t="str" cm="1">
        <f t="array" ref="D437">IFERROR(INDEX(PV_Totals_By_Item[#All], ROW()-1, COLUMN()), "")</f>
        <v/>
      </c>
      <c r="E437" s="1" t="str" cm="1">
        <f t="array" ref="E437">IFERROR(INDEX(PV_Totals_By_Item[#All], ROW()-1, COLUMN()), "")</f>
        <v/>
      </c>
      <c r="F437" s="1" t="str" cm="1">
        <f t="array" ref="F437">IFERROR(INDEX(PV_Totals_By_Item[#All], ROW()-1, COLUMN()), "")</f>
        <v/>
      </c>
      <c r="G437" s="1" t="str" cm="1">
        <f t="array" ref="G437">IFERROR(INDEX(PV_Totals_By_Item[#All], ROW()-1, COLUMN()), "")</f>
        <v/>
      </c>
      <c r="H437" s="1" t="str" cm="1">
        <f t="array" ref="H437">IFERROR(INDEX(PV_Totals_By_Item[#All], ROW()-1, COLUMN()), "")</f>
        <v/>
      </c>
      <c r="I437" s="1" t="str" cm="1">
        <f t="array" ref="I437">IFERROR(INDEX(PV_Totals_By_Item[#All], ROW()-1, COLUMN()), "")</f>
        <v/>
      </c>
      <c r="J437" s="1" t="str" cm="1">
        <f t="array" ref="J437">IFERROR(INDEX(PV_Totals_By_Item[#All], ROW()-1, COLUMN()), "")</f>
        <v/>
      </c>
    </row>
    <row r="438" spans="1:10">
      <c r="A438" s="1" t="str" cm="1">
        <f t="array" ref="A438">IFERROR(INDEX(PV_Totals_By_Item[#All], ROW()-1, COLUMN()), "")</f>
        <v/>
      </c>
      <c r="B438" s="1" t="str" cm="1">
        <f t="array" ref="B438">IFERROR(INDEX(PV_Totals_By_Item[#All], ROW()-1, COLUMN()), "")</f>
        <v/>
      </c>
      <c r="C438" s="1" t="str" cm="1">
        <f t="array" ref="C438">IFERROR(INDEX(PV_Totals_By_Item[#All], ROW()-1, COLUMN()), "")</f>
        <v/>
      </c>
      <c r="D438" s="1" t="str" cm="1">
        <f t="array" ref="D438">IFERROR(INDEX(PV_Totals_By_Item[#All], ROW()-1, COLUMN()), "")</f>
        <v/>
      </c>
      <c r="E438" s="1" t="str" cm="1">
        <f t="array" ref="E438">IFERROR(INDEX(PV_Totals_By_Item[#All], ROW()-1, COLUMN()), "")</f>
        <v/>
      </c>
      <c r="F438" s="1" t="str" cm="1">
        <f t="array" ref="F438">IFERROR(INDEX(PV_Totals_By_Item[#All], ROW()-1, COLUMN()), "")</f>
        <v/>
      </c>
      <c r="G438" s="1" t="str" cm="1">
        <f t="array" ref="G438">IFERROR(INDEX(PV_Totals_By_Item[#All], ROW()-1, COLUMN()), "")</f>
        <v/>
      </c>
      <c r="H438" s="1" t="str" cm="1">
        <f t="array" ref="H438">IFERROR(INDEX(PV_Totals_By_Item[#All], ROW()-1, COLUMN()), "")</f>
        <v/>
      </c>
      <c r="I438" s="1" t="str" cm="1">
        <f t="array" ref="I438">IFERROR(INDEX(PV_Totals_By_Item[#All], ROW()-1, COLUMN()), "")</f>
        <v/>
      </c>
      <c r="J438" s="1" t="str" cm="1">
        <f t="array" ref="J438">IFERROR(INDEX(PV_Totals_By_Item[#All], ROW()-1, COLUMN()), "")</f>
        <v/>
      </c>
    </row>
    <row r="439" spans="1:10">
      <c r="A439" s="1" t="str" cm="1">
        <f t="array" ref="A439">IFERROR(INDEX(PV_Totals_By_Item[#All], ROW()-1, COLUMN()), "")</f>
        <v/>
      </c>
      <c r="B439" s="1" t="str" cm="1">
        <f t="array" ref="B439">IFERROR(INDEX(PV_Totals_By_Item[#All], ROW()-1, COLUMN()), "")</f>
        <v/>
      </c>
      <c r="C439" s="1" t="str" cm="1">
        <f t="array" ref="C439">IFERROR(INDEX(PV_Totals_By_Item[#All], ROW()-1, COLUMN()), "")</f>
        <v/>
      </c>
      <c r="D439" s="1" t="str" cm="1">
        <f t="array" ref="D439">IFERROR(INDEX(PV_Totals_By_Item[#All], ROW()-1, COLUMN()), "")</f>
        <v/>
      </c>
      <c r="E439" s="1" t="str" cm="1">
        <f t="array" ref="E439">IFERROR(INDEX(PV_Totals_By_Item[#All], ROW()-1, COLUMN()), "")</f>
        <v/>
      </c>
      <c r="F439" s="1" t="str" cm="1">
        <f t="array" ref="F439">IFERROR(INDEX(PV_Totals_By_Item[#All], ROW()-1, COLUMN()), "")</f>
        <v/>
      </c>
      <c r="G439" s="1" t="str" cm="1">
        <f t="array" ref="G439">IFERROR(INDEX(PV_Totals_By_Item[#All], ROW()-1, COLUMN()), "")</f>
        <v/>
      </c>
      <c r="H439" s="1" t="str" cm="1">
        <f t="array" ref="H439">IFERROR(INDEX(PV_Totals_By_Item[#All], ROW()-1, COLUMN()), "")</f>
        <v/>
      </c>
      <c r="I439" s="1" t="str" cm="1">
        <f t="array" ref="I439">IFERROR(INDEX(PV_Totals_By_Item[#All], ROW()-1, COLUMN()), "")</f>
        <v/>
      </c>
      <c r="J439" s="1" t="str" cm="1">
        <f t="array" ref="J439">IFERROR(INDEX(PV_Totals_By_Item[#All], ROW()-1, COLUMN()), "")</f>
        <v/>
      </c>
    </row>
    <row r="440" spans="1:10">
      <c r="A440" s="1" t="str" cm="1">
        <f t="array" ref="A440">IFERROR(INDEX(PV_Totals_By_Item[#All], ROW()-1, COLUMN()), "")</f>
        <v/>
      </c>
      <c r="B440" s="1" t="str" cm="1">
        <f t="array" ref="B440">IFERROR(INDEX(PV_Totals_By_Item[#All], ROW()-1, COLUMN()), "")</f>
        <v/>
      </c>
      <c r="C440" s="1" t="str" cm="1">
        <f t="array" ref="C440">IFERROR(INDEX(PV_Totals_By_Item[#All], ROW()-1, COLUMN()), "")</f>
        <v/>
      </c>
      <c r="D440" s="1" t="str" cm="1">
        <f t="array" ref="D440">IFERROR(INDEX(PV_Totals_By_Item[#All], ROW()-1, COLUMN()), "")</f>
        <v/>
      </c>
      <c r="E440" s="1" t="str" cm="1">
        <f t="array" ref="E440">IFERROR(INDEX(PV_Totals_By_Item[#All], ROW()-1, COLUMN()), "")</f>
        <v/>
      </c>
      <c r="F440" s="1" t="str" cm="1">
        <f t="array" ref="F440">IFERROR(INDEX(PV_Totals_By_Item[#All], ROW()-1, COLUMN()), "")</f>
        <v/>
      </c>
      <c r="G440" s="1" t="str" cm="1">
        <f t="array" ref="G440">IFERROR(INDEX(PV_Totals_By_Item[#All], ROW()-1, COLUMN()), "")</f>
        <v/>
      </c>
      <c r="H440" s="1" t="str" cm="1">
        <f t="array" ref="H440">IFERROR(INDEX(PV_Totals_By_Item[#All], ROW()-1, COLUMN()), "")</f>
        <v/>
      </c>
      <c r="I440" s="1" t="str" cm="1">
        <f t="array" ref="I440">IFERROR(INDEX(PV_Totals_By_Item[#All], ROW()-1, COLUMN()), "")</f>
        <v/>
      </c>
      <c r="J440" s="1" t="str" cm="1">
        <f t="array" ref="J440">IFERROR(INDEX(PV_Totals_By_Item[#All], ROW()-1, COLUMN()), "")</f>
        <v/>
      </c>
    </row>
    <row r="441" spans="1:10">
      <c r="A441" s="1" t="str" cm="1">
        <f t="array" ref="A441">IFERROR(INDEX(PV_Totals_By_Item[#All], ROW()-1, COLUMN()), "")</f>
        <v/>
      </c>
      <c r="B441" s="1" t="str" cm="1">
        <f t="array" ref="B441">IFERROR(INDEX(PV_Totals_By_Item[#All], ROW()-1, COLUMN()), "")</f>
        <v/>
      </c>
      <c r="C441" s="1" t="str" cm="1">
        <f t="array" ref="C441">IFERROR(INDEX(PV_Totals_By_Item[#All], ROW()-1, COLUMN()), "")</f>
        <v/>
      </c>
      <c r="D441" s="1" t="str" cm="1">
        <f t="array" ref="D441">IFERROR(INDEX(PV_Totals_By_Item[#All], ROW()-1, COLUMN()), "")</f>
        <v/>
      </c>
      <c r="E441" s="1" t="str" cm="1">
        <f t="array" ref="E441">IFERROR(INDEX(PV_Totals_By_Item[#All], ROW()-1, COLUMN()), "")</f>
        <v/>
      </c>
      <c r="F441" s="1" t="str" cm="1">
        <f t="array" ref="F441">IFERROR(INDEX(PV_Totals_By_Item[#All], ROW()-1, COLUMN()), "")</f>
        <v/>
      </c>
      <c r="G441" s="1" t="str" cm="1">
        <f t="array" ref="G441">IFERROR(INDEX(PV_Totals_By_Item[#All], ROW()-1, COLUMN()), "")</f>
        <v/>
      </c>
      <c r="H441" s="1" t="str" cm="1">
        <f t="array" ref="H441">IFERROR(INDEX(PV_Totals_By_Item[#All], ROW()-1, COLUMN()), "")</f>
        <v/>
      </c>
      <c r="I441" s="1" t="str" cm="1">
        <f t="array" ref="I441">IFERROR(INDEX(PV_Totals_By_Item[#All], ROW()-1, COLUMN()), "")</f>
        <v/>
      </c>
      <c r="J441" s="1" t="str" cm="1">
        <f t="array" ref="J441">IFERROR(INDEX(PV_Totals_By_Item[#All], ROW()-1, COLUMN()), "")</f>
        <v/>
      </c>
    </row>
    <row r="442" spans="1:10">
      <c r="A442" s="1" t="str" cm="1">
        <f t="array" ref="A442">IFERROR(INDEX(PV_Totals_By_Item[#All], ROW()-1, COLUMN()), "")</f>
        <v/>
      </c>
      <c r="B442" s="1" t="str" cm="1">
        <f t="array" ref="B442">IFERROR(INDEX(PV_Totals_By_Item[#All], ROW()-1, COLUMN()), "")</f>
        <v/>
      </c>
      <c r="C442" s="1" t="str" cm="1">
        <f t="array" ref="C442">IFERROR(INDEX(PV_Totals_By_Item[#All], ROW()-1, COLUMN()), "")</f>
        <v/>
      </c>
      <c r="D442" s="1" t="str" cm="1">
        <f t="array" ref="D442">IFERROR(INDEX(PV_Totals_By_Item[#All], ROW()-1, COLUMN()), "")</f>
        <v/>
      </c>
      <c r="E442" s="1" t="str" cm="1">
        <f t="array" ref="E442">IFERROR(INDEX(PV_Totals_By_Item[#All], ROW()-1, COLUMN()), "")</f>
        <v/>
      </c>
      <c r="F442" s="1" t="str" cm="1">
        <f t="array" ref="F442">IFERROR(INDEX(PV_Totals_By_Item[#All], ROW()-1, COLUMN()), "")</f>
        <v/>
      </c>
      <c r="G442" s="1" t="str" cm="1">
        <f t="array" ref="G442">IFERROR(INDEX(PV_Totals_By_Item[#All], ROW()-1, COLUMN()), "")</f>
        <v/>
      </c>
      <c r="H442" s="1" t="str" cm="1">
        <f t="array" ref="H442">IFERROR(INDEX(PV_Totals_By_Item[#All], ROW()-1, COLUMN()), "")</f>
        <v/>
      </c>
      <c r="I442" s="1" t="str" cm="1">
        <f t="array" ref="I442">IFERROR(INDEX(PV_Totals_By_Item[#All], ROW()-1, COLUMN()), "")</f>
        <v/>
      </c>
      <c r="J442" s="1" t="str" cm="1">
        <f t="array" ref="J442">IFERROR(INDEX(PV_Totals_By_Item[#All], ROW()-1, COLUMN()), "")</f>
        <v/>
      </c>
    </row>
    <row r="443" spans="1:10">
      <c r="A443" s="1" t="str" cm="1">
        <f t="array" ref="A443">IFERROR(INDEX(PV_Totals_By_Item[#All], ROW()-1, COLUMN()), "")</f>
        <v/>
      </c>
      <c r="B443" s="1" t="str" cm="1">
        <f t="array" ref="B443">IFERROR(INDEX(PV_Totals_By_Item[#All], ROW()-1, COLUMN()), "")</f>
        <v/>
      </c>
      <c r="C443" s="1" t="str" cm="1">
        <f t="array" ref="C443">IFERROR(INDEX(PV_Totals_By_Item[#All], ROW()-1, COLUMN()), "")</f>
        <v/>
      </c>
      <c r="D443" s="1" t="str" cm="1">
        <f t="array" ref="D443">IFERROR(INDEX(PV_Totals_By_Item[#All], ROW()-1, COLUMN()), "")</f>
        <v/>
      </c>
      <c r="E443" s="1" t="str" cm="1">
        <f t="array" ref="E443">IFERROR(INDEX(PV_Totals_By_Item[#All], ROW()-1, COLUMN()), "")</f>
        <v/>
      </c>
      <c r="F443" s="1" t="str" cm="1">
        <f t="array" ref="F443">IFERROR(INDEX(PV_Totals_By_Item[#All], ROW()-1, COLUMN()), "")</f>
        <v/>
      </c>
      <c r="G443" s="1" t="str" cm="1">
        <f t="array" ref="G443">IFERROR(INDEX(PV_Totals_By_Item[#All], ROW()-1, COLUMN()), "")</f>
        <v/>
      </c>
      <c r="H443" s="1" t="str" cm="1">
        <f t="array" ref="H443">IFERROR(INDEX(PV_Totals_By_Item[#All], ROW()-1, COLUMN()), "")</f>
        <v/>
      </c>
      <c r="I443" s="1" t="str" cm="1">
        <f t="array" ref="I443">IFERROR(INDEX(PV_Totals_By_Item[#All], ROW()-1, COLUMN()), "")</f>
        <v/>
      </c>
      <c r="J443" s="1" t="str" cm="1">
        <f t="array" ref="J443">IFERROR(INDEX(PV_Totals_By_Item[#All], ROW()-1, COLUMN()), "")</f>
        <v/>
      </c>
    </row>
    <row r="444" spans="1:10">
      <c r="A444" s="1" t="str" cm="1">
        <f t="array" ref="A444">IFERROR(INDEX(PV_Totals_By_Item[#All], ROW()-1, COLUMN()), "")</f>
        <v/>
      </c>
      <c r="B444" s="1" t="str" cm="1">
        <f t="array" ref="B444">IFERROR(INDEX(PV_Totals_By_Item[#All], ROW()-1, COLUMN()), "")</f>
        <v/>
      </c>
      <c r="C444" s="1" t="str" cm="1">
        <f t="array" ref="C444">IFERROR(INDEX(PV_Totals_By_Item[#All], ROW()-1, COLUMN()), "")</f>
        <v/>
      </c>
      <c r="D444" s="1" t="str" cm="1">
        <f t="array" ref="D444">IFERROR(INDEX(PV_Totals_By_Item[#All], ROW()-1, COLUMN()), "")</f>
        <v/>
      </c>
      <c r="E444" s="1" t="str" cm="1">
        <f t="array" ref="E444">IFERROR(INDEX(PV_Totals_By_Item[#All], ROW()-1, COLUMN()), "")</f>
        <v/>
      </c>
      <c r="F444" s="1" t="str" cm="1">
        <f t="array" ref="F444">IFERROR(INDEX(PV_Totals_By_Item[#All], ROW()-1, COLUMN()), "")</f>
        <v/>
      </c>
      <c r="G444" s="1" t="str" cm="1">
        <f t="array" ref="G444">IFERROR(INDEX(PV_Totals_By_Item[#All], ROW()-1, COLUMN()), "")</f>
        <v/>
      </c>
      <c r="H444" s="1" t="str" cm="1">
        <f t="array" ref="H444">IFERROR(INDEX(PV_Totals_By_Item[#All], ROW()-1, COLUMN()), "")</f>
        <v/>
      </c>
      <c r="I444" s="1" t="str" cm="1">
        <f t="array" ref="I444">IFERROR(INDEX(PV_Totals_By_Item[#All], ROW()-1, COLUMN()), "")</f>
        <v/>
      </c>
      <c r="J444" s="1" t="str" cm="1">
        <f t="array" ref="J444">IFERROR(INDEX(PV_Totals_By_Item[#All], ROW()-1, COLUMN()), "")</f>
        <v/>
      </c>
    </row>
    <row r="445" spans="1:10">
      <c r="A445" s="1" t="str" cm="1">
        <f t="array" ref="A445">IFERROR(INDEX(PV_Totals_By_Item[#All], ROW()-1, COLUMN()), "")</f>
        <v/>
      </c>
      <c r="B445" s="1" t="str" cm="1">
        <f t="array" ref="B445">IFERROR(INDEX(PV_Totals_By_Item[#All], ROW()-1, COLUMN()), "")</f>
        <v/>
      </c>
      <c r="C445" s="1" t="str" cm="1">
        <f t="array" ref="C445">IFERROR(INDEX(PV_Totals_By_Item[#All], ROW()-1, COLUMN()), "")</f>
        <v/>
      </c>
      <c r="D445" s="1" t="str" cm="1">
        <f t="array" ref="D445">IFERROR(INDEX(PV_Totals_By_Item[#All], ROW()-1, COLUMN()), "")</f>
        <v/>
      </c>
      <c r="E445" s="1" t="str" cm="1">
        <f t="array" ref="E445">IFERROR(INDEX(PV_Totals_By_Item[#All], ROW()-1, COLUMN()), "")</f>
        <v/>
      </c>
      <c r="F445" s="1" t="str" cm="1">
        <f t="array" ref="F445">IFERROR(INDEX(PV_Totals_By_Item[#All], ROW()-1, COLUMN()), "")</f>
        <v/>
      </c>
      <c r="G445" s="1" t="str" cm="1">
        <f t="array" ref="G445">IFERROR(INDEX(PV_Totals_By_Item[#All], ROW()-1, COLUMN()), "")</f>
        <v/>
      </c>
      <c r="H445" s="1" t="str" cm="1">
        <f t="array" ref="H445">IFERROR(INDEX(PV_Totals_By_Item[#All], ROW()-1, COLUMN()), "")</f>
        <v/>
      </c>
      <c r="I445" s="1" t="str" cm="1">
        <f t="array" ref="I445">IFERROR(INDEX(PV_Totals_By_Item[#All], ROW()-1, COLUMN()), "")</f>
        <v/>
      </c>
      <c r="J445" s="1" t="str" cm="1">
        <f t="array" ref="J445">IFERROR(INDEX(PV_Totals_By_Item[#All], ROW()-1, COLUMN()), "")</f>
        <v/>
      </c>
    </row>
    <row r="446" spans="1:10">
      <c r="A446" s="1" t="str" cm="1">
        <f t="array" ref="A446">IFERROR(INDEX(PV_Totals_By_Item[#All], ROW()-1, COLUMN()), "")</f>
        <v/>
      </c>
      <c r="B446" s="1" t="str" cm="1">
        <f t="array" ref="B446">IFERROR(INDEX(PV_Totals_By_Item[#All], ROW()-1, COLUMN()), "")</f>
        <v/>
      </c>
      <c r="C446" s="1" t="str" cm="1">
        <f t="array" ref="C446">IFERROR(INDEX(PV_Totals_By_Item[#All], ROW()-1, COLUMN()), "")</f>
        <v/>
      </c>
      <c r="D446" s="1" t="str" cm="1">
        <f t="array" ref="D446">IFERROR(INDEX(PV_Totals_By_Item[#All], ROW()-1, COLUMN()), "")</f>
        <v/>
      </c>
      <c r="E446" s="1" t="str" cm="1">
        <f t="array" ref="E446">IFERROR(INDEX(PV_Totals_By_Item[#All], ROW()-1, COLUMN()), "")</f>
        <v/>
      </c>
      <c r="F446" s="1" t="str" cm="1">
        <f t="array" ref="F446">IFERROR(INDEX(PV_Totals_By_Item[#All], ROW()-1, COLUMN()), "")</f>
        <v/>
      </c>
      <c r="G446" s="1" t="str" cm="1">
        <f t="array" ref="G446">IFERROR(INDEX(PV_Totals_By_Item[#All], ROW()-1, COLUMN()), "")</f>
        <v/>
      </c>
      <c r="H446" s="1" t="str" cm="1">
        <f t="array" ref="H446">IFERROR(INDEX(PV_Totals_By_Item[#All], ROW()-1, COLUMN()), "")</f>
        <v/>
      </c>
      <c r="I446" s="1" t="str" cm="1">
        <f t="array" ref="I446">IFERROR(INDEX(PV_Totals_By_Item[#All], ROW()-1, COLUMN()), "")</f>
        <v/>
      </c>
      <c r="J446" s="1" t="str" cm="1">
        <f t="array" ref="J446">IFERROR(INDEX(PV_Totals_By_Item[#All], ROW()-1, COLUMN()), "")</f>
        <v/>
      </c>
    </row>
    <row r="447" spans="1:10">
      <c r="A447" s="1" t="str" cm="1">
        <f t="array" ref="A447">IFERROR(INDEX(PV_Totals_By_Item[#All], ROW()-1, COLUMN()), "")</f>
        <v/>
      </c>
      <c r="B447" s="1" t="str" cm="1">
        <f t="array" ref="B447">IFERROR(INDEX(PV_Totals_By_Item[#All], ROW()-1, COLUMN()), "")</f>
        <v/>
      </c>
      <c r="C447" s="1" t="str" cm="1">
        <f t="array" ref="C447">IFERROR(INDEX(PV_Totals_By_Item[#All], ROW()-1, COLUMN()), "")</f>
        <v/>
      </c>
      <c r="D447" s="1" t="str" cm="1">
        <f t="array" ref="D447">IFERROR(INDEX(PV_Totals_By_Item[#All], ROW()-1, COLUMN()), "")</f>
        <v/>
      </c>
      <c r="E447" s="1" t="str" cm="1">
        <f t="array" ref="E447">IFERROR(INDEX(PV_Totals_By_Item[#All], ROW()-1, COLUMN()), "")</f>
        <v/>
      </c>
      <c r="F447" s="1" t="str" cm="1">
        <f t="array" ref="F447">IFERROR(INDEX(PV_Totals_By_Item[#All], ROW()-1, COLUMN()), "")</f>
        <v/>
      </c>
      <c r="G447" s="1" t="str" cm="1">
        <f t="array" ref="G447">IFERROR(INDEX(PV_Totals_By_Item[#All], ROW()-1, COLUMN()), "")</f>
        <v/>
      </c>
      <c r="H447" s="1" t="str" cm="1">
        <f t="array" ref="H447">IFERROR(INDEX(PV_Totals_By_Item[#All], ROW()-1, COLUMN()), "")</f>
        <v/>
      </c>
      <c r="I447" s="1" t="str" cm="1">
        <f t="array" ref="I447">IFERROR(INDEX(PV_Totals_By_Item[#All], ROW()-1, COLUMN()), "")</f>
        <v/>
      </c>
      <c r="J447" s="1" t="str" cm="1">
        <f t="array" ref="J447">IFERROR(INDEX(PV_Totals_By_Item[#All], ROW()-1, COLUMN()), "")</f>
        <v/>
      </c>
    </row>
    <row r="448" spans="1:10">
      <c r="A448" s="1" t="str" cm="1">
        <f t="array" ref="A448">IFERROR(INDEX(PV_Totals_By_Item[#All], ROW()-1, COLUMN()), "")</f>
        <v/>
      </c>
      <c r="B448" s="1" t="str" cm="1">
        <f t="array" ref="B448">IFERROR(INDEX(PV_Totals_By_Item[#All], ROW()-1, COLUMN()), "")</f>
        <v/>
      </c>
      <c r="C448" s="1" t="str" cm="1">
        <f t="array" ref="C448">IFERROR(INDEX(PV_Totals_By_Item[#All], ROW()-1, COLUMN()), "")</f>
        <v/>
      </c>
      <c r="D448" s="1" t="str" cm="1">
        <f t="array" ref="D448">IFERROR(INDEX(PV_Totals_By_Item[#All], ROW()-1, COLUMN()), "")</f>
        <v/>
      </c>
      <c r="E448" s="1" t="str" cm="1">
        <f t="array" ref="E448">IFERROR(INDEX(PV_Totals_By_Item[#All], ROW()-1, COLUMN()), "")</f>
        <v/>
      </c>
      <c r="F448" s="1" t="str" cm="1">
        <f t="array" ref="F448">IFERROR(INDEX(PV_Totals_By_Item[#All], ROW()-1, COLUMN()), "")</f>
        <v/>
      </c>
      <c r="G448" s="1" t="str" cm="1">
        <f t="array" ref="G448">IFERROR(INDEX(PV_Totals_By_Item[#All], ROW()-1, COLUMN()), "")</f>
        <v/>
      </c>
      <c r="H448" s="1" t="str" cm="1">
        <f t="array" ref="H448">IFERROR(INDEX(PV_Totals_By_Item[#All], ROW()-1, COLUMN()), "")</f>
        <v/>
      </c>
      <c r="I448" s="1" t="str" cm="1">
        <f t="array" ref="I448">IFERROR(INDEX(PV_Totals_By_Item[#All], ROW()-1, COLUMN()), "")</f>
        <v/>
      </c>
      <c r="J448" s="1" t="str" cm="1">
        <f t="array" ref="J448">IFERROR(INDEX(PV_Totals_By_Item[#All], ROW()-1, COLUMN()), "")</f>
        <v/>
      </c>
    </row>
    <row r="449" spans="1:10">
      <c r="A449" s="1" t="str" cm="1">
        <f t="array" ref="A449">IFERROR(INDEX(PV_Totals_By_Item[#All], ROW()-1, COLUMN()), "")</f>
        <v/>
      </c>
      <c r="B449" s="1" t="str" cm="1">
        <f t="array" ref="B449">IFERROR(INDEX(PV_Totals_By_Item[#All], ROW()-1, COLUMN()), "")</f>
        <v/>
      </c>
      <c r="C449" s="1" t="str" cm="1">
        <f t="array" ref="C449">IFERROR(INDEX(PV_Totals_By_Item[#All], ROW()-1, COLUMN()), "")</f>
        <v/>
      </c>
      <c r="D449" s="1" t="str" cm="1">
        <f t="array" ref="D449">IFERROR(INDEX(PV_Totals_By_Item[#All], ROW()-1, COLUMN()), "")</f>
        <v/>
      </c>
      <c r="E449" s="1" t="str" cm="1">
        <f t="array" ref="E449">IFERROR(INDEX(PV_Totals_By_Item[#All], ROW()-1, COLUMN()), "")</f>
        <v/>
      </c>
      <c r="F449" s="1" t="str" cm="1">
        <f t="array" ref="F449">IFERROR(INDEX(PV_Totals_By_Item[#All], ROW()-1, COLUMN()), "")</f>
        <v/>
      </c>
      <c r="G449" s="1" t="str" cm="1">
        <f t="array" ref="G449">IFERROR(INDEX(PV_Totals_By_Item[#All], ROW()-1, COLUMN()), "")</f>
        <v/>
      </c>
      <c r="H449" s="1" t="str" cm="1">
        <f t="array" ref="H449">IFERROR(INDEX(PV_Totals_By_Item[#All], ROW()-1, COLUMN()), "")</f>
        <v/>
      </c>
      <c r="I449" s="1" t="str" cm="1">
        <f t="array" ref="I449">IFERROR(INDEX(PV_Totals_By_Item[#All], ROW()-1, COLUMN()), "")</f>
        <v/>
      </c>
      <c r="J449" s="1" t="str" cm="1">
        <f t="array" ref="J449">IFERROR(INDEX(PV_Totals_By_Item[#All], ROW()-1, COLUMN()), "")</f>
        <v/>
      </c>
    </row>
    <row r="450" spans="1:10">
      <c r="A450" s="1" t="str" cm="1">
        <f t="array" ref="A450">IFERROR(INDEX(PV_Totals_By_Item[#All], ROW()-1, COLUMN()), "")</f>
        <v/>
      </c>
      <c r="B450" s="1" t="str" cm="1">
        <f t="array" ref="B450">IFERROR(INDEX(PV_Totals_By_Item[#All], ROW()-1, COLUMN()), "")</f>
        <v/>
      </c>
      <c r="C450" s="1" t="str" cm="1">
        <f t="array" ref="C450">IFERROR(INDEX(PV_Totals_By_Item[#All], ROW()-1, COLUMN()), "")</f>
        <v/>
      </c>
      <c r="D450" s="1" t="str" cm="1">
        <f t="array" ref="D450">IFERROR(INDEX(PV_Totals_By_Item[#All], ROW()-1, COLUMN()), "")</f>
        <v/>
      </c>
      <c r="E450" s="1" t="str" cm="1">
        <f t="array" ref="E450">IFERROR(INDEX(PV_Totals_By_Item[#All], ROW()-1, COLUMN()), "")</f>
        <v/>
      </c>
      <c r="F450" s="1" t="str" cm="1">
        <f t="array" ref="F450">IFERROR(INDEX(PV_Totals_By_Item[#All], ROW()-1, COLUMN()), "")</f>
        <v/>
      </c>
      <c r="G450" s="1" t="str" cm="1">
        <f t="array" ref="G450">IFERROR(INDEX(PV_Totals_By_Item[#All], ROW()-1, COLUMN()), "")</f>
        <v/>
      </c>
      <c r="H450" s="1" t="str" cm="1">
        <f t="array" ref="H450">IFERROR(INDEX(PV_Totals_By_Item[#All], ROW()-1, COLUMN()), "")</f>
        <v/>
      </c>
      <c r="I450" s="1" t="str" cm="1">
        <f t="array" ref="I450">IFERROR(INDEX(PV_Totals_By_Item[#All], ROW()-1, COLUMN()), "")</f>
        <v/>
      </c>
      <c r="J450" s="1" t="str" cm="1">
        <f t="array" ref="J450">IFERROR(INDEX(PV_Totals_By_Item[#All], ROW()-1, COLUMN()), "")</f>
        <v/>
      </c>
    </row>
    <row r="451" spans="1:10">
      <c r="A451" s="1" t="str" cm="1">
        <f t="array" ref="A451">IFERROR(INDEX(PV_Totals_By_Item[#All], ROW()-1, COLUMN()), "")</f>
        <v/>
      </c>
      <c r="B451" s="1" t="str" cm="1">
        <f t="array" ref="B451">IFERROR(INDEX(PV_Totals_By_Item[#All], ROW()-1, COLUMN()), "")</f>
        <v/>
      </c>
      <c r="C451" s="1" t="str" cm="1">
        <f t="array" ref="C451">IFERROR(INDEX(PV_Totals_By_Item[#All], ROW()-1, COLUMN()), "")</f>
        <v/>
      </c>
      <c r="D451" s="1" t="str" cm="1">
        <f t="array" ref="D451">IFERROR(INDEX(PV_Totals_By_Item[#All], ROW()-1, COLUMN()), "")</f>
        <v/>
      </c>
      <c r="E451" s="1" t="str" cm="1">
        <f t="array" ref="E451">IFERROR(INDEX(PV_Totals_By_Item[#All], ROW()-1, COLUMN()), "")</f>
        <v/>
      </c>
      <c r="F451" s="1" t="str" cm="1">
        <f t="array" ref="F451">IFERROR(INDEX(PV_Totals_By_Item[#All], ROW()-1, COLUMN()), "")</f>
        <v/>
      </c>
      <c r="G451" s="1" t="str" cm="1">
        <f t="array" ref="G451">IFERROR(INDEX(PV_Totals_By_Item[#All], ROW()-1, COLUMN()), "")</f>
        <v/>
      </c>
      <c r="H451" s="1" t="str" cm="1">
        <f t="array" ref="H451">IFERROR(INDEX(PV_Totals_By_Item[#All], ROW()-1, COLUMN()), "")</f>
        <v/>
      </c>
      <c r="I451" s="1" t="str" cm="1">
        <f t="array" ref="I451">IFERROR(INDEX(PV_Totals_By_Item[#All], ROW()-1, COLUMN()), "")</f>
        <v/>
      </c>
      <c r="J451" s="1" t="str" cm="1">
        <f t="array" ref="J451">IFERROR(INDEX(PV_Totals_By_Item[#All], ROW()-1, COLUMN()), "")</f>
        <v/>
      </c>
    </row>
    <row r="452" spans="1:10">
      <c r="A452" s="1" t="str" cm="1">
        <f t="array" ref="A452">IFERROR(INDEX(PV_Totals_By_Item[#All], ROW()-1, COLUMN()), "")</f>
        <v/>
      </c>
      <c r="B452" s="1" t="str" cm="1">
        <f t="array" ref="B452">IFERROR(INDEX(PV_Totals_By_Item[#All], ROW()-1, COLUMN()), "")</f>
        <v/>
      </c>
      <c r="C452" s="1" t="str" cm="1">
        <f t="array" ref="C452">IFERROR(INDEX(PV_Totals_By_Item[#All], ROW()-1, COLUMN()), "")</f>
        <v/>
      </c>
      <c r="D452" s="1" t="str" cm="1">
        <f t="array" ref="D452">IFERROR(INDEX(PV_Totals_By_Item[#All], ROW()-1, COLUMN()), "")</f>
        <v/>
      </c>
      <c r="E452" s="1" t="str" cm="1">
        <f t="array" ref="E452">IFERROR(INDEX(PV_Totals_By_Item[#All], ROW()-1, COLUMN()), "")</f>
        <v/>
      </c>
      <c r="F452" s="1" t="str" cm="1">
        <f t="array" ref="F452">IFERROR(INDEX(PV_Totals_By_Item[#All], ROW()-1, COLUMN()), "")</f>
        <v/>
      </c>
      <c r="G452" s="1" t="str" cm="1">
        <f t="array" ref="G452">IFERROR(INDEX(PV_Totals_By_Item[#All], ROW()-1, COLUMN()), "")</f>
        <v/>
      </c>
      <c r="H452" s="1" t="str" cm="1">
        <f t="array" ref="H452">IFERROR(INDEX(PV_Totals_By_Item[#All], ROW()-1, COLUMN()), "")</f>
        <v/>
      </c>
      <c r="I452" s="1" t="str" cm="1">
        <f t="array" ref="I452">IFERROR(INDEX(PV_Totals_By_Item[#All], ROW()-1, COLUMN()), "")</f>
        <v/>
      </c>
      <c r="J452" s="1" t="str" cm="1">
        <f t="array" ref="J452">IFERROR(INDEX(PV_Totals_By_Item[#All], ROW()-1, COLUMN()), "")</f>
        <v/>
      </c>
    </row>
    <row r="453" spans="1:10">
      <c r="A453" s="1" t="str" cm="1">
        <f t="array" ref="A453">IFERROR(INDEX(PV_Totals_By_Item[#All], ROW()-1, COLUMN()), "")</f>
        <v/>
      </c>
      <c r="B453" s="1" t="str" cm="1">
        <f t="array" ref="B453">IFERROR(INDEX(PV_Totals_By_Item[#All], ROW()-1, COLUMN()), "")</f>
        <v/>
      </c>
      <c r="C453" s="1" t="str" cm="1">
        <f t="array" ref="C453">IFERROR(INDEX(PV_Totals_By_Item[#All], ROW()-1, COLUMN()), "")</f>
        <v/>
      </c>
      <c r="D453" s="1" t="str" cm="1">
        <f t="array" ref="D453">IFERROR(INDEX(PV_Totals_By_Item[#All], ROW()-1, COLUMN()), "")</f>
        <v/>
      </c>
      <c r="E453" s="1" t="str" cm="1">
        <f t="array" ref="E453">IFERROR(INDEX(PV_Totals_By_Item[#All], ROW()-1, COLUMN()), "")</f>
        <v/>
      </c>
      <c r="F453" s="1" t="str" cm="1">
        <f t="array" ref="F453">IFERROR(INDEX(PV_Totals_By_Item[#All], ROW()-1, COLUMN()), "")</f>
        <v/>
      </c>
      <c r="G453" s="1" t="str" cm="1">
        <f t="array" ref="G453">IFERROR(INDEX(PV_Totals_By_Item[#All], ROW()-1, COLUMN()), "")</f>
        <v/>
      </c>
      <c r="H453" s="1" t="str" cm="1">
        <f t="array" ref="H453">IFERROR(INDEX(PV_Totals_By_Item[#All], ROW()-1, COLUMN()), "")</f>
        <v/>
      </c>
      <c r="I453" s="1" t="str" cm="1">
        <f t="array" ref="I453">IFERROR(INDEX(PV_Totals_By_Item[#All], ROW()-1, COLUMN()), "")</f>
        <v/>
      </c>
      <c r="J453" s="1" t="str" cm="1">
        <f t="array" ref="J453">IFERROR(INDEX(PV_Totals_By_Item[#All], ROW()-1, COLUMN()), "")</f>
        <v/>
      </c>
    </row>
    <row r="454" spans="1:10">
      <c r="A454" s="1" t="str" cm="1">
        <f t="array" ref="A454">IFERROR(INDEX(PV_Totals_By_Item[#All], ROW()-1, COLUMN()), "")</f>
        <v/>
      </c>
      <c r="B454" s="1" t="str" cm="1">
        <f t="array" ref="B454">IFERROR(INDEX(PV_Totals_By_Item[#All], ROW()-1, COLUMN()), "")</f>
        <v/>
      </c>
      <c r="C454" s="1" t="str" cm="1">
        <f t="array" ref="C454">IFERROR(INDEX(PV_Totals_By_Item[#All], ROW()-1, COLUMN()), "")</f>
        <v/>
      </c>
      <c r="D454" s="1" t="str" cm="1">
        <f t="array" ref="D454">IFERROR(INDEX(PV_Totals_By_Item[#All], ROW()-1, COLUMN()), "")</f>
        <v/>
      </c>
      <c r="E454" s="1" t="str" cm="1">
        <f t="array" ref="E454">IFERROR(INDEX(PV_Totals_By_Item[#All], ROW()-1, COLUMN()), "")</f>
        <v/>
      </c>
      <c r="F454" s="1" t="str" cm="1">
        <f t="array" ref="F454">IFERROR(INDEX(PV_Totals_By_Item[#All], ROW()-1, COLUMN()), "")</f>
        <v/>
      </c>
      <c r="G454" s="1" t="str" cm="1">
        <f t="array" ref="G454">IFERROR(INDEX(PV_Totals_By_Item[#All], ROW()-1, COLUMN()), "")</f>
        <v/>
      </c>
      <c r="H454" s="1" t="str" cm="1">
        <f t="array" ref="H454">IFERROR(INDEX(PV_Totals_By_Item[#All], ROW()-1, COLUMN()), "")</f>
        <v/>
      </c>
      <c r="I454" s="1" t="str" cm="1">
        <f t="array" ref="I454">IFERROR(INDEX(PV_Totals_By_Item[#All], ROW()-1, COLUMN()), "")</f>
        <v/>
      </c>
      <c r="J454" s="1" t="str" cm="1">
        <f t="array" ref="J454">IFERROR(INDEX(PV_Totals_By_Item[#All], ROW()-1, COLUMN()), "")</f>
        <v/>
      </c>
    </row>
    <row r="455" spans="1:10">
      <c r="A455" s="1" t="str" cm="1">
        <f t="array" ref="A455">IFERROR(INDEX(PV_Totals_By_Item[#All], ROW()-1, COLUMN()), "")</f>
        <v/>
      </c>
      <c r="B455" s="1" t="str" cm="1">
        <f t="array" ref="B455">IFERROR(INDEX(PV_Totals_By_Item[#All], ROW()-1, COLUMN()), "")</f>
        <v/>
      </c>
      <c r="C455" s="1" t="str" cm="1">
        <f t="array" ref="C455">IFERROR(INDEX(PV_Totals_By_Item[#All], ROW()-1, COLUMN()), "")</f>
        <v/>
      </c>
      <c r="D455" s="1" t="str" cm="1">
        <f t="array" ref="D455">IFERROR(INDEX(PV_Totals_By_Item[#All], ROW()-1, COLUMN()), "")</f>
        <v/>
      </c>
      <c r="E455" s="1" t="str" cm="1">
        <f t="array" ref="E455">IFERROR(INDEX(PV_Totals_By_Item[#All], ROW()-1, COLUMN()), "")</f>
        <v/>
      </c>
      <c r="F455" s="1" t="str" cm="1">
        <f t="array" ref="F455">IFERROR(INDEX(PV_Totals_By_Item[#All], ROW()-1, COLUMN()), "")</f>
        <v/>
      </c>
      <c r="G455" s="1" t="str" cm="1">
        <f t="array" ref="G455">IFERROR(INDEX(PV_Totals_By_Item[#All], ROW()-1, COLUMN()), "")</f>
        <v/>
      </c>
      <c r="H455" s="1" t="str" cm="1">
        <f t="array" ref="H455">IFERROR(INDEX(PV_Totals_By_Item[#All], ROW()-1, COLUMN()), "")</f>
        <v/>
      </c>
      <c r="I455" s="1" t="str" cm="1">
        <f t="array" ref="I455">IFERROR(INDEX(PV_Totals_By_Item[#All], ROW()-1, COLUMN()), "")</f>
        <v/>
      </c>
      <c r="J455" s="1" t="str" cm="1">
        <f t="array" ref="J455">IFERROR(INDEX(PV_Totals_By_Item[#All], ROW()-1, COLUMN()), "")</f>
        <v/>
      </c>
    </row>
    <row r="456" spans="1:10">
      <c r="A456" s="1" t="str" cm="1">
        <f t="array" ref="A456">IFERROR(INDEX(PV_Totals_By_Item[#All], ROW()-1, COLUMN()), "")</f>
        <v/>
      </c>
      <c r="B456" s="1" t="str" cm="1">
        <f t="array" ref="B456">IFERROR(INDEX(PV_Totals_By_Item[#All], ROW()-1, COLUMN()), "")</f>
        <v/>
      </c>
      <c r="C456" s="1" t="str" cm="1">
        <f t="array" ref="C456">IFERROR(INDEX(PV_Totals_By_Item[#All], ROW()-1, COLUMN()), "")</f>
        <v/>
      </c>
      <c r="D456" s="1" t="str" cm="1">
        <f t="array" ref="D456">IFERROR(INDEX(PV_Totals_By_Item[#All], ROW()-1, COLUMN()), "")</f>
        <v/>
      </c>
      <c r="E456" s="1" t="str" cm="1">
        <f t="array" ref="E456">IFERROR(INDEX(PV_Totals_By_Item[#All], ROW()-1, COLUMN()), "")</f>
        <v/>
      </c>
      <c r="F456" s="1" t="str" cm="1">
        <f t="array" ref="F456">IFERROR(INDEX(PV_Totals_By_Item[#All], ROW()-1, COLUMN()), "")</f>
        <v/>
      </c>
      <c r="G456" s="1" t="str" cm="1">
        <f t="array" ref="G456">IFERROR(INDEX(PV_Totals_By_Item[#All], ROW()-1, COLUMN()), "")</f>
        <v/>
      </c>
      <c r="H456" s="1" t="str" cm="1">
        <f t="array" ref="H456">IFERROR(INDEX(PV_Totals_By_Item[#All], ROW()-1, COLUMN()), "")</f>
        <v/>
      </c>
      <c r="I456" s="1" t="str" cm="1">
        <f t="array" ref="I456">IFERROR(INDEX(PV_Totals_By_Item[#All], ROW()-1, COLUMN()), "")</f>
        <v/>
      </c>
      <c r="J456" s="1" t="str" cm="1">
        <f t="array" ref="J456">IFERROR(INDEX(PV_Totals_By_Item[#All], ROW()-1, COLUMN()), "")</f>
        <v/>
      </c>
    </row>
    <row r="457" spans="1:10">
      <c r="A457" s="1" t="str" cm="1">
        <f t="array" ref="A457">IFERROR(INDEX(PV_Totals_By_Item[#All], ROW()-1, COLUMN()), "")</f>
        <v/>
      </c>
      <c r="B457" s="1" t="str" cm="1">
        <f t="array" ref="B457">IFERROR(INDEX(PV_Totals_By_Item[#All], ROW()-1, COLUMN()), "")</f>
        <v/>
      </c>
      <c r="C457" s="1" t="str" cm="1">
        <f t="array" ref="C457">IFERROR(INDEX(PV_Totals_By_Item[#All], ROW()-1, COLUMN()), "")</f>
        <v/>
      </c>
      <c r="D457" s="1" t="str" cm="1">
        <f t="array" ref="D457">IFERROR(INDEX(PV_Totals_By_Item[#All], ROW()-1, COLUMN()), "")</f>
        <v/>
      </c>
      <c r="E457" s="1" t="str" cm="1">
        <f t="array" ref="E457">IFERROR(INDEX(PV_Totals_By_Item[#All], ROW()-1, COLUMN()), "")</f>
        <v/>
      </c>
      <c r="F457" s="1" t="str" cm="1">
        <f t="array" ref="F457">IFERROR(INDEX(PV_Totals_By_Item[#All], ROW()-1, COLUMN()), "")</f>
        <v/>
      </c>
      <c r="G457" s="1" t="str" cm="1">
        <f t="array" ref="G457">IFERROR(INDEX(PV_Totals_By_Item[#All], ROW()-1, COLUMN()), "")</f>
        <v/>
      </c>
      <c r="H457" s="1" t="str" cm="1">
        <f t="array" ref="H457">IFERROR(INDEX(PV_Totals_By_Item[#All], ROW()-1, COLUMN()), "")</f>
        <v/>
      </c>
      <c r="I457" s="1" t="str" cm="1">
        <f t="array" ref="I457">IFERROR(INDEX(PV_Totals_By_Item[#All], ROW()-1, COLUMN()), "")</f>
        <v/>
      </c>
      <c r="J457" s="1" t="str" cm="1">
        <f t="array" ref="J457">IFERROR(INDEX(PV_Totals_By_Item[#All], ROW()-1, COLUMN()), "")</f>
        <v/>
      </c>
    </row>
    <row r="458" spans="1:10">
      <c r="A458" s="1" t="str" cm="1">
        <f t="array" ref="A458">IFERROR(INDEX(PV_Totals_By_Item[#All], ROW()-1, COLUMN()), "")</f>
        <v/>
      </c>
      <c r="B458" s="1" t="str" cm="1">
        <f t="array" ref="B458">IFERROR(INDEX(PV_Totals_By_Item[#All], ROW()-1, COLUMN()), "")</f>
        <v/>
      </c>
      <c r="C458" s="1" t="str" cm="1">
        <f t="array" ref="C458">IFERROR(INDEX(PV_Totals_By_Item[#All], ROW()-1, COLUMN()), "")</f>
        <v/>
      </c>
      <c r="D458" s="1" t="str" cm="1">
        <f t="array" ref="D458">IFERROR(INDEX(PV_Totals_By_Item[#All], ROW()-1, COLUMN()), "")</f>
        <v/>
      </c>
      <c r="E458" s="1" t="str" cm="1">
        <f t="array" ref="E458">IFERROR(INDEX(PV_Totals_By_Item[#All], ROW()-1, COLUMN()), "")</f>
        <v/>
      </c>
      <c r="F458" s="1" t="str" cm="1">
        <f t="array" ref="F458">IFERROR(INDEX(PV_Totals_By_Item[#All], ROW()-1, COLUMN()), "")</f>
        <v/>
      </c>
      <c r="G458" s="1" t="str" cm="1">
        <f t="array" ref="G458">IFERROR(INDEX(PV_Totals_By_Item[#All], ROW()-1, COLUMN()), "")</f>
        <v/>
      </c>
      <c r="H458" s="1" t="str" cm="1">
        <f t="array" ref="H458">IFERROR(INDEX(PV_Totals_By_Item[#All], ROW()-1, COLUMN()), "")</f>
        <v/>
      </c>
      <c r="I458" s="1" t="str" cm="1">
        <f t="array" ref="I458">IFERROR(INDEX(PV_Totals_By_Item[#All], ROW()-1, COLUMN()), "")</f>
        <v/>
      </c>
      <c r="J458" s="1" t="str" cm="1">
        <f t="array" ref="J458">IFERROR(INDEX(PV_Totals_By_Item[#All], ROW()-1, COLUMN()), "")</f>
        <v/>
      </c>
    </row>
    <row r="459" spans="1:10">
      <c r="A459" s="1" t="str" cm="1">
        <f t="array" ref="A459">IFERROR(INDEX(PV_Totals_By_Item[#All], ROW()-1, COLUMN()), "")</f>
        <v/>
      </c>
      <c r="B459" s="1" t="str" cm="1">
        <f t="array" ref="B459">IFERROR(INDEX(PV_Totals_By_Item[#All], ROW()-1, COLUMN()), "")</f>
        <v/>
      </c>
      <c r="C459" s="1" t="str" cm="1">
        <f t="array" ref="C459">IFERROR(INDEX(PV_Totals_By_Item[#All], ROW()-1, COLUMN()), "")</f>
        <v/>
      </c>
      <c r="D459" s="1" t="str" cm="1">
        <f t="array" ref="D459">IFERROR(INDEX(PV_Totals_By_Item[#All], ROW()-1, COLUMN()), "")</f>
        <v/>
      </c>
      <c r="E459" s="1" t="str" cm="1">
        <f t="array" ref="E459">IFERROR(INDEX(PV_Totals_By_Item[#All], ROW()-1, COLUMN()), "")</f>
        <v/>
      </c>
      <c r="F459" s="1" t="str" cm="1">
        <f t="array" ref="F459">IFERROR(INDEX(PV_Totals_By_Item[#All], ROW()-1, COLUMN()), "")</f>
        <v/>
      </c>
      <c r="G459" s="1" t="str" cm="1">
        <f t="array" ref="G459">IFERROR(INDEX(PV_Totals_By_Item[#All], ROW()-1, COLUMN()), "")</f>
        <v/>
      </c>
      <c r="H459" s="1" t="str" cm="1">
        <f t="array" ref="H459">IFERROR(INDEX(PV_Totals_By_Item[#All], ROW()-1, COLUMN()), "")</f>
        <v/>
      </c>
      <c r="I459" s="1" t="str" cm="1">
        <f t="array" ref="I459">IFERROR(INDEX(PV_Totals_By_Item[#All], ROW()-1, COLUMN()), "")</f>
        <v/>
      </c>
      <c r="J459" s="1" t="str" cm="1">
        <f t="array" ref="J459">IFERROR(INDEX(PV_Totals_By_Item[#All], ROW()-1, COLUMN()), "")</f>
        <v/>
      </c>
    </row>
    <row r="460" spans="1:10">
      <c r="A460" s="1" t="str" cm="1">
        <f t="array" ref="A460">IFERROR(INDEX(PV_Totals_By_Item[#All], ROW()-1, COLUMN()), "")</f>
        <v/>
      </c>
      <c r="B460" s="1" t="str" cm="1">
        <f t="array" ref="B460">IFERROR(INDEX(PV_Totals_By_Item[#All], ROW()-1, COLUMN()), "")</f>
        <v/>
      </c>
      <c r="C460" s="1" t="str" cm="1">
        <f t="array" ref="C460">IFERROR(INDEX(PV_Totals_By_Item[#All], ROW()-1, COLUMN()), "")</f>
        <v/>
      </c>
      <c r="D460" s="1" t="str" cm="1">
        <f t="array" ref="D460">IFERROR(INDEX(PV_Totals_By_Item[#All], ROW()-1, COLUMN()), "")</f>
        <v/>
      </c>
      <c r="E460" s="1" t="str" cm="1">
        <f t="array" ref="E460">IFERROR(INDEX(PV_Totals_By_Item[#All], ROW()-1, COLUMN()), "")</f>
        <v/>
      </c>
      <c r="F460" s="1" t="str" cm="1">
        <f t="array" ref="F460">IFERROR(INDEX(PV_Totals_By_Item[#All], ROW()-1, COLUMN()), "")</f>
        <v/>
      </c>
      <c r="G460" s="1" t="str" cm="1">
        <f t="array" ref="G460">IFERROR(INDEX(PV_Totals_By_Item[#All], ROW()-1, COLUMN()), "")</f>
        <v/>
      </c>
      <c r="H460" s="1" t="str" cm="1">
        <f t="array" ref="H460">IFERROR(INDEX(PV_Totals_By_Item[#All], ROW()-1, COLUMN()), "")</f>
        <v/>
      </c>
      <c r="I460" s="1" t="str" cm="1">
        <f t="array" ref="I460">IFERROR(INDEX(PV_Totals_By_Item[#All], ROW()-1, COLUMN()), "")</f>
        <v/>
      </c>
      <c r="J460" s="1" t="str" cm="1">
        <f t="array" ref="J460">IFERROR(INDEX(PV_Totals_By_Item[#All], ROW()-1, COLUMN()), "")</f>
        <v/>
      </c>
    </row>
    <row r="461" spans="1:10">
      <c r="A461" s="1" t="str" cm="1">
        <f t="array" ref="A461">IFERROR(INDEX(PV_Totals_By_Item[#All], ROW()-1, COLUMN()), "")</f>
        <v/>
      </c>
      <c r="B461" s="1" t="str" cm="1">
        <f t="array" ref="B461">IFERROR(INDEX(PV_Totals_By_Item[#All], ROW()-1, COLUMN()), "")</f>
        <v/>
      </c>
      <c r="C461" s="1" t="str" cm="1">
        <f t="array" ref="C461">IFERROR(INDEX(PV_Totals_By_Item[#All], ROW()-1, COLUMN()), "")</f>
        <v/>
      </c>
      <c r="D461" s="1" t="str" cm="1">
        <f t="array" ref="D461">IFERROR(INDEX(PV_Totals_By_Item[#All], ROW()-1, COLUMN()), "")</f>
        <v/>
      </c>
      <c r="E461" s="1" t="str" cm="1">
        <f t="array" ref="E461">IFERROR(INDEX(PV_Totals_By_Item[#All], ROW()-1, COLUMN()), "")</f>
        <v/>
      </c>
      <c r="F461" s="1" t="str" cm="1">
        <f t="array" ref="F461">IFERROR(INDEX(PV_Totals_By_Item[#All], ROW()-1, COLUMN()), "")</f>
        <v/>
      </c>
      <c r="G461" s="1" t="str" cm="1">
        <f t="array" ref="G461">IFERROR(INDEX(PV_Totals_By_Item[#All], ROW()-1, COLUMN()), "")</f>
        <v/>
      </c>
      <c r="H461" s="1" t="str" cm="1">
        <f t="array" ref="H461">IFERROR(INDEX(PV_Totals_By_Item[#All], ROW()-1, COLUMN()), "")</f>
        <v/>
      </c>
      <c r="I461" s="1" t="str" cm="1">
        <f t="array" ref="I461">IFERROR(INDEX(PV_Totals_By_Item[#All], ROW()-1, COLUMN()), "")</f>
        <v/>
      </c>
      <c r="J461" s="1" t="str" cm="1">
        <f t="array" ref="J461">IFERROR(INDEX(PV_Totals_By_Item[#All], ROW()-1, COLUMN()), "")</f>
        <v/>
      </c>
    </row>
    <row r="462" spans="1:10">
      <c r="A462" s="1" t="str" cm="1">
        <f t="array" ref="A462">IFERROR(INDEX(PV_Totals_By_Item[#All], ROW()-1, COLUMN()), "")</f>
        <v/>
      </c>
      <c r="B462" s="1" t="str" cm="1">
        <f t="array" ref="B462">IFERROR(INDEX(PV_Totals_By_Item[#All], ROW()-1, COLUMN()), "")</f>
        <v/>
      </c>
      <c r="C462" s="1" t="str" cm="1">
        <f t="array" ref="C462">IFERROR(INDEX(PV_Totals_By_Item[#All], ROW()-1, COLUMN()), "")</f>
        <v/>
      </c>
      <c r="D462" s="1" t="str" cm="1">
        <f t="array" ref="D462">IFERROR(INDEX(PV_Totals_By_Item[#All], ROW()-1, COLUMN()), "")</f>
        <v/>
      </c>
      <c r="E462" s="1" t="str" cm="1">
        <f t="array" ref="E462">IFERROR(INDEX(PV_Totals_By_Item[#All], ROW()-1, COLUMN()), "")</f>
        <v/>
      </c>
      <c r="F462" s="1" t="str" cm="1">
        <f t="array" ref="F462">IFERROR(INDEX(PV_Totals_By_Item[#All], ROW()-1, COLUMN()), "")</f>
        <v/>
      </c>
      <c r="G462" s="1" t="str" cm="1">
        <f t="array" ref="G462">IFERROR(INDEX(PV_Totals_By_Item[#All], ROW()-1, COLUMN()), "")</f>
        <v/>
      </c>
      <c r="H462" s="1" t="str" cm="1">
        <f t="array" ref="H462">IFERROR(INDEX(PV_Totals_By_Item[#All], ROW()-1, COLUMN()), "")</f>
        <v/>
      </c>
      <c r="I462" s="1" t="str" cm="1">
        <f t="array" ref="I462">IFERROR(INDEX(PV_Totals_By_Item[#All], ROW()-1, COLUMN()), "")</f>
        <v/>
      </c>
      <c r="J462" s="1" t="str" cm="1">
        <f t="array" ref="J462">IFERROR(INDEX(PV_Totals_By_Item[#All], ROW()-1, COLUMN()), "")</f>
        <v/>
      </c>
    </row>
    <row r="463" spans="1:10">
      <c r="A463" s="1" t="str" cm="1">
        <f t="array" ref="A463">IFERROR(INDEX(PV_Totals_By_Item[#All], ROW()-1, COLUMN()), "")</f>
        <v/>
      </c>
      <c r="B463" s="1" t="str" cm="1">
        <f t="array" ref="B463">IFERROR(INDEX(PV_Totals_By_Item[#All], ROW()-1, COLUMN()), "")</f>
        <v/>
      </c>
      <c r="C463" s="1" t="str" cm="1">
        <f t="array" ref="C463">IFERROR(INDEX(PV_Totals_By_Item[#All], ROW()-1, COLUMN()), "")</f>
        <v/>
      </c>
      <c r="D463" s="1" t="str" cm="1">
        <f t="array" ref="D463">IFERROR(INDEX(PV_Totals_By_Item[#All], ROW()-1, COLUMN()), "")</f>
        <v/>
      </c>
      <c r="E463" s="1" t="str" cm="1">
        <f t="array" ref="E463">IFERROR(INDEX(PV_Totals_By_Item[#All], ROW()-1, COLUMN()), "")</f>
        <v/>
      </c>
      <c r="F463" s="1" t="str" cm="1">
        <f t="array" ref="F463">IFERROR(INDEX(PV_Totals_By_Item[#All], ROW()-1, COLUMN()), "")</f>
        <v/>
      </c>
      <c r="G463" s="1" t="str" cm="1">
        <f t="array" ref="G463">IFERROR(INDEX(PV_Totals_By_Item[#All], ROW()-1, COLUMN()), "")</f>
        <v/>
      </c>
      <c r="H463" s="1" t="str" cm="1">
        <f t="array" ref="H463">IFERROR(INDEX(PV_Totals_By_Item[#All], ROW()-1, COLUMN()), "")</f>
        <v/>
      </c>
      <c r="I463" s="1" t="str" cm="1">
        <f t="array" ref="I463">IFERROR(INDEX(PV_Totals_By_Item[#All], ROW()-1, COLUMN()), "")</f>
        <v/>
      </c>
      <c r="J463" s="1" t="str" cm="1">
        <f t="array" ref="J463">IFERROR(INDEX(PV_Totals_By_Item[#All], ROW()-1, COLUMN()), "")</f>
        <v/>
      </c>
    </row>
    <row r="464" spans="1:10">
      <c r="A464" s="1" t="str" cm="1">
        <f t="array" ref="A464">IFERROR(INDEX(PV_Totals_By_Item[#All], ROW()-1, COLUMN()), "")</f>
        <v/>
      </c>
      <c r="B464" s="1" t="str" cm="1">
        <f t="array" ref="B464">IFERROR(INDEX(PV_Totals_By_Item[#All], ROW()-1, COLUMN()), "")</f>
        <v/>
      </c>
      <c r="C464" s="1" t="str" cm="1">
        <f t="array" ref="C464">IFERROR(INDEX(PV_Totals_By_Item[#All], ROW()-1, COLUMN()), "")</f>
        <v/>
      </c>
      <c r="D464" s="1" t="str" cm="1">
        <f t="array" ref="D464">IFERROR(INDEX(PV_Totals_By_Item[#All], ROW()-1, COLUMN()), "")</f>
        <v/>
      </c>
      <c r="E464" s="1" t="str" cm="1">
        <f t="array" ref="E464">IFERROR(INDEX(PV_Totals_By_Item[#All], ROW()-1, COLUMN()), "")</f>
        <v/>
      </c>
      <c r="F464" s="1" t="str" cm="1">
        <f t="array" ref="F464">IFERROR(INDEX(PV_Totals_By_Item[#All], ROW()-1, COLUMN()), "")</f>
        <v/>
      </c>
      <c r="G464" s="1" t="str" cm="1">
        <f t="array" ref="G464">IFERROR(INDEX(PV_Totals_By_Item[#All], ROW()-1, COLUMN()), "")</f>
        <v/>
      </c>
      <c r="H464" s="1" t="str" cm="1">
        <f t="array" ref="H464">IFERROR(INDEX(PV_Totals_By_Item[#All], ROW()-1, COLUMN()), "")</f>
        <v/>
      </c>
      <c r="I464" s="1" t="str" cm="1">
        <f t="array" ref="I464">IFERROR(INDEX(PV_Totals_By_Item[#All], ROW()-1, COLUMN()), "")</f>
        <v/>
      </c>
      <c r="J464" s="1" t="str" cm="1">
        <f t="array" ref="J464">IFERROR(INDEX(PV_Totals_By_Item[#All], ROW()-1, COLUMN()), "")</f>
        <v/>
      </c>
    </row>
    <row r="465" spans="1:10">
      <c r="A465" s="1" t="str" cm="1">
        <f t="array" ref="A465">IFERROR(INDEX(PV_Totals_By_Item[#All], ROW()-1, COLUMN()), "")</f>
        <v/>
      </c>
      <c r="B465" s="1" t="str" cm="1">
        <f t="array" ref="B465">IFERROR(INDEX(PV_Totals_By_Item[#All], ROW()-1, COLUMN()), "")</f>
        <v/>
      </c>
      <c r="C465" s="1" t="str" cm="1">
        <f t="array" ref="C465">IFERROR(INDEX(PV_Totals_By_Item[#All], ROW()-1, COLUMN()), "")</f>
        <v/>
      </c>
      <c r="D465" s="1" t="str" cm="1">
        <f t="array" ref="D465">IFERROR(INDEX(PV_Totals_By_Item[#All], ROW()-1, COLUMN()), "")</f>
        <v/>
      </c>
      <c r="E465" s="1" t="str" cm="1">
        <f t="array" ref="E465">IFERROR(INDEX(PV_Totals_By_Item[#All], ROW()-1, COLUMN()), "")</f>
        <v/>
      </c>
      <c r="F465" s="1" t="str" cm="1">
        <f t="array" ref="F465">IFERROR(INDEX(PV_Totals_By_Item[#All], ROW()-1, COLUMN()), "")</f>
        <v/>
      </c>
      <c r="G465" s="1" t="str" cm="1">
        <f t="array" ref="G465">IFERROR(INDEX(PV_Totals_By_Item[#All], ROW()-1, COLUMN()), "")</f>
        <v/>
      </c>
      <c r="H465" s="1" t="str" cm="1">
        <f t="array" ref="H465">IFERROR(INDEX(PV_Totals_By_Item[#All], ROW()-1, COLUMN()), "")</f>
        <v/>
      </c>
      <c r="I465" s="1" t="str" cm="1">
        <f t="array" ref="I465">IFERROR(INDEX(PV_Totals_By_Item[#All], ROW()-1, COLUMN()), "")</f>
        <v/>
      </c>
      <c r="J465" s="1" t="str" cm="1">
        <f t="array" ref="J465">IFERROR(INDEX(PV_Totals_By_Item[#All], ROW()-1, COLUMN()), "")</f>
        <v/>
      </c>
    </row>
    <row r="466" spans="1:10">
      <c r="A466" s="1" t="str" cm="1">
        <f t="array" ref="A466">IFERROR(INDEX(PV_Totals_By_Item[#All], ROW()-1, COLUMN()), "")</f>
        <v/>
      </c>
      <c r="B466" s="1" t="str" cm="1">
        <f t="array" ref="B466">IFERROR(INDEX(PV_Totals_By_Item[#All], ROW()-1, COLUMN()), "")</f>
        <v/>
      </c>
      <c r="C466" s="1" t="str" cm="1">
        <f t="array" ref="C466">IFERROR(INDEX(PV_Totals_By_Item[#All], ROW()-1, COLUMN()), "")</f>
        <v/>
      </c>
      <c r="D466" s="1" t="str" cm="1">
        <f t="array" ref="D466">IFERROR(INDEX(PV_Totals_By_Item[#All], ROW()-1, COLUMN()), "")</f>
        <v/>
      </c>
      <c r="E466" s="1" t="str" cm="1">
        <f t="array" ref="E466">IFERROR(INDEX(PV_Totals_By_Item[#All], ROW()-1, COLUMN()), "")</f>
        <v/>
      </c>
      <c r="F466" s="1" t="str" cm="1">
        <f t="array" ref="F466">IFERROR(INDEX(PV_Totals_By_Item[#All], ROW()-1, COLUMN()), "")</f>
        <v/>
      </c>
      <c r="G466" s="1" t="str" cm="1">
        <f t="array" ref="G466">IFERROR(INDEX(PV_Totals_By_Item[#All], ROW()-1, COLUMN()), "")</f>
        <v/>
      </c>
      <c r="H466" s="1" t="str" cm="1">
        <f t="array" ref="H466">IFERROR(INDEX(PV_Totals_By_Item[#All], ROW()-1, COLUMN()), "")</f>
        <v/>
      </c>
      <c r="I466" s="1" t="str" cm="1">
        <f t="array" ref="I466">IFERROR(INDEX(PV_Totals_By_Item[#All], ROW()-1, COLUMN()), "")</f>
        <v/>
      </c>
      <c r="J466" s="1" t="str" cm="1">
        <f t="array" ref="J466">IFERROR(INDEX(PV_Totals_By_Item[#All], ROW()-1, COLUMN()), "")</f>
        <v/>
      </c>
    </row>
    <row r="467" spans="1:10">
      <c r="A467" s="1" t="str" cm="1">
        <f t="array" ref="A467">IFERROR(INDEX(PV_Totals_By_Item[#All], ROW()-1, COLUMN()), "")</f>
        <v/>
      </c>
      <c r="B467" s="1" t="str" cm="1">
        <f t="array" ref="B467">IFERROR(INDEX(PV_Totals_By_Item[#All], ROW()-1, COLUMN()), "")</f>
        <v/>
      </c>
      <c r="C467" s="1" t="str" cm="1">
        <f t="array" ref="C467">IFERROR(INDEX(PV_Totals_By_Item[#All], ROW()-1, COLUMN()), "")</f>
        <v/>
      </c>
      <c r="D467" s="1" t="str" cm="1">
        <f t="array" ref="D467">IFERROR(INDEX(PV_Totals_By_Item[#All], ROW()-1, COLUMN()), "")</f>
        <v/>
      </c>
      <c r="E467" s="1" t="str" cm="1">
        <f t="array" ref="E467">IFERROR(INDEX(PV_Totals_By_Item[#All], ROW()-1, COLUMN()), "")</f>
        <v/>
      </c>
      <c r="F467" s="1" t="str" cm="1">
        <f t="array" ref="F467">IFERROR(INDEX(PV_Totals_By_Item[#All], ROW()-1, COLUMN()), "")</f>
        <v/>
      </c>
      <c r="G467" s="1" t="str" cm="1">
        <f t="array" ref="G467">IFERROR(INDEX(PV_Totals_By_Item[#All], ROW()-1, COLUMN()), "")</f>
        <v/>
      </c>
      <c r="H467" s="1" t="str" cm="1">
        <f t="array" ref="H467">IFERROR(INDEX(PV_Totals_By_Item[#All], ROW()-1, COLUMN()), "")</f>
        <v/>
      </c>
      <c r="I467" s="1" t="str" cm="1">
        <f t="array" ref="I467">IFERROR(INDEX(PV_Totals_By_Item[#All], ROW()-1, COLUMN()), "")</f>
        <v/>
      </c>
      <c r="J467" s="1" t="str" cm="1">
        <f t="array" ref="J467">IFERROR(INDEX(PV_Totals_By_Item[#All], ROW()-1, COLUMN()), "")</f>
        <v/>
      </c>
    </row>
    <row r="468" spans="1:10">
      <c r="A468" s="1" t="str" cm="1">
        <f t="array" ref="A468">IFERROR(INDEX(PV_Totals_By_Item[#All], ROW()-1, COLUMN()), "")</f>
        <v/>
      </c>
      <c r="B468" s="1" t="str" cm="1">
        <f t="array" ref="B468">IFERROR(INDEX(PV_Totals_By_Item[#All], ROW()-1, COLUMN()), "")</f>
        <v/>
      </c>
      <c r="C468" s="1" t="str" cm="1">
        <f t="array" ref="C468">IFERROR(INDEX(PV_Totals_By_Item[#All], ROW()-1, COLUMN()), "")</f>
        <v/>
      </c>
      <c r="D468" s="1" t="str" cm="1">
        <f t="array" ref="D468">IFERROR(INDEX(PV_Totals_By_Item[#All], ROW()-1, COLUMN()), "")</f>
        <v/>
      </c>
      <c r="E468" s="1" t="str" cm="1">
        <f t="array" ref="E468">IFERROR(INDEX(PV_Totals_By_Item[#All], ROW()-1, COLUMN()), "")</f>
        <v/>
      </c>
      <c r="F468" s="1" t="str" cm="1">
        <f t="array" ref="F468">IFERROR(INDEX(PV_Totals_By_Item[#All], ROW()-1, COLUMN()), "")</f>
        <v/>
      </c>
      <c r="G468" s="1" t="str" cm="1">
        <f t="array" ref="G468">IFERROR(INDEX(PV_Totals_By_Item[#All], ROW()-1, COLUMN()), "")</f>
        <v/>
      </c>
      <c r="H468" s="1" t="str" cm="1">
        <f t="array" ref="H468">IFERROR(INDEX(PV_Totals_By_Item[#All], ROW()-1, COLUMN()), "")</f>
        <v/>
      </c>
      <c r="I468" s="1" t="str" cm="1">
        <f t="array" ref="I468">IFERROR(INDEX(PV_Totals_By_Item[#All], ROW()-1, COLUMN()), "")</f>
        <v/>
      </c>
      <c r="J468" s="1" t="str" cm="1">
        <f t="array" ref="J468">IFERROR(INDEX(PV_Totals_By_Item[#All], ROW()-1, COLUMN()), "")</f>
        <v/>
      </c>
    </row>
    <row r="469" spans="1:10">
      <c r="A469" s="1" t="str" cm="1">
        <f t="array" ref="A469">IFERROR(INDEX(PV_Totals_By_Item[#All], ROW()-1, COLUMN()), "")</f>
        <v/>
      </c>
      <c r="B469" s="1" t="str" cm="1">
        <f t="array" ref="B469">IFERROR(INDEX(PV_Totals_By_Item[#All], ROW()-1, COLUMN()), "")</f>
        <v/>
      </c>
      <c r="C469" s="1" t="str" cm="1">
        <f t="array" ref="C469">IFERROR(INDEX(PV_Totals_By_Item[#All], ROW()-1, COLUMN()), "")</f>
        <v/>
      </c>
      <c r="D469" s="1" t="str" cm="1">
        <f t="array" ref="D469">IFERROR(INDEX(PV_Totals_By_Item[#All], ROW()-1, COLUMN()), "")</f>
        <v/>
      </c>
      <c r="E469" s="1" t="str" cm="1">
        <f t="array" ref="E469">IFERROR(INDEX(PV_Totals_By_Item[#All], ROW()-1, COLUMN()), "")</f>
        <v/>
      </c>
      <c r="F469" s="1" t="str" cm="1">
        <f t="array" ref="F469">IFERROR(INDEX(PV_Totals_By_Item[#All], ROW()-1, COLUMN()), "")</f>
        <v/>
      </c>
      <c r="G469" s="1" t="str" cm="1">
        <f t="array" ref="G469">IFERROR(INDEX(PV_Totals_By_Item[#All], ROW()-1, COLUMN()), "")</f>
        <v/>
      </c>
      <c r="H469" s="1" t="str" cm="1">
        <f t="array" ref="H469">IFERROR(INDEX(PV_Totals_By_Item[#All], ROW()-1, COLUMN()), "")</f>
        <v/>
      </c>
      <c r="I469" s="1" t="str" cm="1">
        <f t="array" ref="I469">IFERROR(INDEX(PV_Totals_By_Item[#All], ROW()-1, COLUMN()), "")</f>
        <v/>
      </c>
      <c r="J469" s="1" t="str" cm="1">
        <f t="array" ref="J469">IFERROR(INDEX(PV_Totals_By_Item[#All], ROW()-1, COLUMN()), "")</f>
        <v/>
      </c>
    </row>
    <row r="470" spans="1:10">
      <c r="A470" s="1" t="str" cm="1">
        <f t="array" ref="A470">IFERROR(INDEX(PV_Totals_By_Item[#All], ROW()-1, COLUMN()), "")</f>
        <v/>
      </c>
      <c r="B470" s="1" t="str" cm="1">
        <f t="array" ref="B470">IFERROR(INDEX(PV_Totals_By_Item[#All], ROW()-1, COLUMN()), "")</f>
        <v/>
      </c>
      <c r="C470" s="1" t="str" cm="1">
        <f t="array" ref="C470">IFERROR(INDEX(PV_Totals_By_Item[#All], ROW()-1, COLUMN()), "")</f>
        <v/>
      </c>
      <c r="D470" s="1" t="str" cm="1">
        <f t="array" ref="D470">IFERROR(INDEX(PV_Totals_By_Item[#All], ROW()-1, COLUMN()), "")</f>
        <v/>
      </c>
      <c r="E470" s="1" t="str" cm="1">
        <f t="array" ref="E470">IFERROR(INDEX(PV_Totals_By_Item[#All], ROW()-1, COLUMN()), "")</f>
        <v/>
      </c>
      <c r="F470" s="1" t="str" cm="1">
        <f t="array" ref="F470">IFERROR(INDEX(PV_Totals_By_Item[#All], ROW()-1, COLUMN()), "")</f>
        <v/>
      </c>
      <c r="G470" s="1" t="str" cm="1">
        <f t="array" ref="G470">IFERROR(INDEX(PV_Totals_By_Item[#All], ROW()-1, COLUMN()), "")</f>
        <v/>
      </c>
      <c r="H470" s="1" t="str" cm="1">
        <f t="array" ref="H470">IFERROR(INDEX(PV_Totals_By_Item[#All], ROW()-1, COLUMN()), "")</f>
        <v/>
      </c>
      <c r="I470" s="1" t="str" cm="1">
        <f t="array" ref="I470">IFERROR(INDEX(PV_Totals_By_Item[#All], ROW()-1, COLUMN()), "")</f>
        <v/>
      </c>
      <c r="J470" s="1" t="str" cm="1">
        <f t="array" ref="J470">IFERROR(INDEX(PV_Totals_By_Item[#All], ROW()-1, COLUMN()), "")</f>
        <v/>
      </c>
    </row>
    <row r="471" spans="1:10">
      <c r="A471" s="1" t="str" cm="1">
        <f t="array" ref="A471">IFERROR(INDEX(PV_Totals_By_Item[#All], ROW()-1, COLUMN()), "")</f>
        <v/>
      </c>
      <c r="B471" s="1" t="str" cm="1">
        <f t="array" ref="B471">IFERROR(INDEX(PV_Totals_By_Item[#All], ROW()-1, COLUMN()), "")</f>
        <v/>
      </c>
      <c r="C471" s="1" t="str" cm="1">
        <f t="array" ref="C471">IFERROR(INDEX(PV_Totals_By_Item[#All], ROW()-1, COLUMN()), "")</f>
        <v/>
      </c>
      <c r="D471" s="1" t="str" cm="1">
        <f t="array" ref="D471">IFERROR(INDEX(PV_Totals_By_Item[#All], ROW()-1, COLUMN()), "")</f>
        <v/>
      </c>
      <c r="E471" s="1" t="str" cm="1">
        <f t="array" ref="E471">IFERROR(INDEX(PV_Totals_By_Item[#All], ROW()-1, COLUMN()), "")</f>
        <v/>
      </c>
      <c r="F471" s="1" t="str" cm="1">
        <f t="array" ref="F471">IFERROR(INDEX(PV_Totals_By_Item[#All], ROW()-1, COLUMN()), "")</f>
        <v/>
      </c>
      <c r="G471" s="1" t="str" cm="1">
        <f t="array" ref="G471">IFERROR(INDEX(PV_Totals_By_Item[#All], ROW()-1, COLUMN()), "")</f>
        <v/>
      </c>
      <c r="H471" s="1" t="str" cm="1">
        <f t="array" ref="H471">IFERROR(INDEX(PV_Totals_By_Item[#All], ROW()-1, COLUMN()), "")</f>
        <v/>
      </c>
      <c r="I471" s="1" t="str" cm="1">
        <f t="array" ref="I471">IFERROR(INDEX(PV_Totals_By_Item[#All], ROW()-1, COLUMN()), "")</f>
        <v/>
      </c>
      <c r="J471" s="1" t="str" cm="1">
        <f t="array" ref="J471">IFERROR(INDEX(PV_Totals_By_Item[#All], ROW()-1, COLUMN()), "")</f>
        <v/>
      </c>
    </row>
    <row r="472" spans="1:10">
      <c r="A472" s="1" t="str" cm="1">
        <f t="array" ref="A472">IFERROR(INDEX(PV_Totals_By_Item[#All], ROW()-1, COLUMN()), "")</f>
        <v/>
      </c>
      <c r="B472" s="1" t="str" cm="1">
        <f t="array" ref="B472">IFERROR(INDEX(PV_Totals_By_Item[#All], ROW()-1, COLUMN()), "")</f>
        <v/>
      </c>
      <c r="C472" s="1" t="str" cm="1">
        <f t="array" ref="C472">IFERROR(INDEX(PV_Totals_By_Item[#All], ROW()-1, COLUMN()), "")</f>
        <v/>
      </c>
      <c r="D472" s="1" t="str" cm="1">
        <f t="array" ref="D472">IFERROR(INDEX(PV_Totals_By_Item[#All], ROW()-1, COLUMN()), "")</f>
        <v/>
      </c>
      <c r="E472" s="1" t="str" cm="1">
        <f t="array" ref="E472">IFERROR(INDEX(PV_Totals_By_Item[#All], ROW()-1, COLUMN()), "")</f>
        <v/>
      </c>
      <c r="F472" s="1" t="str" cm="1">
        <f t="array" ref="F472">IFERROR(INDEX(PV_Totals_By_Item[#All], ROW()-1, COLUMN()), "")</f>
        <v/>
      </c>
      <c r="G472" s="1" t="str" cm="1">
        <f t="array" ref="G472">IFERROR(INDEX(PV_Totals_By_Item[#All], ROW()-1, COLUMN()), "")</f>
        <v/>
      </c>
      <c r="H472" s="1" t="str" cm="1">
        <f t="array" ref="H472">IFERROR(INDEX(PV_Totals_By_Item[#All], ROW()-1, COLUMN()), "")</f>
        <v/>
      </c>
      <c r="I472" s="1" t="str" cm="1">
        <f t="array" ref="I472">IFERROR(INDEX(PV_Totals_By_Item[#All], ROW()-1, COLUMN()), "")</f>
        <v/>
      </c>
      <c r="J472" s="1" t="str" cm="1">
        <f t="array" ref="J472">IFERROR(INDEX(PV_Totals_By_Item[#All], ROW()-1, COLUMN()), "")</f>
        <v/>
      </c>
    </row>
    <row r="473" spans="1:10">
      <c r="A473" s="1" t="str" cm="1">
        <f t="array" ref="A473">IFERROR(INDEX(PV_Totals_By_Item[#All], ROW()-1, COLUMN()), "")</f>
        <v/>
      </c>
      <c r="B473" s="1" t="str" cm="1">
        <f t="array" ref="B473">IFERROR(INDEX(PV_Totals_By_Item[#All], ROW()-1, COLUMN()), "")</f>
        <v/>
      </c>
      <c r="C473" s="1" t="str" cm="1">
        <f t="array" ref="C473">IFERROR(INDEX(PV_Totals_By_Item[#All], ROW()-1, COLUMN()), "")</f>
        <v/>
      </c>
      <c r="D473" s="1" t="str" cm="1">
        <f t="array" ref="D473">IFERROR(INDEX(PV_Totals_By_Item[#All], ROW()-1, COLUMN()), "")</f>
        <v/>
      </c>
      <c r="E473" s="1" t="str" cm="1">
        <f t="array" ref="E473">IFERROR(INDEX(PV_Totals_By_Item[#All], ROW()-1, COLUMN()), "")</f>
        <v/>
      </c>
      <c r="F473" s="1" t="str" cm="1">
        <f t="array" ref="F473">IFERROR(INDEX(PV_Totals_By_Item[#All], ROW()-1, COLUMN()), "")</f>
        <v/>
      </c>
      <c r="G473" s="1" t="str" cm="1">
        <f t="array" ref="G473">IFERROR(INDEX(PV_Totals_By_Item[#All], ROW()-1, COLUMN()), "")</f>
        <v/>
      </c>
      <c r="H473" s="1" t="str" cm="1">
        <f t="array" ref="H473">IFERROR(INDEX(PV_Totals_By_Item[#All], ROW()-1, COLUMN()), "")</f>
        <v/>
      </c>
      <c r="I473" s="1" t="str" cm="1">
        <f t="array" ref="I473">IFERROR(INDEX(PV_Totals_By_Item[#All], ROW()-1, COLUMN()), "")</f>
        <v/>
      </c>
      <c r="J473" s="1" t="str" cm="1">
        <f t="array" ref="J473">IFERROR(INDEX(PV_Totals_By_Item[#All], ROW()-1, COLUMN()), "")</f>
        <v/>
      </c>
    </row>
    <row r="474" spans="1:10">
      <c r="A474" s="1" t="str" cm="1">
        <f t="array" ref="A474">IFERROR(INDEX(PV_Totals_By_Item[#All], ROW()-1, COLUMN()), "")</f>
        <v/>
      </c>
      <c r="B474" s="1" t="str" cm="1">
        <f t="array" ref="B474">IFERROR(INDEX(PV_Totals_By_Item[#All], ROW()-1, COLUMN()), "")</f>
        <v/>
      </c>
      <c r="C474" s="1" t="str" cm="1">
        <f t="array" ref="C474">IFERROR(INDEX(PV_Totals_By_Item[#All], ROW()-1, COLUMN()), "")</f>
        <v/>
      </c>
      <c r="D474" s="1" t="str" cm="1">
        <f t="array" ref="D474">IFERROR(INDEX(PV_Totals_By_Item[#All], ROW()-1, COLUMN()), "")</f>
        <v/>
      </c>
      <c r="E474" s="1" t="str" cm="1">
        <f t="array" ref="E474">IFERROR(INDEX(PV_Totals_By_Item[#All], ROW()-1, COLUMN()), "")</f>
        <v/>
      </c>
      <c r="F474" s="1" t="str" cm="1">
        <f t="array" ref="F474">IFERROR(INDEX(PV_Totals_By_Item[#All], ROW()-1, COLUMN()), "")</f>
        <v/>
      </c>
      <c r="G474" s="1" t="str" cm="1">
        <f t="array" ref="G474">IFERROR(INDEX(PV_Totals_By_Item[#All], ROW()-1, COLUMN()), "")</f>
        <v/>
      </c>
      <c r="H474" s="1" t="str" cm="1">
        <f t="array" ref="H474">IFERROR(INDEX(PV_Totals_By_Item[#All], ROW()-1, COLUMN()), "")</f>
        <v/>
      </c>
      <c r="I474" s="1" t="str" cm="1">
        <f t="array" ref="I474">IFERROR(INDEX(PV_Totals_By_Item[#All], ROW()-1, COLUMN()), "")</f>
        <v/>
      </c>
      <c r="J474" s="1" t="str" cm="1">
        <f t="array" ref="J474">IFERROR(INDEX(PV_Totals_By_Item[#All], ROW()-1, COLUMN()), "")</f>
        <v/>
      </c>
    </row>
    <row r="475" spans="1:10">
      <c r="A475" s="1" t="str" cm="1">
        <f t="array" ref="A475">IFERROR(INDEX(PV_Totals_By_Item[#All], ROW()-1, COLUMN()), "")</f>
        <v/>
      </c>
      <c r="B475" s="1" t="str" cm="1">
        <f t="array" ref="B475">IFERROR(INDEX(PV_Totals_By_Item[#All], ROW()-1, COLUMN()), "")</f>
        <v/>
      </c>
      <c r="C475" s="1" t="str" cm="1">
        <f t="array" ref="C475">IFERROR(INDEX(PV_Totals_By_Item[#All], ROW()-1, COLUMN()), "")</f>
        <v/>
      </c>
      <c r="D475" s="1" t="str" cm="1">
        <f t="array" ref="D475">IFERROR(INDEX(PV_Totals_By_Item[#All], ROW()-1, COLUMN()), "")</f>
        <v/>
      </c>
      <c r="E475" s="1" t="str" cm="1">
        <f t="array" ref="E475">IFERROR(INDEX(PV_Totals_By_Item[#All], ROW()-1, COLUMN()), "")</f>
        <v/>
      </c>
      <c r="F475" s="1" t="str" cm="1">
        <f t="array" ref="F475">IFERROR(INDEX(PV_Totals_By_Item[#All], ROW()-1, COLUMN()), "")</f>
        <v/>
      </c>
      <c r="G475" s="1" t="str" cm="1">
        <f t="array" ref="G475">IFERROR(INDEX(PV_Totals_By_Item[#All], ROW()-1, COLUMN()), "")</f>
        <v/>
      </c>
      <c r="H475" s="1" t="str" cm="1">
        <f t="array" ref="H475">IFERROR(INDEX(PV_Totals_By_Item[#All], ROW()-1, COLUMN()), "")</f>
        <v/>
      </c>
      <c r="I475" s="1" t="str" cm="1">
        <f t="array" ref="I475">IFERROR(INDEX(PV_Totals_By_Item[#All], ROW()-1, COLUMN()), "")</f>
        <v/>
      </c>
      <c r="J475" s="1" t="str" cm="1">
        <f t="array" ref="J475">IFERROR(INDEX(PV_Totals_By_Item[#All], ROW()-1, COLUMN()), "")</f>
        <v/>
      </c>
    </row>
    <row r="476" spans="1:10">
      <c r="A476" s="1" t="str" cm="1">
        <f t="array" ref="A476">IFERROR(INDEX(PV_Totals_By_Item[#All], ROW()-1, COLUMN()), "")</f>
        <v/>
      </c>
      <c r="B476" s="1" t="str" cm="1">
        <f t="array" ref="B476">IFERROR(INDEX(PV_Totals_By_Item[#All], ROW()-1, COLUMN()), "")</f>
        <v/>
      </c>
      <c r="C476" s="1" t="str" cm="1">
        <f t="array" ref="C476">IFERROR(INDEX(PV_Totals_By_Item[#All], ROW()-1, COLUMN()), "")</f>
        <v/>
      </c>
      <c r="D476" s="1" t="str" cm="1">
        <f t="array" ref="D476">IFERROR(INDEX(PV_Totals_By_Item[#All], ROW()-1, COLUMN()), "")</f>
        <v/>
      </c>
      <c r="E476" s="1" t="str" cm="1">
        <f t="array" ref="E476">IFERROR(INDEX(PV_Totals_By_Item[#All], ROW()-1, COLUMN()), "")</f>
        <v/>
      </c>
      <c r="F476" s="1" t="str" cm="1">
        <f t="array" ref="F476">IFERROR(INDEX(PV_Totals_By_Item[#All], ROW()-1, COLUMN()), "")</f>
        <v/>
      </c>
      <c r="G476" s="1" t="str" cm="1">
        <f t="array" ref="G476">IFERROR(INDEX(PV_Totals_By_Item[#All], ROW()-1, COLUMN()), "")</f>
        <v/>
      </c>
      <c r="H476" s="1" t="str" cm="1">
        <f t="array" ref="H476">IFERROR(INDEX(PV_Totals_By_Item[#All], ROW()-1, COLUMN()), "")</f>
        <v/>
      </c>
      <c r="I476" s="1" t="str" cm="1">
        <f t="array" ref="I476">IFERROR(INDEX(PV_Totals_By_Item[#All], ROW()-1, COLUMN()), "")</f>
        <v/>
      </c>
      <c r="J476" s="1" t="str" cm="1">
        <f t="array" ref="J476">IFERROR(INDEX(PV_Totals_By_Item[#All], ROW()-1, COLUMN()), "")</f>
        <v/>
      </c>
    </row>
    <row r="477" spans="1:10">
      <c r="A477" s="1" t="str" cm="1">
        <f t="array" ref="A477">IFERROR(INDEX(PV_Totals_By_Item[#All], ROW()-1, COLUMN()), "")</f>
        <v/>
      </c>
      <c r="B477" s="1" t="str" cm="1">
        <f t="array" ref="B477">IFERROR(INDEX(PV_Totals_By_Item[#All], ROW()-1, COLUMN()), "")</f>
        <v/>
      </c>
      <c r="C477" s="1" t="str" cm="1">
        <f t="array" ref="C477">IFERROR(INDEX(PV_Totals_By_Item[#All], ROW()-1, COLUMN()), "")</f>
        <v/>
      </c>
      <c r="D477" s="1" t="str" cm="1">
        <f t="array" ref="D477">IFERROR(INDEX(PV_Totals_By_Item[#All], ROW()-1, COLUMN()), "")</f>
        <v/>
      </c>
      <c r="E477" s="1" t="str" cm="1">
        <f t="array" ref="E477">IFERROR(INDEX(PV_Totals_By_Item[#All], ROW()-1, COLUMN()), "")</f>
        <v/>
      </c>
      <c r="F477" s="1" t="str" cm="1">
        <f t="array" ref="F477">IFERROR(INDEX(PV_Totals_By_Item[#All], ROW()-1, COLUMN()), "")</f>
        <v/>
      </c>
      <c r="G477" s="1" t="str" cm="1">
        <f t="array" ref="G477">IFERROR(INDEX(PV_Totals_By_Item[#All], ROW()-1, COLUMN()), "")</f>
        <v/>
      </c>
      <c r="H477" s="1" t="str" cm="1">
        <f t="array" ref="H477">IFERROR(INDEX(PV_Totals_By_Item[#All], ROW()-1, COLUMN()), "")</f>
        <v/>
      </c>
      <c r="I477" s="1" t="str" cm="1">
        <f t="array" ref="I477">IFERROR(INDEX(PV_Totals_By_Item[#All], ROW()-1, COLUMN()), "")</f>
        <v/>
      </c>
      <c r="J477" s="1" t="str" cm="1">
        <f t="array" ref="J477">IFERROR(INDEX(PV_Totals_By_Item[#All], ROW()-1, COLUMN()), "")</f>
        <v/>
      </c>
    </row>
    <row r="478" spans="1:10">
      <c r="A478" s="1" t="str" cm="1">
        <f t="array" ref="A478">IFERROR(INDEX(PV_Totals_By_Item[#All], ROW()-1, COLUMN()), "")</f>
        <v/>
      </c>
      <c r="B478" s="1" t="str" cm="1">
        <f t="array" ref="B478">IFERROR(INDEX(PV_Totals_By_Item[#All], ROW()-1, COLUMN()), "")</f>
        <v/>
      </c>
      <c r="C478" s="1" t="str" cm="1">
        <f t="array" ref="C478">IFERROR(INDEX(PV_Totals_By_Item[#All], ROW()-1, COLUMN()), "")</f>
        <v/>
      </c>
      <c r="D478" s="1" t="str" cm="1">
        <f t="array" ref="D478">IFERROR(INDEX(PV_Totals_By_Item[#All], ROW()-1, COLUMN()), "")</f>
        <v/>
      </c>
      <c r="E478" s="1" t="str" cm="1">
        <f t="array" ref="E478">IFERROR(INDEX(PV_Totals_By_Item[#All], ROW()-1, COLUMN()), "")</f>
        <v/>
      </c>
      <c r="F478" s="1" t="str" cm="1">
        <f t="array" ref="F478">IFERROR(INDEX(PV_Totals_By_Item[#All], ROW()-1, COLUMN()), "")</f>
        <v/>
      </c>
      <c r="G478" s="1" t="str" cm="1">
        <f t="array" ref="G478">IFERROR(INDEX(PV_Totals_By_Item[#All], ROW()-1, COLUMN()), "")</f>
        <v/>
      </c>
      <c r="H478" s="1" t="str" cm="1">
        <f t="array" ref="H478">IFERROR(INDEX(PV_Totals_By_Item[#All], ROW()-1, COLUMN()), "")</f>
        <v/>
      </c>
      <c r="I478" s="1" t="str" cm="1">
        <f t="array" ref="I478">IFERROR(INDEX(PV_Totals_By_Item[#All], ROW()-1, COLUMN()), "")</f>
        <v/>
      </c>
      <c r="J478" s="1" t="str" cm="1">
        <f t="array" ref="J478">IFERROR(INDEX(PV_Totals_By_Item[#All], ROW()-1, COLUMN()), "")</f>
        <v/>
      </c>
    </row>
    <row r="479" spans="1:10">
      <c r="A479" s="1" t="str" cm="1">
        <f t="array" ref="A479">IFERROR(INDEX(PV_Totals_By_Item[#All], ROW()-1, COLUMN()), "")</f>
        <v/>
      </c>
      <c r="B479" s="1" t="str" cm="1">
        <f t="array" ref="B479">IFERROR(INDEX(PV_Totals_By_Item[#All], ROW()-1, COLUMN()), "")</f>
        <v/>
      </c>
      <c r="C479" s="1" t="str" cm="1">
        <f t="array" ref="C479">IFERROR(INDEX(PV_Totals_By_Item[#All], ROW()-1, COLUMN()), "")</f>
        <v/>
      </c>
      <c r="D479" s="1" t="str" cm="1">
        <f t="array" ref="D479">IFERROR(INDEX(PV_Totals_By_Item[#All], ROW()-1, COLUMN()), "")</f>
        <v/>
      </c>
      <c r="E479" s="1" t="str" cm="1">
        <f t="array" ref="E479">IFERROR(INDEX(PV_Totals_By_Item[#All], ROW()-1, COLUMN()), "")</f>
        <v/>
      </c>
      <c r="F479" s="1" t="str" cm="1">
        <f t="array" ref="F479">IFERROR(INDEX(PV_Totals_By_Item[#All], ROW()-1, COLUMN()), "")</f>
        <v/>
      </c>
      <c r="G479" s="1" t="str" cm="1">
        <f t="array" ref="G479">IFERROR(INDEX(PV_Totals_By_Item[#All], ROW()-1, COLUMN()), "")</f>
        <v/>
      </c>
      <c r="H479" s="1" t="str" cm="1">
        <f t="array" ref="H479">IFERROR(INDEX(PV_Totals_By_Item[#All], ROW()-1, COLUMN()), "")</f>
        <v/>
      </c>
      <c r="I479" s="1" t="str" cm="1">
        <f t="array" ref="I479">IFERROR(INDEX(PV_Totals_By_Item[#All], ROW()-1, COLUMN()), "")</f>
        <v/>
      </c>
      <c r="J479" s="1" t="str" cm="1">
        <f t="array" ref="J479">IFERROR(INDEX(PV_Totals_By_Item[#All], ROW()-1, COLUMN()), "")</f>
        <v/>
      </c>
    </row>
    <row r="480" spans="1:10">
      <c r="A480" s="1" t="str" cm="1">
        <f t="array" ref="A480">IFERROR(INDEX(PV_Totals_By_Item[#All], ROW()-1, COLUMN()), "")</f>
        <v/>
      </c>
      <c r="B480" s="1" t="str" cm="1">
        <f t="array" ref="B480">IFERROR(INDEX(PV_Totals_By_Item[#All], ROW()-1, COLUMN()), "")</f>
        <v/>
      </c>
      <c r="C480" s="1" t="str" cm="1">
        <f t="array" ref="C480">IFERROR(INDEX(PV_Totals_By_Item[#All], ROW()-1, COLUMN()), "")</f>
        <v/>
      </c>
      <c r="D480" s="1" t="str" cm="1">
        <f t="array" ref="D480">IFERROR(INDEX(PV_Totals_By_Item[#All], ROW()-1, COLUMN()), "")</f>
        <v/>
      </c>
      <c r="E480" s="1" t="str" cm="1">
        <f t="array" ref="E480">IFERROR(INDEX(PV_Totals_By_Item[#All], ROW()-1, COLUMN()), "")</f>
        <v/>
      </c>
      <c r="F480" s="1" t="str" cm="1">
        <f t="array" ref="F480">IFERROR(INDEX(PV_Totals_By_Item[#All], ROW()-1, COLUMN()), "")</f>
        <v/>
      </c>
      <c r="G480" s="1" t="str" cm="1">
        <f t="array" ref="G480">IFERROR(INDEX(PV_Totals_By_Item[#All], ROW()-1, COLUMN()), "")</f>
        <v/>
      </c>
      <c r="H480" s="1" t="str" cm="1">
        <f t="array" ref="H480">IFERROR(INDEX(PV_Totals_By_Item[#All], ROW()-1, COLUMN()), "")</f>
        <v/>
      </c>
      <c r="I480" s="1" t="str" cm="1">
        <f t="array" ref="I480">IFERROR(INDEX(PV_Totals_By_Item[#All], ROW()-1, COLUMN()), "")</f>
        <v/>
      </c>
      <c r="J480" s="1" t="str" cm="1">
        <f t="array" ref="J480">IFERROR(INDEX(PV_Totals_By_Item[#All], ROW()-1, COLUMN()), "")</f>
        <v/>
      </c>
    </row>
    <row r="481" spans="1:10">
      <c r="A481" s="1" t="str" cm="1">
        <f t="array" ref="A481">IFERROR(INDEX(PV_Totals_By_Item[#All], ROW()-1, COLUMN()), "")</f>
        <v/>
      </c>
      <c r="B481" s="1" t="str" cm="1">
        <f t="array" ref="B481">IFERROR(INDEX(PV_Totals_By_Item[#All], ROW()-1, COLUMN()), "")</f>
        <v/>
      </c>
      <c r="C481" s="1" t="str" cm="1">
        <f t="array" ref="C481">IFERROR(INDEX(PV_Totals_By_Item[#All], ROW()-1, COLUMN()), "")</f>
        <v/>
      </c>
      <c r="D481" s="1" t="str" cm="1">
        <f t="array" ref="D481">IFERROR(INDEX(PV_Totals_By_Item[#All], ROW()-1, COLUMN()), "")</f>
        <v/>
      </c>
      <c r="E481" s="1" t="str" cm="1">
        <f t="array" ref="E481">IFERROR(INDEX(PV_Totals_By_Item[#All], ROW()-1, COLUMN()), "")</f>
        <v/>
      </c>
      <c r="F481" s="1" t="str" cm="1">
        <f t="array" ref="F481">IFERROR(INDEX(PV_Totals_By_Item[#All], ROW()-1, COLUMN()), "")</f>
        <v/>
      </c>
      <c r="G481" s="1" t="str" cm="1">
        <f t="array" ref="G481">IFERROR(INDEX(PV_Totals_By_Item[#All], ROW()-1, COLUMN()), "")</f>
        <v/>
      </c>
      <c r="H481" s="1" t="str" cm="1">
        <f t="array" ref="H481">IFERROR(INDEX(PV_Totals_By_Item[#All], ROW()-1, COLUMN()), "")</f>
        <v/>
      </c>
      <c r="I481" s="1" t="str" cm="1">
        <f t="array" ref="I481">IFERROR(INDEX(PV_Totals_By_Item[#All], ROW()-1, COLUMN()), "")</f>
        <v/>
      </c>
      <c r="J481" s="1" t="str" cm="1">
        <f t="array" ref="J481">IFERROR(INDEX(PV_Totals_By_Item[#All], ROW()-1, COLUMN()), "")</f>
        <v/>
      </c>
    </row>
    <row r="482" spans="1:10">
      <c r="A482" s="1" t="str" cm="1">
        <f t="array" ref="A482">IFERROR(INDEX(PV_Totals_By_Item[#All], ROW()-1, COLUMN()), "")</f>
        <v/>
      </c>
      <c r="B482" s="1" t="str" cm="1">
        <f t="array" ref="B482">IFERROR(INDEX(PV_Totals_By_Item[#All], ROW()-1, COLUMN()), "")</f>
        <v/>
      </c>
      <c r="C482" s="1" t="str" cm="1">
        <f t="array" ref="C482">IFERROR(INDEX(PV_Totals_By_Item[#All], ROW()-1, COLUMN()), "")</f>
        <v/>
      </c>
      <c r="D482" s="1" t="str" cm="1">
        <f t="array" ref="D482">IFERROR(INDEX(PV_Totals_By_Item[#All], ROW()-1, COLUMN()), "")</f>
        <v/>
      </c>
      <c r="E482" s="1" t="str" cm="1">
        <f t="array" ref="E482">IFERROR(INDEX(PV_Totals_By_Item[#All], ROW()-1, COLUMN()), "")</f>
        <v/>
      </c>
      <c r="F482" s="1" t="str" cm="1">
        <f t="array" ref="F482">IFERROR(INDEX(PV_Totals_By_Item[#All], ROW()-1, COLUMN()), "")</f>
        <v/>
      </c>
      <c r="G482" s="1" t="str" cm="1">
        <f t="array" ref="G482">IFERROR(INDEX(PV_Totals_By_Item[#All], ROW()-1, COLUMN()), "")</f>
        <v/>
      </c>
      <c r="H482" s="1" t="str" cm="1">
        <f t="array" ref="H482">IFERROR(INDEX(PV_Totals_By_Item[#All], ROW()-1, COLUMN()), "")</f>
        <v/>
      </c>
      <c r="I482" s="1" t="str" cm="1">
        <f t="array" ref="I482">IFERROR(INDEX(PV_Totals_By_Item[#All], ROW()-1, COLUMN()), "")</f>
        <v/>
      </c>
      <c r="J482" s="1" t="str" cm="1">
        <f t="array" ref="J482">IFERROR(INDEX(PV_Totals_By_Item[#All], ROW()-1, COLUMN()), "")</f>
        <v/>
      </c>
    </row>
    <row r="483" spans="1:10">
      <c r="A483" s="1" t="str" cm="1">
        <f t="array" ref="A483">IFERROR(INDEX(PV_Totals_By_Item[#All], ROW()-1, COLUMN()), "")</f>
        <v/>
      </c>
      <c r="B483" s="1" t="str" cm="1">
        <f t="array" ref="B483">IFERROR(INDEX(PV_Totals_By_Item[#All], ROW()-1, COLUMN()), "")</f>
        <v/>
      </c>
      <c r="C483" s="1" t="str" cm="1">
        <f t="array" ref="C483">IFERROR(INDEX(PV_Totals_By_Item[#All], ROW()-1, COLUMN()), "")</f>
        <v/>
      </c>
      <c r="D483" s="1" t="str" cm="1">
        <f t="array" ref="D483">IFERROR(INDEX(PV_Totals_By_Item[#All], ROW()-1, COLUMN()), "")</f>
        <v/>
      </c>
      <c r="E483" s="1" t="str" cm="1">
        <f t="array" ref="E483">IFERROR(INDEX(PV_Totals_By_Item[#All], ROW()-1, COLUMN()), "")</f>
        <v/>
      </c>
      <c r="F483" s="1" t="str" cm="1">
        <f t="array" ref="F483">IFERROR(INDEX(PV_Totals_By_Item[#All], ROW()-1, COLUMN()), "")</f>
        <v/>
      </c>
      <c r="G483" s="1" t="str" cm="1">
        <f t="array" ref="G483">IFERROR(INDEX(PV_Totals_By_Item[#All], ROW()-1, COLUMN()), "")</f>
        <v/>
      </c>
      <c r="H483" s="1" t="str" cm="1">
        <f t="array" ref="H483">IFERROR(INDEX(PV_Totals_By_Item[#All], ROW()-1, COLUMN()), "")</f>
        <v/>
      </c>
      <c r="I483" s="1" t="str" cm="1">
        <f t="array" ref="I483">IFERROR(INDEX(PV_Totals_By_Item[#All], ROW()-1, COLUMN()), "")</f>
        <v/>
      </c>
      <c r="J483" s="1" t="str" cm="1">
        <f t="array" ref="J483">IFERROR(INDEX(PV_Totals_By_Item[#All], ROW()-1, COLUMN()), "")</f>
        <v/>
      </c>
    </row>
    <row r="484" spans="1:10">
      <c r="A484" s="1" t="str" cm="1">
        <f t="array" ref="A484">IFERROR(INDEX(PV_Totals_By_Item[#All], ROW()-1, COLUMN()), "")</f>
        <v/>
      </c>
      <c r="B484" s="1" t="str" cm="1">
        <f t="array" ref="B484">IFERROR(INDEX(PV_Totals_By_Item[#All], ROW()-1, COLUMN()), "")</f>
        <v/>
      </c>
      <c r="C484" s="1" t="str" cm="1">
        <f t="array" ref="C484">IFERROR(INDEX(PV_Totals_By_Item[#All], ROW()-1, COLUMN()), "")</f>
        <v/>
      </c>
      <c r="D484" s="1" t="str" cm="1">
        <f t="array" ref="D484">IFERROR(INDEX(PV_Totals_By_Item[#All], ROW()-1, COLUMN()), "")</f>
        <v/>
      </c>
      <c r="E484" s="1" t="str" cm="1">
        <f t="array" ref="E484">IFERROR(INDEX(PV_Totals_By_Item[#All], ROW()-1, COLUMN()), "")</f>
        <v/>
      </c>
      <c r="F484" s="1" t="str" cm="1">
        <f t="array" ref="F484">IFERROR(INDEX(PV_Totals_By_Item[#All], ROW()-1, COLUMN()), "")</f>
        <v/>
      </c>
      <c r="G484" s="1" t="str" cm="1">
        <f t="array" ref="G484">IFERROR(INDEX(PV_Totals_By_Item[#All], ROW()-1, COLUMN()), "")</f>
        <v/>
      </c>
      <c r="H484" s="1" t="str" cm="1">
        <f t="array" ref="H484">IFERROR(INDEX(PV_Totals_By_Item[#All], ROW()-1, COLUMN()), "")</f>
        <v/>
      </c>
      <c r="I484" s="1" t="str" cm="1">
        <f t="array" ref="I484">IFERROR(INDEX(PV_Totals_By_Item[#All], ROW()-1, COLUMN()), "")</f>
        <v/>
      </c>
      <c r="J484" s="1" t="str" cm="1">
        <f t="array" ref="J484">IFERROR(INDEX(PV_Totals_By_Item[#All], ROW()-1, COLUMN()), "")</f>
        <v/>
      </c>
    </row>
    <row r="485" spans="1:10">
      <c r="A485" s="1" t="str" cm="1">
        <f t="array" ref="A485">IFERROR(INDEX(PV_Totals_By_Item[#All], ROW()-1, COLUMN()), "")</f>
        <v/>
      </c>
      <c r="B485" s="1" t="str" cm="1">
        <f t="array" ref="B485">IFERROR(INDEX(PV_Totals_By_Item[#All], ROW()-1, COLUMN()), "")</f>
        <v/>
      </c>
      <c r="C485" s="1" t="str" cm="1">
        <f t="array" ref="C485">IFERROR(INDEX(PV_Totals_By_Item[#All], ROW()-1, COLUMN()), "")</f>
        <v/>
      </c>
      <c r="D485" s="1" t="str" cm="1">
        <f t="array" ref="D485">IFERROR(INDEX(PV_Totals_By_Item[#All], ROW()-1, COLUMN()), "")</f>
        <v/>
      </c>
      <c r="E485" s="1" t="str" cm="1">
        <f t="array" ref="E485">IFERROR(INDEX(PV_Totals_By_Item[#All], ROW()-1, COLUMN()), "")</f>
        <v/>
      </c>
      <c r="F485" s="1" t="str" cm="1">
        <f t="array" ref="F485">IFERROR(INDEX(PV_Totals_By_Item[#All], ROW()-1, COLUMN()), "")</f>
        <v/>
      </c>
      <c r="G485" s="1" t="str" cm="1">
        <f t="array" ref="G485">IFERROR(INDEX(PV_Totals_By_Item[#All], ROW()-1, COLUMN()), "")</f>
        <v/>
      </c>
      <c r="H485" s="1" t="str" cm="1">
        <f t="array" ref="H485">IFERROR(INDEX(PV_Totals_By_Item[#All], ROW()-1, COLUMN()), "")</f>
        <v/>
      </c>
      <c r="I485" s="1" t="str" cm="1">
        <f t="array" ref="I485">IFERROR(INDEX(PV_Totals_By_Item[#All], ROW()-1, COLUMN()), "")</f>
        <v/>
      </c>
      <c r="J485" s="1" t="str" cm="1">
        <f t="array" ref="J485">IFERROR(INDEX(PV_Totals_By_Item[#All], ROW()-1, COLUMN()), "")</f>
        <v/>
      </c>
    </row>
    <row r="486" spans="1:10">
      <c r="A486" s="1" t="str" cm="1">
        <f t="array" ref="A486">IFERROR(INDEX(PV_Totals_By_Item[#All], ROW()-1, COLUMN()), "")</f>
        <v/>
      </c>
      <c r="B486" s="1" t="str" cm="1">
        <f t="array" ref="B486">IFERROR(INDEX(PV_Totals_By_Item[#All], ROW()-1, COLUMN()), "")</f>
        <v/>
      </c>
      <c r="C486" s="1" t="str" cm="1">
        <f t="array" ref="C486">IFERROR(INDEX(PV_Totals_By_Item[#All], ROW()-1, COLUMN()), "")</f>
        <v/>
      </c>
      <c r="D486" s="1" t="str" cm="1">
        <f t="array" ref="D486">IFERROR(INDEX(PV_Totals_By_Item[#All], ROW()-1, COLUMN()), "")</f>
        <v/>
      </c>
      <c r="E486" s="1" t="str" cm="1">
        <f t="array" ref="E486">IFERROR(INDEX(PV_Totals_By_Item[#All], ROW()-1, COLUMN()), "")</f>
        <v/>
      </c>
      <c r="F486" s="1" t="str" cm="1">
        <f t="array" ref="F486">IFERROR(INDEX(PV_Totals_By_Item[#All], ROW()-1, COLUMN()), "")</f>
        <v/>
      </c>
      <c r="G486" s="1" t="str" cm="1">
        <f t="array" ref="G486">IFERROR(INDEX(PV_Totals_By_Item[#All], ROW()-1, COLUMN()), "")</f>
        <v/>
      </c>
      <c r="H486" s="1" t="str" cm="1">
        <f t="array" ref="H486">IFERROR(INDEX(PV_Totals_By_Item[#All], ROW()-1, COLUMN()), "")</f>
        <v/>
      </c>
      <c r="I486" s="1" t="str" cm="1">
        <f t="array" ref="I486">IFERROR(INDEX(PV_Totals_By_Item[#All], ROW()-1, COLUMN()), "")</f>
        <v/>
      </c>
      <c r="J486" s="1" t="str" cm="1">
        <f t="array" ref="J486">IFERROR(INDEX(PV_Totals_By_Item[#All], ROW()-1, COLUMN()), "")</f>
        <v/>
      </c>
    </row>
    <row r="487" spans="1:10">
      <c r="A487" s="1" t="str" cm="1">
        <f t="array" ref="A487">IFERROR(INDEX(PV_Totals_By_Item[#All], ROW()-1, COLUMN()), "")</f>
        <v/>
      </c>
      <c r="B487" s="1" t="str" cm="1">
        <f t="array" ref="B487">IFERROR(INDEX(PV_Totals_By_Item[#All], ROW()-1, COLUMN()), "")</f>
        <v/>
      </c>
      <c r="C487" s="1" t="str" cm="1">
        <f t="array" ref="C487">IFERROR(INDEX(PV_Totals_By_Item[#All], ROW()-1, COLUMN()), "")</f>
        <v/>
      </c>
      <c r="D487" s="1" t="str" cm="1">
        <f t="array" ref="D487">IFERROR(INDEX(PV_Totals_By_Item[#All], ROW()-1, COLUMN()), "")</f>
        <v/>
      </c>
      <c r="E487" s="1" t="str" cm="1">
        <f t="array" ref="E487">IFERROR(INDEX(PV_Totals_By_Item[#All], ROW()-1, COLUMN()), "")</f>
        <v/>
      </c>
      <c r="F487" s="1" t="str" cm="1">
        <f t="array" ref="F487">IFERROR(INDEX(PV_Totals_By_Item[#All], ROW()-1, COLUMN()), "")</f>
        <v/>
      </c>
      <c r="G487" s="1" t="str" cm="1">
        <f t="array" ref="G487">IFERROR(INDEX(PV_Totals_By_Item[#All], ROW()-1, COLUMN()), "")</f>
        <v/>
      </c>
      <c r="H487" s="1" t="str" cm="1">
        <f t="array" ref="H487">IFERROR(INDEX(PV_Totals_By_Item[#All], ROW()-1, COLUMN()), "")</f>
        <v/>
      </c>
      <c r="I487" s="1" t="str" cm="1">
        <f t="array" ref="I487">IFERROR(INDEX(PV_Totals_By_Item[#All], ROW()-1, COLUMN()), "")</f>
        <v/>
      </c>
      <c r="J487" s="1" t="str" cm="1">
        <f t="array" ref="J487">IFERROR(INDEX(PV_Totals_By_Item[#All], ROW()-1, COLUMN()), "")</f>
        <v/>
      </c>
    </row>
    <row r="488" spans="1:10">
      <c r="A488" s="1" t="str" cm="1">
        <f t="array" ref="A488">IFERROR(INDEX(PV_Totals_By_Item[#All], ROW()-1, COLUMN()), "")</f>
        <v/>
      </c>
      <c r="B488" s="1" t="str" cm="1">
        <f t="array" ref="B488">IFERROR(INDEX(PV_Totals_By_Item[#All], ROW()-1, COLUMN()), "")</f>
        <v/>
      </c>
      <c r="C488" s="1" t="str" cm="1">
        <f t="array" ref="C488">IFERROR(INDEX(PV_Totals_By_Item[#All], ROW()-1, COLUMN()), "")</f>
        <v/>
      </c>
      <c r="D488" s="1" t="str" cm="1">
        <f t="array" ref="D488">IFERROR(INDEX(PV_Totals_By_Item[#All], ROW()-1, COLUMN()), "")</f>
        <v/>
      </c>
      <c r="E488" s="1" t="str" cm="1">
        <f t="array" ref="E488">IFERROR(INDEX(PV_Totals_By_Item[#All], ROW()-1, COLUMN()), "")</f>
        <v/>
      </c>
      <c r="F488" s="1" t="str" cm="1">
        <f t="array" ref="F488">IFERROR(INDEX(PV_Totals_By_Item[#All], ROW()-1, COLUMN()), "")</f>
        <v/>
      </c>
      <c r="G488" s="1" t="str" cm="1">
        <f t="array" ref="G488">IFERROR(INDEX(PV_Totals_By_Item[#All], ROW()-1, COLUMN()), "")</f>
        <v/>
      </c>
      <c r="H488" s="1" t="str" cm="1">
        <f t="array" ref="H488">IFERROR(INDEX(PV_Totals_By_Item[#All], ROW()-1, COLUMN()), "")</f>
        <v/>
      </c>
      <c r="I488" s="1" t="str" cm="1">
        <f t="array" ref="I488">IFERROR(INDEX(PV_Totals_By_Item[#All], ROW()-1, COLUMN()), "")</f>
        <v/>
      </c>
      <c r="J488" s="1" t="str" cm="1">
        <f t="array" ref="J488">IFERROR(INDEX(PV_Totals_By_Item[#All], ROW()-1, COLUMN()), "")</f>
        <v/>
      </c>
    </row>
    <row r="489" spans="1:10">
      <c r="A489" s="1" t="str" cm="1">
        <f t="array" ref="A489">IFERROR(INDEX(PV_Totals_By_Item[#All], ROW()-1, COLUMN()), "")</f>
        <v/>
      </c>
      <c r="B489" s="1" t="str" cm="1">
        <f t="array" ref="B489">IFERROR(INDEX(PV_Totals_By_Item[#All], ROW()-1, COLUMN()), "")</f>
        <v/>
      </c>
      <c r="C489" s="1" t="str" cm="1">
        <f t="array" ref="C489">IFERROR(INDEX(PV_Totals_By_Item[#All], ROW()-1, COLUMN()), "")</f>
        <v/>
      </c>
      <c r="D489" s="1" t="str" cm="1">
        <f t="array" ref="D489">IFERROR(INDEX(PV_Totals_By_Item[#All], ROW()-1, COLUMN()), "")</f>
        <v/>
      </c>
      <c r="E489" s="1" t="str" cm="1">
        <f t="array" ref="E489">IFERROR(INDEX(PV_Totals_By_Item[#All], ROW()-1, COLUMN()), "")</f>
        <v/>
      </c>
      <c r="F489" s="1" t="str" cm="1">
        <f t="array" ref="F489">IFERROR(INDEX(PV_Totals_By_Item[#All], ROW()-1, COLUMN()), "")</f>
        <v/>
      </c>
      <c r="G489" s="1" t="str" cm="1">
        <f t="array" ref="G489">IFERROR(INDEX(PV_Totals_By_Item[#All], ROW()-1, COLUMN()), "")</f>
        <v/>
      </c>
      <c r="H489" s="1" t="str" cm="1">
        <f t="array" ref="H489">IFERROR(INDEX(PV_Totals_By_Item[#All], ROW()-1, COLUMN()), "")</f>
        <v/>
      </c>
      <c r="I489" s="1" t="str" cm="1">
        <f t="array" ref="I489">IFERROR(INDEX(PV_Totals_By_Item[#All], ROW()-1, COLUMN()), "")</f>
        <v/>
      </c>
      <c r="J489" s="1" t="str" cm="1">
        <f t="array" ref="J489">IFERROR(INDEX(PV_Totals_By_Item[#All], ROW()-1, COLUMN()), "")</f>
        <v/>
      </c>
    </row>
    <row r="490" spans="1:10">
      <c r="A490" s="1" t="str" cm="1">
        <f t="array" ref="A490">IFERROR(INDEX(PV_Totals_By_Item[#All], ROW()-1, COLUMN()), "")</f>
        <v/>
      </c>
      <c r="B490" s="1" t="str" cm="1">
        <f t="array" ref="B490">IFERROR(INDEX(PV_Totals_By_Item[#All], ROW()-1, COLUMN()), "")</f>
        <v/>
      </c>
      <c r="C490" s="1" t="str" cm="1">
        <f t="array" ref="C490">IFERROR(INDEX(PV_Totals_By_Item[#All], ROW()-1, COLUMN()), "")</f>
        <v/>
      </c>
      <c r="D490" s="1" t="str" cm="1">
        <f t="array" ref="D490">IFERROR(INDEX(PV_Totals_By_Item[#All], ROW()-1, COLUMN()), "")</f>
        <v/>
      </c>
      <c r="E490" s="1" t="str" cm="1">
        <f t="array" ref="E490">IFERROR(INDEX(PV_Totals_By_Item[#All], ROW()-1, COLUMN()), "")</f>
        <v/>
      </c>
      <c r="F490" s="1" t="str" cm="1">
        <f t="array" ref="F490">IFERROR(INDEX(PV_Totals_By_Item[#All], ROW()-1, COLUMN()), "")</f>
        <v/>
      </c>
      <c r="G490" s="1" t="str" cm="1">
        <f t="array" ref="G490">IFERROR(INDEX(PV_Totals_By_Item[#All], ROW()-1, COLUMN()), "")</f>
        <v/>
      </c>
      <c r="H490" s="1" t="str" cm="1">
        <f t="array" ref="H490">IFERROR(INDEX(PV_Totals_By_Item[#All], ROW()-1, COLUMN()), "")</f>
        <v/>
      </c>
      <c r="I490" s="1" t="str" cm="1">
        <f t="array" ref="I490">IFERROR(INDEX(PV_Totals_By_Item[#All], ROW()-1, COLUMN()), "")</f>
        <v/>
      </c>
      <c r="J490" s="1" t="str" cm="1">
        <f t="array" ref="J490">IFERROR(INDEX(PV_Totals_By_Item[#All], ROW()-1, COLUMN()), "")</f>
        <v/>
      </c>
    </row>
    <row r="491" spans="1:10">
      <c r="A491" s="1" t="str" cm="1">
        <f t="array" ref="A491">IFERROR(INDEX(PV_Totals_By_Item[#All], ROW()-1, COLUMN()), "")</f>
        <v/>
      </c>
      <c r="B491" s="1" t="str" cm="1">
        <f t="array" ref="B491">IFERROR(INDEX(PV_Totals_By_Item[#All], ROW()-1, COLUMN()), "")</f>
        <v/>
      </c>
      <c r="C491" s="1" t="str" cm="1">
        <f t="array" ref="C491">IFERROR(INDEX(PV_Totals_By_Item[#All], ROW()-1, COLUMN()), "")</f>
        <v/>
      </c>
      <c r="D491" s="1" t="str" cm="1">
        <f t="array" ref="D491">IFERROR(INDEX(PV_Totals_By_Item[#All], ROW()-1, COLUMN()), "")</f>
        <v/>
      </c>
      <c r="E491" s="1" t="str" cm="1">
        <f t="array" ref="E491">IFERROR(INDEX(PV_Totals_By_Item[#All], ROW()-1, COLUMN()), "")</f>
        <v/>
      </c>
      <c r="F491" s="1" t="str" cm="1">
        <f t="array" ref="F491">IFERROR(INDEX(PV_Totals_By_Item[#All], ROW()-1, COLUMN()), "")</f>
        <v/>
      </c>
      <c r="G491" s="1" t="str" cm="1">
        <f t="array" ref="G491">IFERROR(INDEX(PV_Totals_By_Item[#All], ROW()-1, COLUMN()), "")</f>
        <v/>
      </c>
      <c r="H491" s="1" t="str" cm="1">
        <f t="array" ref="H491">IFERROR(INDEX(PV_Totals_By_Item[#All], ROW()-1, COLUMN()), "")</f>
        <v/>
      </c>
      <c r="I491" s="1" t="str" cm="1">
        <f t="array" ref="I491">IFERROR(INDEX(PV_Totals_By_Item[#All], ROW()-1, COLUMN()), "")</f>
        <v/>
      </c>
      <c r="J491" s="1" t="str" cm="1">
        <f t="array" ref="J491">IFERROR(INDEX(PV_Totals_By_Item[#All], ROW()-1, COLUMN()), "")</f>
        <v/>
      </c>
    </row>
    <row r="492" spans="1:10">
      <c r="A492" s="1" t="str" cm="1">
        <f t="array" ref="A492">IFERROR(INDEX(PV_Totals_By_Item[#All], ROW()-1, COLUMN()), "")</f>
        <v/>
      </c>
      <c r="B492" s="1" t="str" cm="1">
        <f t="array" ref="B492">IFERROR(INDEX(PV_Totals_By_Item[#All], ROW()-1, COLUMN()), "")</f>
        <v/>
      </c>
      <c r="C492" s="1" t="str" cm="1">
        <f t="array" ref="C492">IFERROR(INDEX(PV_Totals_By_Item[#All], ROW()-1, COLUMN()), "")</f>
        <v/>
      </c>
      <c r="D492" s="1" t="str" cm="1">
        <f t="array" ref="D492">IFERROR(INDEX(PV_Totals_By_Item[#All], ROW()-1, COLUMN()), "")</f>
        <v/>
      </c>
      <c r="E492" s="1" t="str" cm="1">
        <f t="array" ref="E492">IFERROR(INDEX(PV_Totals_By_Item[#All], ROW()-1, COLUMN()), "")</f>
        <v/>
      </c>
      <c r="F492" s="1" t="str" cm="1">
        <f t="array" ref="F492">IFERROR(INDEX(PV_Totals_By_Item[#All], ROW()-1, COLUMN()), "")</f>
        <v/>
      </c>
      <c r="G492" s="1" t="str" cm="1">
        <f t="array" ref="G492">IFERROR(INDEX(PV_Totals_By_Item[#All], ROW()-1, COLUMN()), "")</f>
        <v/>
      </c>
      <c r="H492" s="1" t="str" cm="1">
        <f t="array" ref="H492">IFERROR(INDEX(PV_Totals_By_Item[#All], ROW()-1, COLUMN()), "")</f>
        <v/>
      </c>
      <c r="I492" s="1" t="str" cm="1">
        <f t="array" ref="I492">IFERROR(INDEX(PV_Totals_By_Item[#All], ROW()-1, COLUMN()), "")</f>
        <v/>
      </c>
      <c r="J492" s="1" t="str" cm="1">
        <f t="array" ref="J492">IFERROR(INDEX(PV_Totals_By_Item[#All], ROW()-1, COLUMN()), "")</f>
        <v/>
      </c>
    </row>
    <row r="493" spans="1:10">
      <c r="A493" s="1" t="str" cm="1">
        <f t="array" ref="A493">IFERROR(INDEX(PV_Totals_By_Item[#All], ROW()-1, COLUMN()), "")</f>
        <v/>
      </c>
      <c r="B493" s="1" t="str" cm="1">
        <f t="array" ref="B493">IFERROR(INDEX(PV_Totals_By_Item[#All], ROW()-1, COLUMN()), "")</f>
        <v/>
      </c>
      <c r="C493" s="1" t="str" cm="1">
        <f t="array" ref="C493">IFERROR(INDEX(PV_Totals_By_Item[#All], ROW()-1, COLUMN()), "")</f>
        <v/>
      </c>
      <c r="D493" s="1" t="str" cm="1">
        <f t="array" ref="D493">IFERROR(INDEX(PV_Totals_By_Item[#All], ROW()-1, COLUMN()), "")</f>
        <v/>
      </c>
      <c r="E493" s="1" t="str" cm="1">
        <f t="array" ref="E493">IFERROR(INDEX(PV_Totals_By_Item[#All], ROW()-1, COLUMN()), "")</f>
        <v/>
      </c>
      <c r="F493" s="1" t="str" cm="1">
        <f t="array" ref="F493">IFERROR(INDEX(PV_Totals_By_Item[#All], ROW()-1, COLUMN()), "")</f>
        <v/>
      </c>
      <c r="G493" s="1" t="str" cm="1">
        <f t="array" ref="G493">IFERROR(INDEX(PV_Totals_By_Item[#All], ROW()-1, COLUMN()), "")</f>
        <v/>
      </c>
      <c r="H493" s="1" t="str" cm="1">
        <f t="array" ref="H493">IFERROR(INDEX(PV_Totals_By_Item[#All], ROW()-1, COLUMN()), "")</f>
        <v/>
      </c>
      <c r="I493" s="1" t="str" cm="1">
        <f t="array" ref="I493">IFERROR(INDEX(PV_Totals_By_Item[#All], ROW()-1, COLUMN()), "")</f>
        <v/>
      </c>
      <c r="J493" s="1" t="str" cm="1">
        <f t="array" ref="J493">IFERROR(INDEX(PV_Totals_By_Item[#All], ROW()-1, COLUMN()), "")</f>
        <v/>
      </c>
    </row>
    <row r="494" spans="1:10">
      <c r="A494" s="1" t="str" cm="1">
        <f t="array" ref="A494">IFERROR(INDEX(PV_Totals_By_Item[#All], ROW()-1, COLUMN()), "")</f>
        <v/>
      </c>
      <c r="B494" s="1" t="str" cm="1">
        <f t="array" ref="B494">IFERROR(INDEX(PV_Totals_By_Item[#All], ROW()-1, COLUMN()), "")</f>
        <v/>
      </c>
      <c r="C494" s="1" t="str" cm="1">
        <f t="array" ref="C494">IFERROR(INDEX(PV_Totals_By_Item[#All], ROW()-1, COLUMN()), "")</f>
        <v/>
      </c>
      <c r="D494" s="1" t="str" cm="1">
        <f t="array" ref="D494">IFERROR(INDEX(PV_Totals_By_Item[#All], ROW()-1, COLUMN()), "")</f>
        <v/>
      </c>
      <c r="E494" s="1" t="str" cm="1">
        <f t="array" ref="E494">IFERROR(INDEX(PV_Totals_By_Item[#All], ROW()-1, COLUMN()), "")</f>
        <v/>
      </c>
      <c r="F494" s="1" t="str" cm="1">
        <f t="array" ref="F494">IFERROR(INDEX(PV_Totals_By_Item[#All], ROW()-1, COLUMN()), "")</f>
        <v/>
      </c>
      <c r="G494" s="1" t="str" cm="1">
        <f t="array" ref="G494">IFERROR(INDEX(PV_Totals_By_Item[#All], ROW()-1, COLUMN()), "")</f>
        <v/>
      </c>
      <c r="H494" s="1" t="str" cm="1">
        <f t="array" ref="H494">IFERROR(INDEX(PV_Totals_By_Item[#All], ROW()-1, COLUMN()), "")</f>
        <v/>
      </c>
      <c r="I494" s="1" t="str" cm="1">
        <f t="array" ref="I494">IFERROR(INDEX(PV_Totals_By_Item[#All], ROW()-1, COLUMN()), "")</f>
        <v/>
      </c>
      <c r="J494" s="1" t="str" cm="1">
        <f t="array" ref="J494">IFERROR(INDEX(PV_Totals_By_Item[#All], ROW()-1, COLUMN()), "")</f>
        <v/>
      </c>
    </row>
    <row r="495" spans="1:10">
      <c r="A495" s="1" t="str" cm="1">
        <f t="array" ref="A495">IFERROR(INDEX(PV_Totals_By_Item[#All], ROW()-1, COLUMN()), "")</f>
        <v/>
      </c>
      <c r="B495" s="1" t="str" cm="1">
        <f t="array" ref="B495">IFERROR(INDEX(PV_Totals_By_Item[#All], ROW()-1, COLUMN()), "")</f>
        <v/>
      </c>
      <c r="C495" s="1" t="str" cm="1">
        <f t="array" ref="C495">IFERROR(INDEX(PV_Totals_By_Item[#All], ROW()-1, COLUMN()), "")</f>
        <v/>
      </c>
      <c r="D495" s="1" t="str" cm="1">
        <f t="array" ref="D495">IFERROR(INDEX(PV_Totals_By_Item[#All], ROW()-1, COLUMN()), "")</f>
        <v/>
      </c>
      <c r="E495" s="1" t="str" cm="1">
        <f t="array" ref="E495">IFERROR(INDEX(PV_Totals_By_Item[#All], ROW()-1, COLUMN()), "")</f>
        <v/>
      </c>
      <c r="F495" s="1" t="str" cm="1">
        <f t="array" ref="F495">IFERROR(INDEX(PV_Totals_By_Item[#All], ROW()-1, COLUMN()), "")</f>
        <v/>
      </c>
      <c r="G495" s="1" t="str" cm="1">
        <f t="array" ref="G495">IFERROR(INDEX(PV_Totals_By_Item[#All], ROW()-1, COLUMN()), "")</f>
        <v/>
      </c>
      <c r="H495" s="1" t="str" cm="1">
        <f t="array" ref="H495">IFERROR(INDEX(PV_Totals_By_Item[#All], ROW()-1, COLUMN()), "")</f>
        <v/>
      </c>
      <c r="I495" s="1" t="str" cm="1">
        <f t="array" ref="I495">IFERROR(INDEX(PV_Totals_By_Item[#All], ROW()-1, COLUMN()), "")</f>
        <v/>
      </c>
      <c r="J495" s="1" t="str" cm="1">
        <f t="array" ref="J495">IFERROR(INDEX(PV_Totals_By_Item[#All], ROW()-1, COLUMN()), "")</f>
        <v/>
      </c>
    </row>
    <row r="496" spans="1:10">
      <c r="A496" s="1" t="str" cm="1">
        <f t="array" ref="A496">IFERROR(INDEX(PV_Totals_By_Item[#All], ROW()-1, COLUMN()), "")</f>
        <v/>
      </c>
      <c r="B496" s="1" t="str" cm="1">
        <f t="array" ref="B496">IFERROR(INDEX(PV_Totals_By_Item[#All], ROW()-1, COLUMN()), "")</f>
        <v/>
      </c>
      <c r="C496" s="1" t="str" cm="1">
        <f t="array" ref="C496">IFERROR(INDEX(PV_Totals_By_Item[#All], ROW()-1, COLUMN()), "")</f>
        <v/>
      </c>
      <c r="D496" s="1" t="str" cm="1">
        <f t="array" ref="D496">IFERROR(INDEX(PV_Totals_By_Item[#All], ROW()-1, COLUMN()), "")</f>
        <v/>
      </c>
      <c r="E496" s="1" t="str" cm="1">
        <f t="array" ref="E496">IFERROR(INDEX(PV_Totals_By_Item[#All], ROW()-1, COLUMN()), "")</f>
        <v/>
      </c>
      <c r="F496" s="1" t="str" cm="1">
        <f t="array" ref="F496">IFERROR(INDEX(PV_Totals_By_Item[#All], ROW()-1, COLUMN()), "")</f>
        <v/>
      </c>
      <c r="G496" s="1" t="str" cm="1">
        <f t="array" ref="G496">IFERROR(INDEX(PV_Totals_By_Item[#All], ROW()-1, COLUMN()), "")</f>
        <v/>
      </c>
      <c r="H496" s="1" t="str" cm="1">
        <f t="array" ref="H496">IFERROR(INDEX(PV_Totals_By_Item[#All], ROW()-1, COLUMN()), "")</f>
        <v/>
      </c>
      <c r="I496" s="1" t="str" cm="1">
        <f t="array" ref="I496">IFERROR(INDEX(PV_Totals_By_Item[#All], ROW()-1, COLUMN()), "")</f>
        <v/>
      </c>
      <c r="J496" s="1" t="str" cm="1">
        <f t="array" ref="J496">IFERROR(INDEX(PV_Totals_By_Item[#All], ROW()-1, COLUMN()), "")</f>
        <v/>
      </c>
    </row>
    <row r="497" spans="1:10">
      <c r="A497" s="1" t="str" cm="1">
        <f t="array" ref="A497">IFERROR(INDEX(PV_Totals_By_Item[#All], ROW()-1, COLUMN()), "")</f>
        <v/>
      </c>
      <c r="B497" s="1" t="str" cm="1">
        <f t="array" ref="B497">IFERROR(INDEX(PV_Totals_By_Item[#All], ROW()-1, COLUMN()), "")</f>
        <v/>
      </c>
      <c r="C497" s="1" t="str" cm="1">
        <f t="array" ref="C497">IFERROR(INDEX(PV_Totals_By_Item[#All], ROW()-1, COLUMN()), "")</f>
        <v/>
      </c>
      <c r="D497" s="1" t="str" cm="1">
        <f t="array" ref="D497">IFERROR(INDEX(PV_Totals_By_Item[#All], ROW()-1, COLUMN()), "")</f>
        <v/>
      </c>
      <c r="E497" s="1" t="str" cm="1">
        <f t="array" ref="E497">IFERROR(INDEX(PV_Totals_By_Item[#All], ROW()-1, COLUMN()), "")</f>
        <v/>
      </c>
      <c r="F497" s="1" t="str" cm="1">
        <f t="array" ref="F497">IFERROR(INDEX(PV_Totals_By_Item[#All], ROW()-1, COLUMN()), "")</f>
        <v/>
      </c>
      <c r="G497" s="1" t="str" cm="1">
        <f t="array" ref="G497">IFERROR(INDEX(PV_Totals_By_Item[#All], ROW()-1, COLUMN()), "")</f>
        <v/>
      </c>
      <c r="H497" s="1" t="str" cm="1">
        <f t="array" ref="H497">IFERROR(INDEX(PV_Totals_By_Item[#All], ROW()-1, COLUMN()), "")</f>
        <v/>
      </c>
      <c r="I497" s="1" t="str" cm="1">
        <f t="array" ref="I497">IFERROR(INDEX(PV_Totals_By_Item[#All], ROW()-1, COLUMN()), "")</f>
        <v/>
      </c>
      <c r="J497" s="1" t="str" cm="1">
        <f t="array" ref="J497">IFERROR(INDEX(PV_Totals_By_Item[#All], ROW()-1, COLUMN()), "")</f>
        <v/>
      </c>
    </row>
    <row r="498" spans="1:10">
      <c r="A498" s="1" t="str" cm="1">
        <f t="array" ref="A498">IFERROR(INDEX(PV_Totals_By_Item[#All], ROW()-1, COLUMN()), "")</f>
        <v/>
      </c>
      <c r="B498" s="1" t="str" cm="1">
        <f t="array" ref="B498">IFERROR(INDEX(PV_Totals_By_Item[#All], ROW()-1, COLUMN()), "")</f>
        <v/>
      </c>
      <c r="C498" s="1" t="str" cm="1">
        <f t="array" ref="C498">IFERROR(INDEX(PV_Totals_By_Item[#All], ROW()-1, COLUMN()), "")</f>
        <v/>
      </c>
      <c r="D498" s="1" t="str" cm="1">
        <f t="array" ref="D498">IFERROR(INDEX(PV_Totals_By_Item[#All], ROW()-1, COLUMN()), "")</f>
        <v/>
      </c>
      <c r="E498" s="1" t="str" cm="1">
        <f t="array" ref="E498">IFERROR(INDEX(PV_Totals_By_Item[#All], ROW()-1, COLUMN()), "")</f>
        <v/>
      </c>
      <c r="F498" s="1" t="str" cm="1">
        <f t="array" ref="F498">IFERROR(INDEX(PV_Totals_By_Item[#All], ROW()-1, COLUMN()), "")</f>
        <v/>
      </c>
      <c r="G498" s="1" t="str" cm="1">
        <f t="array" ref="G498">IFERROR(INDEX(PV_Totals_By_Item[#All], ROW()-1, COLUMN()), "")</f>
        <v/>
      </c>
      <c r="H498" s="1" t="str" cm="1">
        <f t="array" ref="H498">IFERROR(INDEX(PV_Totals_By_Item[#All], ROW()-1, COLUMN()), "")</f>
        <v/>
      </c>
      <c r="I498" s="1" t="str" cm="1">
        <f t="array" ref="I498">IFERROR(INDEX(PV_Totals_By_Item[#All], ROW()-1, COLUMN()), "")</f>
        <v/>
      </c>
      <c r="J498" s="1" t="str" cm="1">
        <f t="array" ref="J498">IFERROR(INDEX(PV_Totals_By_Item[#All], ROW()-1, COLUMN()), "")</f>
        <v/>
      </c>
    </row>
    <row r="499" spans="1:10">
      <c r="A499" s="1" t="str" cm="1">
        <f t="array" ref="A499">IFERROR(INDEX(PV_Totals_By_Item[#All], ROW()-1, COLUMN()), "")</f>
        <v/>
      </c>
      <c r="B499" s="1" t="str" cm="1">
        <f t="array" ref="B499">IFERROR(INDEX(PV_Totals_By_Item[#All], ROW()-1, COLUMN()), "")</f>
        <v/>
      </c>
      <c r="C499" s="1" t="str" cm="1">
        <f t="array" ref="C499">IFERROR(INDEX(PV_Totals_By_Item[#All], ROW()-1, COLUMN()), "")</f>
        <v/>
      </c>
      <c r="D499" s="1" t="str" cm="1">
        <f t="array" ref="D499">IFERROR(INDEX(PV_Totals_By_Item[#All], ROW()-1, COLUMN()), "")</f>
        <v/>
      </c>
      <c r="E499" s="1" t="str" cm="1">
        <f t="array" ref="E499">IFERROR(INDEX(PV_Totals_By_Item[#All], ROW()-1, COLUMN()), "")</f>
        <v/>
      </c>
      <c r="F499" s="1" t="str" cm="1">
        <f t="array" ref="F499">IFERROR(INDEX(PV_Totals_By_Item[#All], ROW()-1, COLUMN()), "")</f>
        <v/>
      </c>
      <c r="G499" s="1" t="str" cm="1">
        <f t="array" ref="G499">IFERROR(INDEX(PV_Totals_By_Item[#All], ROW()-1, COLUMN()), "")</f>
        <v/>
      </c>
      <c r="H499" s="1" t="str" cm="1">
        <f t="array" ref="H499">IFERROR(INDEX(PV_Totals_By_Item[#All], ROW()-1, COLUMN()), "")</f>
        <v/>
      </c>
      <c r="I499" s="1" t="str" cm="1">
        <f t="array" ref="I499">IFERROR(INDEX(PV_Totals_By_Item[#All], ROW()-1, COLUMN()), "")</f>
        <v/>
      </c>
      <c r="J499" s="1" t="str" cm="1">
        <f t="array" ref="J499">IFERROR(INDEX(PV_Totals_By_Item[#All], ROW()-1, COLUMN()), "")</f>
        <v/>
      </c>
    </row>
    <row r="500" spans="1:10">
      <c r="A500" s="1" t="str" cm="1">
        <f t="array" ref="A500">IFERROR(INDEX(PV_Totals_By_Item[#All], ROW()-1, COLUMN()), "")</f>
        <v/>
      </c>
      <c r="B500" s="1" t="str" cm="1">
        <f t="array" ref="B500">IFERROR(INDEX(PV_Totals_By_Item[#All], ROW()-1, COLUMN()), "")</f>
        <v/>
      </c>
      <c r="C500" s="1" t="str" cm="1">
        <f t="array" ref="C500">IFERROR(INDEX(PV_Totals_By_Item[#All], ROW()-1, COLUMN()), "")</f>
        <v/>
      </c>
      <c r="D500" s="1" t="str" cm="1">
        <f t="array" ref="D500">IFERROR(INDEX(PV_Totals_By_Item[#All], ROW()-1, COLUMN()), "")</f>
        <v/>
      </c>
      <c r="E500" s="1" t="str" cm="1">
        <f t="array" ref="E500">IFERROR(INDEX(PV_Totals_By_Item[#All], ROW()-1, COLUMN()), "")</f>
        <v/>
      </c>
      <c r="F500" s="1" t="str" cm="1">
        <f t="array" ref="F500">IFERROR(INDEX(PV_Totals_By_Item[#All], ROW()-1, COLUMN()), "")</f>
        <v/>
      </c>
      <c r="G500" s="1" t="str" cm="1">
        <f t="array" ref="G500">IFERROR(INDEX(PV_Totals_By_Item[#All], ROW()-1, COLUMN()), "")</f>
        <v/>
      </c>
      <c r="H500" s="1" t="str" cm="1">
        <f t="array" ref="H500">IFERROR(INDEX(PV_Totals_By_Item[#All], ROW()-1, COLUMN()), "")</f>
        <v/>
      </c>
      <c r="I500" s="1" t="str" cm="1">
        <f t="array" ref="I500">IFERROR(INDEX(PV_Totals_By_Item[#All], ROW()-1, COLUMN()), "")</f>
        <v/>
      </c>
      <c r="J500" s="1" t="str" cm="1">
        <f t="array" ref="J500">IFERROR(INDEX(PV_Totals_By_Item[#All], ROW()-1, COLUMN()), "")</f>
        <v/>
      </c>
    </row>
  </sheetData>
  <mergeCells count="1">
    <mergeCell ref="B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dimension ref="A1:C32"/>
  <sheetViews>
    <sheetView workbookViewId="0">
      <selection activeCell="C2" sqref="C2:C20"/>
    </sheetView>
  </sheetViews>
  <sheetFormatPr baseColWidth="10" defaultColWidth="8.83203125" defaultRowHeight="15"/>
  <cols>
    <col min="1" max="1" width="9" style="4"/>
    <col min="2" max="2" width="22.5" style="3" customWidth="1"/>
  </cols>
  <sheetData>
    <row r="1" spans="1:3">
      <c r="A1" s="4" t="s">
        <v>2</v>
      </c>
      <c r="B1" s="3" t="s">
        <v>68</v>
      </c>
      <c r="C1" s="2" t="s">
        <v>82</v>
      </c>
    </row>
    <row r="2" spans="1:3">
      <c r="A2" s="4">
        <v>2026</v>
      </c>
      <c r="B2" s="3">
        <v>2.63</v>
      </c>
      <c r="C2" s="2">
        <v>2.63E-2</v>
      </c>
    </row>
    <row r="3" spans="1:3">
      <c r="A3" s="4">
        <v>2027</v>
      </c>
      <c r="B3" s="3">
        <v>2.66</v>
      </c>
      <c r="C3" s="2">
        <v>2.6599999999999999E-2</v>
      </c>
    </row>
    <row r="4" spans="1:3">
      <c r="A4" s="4">
        <v>2028</v>
      </c>
      <c r="B4" s="3">
        <v>2.7</v>
      </c>
      <c r="C4" s="2">
        <v>2.7E-2</v>
      </c>
    </row>
    <row r="5" spans="1:3">
      <c r="A5" s="4">
        <v>2029</v>
      </c>
      <c r="B5" s="3">
        <v>2.75</v>
      </c>
      <c r="C5" s="2">
        <v>2.75E-2</v>
      </c>
    </row>
    <row r="6" spans="1:3">
      <c r="A6" s="4">
        <v>2030</v>
      </c>
      <c r="B6" s="3">
        <f>CustomDiscountCurve[[#This Row],[2.62%]]*100</f>
        <v>2.8000000000000003</v>
      </c>
      <c r="C6" s="2">
        <v>2.8000000000000001E-2</v>
      </c>
    </row>
    <row r="7" spans="1:3">
      <c r="A7" s="4">
        <v>2031</v>
      </c>
      <c r="B7" s="3">
        <f>CustomDiscountCurve[[#This Row],[2.62%]]*100</f>
        <v>2.86</v>
      </c>
      <c r="C7" s="2">
        <v>2.86E-2</v>
      </c>
    </row>
    <row r="8" spans="1:3">
      <c r="A8" s="4">
        <v>2032</v>
      </c>
      <c r="B8" s="3">
        <f>CustomDiscountCurve[[#This Row],[2.62%]]*100</f>
        <v>2.93</v>
      </c>
      <c r="C8" s="2">
        <v>2.93E-2</v>
      </c>
    </row>
    <row r="9" spans="1:3">
      <c r="A9" s="4">
        <v>2033</v>
      </c>
      <c r="B9" s="3">
        <f>CustomDiscountCurve[[#This Row],[2.62%]]*100</f>
        <v>3</v>
      </c>
      <c r="C9" s="2">
        <v>0.03</v>
      </c>
    </row>
    <row r="10" spans="1:3">
      <c r="A10" s="4">
        <v>2034</v>
      </c>
      <c r="B10" s="3">
        <f>CustomDiscountCurve[[#This Row],[2.62%]]*100</f>
        <v>3.0700000000000003</v>
      </c>
      <c r="C10" s="2">
        <v>3.0700000000000002E-2</v>
      </c>
    </row>
    <row r="11" spans="1:3">
      <c r="A11" s="4">
        <v>2035</v>
      </c>
      <c r="B11" s="3">
        <f>CustomDiscountCurve[[#This Row],[2.62%]]*100</f>
        <v>3.1300000000000003</v>
      </c>
      <c r="C11" s="2">
        <v>3.1300000000000001E-2</v>
      </c>
    </row>
    <row r="12" spans="1:3">
      <c r="A12" s="4">
        <v>2036</v>
      </c>
      <c r="B12" s="3">
        <f>CustomDiscountCurve[[#This Row],[2.62%]]*100</f>
        <v>3.18</v>
      </c>
      <c r="C12" s="2">
        <v>3.1800000000000002E-2</v>
      </c>
    </row>
    <row r="13" spans="1:3">
      <c r="A13" s="4">
        <v>2037</v>
      </c>
      <c r="B13" s="3">
        <f>CustomDiscountCurve[[#This Row],[2.62%]]*100</f>
        <v>3.2300000000000004</v>
      </c>
      <c r="C13" s="2">
        <v>3.2300000000000002E-2</v>
      </c>
    </row>
    <row r="14" spans="1:3">
      <c r="A14" s="4">
        <v>2038</v>
      </c>
      <c r="B14" s="3">
        <f>CustomDiscountCurve[[#This Row],[2.62%]]*100</f>
        <v>3.2800000000000002</v>
      </c>
      <c r="C14" s="2">
        <v>3.2800000000000003E-2</v>
      </c>
    </row>
    <row r="15" spans="1:3">
      <c r="A15" s="4">
        <v>2039</v>
      </c>
      <c r="B15" s="3">
        <f>CustomDiscountCurve[[#This Row],[2.62%]]*100</f>
        <v>3.3300000000000005</v>
      </c>
      <c r="C15" s="2">
        <v>3.3300000000000003E-2</v>
      </c>
    </row>
    <row r="16" spans="1:3">
      <c r="A16" s="4">
        <v>2040</v>
      </c>
      <c r="B16" s="3">
        <f>CustomDiscountCurve[[#This Row],[2.62%]]*100</f>
        <v>3.38</v>
      </c>
      <c r="C16" s="2">
        <v>3.3799999999999997E-2</v>
      </c>
    </row>
    <row r="17" spans="1:3">
      <c r="A17" s="4">
        <v>2041</v>
      </c>
      <c r="B17" s="3">
        <f>CustomDiscountCurve[[#This Row],[2.62%]]*100</f>
        <v>3.4299999999999997</v>
      </c>
      <c r="C17" s="2">
        <v>3.4299999999999997E-2</v>
      </c>
    </row>
    <row r="18" spans="1:3">
      <c r="A18" s="4">
        <v>2042</v>
      </c>
      <c r="B18" s="3">
        <f>CustomDiscountCurve[[#This Row],[2.62%]]*100</f>
        <v>3.4799999999999995</v>
      </c>
      <c r="C18" s="2">
        <v>3.4799999999999998E-2</v>
      </c>
    </row>
    <row r="19" spans="1:3">
      <c r="A19" s="4">
        <v>2043</v>
      </c>
      <c r="B19" s="3">
        <f>CustomDiscountCurve[[#This Row],[2.62%]]*100</f>
        <v>3.53</v>
      </c>
      <c r="C19" s="2">
        <v>3.5299999999999998E-2</v>
      </c>
    </row>
    <row r="20" spans="1:3">
      <c r="A20" s="4">
        <v>2044</v>
      </c>
      <c r="B20" s="3">
        <f>CustomDiscountCurve[[#This Row],[2.62%]]*100</f>
        <v>3.58</v>
      </c>
      <c r="C20" s="2">
        <v>3.5799999999999998E-2</v>
      </c>
    </row>
    <row r="21" spans="1:3">
      <c r="A21" s="4">
        <v>2045</v>
      </c>
      <c r="B21" s="3">
        <f>CustomDiscountCurve[[#This Row],[2.62%]]*100</f>
        <v>0</v>
      </c>
      <c r="C21" s="2">
        <v>0</v>
      </c>
    </row>
    <row r="22" spans="1:3">
      <c r="A22" s="4">
        <v>2046</v>
      </c>
      <c r="B22" s="3">
        <f>CustomDiscountCurve[[#This Row],[2.62%]]*100</f>
        <v>0</v>
      </c>
      <c r="C22" s="2">
        <v>0</v>
      </c>
    </row>
    <row r="23" spans="1:3">
      <c r="A23" s="4">
        <v>2047</v>
      </c>
      <c r="B23" s="3">
        <f>CustomDiscountCurve[[#This Row],[2.62%]]*100</f>
        <v>0</v>
      </c>
      <c r="C23" s="2">
        <v>0</v>
      </c>
    </row>
    <row r="24" spans="1:3">
      <c r="A24" s="4">
        <v>2048</v>
      </c>
      <c r="B24" s="3">
        <f>CustomDiscountCurve[[#This Row],[2.62%]]*100</f>
        <v>0</v>
      </c>
      <c r="C24" s="2">
        <v>0</v>
      </c>
    </row>
    <row r="25" spans="1:3">
      <c r="A25" s="4">
        <v>2049</v>
      </c>
      <c r="B25" s="3">
        <f>CustomDiscountCurve[[#This Row],[2.62%]]*100</f>
        <v>0</v>
      </c>
      <c r="C25" s="2">
        <v>0</v>
      </c>
    </row>
    <row r="26" spans="1:3">
      <c r="A26" s="4">
        <v>2050</v>
      </c>
      <c r="B26" s="3">
        <f>CustomDiscountCurve[[#This Row],[2.62%]]*100</f>
        <v>0</v>
      </c>
      <c r="C26" s="2">
        <v>0</v>
      </c>
    </row>
    <row r="27" spans="1:3">
      <c r="A27" s="4">
        <v>2051</v>
      </c>
      <c r="B27" s="3">
        <f>CustomDiscountCurve[[#This Row],[2.62%]]*100</f>
        <v>0</v>
      </c>
      <c r="C27" s="2">
        <v>0</v>
      </c>
    </row>
    <row r="28" spans="1:3">
      <c r="A28" s="4">
        <v>2052</v>
      </c>
      <c r="B28" s="3">
        <f>CustomDiscountCurve[[#This Row],[2.62%]]*100</f>
        <v>0</v>
      </c>
      <c r="C28" s="2">
        <v>0</v>
      </c>
    </row>
    <row r="29" spans="1:3">
      <c r="A29" s="4">
        <v>2053</v>
      </c>
      <c r="B29" s="3">
        <f>CustomDiscountCurve[[#This Row],[2.62%]]*100</f>
        <v>0</v>
      </c>
      <c r="C29" s="2">
        <v>0</v>
      </c>
    </row>
    <row r="30" spans="1:3">
      <c r="A30" s="4">
        <v>2054</v>
      </c>
      <c r="B30" s="3">
        <f>CustomDiscountCurve[[#This Row],[2.62%]]*100</f>
        <v>0</v>
      </c>
      <c r="C30" s="2">
        <v>0</v>
      </c>
    </row>
    <row r="31" spans="1:3">
      <c r="A31" s="4">
        <v>2055</v>
      </c>
      <c r="B31" s="3">
        <f>CustomDiscountCurve[[#This Row],[2.62%]]*100</f>
        <v>0</v>
      </c>
      <c r="C31" s="2">
        <v>0</v>
      </c>
    </row>
    <row r="32" spans="1:3">
      <c r="A32" s="4">
        <v>2056</v>
      </c>
      <c r="B32" s="3">
        <f>CustomDiscountCurve[[#This Row],[2.62%]]*100</f>
        <v>0</v>
      </c>
      <c r="C32" s="2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dimension ref="A1:D2"/>
  <sheetViews>
    <sheetView zoomScaleNormal="150" workbookViewId="0">
      <selection activeCell="K30" sqref="K30"/>
    </sheetView>
  </sheetViews>
  <sheetFormatPr baseColWidth="10" defaultColWidth="9" defaultRowHeight="16"/>
  <cols>
    <col min="1" max="1" width="13" style="1" bestFit="1" customWidth="1"/>
    <col min="2" max="2" width="24" style="1" bestFit="1" customWidth="1"/>
    <col min="3" max="3" width="23.83203125" style="1" bestFit="1" customWidth="1"/>
    <col min="4" max="4" width="24.33203125" style="1" bestFit="1" customWidth="1"/>
    <col min="5" max="6" width="10.1640625" style="1" bestFit="1" customWidth="1"/>
    <col min="7" max="7" width="19.33203125" style="1" bestFit="1" customWidth="1"/>
    <col min="8" max="8" width="19.1640625" style="1" bestFit="1" customWidth="1"/>
    <col min="9" max="9" width="19.6640625" style="1" bestFit="1" customWidth="1"/>
    <col min="10" max="10" width="11.83203125" style="1" bestFit="1" customWidth="1"/>
    <col min="11" max="11" width="18.83203125" style="1" bestFit="1" customWidth="1"/>
    <col min="12" max="16384" width="9" style="1"/>
  </cols>
  <sheetData>
    <row r="1" spans="1:4">
      <c r="A1" s="1" t="s">
        <v>0</v>
      </c>
      <c r="B1" t="s">
        <v>93</v>
      </c>
      <c r="C1" t="s">
        <v>94</v>
      </c>
      <c r="D1" t="s">
        <v>95</v>
      </c>
    </row>
    <row r="2" spans="1:4">
      <c r="A2" s="1" t="s">
        <v>91</v>
      </c>
      <c r="B2"/>
      <c r="C2"/>
      <c r="D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dimension ref="A1:AD26"/>
  <sheetViews>
    <sheetView topLeftCell="K15" workbookViewId="0">
      <selection activeCell="A8" sqref="A8"/>
    </sheetView>
  </sheetViews>
  <sheetFormatPr baseColWidth="10" defaultColWidth="8.83203125" defaultRowHeight="15"/>
  <cols>
    <col min="1" max="1" width="9.33203125" bestFit="1" customWidth="1"/>
    <col min="2" max="2" width="13.1640625" bestFit="1" customWidth="1"/>
    <col min="3" max="3" width="16.1640625" bestFit="1" customWidth="1"/>
    <col min="4" max="4" width="13" bestFit="1" customWidth="1"/>
    <col min="5" max="5" width="16" bestFit="1" customWidth="1"/>
    <col min="6" max="6" width="13.5" bestFit="1" customWidth="1"/>
    <col min="7" max="7" width="16.5" bestFit="1" customWidth="1"/>
    <col min="8" max="8" width="10.1640625" bestFit="1" customWidth="1"/>
    <col min="9" max="9" width="16.1640625" bestFit="1" customWidth="1"/>
    <col min="10" max="10" width="48.1640625" bestFit="1" customWidth="1"/>
    <col min="11" max="11" width="25.1640625" bestFit="1" customWidth="1"/>
    <col min="12" max="12" width="16.1640625" bestFit="1" customWidth="1"/>
    <col min="13" max="13" width="30.83203125" bestFit="1" customWidth="1"/>
    <col min="14" max="14" width="32" bestFit="1" customWidth="1"/>
    <col min="15" max="15" width="25" bestFit="1" customWidth="1"/>
    <col min="16" max="16" width="21.5" bestFit="1" customWidth="1"/>
    <col min="17" max="17" width="16" bestFit="1" customWidth="1"/>
    <col min="18" max="18" width="48" bestFit="1" customWidth="1"/>
    <col min="19" max="19" width="25" bestFit="1" customWidth="1"/>
    <col min="20" max="20" width="16" bestFit="1" customWidth="1"/>
    <col min="21" max="21" width="31.5" bestFit="1" customWidth="1"/>
    <col min="22" max="22" width="32.5" bestFit="1" customWidth="1"/>
    <col min="23" max="23" width="25.5" bestFit="1" customWidth="1"/>
    <col min="24" max="24" width="22" bestFit="1" customWidth="1"/>
    <col min="25" max="25" width="16.5" bestFit="1" customWidth="1"/>
    <col min="26" max="26" width="48.5" bestFit="1" customWidth="1"/>
    <col min="27" max="27" width="25.5" bestFit="1" customWidth="1"/>
    <col min="28" max="28" width="16.5" bestFit="1" customWidth="1"/>
    <col min="29" max="29" width="11.6640625" bestFit="1" customWidth="1"/>
    <col min="30" max="30" width="32.33203125" bestFit="1" customWidth="1"/>
    <col min="31" max="31" width="32.1640625" bestFit="1" customWidth="1"/>
    <col min="32" max="32" width="20.5" bestFit="1" customWidth="1"/>
    <col min="33" max="33" width="33.6640625" bestFit="1" customWidth="1"/>
    <col min="34" max="34" width="11.33203125" bestFit="1" customWidth="1"/>
    <col min="35" max="35" width="16.1640625" bestFit="1" customWidth="1"/>
    <col min="36" max="36" width="39" bestFit="1" customWidth="1"/>
    <col min="37" max="37" width="38.5" bestFit="1" customWidth="1"/>
    <col min="38" max="38" width="23.33203125" bestFit="1" customWidth="1"/>
    <col min="39" max="39" width="22.6640625" bestFit="1" customWidth="1"/>
    <col min="40" max="40" width="29" bestFit="1" customWidth="1"/>
    <col min="41" max="41" width="35.83203125" bestFit="1" customWidth="1"/>
    <col min="42" max="42" width="25.5" bestFit="1" customWidth="1"/>
    <col min="43" max="43" width="32.1640625" bestFit="1" customWidth="1"/>
    <col min="44" max="44" width="32" bestFit="1" customWidth="1"/>
    <col min="45" max="45" width="20.33203125" bestFit="1" customWidth="1"/>
    <col min="46" max="46" width="33.5" bestFit="1" customWidth="1"/>
    <col min="47" max="47" width="11.1640625" bestFit="1" customWidth="1"/>
    <col min="48" max="48" width="16" bestFit="1" customWidth="1"/>
    <col min="49" max="49" width="39.5" bestFit="1" customWidth="1"/>
    <col min="50" max="50" width="39" bestFit="1" customWidth="1"/>
    <col min="51" max="51" width="23.6640625" bestFit="1" customWidth="1"/>
    <col min="52" max="52" width="23.33203125" bestFit="1" customWidth="1"/>
    <col min="53" max="53" width="29.5" bestFit="1" customWidth="1"/>
    <col min="54" max="54" width="36.33203125" bestFit="1" customWidth="1"/>
    <col min="55" max="55" width="26" bestFit="1" customWidth="1"/>
    <col min="56" max="56" width="32.6640625" bestFit="1" customWidth="1"/>
    <col min="57" max="57" width="32.5" bestFit="1" customWidth="1"/>
    <col min="58" max="58" width="20.6640625" bestFit="1" customWidth="1"/>
    <col min="59" max="59" width="34" bestFit="1" customWidth="1"/>
    <col min="60" max="60" width="11.6640625" bestFit="1" customWidth="1"/>
    <col min="61" max="61" width="16.5" customWidth="1"/>
    <col min="62" max="62" width="11.6640625" bestFit="1" customWidth="1"/>
    <col min="63" max="63" width="19.5" bestFit="1" customWidth="1"/>
    <col min="64" max="64" width="21.1640625" bestFit="1" customWidth="1"/>
    <col min="65" max="65" width="17.6640625" bestFit="1" customWidth="1"/>
    <col min="66" max="66" width="12.6640625" bestFit="1" customWidth="1"/>
    <col min="67" max="67" width="18.5" bestFit="1" customWidth="1"/>
    <col min="68" max="68" width="23.33203125" bestFit="1" customWidth="1"/>
    <col min="69" max="69" width="24.5" bestFit="1" customWidth="1"/>
    <col min="70" max="70" width="25.33203125" bestFit="1" customWidth="1"/>
    <col min="71" max="71" width="28" bestFit="1" customWidth="1"/>
    <col min="72" max="72" width="23.83203125" bestFit="1" customWidth="1"/>
    <col min="73" max="73" width="19.5" bestFit="1" customWidth="1"/>
    <col min="74" max="74" width="21.1640625" bestFit="1" customWidth="1"/>
    <col min="75" max="75" width="17.6640625" bestFit="1" customWidth="1"/>
    <col min="76" max="76" width="13.1640625" bestFit="1" customWidth="1"/>
    <col min="77" max="77" width="18.83203125" bestFit="1" customWidth="1"/>
    <col min="78" max="78" width="23.83203125" bestFit="1" customWidth="1"/>
    <col min="79" max="79" width="25" bestFit="1" customWidth="1"/>
    <col min="80" max="80" width="25.6640625" bestFit="1" customWidth="1"/>
    <col min="81" max="81" width="28.5" bestFit="1" customWidth="1"/>
    <col min="82" max="82" width="24.33203125" bestFit="1" customWidth="1"/>
    <col min="83" max="83" width="20" bestFit="1" customWidth="1"/>
    <col min="84" max="84" width="21.5" bestFit="1" customWidth="1"/>
    <col min="85" max="85" width="18.1640625" customWidth="1"/>
    <col min="86" max="86" width="12" bestFit="1" customWidth="1"/>
    <col min="87" max="87" width="21.5" bestFit="1" customWidth="1"/>
    <col min="88" max="88" width="18.1640625" bestFit="1" customWidth="1"/>
    <col min="89" max="89" width="18.6640625" bestFit="1" customWidth="1"/>
    <col min="90" max="90" width="20.1640625" bestFit="1" customWidth="1"/>
    <col min="91" max="91" width="17" bestFit="1" customWidth="1"/>
    <col min="92" max="92" width="18.6640625" bestFit="1" customWidth="1"/>
    <col min="93" max="93" width="20.1640625" bestFit="1" customWidth="1"/>
    <col min="94" max="94" width="17" bestFit="1" customWidth="1"/>
    <col min="95" max="95" width="18.6640625" bestFit="1" customWidth="1"/>
    <col min="96" max="96" width="20.1640625" bestFit="1" customWidth="1"/>
    <col min="97" max="97" width="17" customWidth="1"/>
    <col min="98" max="98" width="19.33203125" bestFit="1" customWidth="1"/>
    <col min="99" max="99" width="21.83203125" bestFit="1" customWidth="1"/>
    <col min="100" max="100" width="23" bestFit="1" customWidth="1"/>
    <col min="101" max="101" width="12" bestFit="1" customWidth="1"/>
    <col min="102" max="102" width="20.33203125" bestFit="1" customWidth="1"/>
    <col min="103" max="103" width="16.5" customWidth="1"/>
    <col min="104" max="104" width="19.6640625" bestFit="1" customWidth="1"/>
    <col min="105" max="105" width="22.33203125" bestFit="1" customWidth="1"/>
    <col min="106" max="106" width="23.5" bestFit="1" customWidth="1"/>
    <col min="107" max="107" width="12.5" bestFit="1" customWidth="1"/>
    <col min="108" max="108" width="20.6640625" bestFit="1" customWidth="1"/>
    <col min="109" max="109" width="17" bestFit="1" customWidth="1"/>
    <col min="110" max="110" width="13.5" bestFit="1" customWidth="1"/>
    <col min="111" max="111" width="18.33203125" bestFit="1" customWidth="1"/>
    <col min="112" max="112" width="15.83203125" bestFit="1" customWidth="1"/>
    <col min="113" max="113" width="21.1640625" bestFit="1" customWidth="1"/>
    <col min="114" max="114" width="20.33203125" bestFit="1" customWidth="1"/>
    <col min="115" max="115" width="16.5" bestFit="1" customWidth="1"/>
    <col min="116" max="116" width="13.83203125" bestFit="1" customWidth="1"/>
    <col min="117" max="117" width="18.6640625" bestFit="1" customWidth="1"/>
    <col min="118" max="118" width="16.1640625" bestFit="1" customWidth="1"/>
    <col min="119" max="119" width="21.5" bestFit="1" customWidth="1"/>
    <col min="120" max="120" width="20.6640625" bestFit="1" customWidth="1"/>
    <col min="121" max="121" width="17" bestFit="1" customWidth="1"/>
    <col min="122" max="122" width="20.6640625" bestFit="1" customWidth="1"/>
    <col min="123" max="123" width="20" bestFit="1" customWidth="1"/>
    <col min="124" max="124" width="16.5" customWidth="1"/>
    <col min="125" max="125" width="6.5" bestFit="1" customWidth="1"/>
    <col min="126" max="126" width="10.5" bestFit="1" customWidth="1"/>
    <col min="127" max="127" width="11" bestFit="1" customWidth="1"/>
    <col min="128" max="129" width="11.6640625" customWidth="1"/>
    <col min="130" max="130" width="11.6640625" bestFit="1" customWidth="1"/>
    <col min="131" max="131" width="22.5" bestFit="1" customWidth="1"/>
    <col min="132" max="133" width="11.6640625" bestFit="1" customWidth="1"/>
    <col min="134" max="134" width="12.5" bestFit="1" customWidth="1"/>
    <col min="135" max="137" width="11.6640625" bestFit="1" customWidth="1"/>
    <col min="138" max="138" width="19.5" bestFit="1" customWidth="1"/>
    <col min="139" max="139" width="12.1640625" bestFit="1" customWidth="1"/>
    <col min="140" max="140" width="11.6640625" bestFit="1" customWidth="1"/>
    <col min="141" max="141" width="25.6640625" bestFit="1" customWidth="1"/>
    <col min="142" max="143" width="11.6640625" bestFit="1" customWidth="1"/>
    <col min="144" max="144" width="25.6640625" customWidth="1"/>
    <col min="145" max="145" width="19.5" bestFit="1" customWidth="1"/>
    <col min="146" max="146" width="22.6640625" bestFit="1" customWidth="1"/>
    <col min="147" max="147" width="18.83203125" bestFit="1" customWidth="1"/>
    <col min="148" max="148" width="11.6640625" bestFit="1" customWidth="1"/>
    <col min="149" max="149" width="25.6640625" customWidth="1"/>
    <col min="150" max="150" width="18.83203125" bestFit="1" customWidth="1"/>
    <col min="151" max="151" width="11.6640625" bestFit="1" customWidth="1"/>
    <col min="152" max="152" width="25.6640625" bestFit="1" customWidth="1"/>
  </cols>
  <sheetData>
    <row r="1" spans="1:8">
      <c r="A1" t="s">
        <v>3</v>
      </c>
      <c r="B1" t="s">
        <v>165</v>
      </c>
      <c r="C1" t="s">
        <v>85</v>
      </c>
      <c r="D1" t="s">
        <v>166</v>
      </c>
      <c r="E1" t="s">
        <v>86</v>
      </c>
      <c r="F1" t="s">
        <v>167</v>
      </c>
      <c r="G1" t="s">
        <v>87</v>
      </c>
      <c r="H1" t="s">
        <v>104</v>
      </c>
    </row>
    <row r="2" spans="1:8">
      <c r="A2" t="s">
        <v>76</v>
      </c>
      <c r="H2" t="e">
        <f>AVERAGE(Pivoted_By_Year[[#This Row],[Year Total (High)]],Pivoted_By_Year[[#This Row],[Year Total (Low)]])</f>
        <v>#DIV/0!</v>
      </c>
    </row>
    <row r="26" spans="30:30">
      <c r="AD26" t="e">
        <f>#REF!+#REF!+#REF!</f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dimension ref="A1:B3"/>
  <sheetViews>
    <sheetView workbookViewId="0">
      <selection activeCell="E8" sqref="E8"/>
    </sheetView>
  </sheetViews>
  <sheetFormatPr baseColWidth="10" defaultColWidth="8.83203125" defaultRowHeight="15"/>
  <cols>
    <col min="1" max="1" width="16.33203125" customWidth="1"/>
  </cols>
  <sheetData>
    <row r="1" spans="1:2">
      <c r="A1" t="s">
        <v>71</v>
      </c>
      <c r="B1" t="s">
        <v>72</v>
      </c>
    </row>
    <row r="2" spans="1:2">
      <c r="A2" t="s">
        <v>73</v>
      </c>
      <c r="B2">
        <v>30</v>
      </c>
    </row>
    <row r="3" spans="1:2">
      <c r="A3" t="s">
        <v>74</v>
      </c>
      <c r="B3" s="2">
        <v>4.7E-2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dimension ref="A1:B6"/>
  <sheetViews>
    <sheetView workbookViewId="0">
      <selection activeCell="G15" sqref="G15"/>
    </sheetView>
  </sheetViews>
  <sheetFormatPr baseColWidth="10" defaultColWidth="8.83203125" defaultRowHeight="15"/>
  <cols>
    <col min="1" max="1" width="17" bestFit="1" customWidth="1"/>
    <col min="2" max="2" width="8" bestFit="1" customWidth="1"/>
  </cols>
  <sheetData>
    <row r="1" spans="1:2">
      <c r="A1" t="s">
        <v>81</v>
      </c>
      <c r="B1" t="s">
        <v>72</v>
      </c>
    </row>
    <row r="2" spans="1:2">
      <c r="A2" t="s">
        <v>78</v>
      </c>
      <c r="B2" t="s">
        <v>139</v>
      </c>
    </row>
    <row r="3" spans="1:2">
      <c r="A3" t="s">
        <v>79</v>
      </c>
      <c r="B3">
        <v>0</v>
      </c>
    </row>
    <row r="4" spans="1:2">
      <c r="A4" t="s">
        <v>80</v>
      </c>
      <c r="B4" t="b">
        <v>1</v>
      </c>
    </row>
    <row r="5" spans="1:2">
      <c r="A5" t="s">
        <v>100</v>
      </c>
      <c r="B5" t="s">
        <v>102</v>
      </c>
    </row>
    <row r="6" spans="1:2">
      <c r="A6" t="s">
        <v>101</v>
      </c>
      <c r="B6">
        <v>25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dimension ref="O14:O17"/>
  <sheetViews>
    <sheetView workbookViewId="0">
      <selection activeCell="G28" sqref="G28"/>
    </sheetView>
  </sheetViews>
  <sheetFormatPr baseColWidth="10" defaultColWidth="8.83203125" defaultRowHeight="15"/>
  <cols>
    <col min="1" max="1" width="20.1640625" customWidth="1"/>
  </cols>
  <sheetData>
    <row r="14" spans="15:15">
      <c r="O14">
        <f>200*2080</f>
        <v>416000</v>
      </c>
    </row>
    <row r="15" spans="15:15">
      <c r="O15">
        <f>2080*50</f>
        <v>104000</v>
      </c>
    </row>
    <row r="16" spans="15:15">
      <c r="O16">
        <f>O14-O15</f>
        <v>312000</v>
      </c>
    </row>
    <row r="17" spans="15:1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dimension ref="A1:C31"/>
  <sheetViews>
    <sheetView workbookViewId="0">
      <selection activeCell="C21" sqref="C21"/>
    </sheetView>
  </sheetViews>
  <sheetFormatPr baseColWidth="10" defaultColWidth="8.83203125" defaultRowHeight="15"/>
  <cols>
    <col min="1" max="1" width="6.5" bestFit="1" customWidth="1"/>
    <col min="2" max="2" width="15.33203125" bestFit="1" customWidth="1"/>
    <col min="3" max="3" width="22.83203125" bestFit="1" customWidth="1"/>
    <col min="4" max="4" width="7.5" bestFit="1" customWidth="1"/>
  </cols>
  <sheetData>
    <row r="1" spans="1:3">
      <c r="A1" t="s">
        <v>2</v>
      </c>
      <c r="B1" t="s">
        <v>4</v>
      </c>
      <c r="C1" t="s">
        <v>68</v>
      </c>
    </row>
    <row r="2" spans="1:3">
      <c r="A2" t="s">
        <v>5</v>
      </c>
      <c r="B2" t="s">
        <v>6</v>
      </c>
      <c r="C2" s="2" t="s">
        <v>141</v>
      </c>
    </row>
    <row r="3" spans="1:3">
      <c r="A3" t="s">
        <v>7</v>
      </c>
      <c r="B3" t="s">
        <v>8</v>
      </c>
      <c r="C3" s="2" t="s">
        <v>142</v>
      </c>
    </row>
    <row r="4" spans="1:3">
      <c r="A4" t="s">
        <v>9</v>
      </c>
      <c r="B4" t="s">
        <v>10</v>
      </c>
      <c r="C4" s="2" t="s">
        <v>143</v>
      </c>
    </row>
    <row r="5" spans="1:3">
      <c r="A5" t="s">
        <v>11</v>
      </c>
      <c r="B5" t="s">
        <v>12</v>
      </c>
      <c r="C5" s="2" t="s">
        <v>144</v>
      </c>
    </row>
    <row r="6" spans="1:3">
      <c r="A6" t="s">
        <v>13</v>
      </c>
      <c r="B6" t="s">
        <v>14</v>
      </c>
      <c r="C6" s="2" t="s">
        <v>145</v>
      </c>
    </row>
    <row r="7" spans="1:3">
      <c r="A7" t="s">
        <v>15</v>
      </c>
      <c r="B7" t="s">
        <v>16</v>
      </c>
      <c r="C7" s="2" t="s">
        <v>146</v>
      </c>
    </row>
    <row r="8" spans="1:3">
      <c r="A8" t="s">
        <v>17</v>
      </c>
      <c r="B8" t="s">
        <v>18</v>
      </c>
      <c r="C8" s="2" t="s">
        <v>147</v>
      </c>
    </row>
    <row r="9" spans="1:3">
      <c r="A9" t="s">
        <v>19</v>
      </c>
      <c r="B9" t="s">
        <v>20</v>
      </c>
      <c r="C9" s="2" t="s">
        <v>148</v>
      </c>
    </row>
    <row r="10" spans="1:3">
      <c r="A10" t="s">
        <v>21</v>
      </c>
      <c r="B10" t="s">
        <v>22</v>
      </c>
      <c r="C10" s="2" t="s">
        <v>149</v>
      </c>
    </row>
    <row r="11" spans="1:3">
      <c r="A11" t="s">
        <v>23</v>
      </c>
      <c r="B11" t="s">
        <v>24</v>
      </c>
      <c r="C11" s="2" t="s">
        <v>150</v>
      </c>
    </row>
    <row r="12" spans="1:3">
      <c r="A12" t="s">
        <v>25</v>
      </c>
      <c r="B12" t="s">
        <v>26</v>
      </c>
      <c r="C12" s="2" t="s">
        <v>151</v>
      </c>
    </row>
    <row r="13" spans="1:3">
      <c r="A13" t="s">
        <v>27</v>
      </c>
      <c r="B13" t="s">
        <v>28</v>
      </c>
      <c r="C13" s="2" t="s">
        <v>152</v>
      </c>
    </row>
    <row r="14" spans="1:3">
      <c r="A14" t="s">
        <v>29</v>
      </c>
      <c r="B14" t="s">
        <v>30</v>
      </c>
      <c r="C14" s="2" t="s">
        <v>153</v>
      </c>
    </row>
    <row r="15" spans="1:3">
      <c r="A15" t="s">
        <v>31</v>
      </c>
      <c r="B15" t="s">
        <v>32</v>
      </c>
      <c r="C15" s="2" t="s">
        <v>132</v>
      </c>
    </row>
    <row r="16" spans="1:3">
      <c r="A16" t="s">
        <v>33</v>
      </c>
      <c r="B16" t="s">
        <v>34</v>
      </c>
      <c r="C16" s="2" t="s">
        <v>154</v>
      </c>
    </row>
    <row r="17" spans="1:3">
      <c r="A17" t="s">
        <v>35</v>
      </c>
      <c r="B17" t="s">
        <v>36</v>
      </c>
      <c r="C17" s="2" t="s">
        <v>133</v>
      </c>
    </row>
    <row r="18" spans="1:3">
      <c r="A18" t="s">
        <v>37</v>
      </c>
      <c r="B18" t="s">
        <v>38</v>
      </c>
      <c r="C18" s="2" t="s">
        <v>134</v>
      </c>
    </row>
    <row r="19" spans="1:3">
      <c r="A19" t="s">
        <v>39</v>
      </c>
      <c r="B19" t="s">
        <v>40</v>
      </c>
      <c r="C19" s="2" t="s">
        <v>135</v>
      </c>
    </row>
    <row r="20" spans="1:3">
      <c r="A20" t="s">
        <v>41</v>
      </c>
      <c r="B20" t="s">
        <v>42</v>
      </c>
      <c r="C20" s="2" t="s">
        <v>155</v>
      </c>
    </row>
    <row r="21" spans="1:3">
      <c r="A21" t="s">
        <v>43</v>
      </c>
      <c r="B21" t="s">
        <v>44</v>
      </c>
      <c r="C21" s="2" t="s">
        <v>156</v>
      </c>
    </row>
    <row r="22" spans="1:3">
      <c r="A22" t="s">
        <v>45</v>
      </c>
      <c r="B22" t="s">
        <v>46</v>
      </c>
      <c r="C22" t="s">
        <v>136</v>
      </c>
    </row>
    <row r="23" spans="1:3">
      <c r="A23" t="s">
        <v>47</v>
      </c>
      <c r="B23" t="s">
        <v>48</v>
      </c>
      <c r="C23" t="s">
        <v>137</v>
      </c>
    </row>
    <row r="24" spans="1:3">
      <c r="A24" t="s">
        <v>49</v>
      </c>
      <c r="B24" t="s">
        <v>50</v>
      </c>
      <c r="C24" t="s">
        <v>157</v>
      </c>
    </row>
    <row r="25" spans="1:3">
      <c r="A25" t="s">
        <v>51</v>
      </c>
      <c r="B25" t="s">
        <v>52</v>
      </c>
      <c r="C25" t="s">
        <v>158</v>
      </c>
    </row>
    <row r="26" spans="1:3">
      <c r="A26" t="s">
        <v>53</v>
      </c>
      <c r="B26" t="s">
        <v>54</v>
      </c>
      <c r="C26" t="s">
        <v>159</v>
      </c>
    </row>
    <row r="27" spans="1:3">
      <c r="A27" t="s">
        <v>55</v>
      </c>
      <c r="B27" t="s">
        <v>56</v>
      </c>
      <c r="C27" t="s">
        <v>160</v>
      </c>
    </row>
    <row r="28" spans="1:3">
      <c r="A28" t="s">
        <v>57</v>
      </c>
      <c r="B28" t="s">
        <v>58</v>
      </c>
      <c r="C28" t="s">
        <v>161</v>
      </c>
    </row>
    <row r="29" spans="1:3">
      <c r="A29" t="s">
        <v>59</v>
      </c>
      <c r="B29" t="s">
        <v>60</v>
      </c>
      <c r="C29" t="s">
        <v>162</v>
      </c>
    </row>
    <row r="30" spans="1:3">
      <c r="A30" t="s">
        <v>61</v>
      </c>
      <c r="B30" t="s">
        <v>62</v>
      </c>
      <c r="C30" t="s">
        <v>163</v>
      </c>
    </row>
    <row r="31" spans="1:3">
      <c r="A31" t="s">
        <v>63</v>
      </c>
      <c r="B31" t="s">
        <v>64</v>
      </c>
      <c r="C31" t="s">
        <v>164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48</vt:i4>
      </vt:variant>
    </vt:vector>
  </HeadingPairs>
  <TitlesOfParts>
    <vt:vector size="73" baseType="lpstr">
      <vt:lpstr>REPORT_OUTPUTS</vt:lpstr>
      <vt:lpstr>Inputs</vt:lpstr>
      <vt:lpstr>Item Inputs</vt:lpstr>
      <vt:lpstr>Life Exp</vt:lpstr>
      <vt:lpstr>worksheet</vt:lpstr>
      <vt:lpstr>Executive Summary</vt:lpstr>
      <vt:lpstr>NSA vs SA Comparison</vt:lpstr>
      <vt:lpstr>Complete CAGR Results</vt:lpstr>
      <vt:lpstr>Series Summary</vt:lpstr>
      <vt:lpstr>NSA Results</vt:lpstr>
      <vt:lpstr>SA Results</vt:lpstr>
      <vt:lpstr>Methodology</vt:lpstr>
      <vt:lpstr>DepletionOfFunds</vt:lpstr>
      <vt:lpstr>ExhaustionChartData</vt:lpstr>
      <vt:lpstr>Query2</vt:lpstr>
      <vt:lpstr>Query1</vt:lpstr>
      <vt:lpstr>Future_Cost_By_Year</vt:lpstr>
      <vt:lpstr>Formatted Tables</vt:lpstr>
      <vt:lpstr>CustomDiscountCurve</vt:lpstr>
      <vt:lpstr>PV_Totals_By_Item</vt:lpstr>
      <vt:lpstr>Pivoted_By_Year</vt:lpstr>
      <vt:lpstr>FallbackYield</vt:lpstr>
      <vt:lpstr>AppOptions</vt:lpstr>
      <vt:lpstr>Options </vt:lpstr>
      <vt:lpstr>GetBloombergDailyYieldCurve_cur</vt:lpstr>
      <vt:lpstr>After_Credit_one</vt:lpstr>
      <vt:lpstr>Age_at_Reference</vt:lpstr>
      <vt:lpstr>Alternative_Earnings_Base</vt:lpstr>
      <vt:lpstr>Attorney_First_Name</vt:lpstr>
      <vt:lpstr>Attorney_Last_Name</vt:lpstr>
      <vt:lpstr>AttorneySalutation</vt:lpstr>
      <vt:lpstr>Birth_Date</vt:lpstr>
      <vt:lpstr>Claimant_Name_First</vt:lpstr>
      <vt:lpstr>ClaimantSalutation</vt:lpstr>
      <vt:lpstr>Client_Name_Last</vt:lpstr>
      <vt:lpstr>DateofAccident</vt:lpstr>
      <vt:lpstr>DateofTrial</vt:lpstr>
      <vt:lpstr>Earnings_reported_per_hour</vt:lpstr>
      <vt:lpstr>Firm_Address</vt:lpstr>
      <vt:lpstr>Firm_City</vt:lpstr>
      <vt:lpstr>Firm_Email</vt:lpstr>
      <vt:lpstr>Firm_Fax</vt:lpstr>
      <vt:lpstr>Firm_Name</vt:lpstr>
      <vt:lpstr>Firm_Phone</vt:lpstr>
      <vt:lpstr>Firm_State</vt:lpstr>
      <vt:lpstr>Firm_Zip_Code</vt:lpstr>
      <vt:lpstr>Gender</vt:lpstr>
      <vt:lpstr>Job_Title</vt:lpstr>
      <vt:lpstr>Job_Title_2</vt:lpstr>
      <vt:lpstr>LCPReportDate</vt:lpstr>
      <vt:lpstr>Life_Expectancy</vt:lpstr>
      <vt:lpstr>LifeCarePlanner</vt:lpstr>
      <vt:lpstr>LongDOB</vt:lpstr>
      <vt:lpstr>Loss_from_Trial_after_Credit_1</vt:lpstr>
      <vt:lpstr>Loss_from_Trial_wo_return_to_Work</vt:lpstr>
      <vt:lpstr>Loss_to_Trial_Base_one</vt:lpstr>
      <vt:lpstr>Lower_Bound_of_Estimate</vt:lpstr>
      <vt:lpstr>Medical_Care_Services</vt:lpstr>
      <vt:lpstr>Midpoint_of_Estimate</vt:lpstr>
      <vt:lpstr>Place_of_Employment</vt:lpstr>
      <vt:lpstr>Place_of_Trial</vt:lpstr>
      <vt:lpstr>Primary_Earnings_Base_1</vt:lpstr>
      <vt:lpstr>Primary_Earnings_Base_2</vt:lpstr>
      <vt:lpstr>'Life Exp'!Print_Titles</vt:lpstr>
      <vt:lpstr>Pronoun</vt:lpstr>
      <vt:lpstr>PV_Employer_Fringe_Contrib</vt:lpstr>
      <vt:lpstr>PV_Meds_High</vt:lpstr>
      <vt:lpstr>PV_Meds_Low</vt:lpstr>
      <vt:lpstr>PV_Meds_Mid</vt:lpstr>
      <vt:lpstr>Reference_Date</vt:lpstr>
      <vt:lpstr>The_discount_rate</vt:lpstr>
      <vt:lpstr>Upper_Bound_of_Estimate</vt:lpstr>
      <vt:lpstr>Weekly_wage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Bussey</cp:lastModifiedBy>
  <dcterms:created xsi:type="dcterms:W3CDTF">2025-06-06T14:14:52Z</dcterms:created>
  <dcterms:modified xsi:type="dcterms:W3CDTF">2026-04-26T23:31:55Z</dcterms:modified>
</cp:coreProperties>
</file>