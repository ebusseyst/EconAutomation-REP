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mc:AlternateContent xmlns:mc="http://schemas.openxmlformats.org/markup-compatibility/2006">
    <mc:Choice Requires="x15">
      <x15ac:absPath xmlns:x15ac="http://schemas.microsoft.com/office/spreadsheetml/2010/11/ac" url="C:\Users\EricBussey\GitHub\EconAutomation-REP\EconAutomation\src\supporting_docs\sorted_econ_files\"/>
    </mc:Choice>
  </mc:AlternateContent>
  <xr:revisionPtr revIDLastSave="0" documentId="13_ncr:1_{42576855-E377-4D2D-A555-5D8663B4F050}" xr6:coauthVersionLast="47" xr6:coauthVersionMax="47" xr10:uidLastSave="{00000000-0000-0000-0000-000000000000}"/>
  <bookViews>
    <workbookView xWindow="-120" yWindow="-120" windowWidth="29040" windowHeight="15720" tabRatio="795" xr2:uid="{25EC3B8A-402B-47FF-80A9-5B0690A475CD}"/>
  </bookViews>
  <sheets>
    <sheet name="REPORT_OUTPUTS" sheetId="33" r:id="rId1"/>
    <sheet name="Case Inputs" sheetId="3" r:id="rId2"/>
    <sheet name="Inputs" sheetId="31" r:id="rId3"/>
    <sheet name="ReportSections" sheetId="32" r:id="rId4"/>
    <sheet name="Base 1 PV Loss WLE" sheetId="1" r:id="rId5"/>
    <sheet name="Base 1 PV Loss To Age" sheetId="21" r:id="rId6"/>
    <sheet name="Base 2 PV Loss WLE" sheetId="23" r:id="rId7"/>
    <sheet name="Base 2 PV Loss To Age" sheetId="24" r:id="rId8"/>
    <sheet name="Credit 1 PV Loss WLE" sheetId="25" r:id="rId9"/>
    <sheet name="Credit 1 PV Loss To Age" sheetId="26" r:id="rId10"/>
    <sheet name="Credit 2 PV Loss WLE" sheetId="27" r:id="rId11"/>
    <sheet name="Credit 2 PV Loss To Age" sheetId="28" r:id="rId12"/>
    <sheet name="Base 5 PV Loss WLE" sheetId="29" r:id="rId13"/>
    <sheet name="Base 5 PV Loss To Age" sheetId="30" r:id="rId14"/>
    <sheet name="Discount Rates" sheetId="6" r:id="rId15"/>
    <sheet name="LE_F" sheetId="11" r:id="rId16"/>
    <sheet name="LE_M" sheetId="12" r:id="rId17"/>
    <sheet name="WLE" sheetId="13" r:id="rId18"/>
    <sheet name="CPI Data" sheetId="22" r:id="rId19"/>
  </sheets>
  <definedNames>
    <definedName name="ExternalData_1" localSheetId="14" hidden="1">'Discount Rates'!$A$1:$C$31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33" l="1" a="1"/>
  <c r="I1" i="33" s="1"/>
  <c r="F1" i="33" a="1"/>
  <c r="F1" i="33" s="1"/>
  <c r="D80" i="33" a="1"/>
  <c r="D80" i="33" s="1"/>
  <c r="D79" i="33" a="1"/>
  <c r="D79" i="33" s="1"/>
  <c r="D64" i="33" a="1"/>
  <c r="D64" i="33" s="1"/>
  <c r="D63" i="33" a="1"/>
  <c r="D63" i="33" s="1"/>
  <c r="D48" i="33" a="1"/>
  <c r="D48" i="33" s="1"/>
  <c r="D47" i="33" a="1"/>
  <c r="D47" i="33" s="1"/>
  <c r="D86" i="33" a="1"/>
  <c r="D86" i="33" s="1"/>
  <c r="D85" i="33" a="1"/>
  <c r="D85" i="33" s="1"/>
  <c r="D70" i="33" a="1"/>
  <c r="D70" i="33" s="1"/>
  <c r="D69" i="33" a="1"/>
  <c r="D69" i="33" s="1"/>
  <c r="D54" i="33" a="1"/>
  <c r="D54" i="33" s="1"/>
  <c r="D53" i="33" a="1"/>
  <c r="D53" i="33" s="1"/>
  <c r="D38" i="33" a="1"/>
  <c r="D38" i="33" s="1"/>
  <c r="D37" i="33" a="1"/>
  <c r="D37" i="33" s="1"/>
  <c r="D32" i="33" a="1"/>
  <c r="D32" i="33" s="1"/>
  <c r="D31" i="33" a="1"/>
  <c r="D31" i="33" s="1"/>
  <c r="D22" i="33" a="1"/>
  <c r="D22" i="33" s="1"/>
  <c r="D21" i="33" a="1"/>
  <c r="D21" i="33" s="1"/>
  <c r="D16" i="33" a="1"/>
  <c r="D16" i="33" s="1"/>
  <c r="D15" i="33" a="1"/>
  <c r="D15" i="33" s="1"/>
  <c r="F9" i="1"/>
  <c r="B6" i="3"/>
  <c r="D124" i="33" l="1" a="1"/>
  <c r="D124" i="33" s="1"/>
  <c r="D123" i="33" a="1"/>
  <c r="D123" i="33" s="1"/>
  <c r="D122" i="33" a="1"/>
  <c r="D122" i="33" s="1"/>
  <c r="D121" i="33" a="1"/>
  <c r="D121" i="33" s="1"/>
  <c r="D120" i="33" a="1"/>
  <c r="D120" i="33" s="1"/>
  <c r="D119" i="33" a="1"/>
  <c r="D119" i="33" s="1"/>
  <c r="D118" i="33" a="1"/>
  <c r="D118" i="33" s="1"/>
  <c r="D117" i="33" a="1"/>
  <c r="D117" i="33" s="1"/>
  <c r="D116" i="33" a="1"/>
  <c r="D116" i="33" s="1"/>
  <c r="D115" i="33" a="1"/>
  <c r="D115" i="33" s="1"/>
  <c r="D114" i="33" a="1"/>
  <c r="D114" i="33" s="1"/>
  <c r="D113" i="33" a="1"/>
  <c r="D113" i="33" s="1"/>
  <c r="D112" i="33" a="1"/>
  <c r="D112" i="33" s="1"/>
  <c r="D111" i="33" a="1"/>
  <c r="D111" i="33" s="1"/>
  <c r="D110" i="33" a="1"/>
  <c r="D110" i="33" s="1"/>
  <c r="D109" i="33" a="1"/>
  <c r="D109" i="33" s="1"/>
  <c r="D108" i="33" a="1"/>
  <c r="D108" i="33" s="1"/>
  <c r="D107" i="33" a="1"/>
  <c r="D107" i="33" s="1"/>
  <c r="D106" i="33" a="1"/>
  <c r="D106" i="33" s="1"/>
  <c r="D105" i="33" a="1"/>
  <c r="D105" i="33" s="1"/>
  <c r="D104" i="33" a="1"/>
  <c r="D104" i="33" s="1"/>
  <c r="D103" i="33" a="1"/>
  <c r="D103" i="33" s="1"/>
  <c r="D102" i="33" a="1"/>
  <c r="D102" i="33" s="1"/>
  <c r="D101" i="33" a="1"/>
  <c r="D101" i="33" s="1"/>
  <c r="D100" i="33" a="1"/>
  <c r="D100" i="33" s="1"/>
  <c r="D99" i="33" a="1"/>
  <c r="D99" i="33" s="1"/>
  <c r="D98" i="33" a="1"/>
  <c r="D98" i="33" s="1"/>
  <c r="D97" i="33" a="1"/>
  <c r="D97" i="33" s="1"/>
  <c r="D96" i="33" a="1"/>
  <c r="D96" i="33" s="1"/>
  <c r="D95" i="33" a="1"/>
  <c r="D95" i="33" s="1"/>
  <c r="D72" i="33" a="1"/>
  <c r="D72" i="33" s="1"/>
  <c r="D71" i="33" a="1"/>
  <c r="D71" i="33" s="1"/>
  <c r="D66" i="33" a="1"/>
  <c r="D66" i="33" s="1"/>
  <c r="D65" i="33" a="1"/>
  <c r="D65" i="33" s="1"/>
  <c r="D56" i="33" a="1"/>
  <c r="D56" i="33" s="1"/>
  <c r="D55" i="33" a="1"/>
  <c r="D55" i="33" s="1"/>
  <c r="D50" i="33" a="1"/>
  <c r="D50" i="33" s="1"/>
  <c r="D49" i="33" a="1"/>
  <c r="D49" i="33" s="1"/>
  <c r="D11" i="33" a="1"/>
  <c r="D11" i="33" s="1"/>
  <c r="B5" i="32" a="1"/>
  <c r="B5" i="32" s="1"/>
  <c r="E6" i="30"/>
  <c r="E6" i="29"/>
  <c r="E6" i="28"/>
  <c r="E6" i="27"/>
  <c r="E6" i="26"/>
  <c r="E6" i="25"/>
  <c r="E6" i="24"/>
  <c r="E6" i="23"/>
  <c r="E6" i="21"/>
  <c r="E6" i="1"/>
  <c r="E15" i="21"/>
  <c r="D70" i="30"/>
  <c r="D70" i="29"/>
  <c r="D70" i="28"/>
  <c r="D70" i="27"/>
  <c r="D70" i="26"/>
  <c r="D70" i="25"/>
  <c r="D70" i="24"/>
  <c r="D70" i="23"/>
  <c r="D70" i="21"/>
  <c r="D70" i="1"/>
  <c r="B22" i="32"/>
  <c r="B20" i="32"/>
  <c r="B19" i="32"/>
  <c r="B17" i="32"/>
  <c r="B15" i="32"/>
  <c r="H8" i="32"/>
  <c r="H7" i="32"/>
  <c r="E8" i="32"/>
  <c r="E9" i="32"/>
  <c r="E7" i="32"/>
  <c r="H87" i="31"/>
  <c r="B14" i="32" s="1"/>
  <c r="D14" i="32" s="1"/>
  <c r="H88" i="31"/>
  <c r="H89" i="31"/>
  <c r="H90" i="31"/>
  <c r="H91" i="31"/>
  <c r="H92" i="31"/>
  <c r="H93" i="31"/>
  <c r="H94" i="31"/>
  <c r="H95" i="31"/>
  <c r="H96" i="31"/>
  <c r="G70" i="30"/>
  <c r="G70" i="29"/>
  <c r="G70" i="28"/>
  <c r="G70" i="27"/>
  <c r="G70" i="26"/>
  <c r="G70" i="25"/>
  <c r="G70" i="24"/>
  <c r="G70" i="23"/>
  <c r="G70" i="21"/>
  <c r="G70" i="1"/>
  <c r="E15" i="30"/>
  <c r="E15" i="29"/>
  <c r="E15" i="28"/>
  <c r="E15" i="27"/>
  <c r="E15" i="26"/>
  <c r="E15" i="25"/>
  <c r="E15" i="24"/>
  <c r="E15" i="23"/>
  <c r="E15" i="1"/>
  <c r="A13" i="30"/>
  <c r="F13" i="30" s="1"/>
  <c r="A12" i="30"/>
  <c r="F12" i="30" s="1"/>
  <c r="A11" i="30"/>
  <c r="B11" i="30" s="1"/>
  <c r="A10" i="30"/>
  <c r="B10" i="30" s="1"/>
  <c r="B9" i="30"/>
  <c r="A9" i="30"/>
  <c r="A13" i="29"/>
  <c r="E13" i="29" s="1"/>
  <c r="A12" i="29"/>
  <c r="F12" i="29" s="1"/>
  <c r="A11" i="29"/>
  <c r="B11" i="29" s="1"/>
  <c r="A10" i="29"/>
  <c r="B10" i="29" s="1"/>
  <c r="B9" i="29"/>
  <c r="A9" i="29"/>
  <c r="A13" i="28"/>
  <c r="A12" i="28"/>
  <c r="D12" i="28" s="1"/>
  <c r="A11" i="28"/>
  <c r="B11" i="28" s="1"/>
  <c r="A10" i="28"/>
  <c r="B10" i="28" s="1"/>
  <c r="B9" i="28"/>
  <c r="A9" i="28"/>
  <c r="A13" i="27"/>
  <c r="F13" i="27" s="1"/>
  <c r="A12" i="27"/>
  <c r="F12" i="27" s="1"/>
  <c r="A11" i="27"/>
  <c r="B11" i="27" s="1"/>
  <c r="A10" i="27"/>
  <c r="B10" i="27" s="1"/>
  <c r="B9" i="27"/>
  <c r="A9" i="27"/>
  <c r="A13" i="26"/>
  <c r="F13" i="26" s="1"/>
  <c r="A12" i="26"/>
  <c r="F12" i="26" s="1"/>
  <c r="A11" i="26"/>
  <c r="B11" i="26" s="1"/>
  <c r="A10" i="26"/>
  <c r="B10" i="26" s="1"/>
  <c r="B9" i="26"/>
  <c r="A9" i="26"/>
  <c r="A13" i="25"/>
  <c r="D13" i="25" s="1"/>
  <c r="A12" i="25"/>
  <c r="B12" i="25" s="1"/>
  <c r="A11" i="25"/>
  <c r="B11" i="25" s="1"/>
  <c r="A10" i="25"/>
  <c r="B10" i="25" s="1"/>
  <c r="B9" i="25"/>
  <c r="A9" i="25"/>
  <c r="A13" i="24"/>
  <c r="A12" i="24"/>
  <c r="E12" i="24" s="1"/>
  <c r="A11" i="24"/>
  <c r="B11" i="24" s="1"/>
  <c r="A10" i="24"/>
  <c r="B10" i="24" s="1"/>
  <c r="B9" i="24"/>
  <c r="A9" i="24"/>
  <c r="A13" i="23"/>
  <c r="F13" i="23" s="1"/>
  <c r="A12" i="23"/>
  <c r="B12" i="23" s="1"/>
  <c r="A11" i="23"/>
  <c r="B11" i="23" s="1"/>
  <c r="A10" i="23"/>
  <c r="B10" i="23" s="1"/>
  <c r="B9" i="23"/>
  <c r="A9" i="23"/>
  <c r="A13" i="21"/>
  <c r="F13" i="21" s="1"/>
  <c r="A12" i="21"/>
  <c r="A11" i="21"/>
  <c r="B11" i="21" s="1"/>
  <c r="A10" i="21"/>
  <c r="B10" i="21" s="1"/>
  <c r="B9" i="21"/>
  <c r="A9" i="21"/>
  <c r="A13" i="1"/>
  <c r="D13" i="1" s="1"/>
  <c r="A12" i="1"/>
  <c r="A11" i="1"/>
  <c r="B11" i="1" s="1"/>
  <c r="A10" i="1"/>
  <c r="B10" i="1" s="1"/>
  <c r="B9" i="1"/>
  <c r="A9" i="1"/>
  <c r="C10" i="32"/>
  <c r="C9" i="32"/>
  <c r="C8" i="32"/>
  <c r="C7" i="32"/>
  <c r="A17" i="31"/>
  <c r="B9" i="32" s="1"/>
  <c r="A71" i="31"/>
  <c r="A59" i="31"/>
  <c r="A81" i="31"/>
  <c r="A80" i="31"/>
  <c r="A75" i="31"/>
  <c r="A74" i="31"/>
  <c r="A73" i="31"/>
  <c r="A72" i="31"/>
  <c r="A69" i="31"/>
  <c r="A68" i="31"/>
  <c r="A63" i="31"/>
  <c r="A62" i="31"/>
  <c r="A61" i="31"/>
  <c r="A60" i="31"/>
  <c r="A57" i="31"/>
  <c r="A56" i="31"/>
  <c r="A51" i="31"/>
  <c r="A50" i="31"/>
  <c r="A49" i="31"/>
  <c r="A48" i="31"/>
  <c r="A45" i="31"/>
  <c r="A44" i="31"/>
  <c r="A39" i="31"/>
  <c r="A38" i="31"/>
  <c r="A37" i="31"/>
  <c r="A36" i="31"/>
  <c r="A31" i="31"/>
  <c r="A30" i="31"/>
  <c r="A29" i="31"/>
  <c r="B3" i="32"/>
  <c r="B106" i="31"/>
  <c r="A79" i="31" s="1"/>
  <c r="B105" i="31"/>
  <c r="A78" i="31" s="1"/>
  <c r="B104" i="31"/>
  <c r="A77" i="31" s="1"/>
  <c r="B102" i="31"/>
  <c r="A67" i="31" s="1"/>
  <c r="B101" i="31"/>
  <c r="A66" i="31" s="1"/>
  <c r="B100" i="31"/>
  <c r="A65" i="31" s="1"/>
  <c r="B98" i="31"/>
  <c r="A55" i="31" s="1"/>
  <c r="B97" i="31"/>
  <c r="A54" i="31" s="1"/>
  <c r="B96" i="31"/>
  <c r="A53" i="31" s="1"/>
  <c r="B94" i="31"/>
  <c r="A43" i="31" s="1"/>
  <c r="B93" i="31"/>
  <c r="A42" i="31" s="1"/>
  <c r="B92" i="31"/>
  <c r="A41" i="31" s="1"/>
  <c r="F96" i="31"/>
  <c r="F95" i="31"/>
  <c r="F94" i="31"/>
  <c r="F93" i="31"/>
  <c r="F92" i="31"/>
  <c r="F91" i="31"/>
  <c r="F90" i="31"/>
  <c r="F89" i="31"/>
  <c r="F88" i="31"/>
  <c r="F87" i="31"/>
  <c r="A27" i="31"/>
  <c r="A25" i="31"/>
  <c r="A33" i="31"/>
  <c r="A32" i="31"/>
  <c r="A26" i="31"/>
  <c r="A24" i="31"/>
  <c r="A47" i="31"/>
  <c r="A35" i="31"/>
  <c r="A23" i="31"/>
  <c r="F3" i="22"/>
  <c r="D10" i="30" s="1"/>
  <c r="E10" i="30" s="1"/>
  <c r="D8" i="30"/>
  <c r="D8" i="29"/>
  <c r="D8" i="28"/>
  <c r="D8" i="27"/>
  <c r="D8" i="26"/>
  <c r="D8" i="25"/>
  <c r="D8" i="24"/>
  <c r="D8" i="23"/>
  <c r="D8" i="21"/>
  <c r="D8" i="1"/>
  <c r="D15" i="30"/>
  <c r="D11" i="30"/>
  <c r="D9" i="30"/>
  <c r="D15" i="29"/>
  <c r="D11" i="29"/>
  <c r="D10" i="29"/>
  <c r="D9" i="29"/>
  <c r="D15" i="28"/>
  <c r="D11" i="28"/>
  <c r="D10" i="28"/>
  <c r="D9" i="28"/>
  <c r="D15" i="27"/>
  <c r="D11" i="27"/>
  <c r="D10" i="27"/>
  <c r="D9" i="27"/>
  <c r="D15" i="26"/>
  <c r="D11" i="26"/>
  <c r="D10" i="26"/>
  <c r="D9" i="26"/>
  <c r="D15" i="25"/>
  <c r="D11" i="25"/>
  <c r="D10" i="25"/>
  <c r="D9" i="25"/>
  <c r="D15" i="24"/>
  <c r="D11" i="24"/>
  <c r="D10" i="24"/>
  <c r="D9" i="24"/>
  <c r="D15" i="23"/>
  <c r="D11" i="23"/>
  <c r="D10" i="23"/>
  <c r="D9" i="23"/>
  <c r="D15" i="21"/>
  <c r="D11" i="21"/>
  <c r="D10" i="21"/>
  <c r="D9" i="21"/>
  <c r="D15" i="1"/>
  <c r="D11" i="1"/>
  <c r="D10" i="1"/>
  <c r="D9" i="1"/>
  <c r="F15" i="30"/>
  <c r="F9" i="30"/>
  <c r="E9" i="30"/>
  <c r="C9" i="30"/>
  <c r="F15" i="29"/>
  <c r="F9" i="29"/>
  <c r="E9" i="29"/>
  <c r="C9" i="29"/>
  <c r="F15" i="28"/>
  <c r="F9" i="28"/>
  <c r="E9" i="28"/>
  <c r="C9" i="28"/>
  <c r="F15" i="27"/>
  <c r="F9" i="27"/>
  <c r="E9" i="27"/>
  <c r="C9" i="27"/>
  <c r="F15" i="26"/>
  <c r="B15" i="26"/>
  <c r="A15" i="26"/>
  <c r="E11" i="26"/>
  <c r="E10" i="26"/>
  <c r="F9" i="26"/>
  <c r="E9" i="26"/>
  <c r="C9" i="26"/>
  <c r="H9" i="26" s="1"/>
  <c r="F15" i="25"/>
  <c r="B15" i="25"/>
  <c r="A15" i="25"/>
  <c r="E11" i="25"/>
  <c r="E10" i="25"/>
  <c r="F9" i="25"/>
  <c r="G9" i="25" s="1"/>
  <c r="E9" i="25"/>
  <c r="C9" i="25"/>
  <c r="F15" i="24"/>
  <c r="B15" i="24"/>
  <c r="A15" i="24"/>
  <c r="E11" i="24"/>
  <c r="E10" i="24"/>
  <c r="F9" i="24"/>
  <c r="E9" i="24"/>
  <c r="C9" i="24"/>
  <c r="F15" i="23"/>
  <c r="B15" i="23"/>
  <c r="A15" i="23"/>
  <c r="E11" i="23"/>
  <c r="E10" i="23"/>
  <c r="F9" i="23"/>
  <c r="E9" i="23"/>
  <c r="C9" i="23"/>
  <c r="C9" i="21"/>
  <c r="E11" i="21"/>
  <c r="E10" i="21"/>
  <c r="E9" i="21"/>
  <c r="C9" i="1"/>
  <c r="H9" i="1" s="1"/>
  <c r="E11" i="1"/>
  <c r="E10" i="1"/>
  <c r="E9" i="1"/>
  <c r="F15" i="21"/>
  <c r="F9" i="21"/>
  <c r="G9" i="21" s="1"/>
  <c r="F15" i="1"/>
  <c r="G9" i="1"/>
  <c r="F6" i="22" a="1"/>
  <c r="F6" i="22" s="1"/>
  <c r="F5" i="22"/>
  <c r="F4" i="22"/>
  <c r="F2" i="22"/>
  <c r="H9" i="25" l="1"/>
  <c r="H9" i="29"/>
  <c r="H9" i="30"/>
  <c r="H9" i="23"/>
  <c r="H9" i="28"/>
  <c r="H9" i="27"/>
  <c r="G9" i="26"/>
  <c r="G9" i="24"/>
  <c r="H9" i="24"/>
  <c r="G9" i="30"/>
  <c r="G9" i="27"/>
  <c r="C10" i="23"/>
  <c r="C11" i="23" s="1"/>
  <c r="H9" i="21"/>
  <c r="G9" i="29"/>
  <c r="G9" i="28"/>
  <c r="G9" i="23"/>
  <c r="B13" i="32"/>
  <c r="D13" i="32" s="1"/>
  <c r="B18" i="32"/>
  <c r="D12" i="27"/>
  <c r="D12" i="23"/>
  <c r="E12" i="23"/>
  <c r="B12" i="29"/>
  <c r="D12" i="29"/>
  <c r="D12" i="30"/>
  <c r="B12" i="28"/>
  <c r="B12" i="26"/>
  <c r="E12" i="1"/>
  <c r="F12" i="1"/>
  <c r="F12" i="28"/>
  <c r="B12" i="21"/>
  <c r="B12" i="24"/>
  <c r="B12" i="1"/>
  <c r="D12" i="24"/>
  <c r="B12" i="27"/>
  <c r="F12" i="25"/>
  <c r="B12" i="30"/>
  <c r="F13" i="25"/>
  <c r="E13" i="1"/>
  <c r="F12" i="24"/>
  <c r="E13" i="25"/>
  <c r="E12" i="28"/>
  <c r="D13" i="29"/>
  <c r="F13" i="1"/>
  <c r="D13" i="24"/>
  <c r="E12" i="27"/>
  <c r="F13" i="29"/>
  <c r="B13" i="1"/>
  <c r="B13" i="21"/>
  <c r="B13" i="23"/>
  <c r="B13" i="24"/>
  <c r="B13" i="25"/>
  <c r="B13" i="26"/>
  <c r="B13" i="27"/>
  <c r="B13" i="28"/>
  <c r="B13" i="29"/>
  <c r="B13" i="30"/>
  <c r="D12" i="21"/>
  <c r="F12" i="23"/>
  <c r="E13" i="24"/>
  <c r="D12" i="26"/>
  <c r="D13" i="28"/>
  <c r="E12" i="21"/>
  <c r="F13" i="24"/>
  <c r="E12" i="26"/>
  <c r="E13" i="28"/>
  <c r="D12" i="1"/>
  <c r="F12" i="21"/>
  <c r="D13" i="23"/>
  <c r="D12" i="25"/>
  <c r="D13" i="27"/>
  <c r="F13" i="28"/>
  <c r="E12" i="30"/>
  <c r="E13" i="23"/>
  <c r="E12" i="25"/>
  <c r="E13" i="27"/>
  <c r="D13" i="21"/>
  <c r="D13" i="26"/>
  <c r="D13" i="30"/>
  <c r="E13" i="26"/>
  <c r="E12" i="29"/>
  <c r="E13" i="30"/>
  <c r="E13" i="21"/>
  <c r="B12" i="32"/>
  <c r="D12" i="32" s="1"/>
  <c r="C10" i="21"/>
  <c r="C10" i="30"/>
  <c r="C10" i="25"/>
  <c r="H10" i="25" s="1"/>
  <c r="E10" i="27"/>
  <c r="C10" i="27" s="1"/>
  <c r="E10" i="28"/>
  <c r="C10" i="28" s="1"/>
  <c r="E11" i="29"/>
  <c r="E11" i="27"/>
  <c r="E11" i="28"/>
  <c r="E11" i="30"/>
  <c r="E10" i="29"/>
  <c r="C10" i="29" s="1"/>
  <c r="C10" i="24"/>
  <c r="C10" i="26"/>
  <c r="C10" i="1"/>
  <c r="A15" i="1"/>
  <c r="B15" i="1"/>
  <c r="B15" i="21"/>
  <c r="B24" i="3"/>
  <c r="B25" i="3" s="1"/>
  <c r="A15" i="21"/>
  <c r="B13" i="3"/>
  <c r="B14" i="3"/>
  <c r="E2" i="13" a="1"/>
  <c r="E2" i="13" s="1"/>
  <c r="G10" i="23" l="1"/>
  <c r="H10" i="23"/>
  <c r="G10" i="21"/>
  <c r="H10" i="21"/>
  <c r="G10" i="30"/>
  <c r="H10" i="30"/>
  <c r="G10" i="27"/>
  <c r="H10" i="27"/>
  <c r="G10" i="28"/>
  <c r="H10" i="28"/>
  <c r="G10" i="29"/>
  <c r="H10" i="29"/>
  <c r="G10" i="24"/>
  <c r="H10" i="24"/>
  <c r="G10" i="26"/>
  <c r="H10" i="26"/>
  <c r="G11" i="23"/>
  <c r="H11" i="23"/>
  <c r="G10" i="1"/>
  <c r="H10" i="1"/>
  <c r="B17" i="3" a="1"/>
  <c r="B17" i="3" s="1"/>
  <c r="D3" i="33" a="1"/>
  <c r="D3" i="33" s="1"/>
  <c r="B21" i="3"/>
  <c r="D4" i="33" a="1"/>
  <c r="D4" i="33" s="1"/>
  <c r="C11" i="21"/>
  <c r="C12" i="21" s="1"/>
  <c r="H12" i="21" s="1"/>
  <c r="C12" i="23"/>
  <c r="H12" i="23" s="1"/>
  <c r="C11" i="1"/>
  <c r="H11" i="1" s="1"/>
  <c r="C11" i="25"/>
  <c r="G10" i="25"/>
  <c r="C11" i="30"/>
  <c r="H11" i="30" s="1"/>
  <c r="C11" i="28"/>
  <c r="H11" i="28" s="1"/>
  <c r="C11" i="27"/>
  <c r="H11" i="27" s="1"/>
  <c r="C11" i="24"/>
  <c r="H11" i="24" s="1"/>
  <c r="C11" i="29"/>
  <c r="H11" i="29" s="1"/>
  <c r="C11" i="26"/>
  <c r="H11" i="26" s="1"/>
  <c r="B15" i="3"/>
  <c r="D7" i="33" l="1" a="1"/>
  <c r="D7" i="33" s="1"/>
  <c r="B18" i="3"/>
  <c r="D12" i="33" a="1"/>
  <c r="D12" i="33" s="1"/>
  <c r="B4" i="30"/>
  <c r="B4" i="24"/>
  <c r="B4" i="26"/>
  <c r="B22" i="3"/>
  <c r="B4" i="21"/>
  <c r="B4" i="28"/>
  <c r="G11" i="21"/>
  <c r="H11" i="21"/>
  <c r="G11" i="25"/>
  <c r="H11" i="25"/>
  <c r="B16" i="3"/>
  <c r="D6" i="33" s="1" a="1"/>
  <c r="D6" i="33" s="1"/>
  <c r="D5" i="33" a="1"/>
  <c r="D5" i="33" s="1"/>
  <c r="G11" i="29"/>
  <c r="C12" i="29"/>
  <c r="H12" i="29" s="1"/>
  <c r="G11" i="1"/>
  <c r="C12" i="1"/>
  <c r="C12" i="25"/>
  <c r="H12" i="25" s="1"/>
  <c r="G11" i="26"/>
  <c r="C12" i="26"/>
  <c r="H12" i="26" s="1"/>
  <c r="G11" i="24"/>
  <c r="C12" i="24"/>
  <c r="H12" i="24" s="1"/>
  <c r="G11" i="27"/>
  <c r="C12" i="27"/>
  <c r="H12" i="27" s="1"/>
  <c r="G11" i="28"/>
  <c r="C12" i="28"/>
  <c r="H12" i="28" s="1"/>
  <c r="G11" i="30"/>
  <c r="C12" i="30"/>
  <c r="H12" i="30" s="1"/>
  <c r="C13" i="21"/>
  <c r="H13" i="21" s="1"/>
  <c r="G12" i="21"/>
  <c r="C13" i="23"/>
  <c r="H13" i="23" s="1"/>
  <c r="G12" i="23"/>
  <c r="D8" i="33" l="1" a="1"/>
  <c r="D8" i="33" s="1"/>
  <c r="B20" i="3"/>
  <c r="B4" i="29"/>
  <c r="B4" i="27"/>
  <c r="B4" i="25"/>
  <c r="B4" i="23"/>
  <c r="B19" i="3"/>
  <c r="B4" i="1"/>
  <c r="D13" i="33" a="1"/>
  <c r="D13" i="33" s="1"/>
  <c r="E4" i="30"/>
  <c r="E4" i="21"/>
  <c r="E4" i="28"/>
  <c r="E4" i="24"/>
  <c r="E4" i="26"/>
  <c r="B23" i="3"/>
  <c r="H12" i="1"/>
  <c r="G12" i="1"/>
  <c r="G13" i="21"/>
  <c r="C15" i="21"/>
  <c r="C13" i="24"/>
  <c r="H13" i="24" s="1"/>
  <c r="G12" i="24"/>
  <c r="C15" i="23"/>
  <c r="G13" i="23"/>
  <c r="G12" i="26"/>
  <c r="C13" i="26"/>
  <c r="H13" i="26" s="1"/>
  <c r="G12" i="25"/>
  <c r="C13" i="25"/>
  <c r="H13" i="25" s="1"/>
  <c r="G12" i="28"/>
  <c r="C13" i="28"/>
  <c r="H13" i="28" s="1"/>
  <c r="G12" i="30"/>
  <c r="C13" i="30"/>
  <c r="H13" i="30" s="1"/>
  <c r="C13" i="1"/>
  <c r="H13" i="1" s="1"/>
  <c r="C13" i="29"/>
  <c r="H13" i="29" s="1"/>
  <c r="G12" i="29"/>
  <c r="C13" i="27"/>
  <c r="H13" i="27" s="1"/>
  <c r="G12" i="27"/>
  <c r="D10" i="33" l="1" a="1"/>
  <c r="D10" i="33" s="1"/>
  <c r="B5" i="25"/>
  <c r="B5" i="1"/>
  <c r="B5" i="29"/>
  <c r="B5" i="23"/>
  <c r="B5" i="27"/>
  <c r="D9" i="33" a="1"/>
  <c r="D9" i="33" s="1"/>
  <c r="E4" i="23"/>
  <c r="E4" i="25"/>
  <c r="E4" i="29"/>
  <c r="E4" i="27"/>
  <c r="E4" i="1"/>
  <c r="A33" i="1" s="1"/>
  <c r="A45" i="30"/>
  <c r="A52" i="30"/>
  <c r="A37" i="30"/>
  <c r="A39" i="30"/>
  <c r="A20" i="30"/>
  <c r="A60" i="30"/>
  <c r="A53" i="30"/>
  <c r="A28" i="30"/>
  <c r="A61" i="30"/>
  <c r="A30" i="30"/>
  <c r="A34" i="30"/>
  <c r="A67" i="30"/>
  <c r="A54" i="30"/>
  <c r="A55" i="30"/>
  <c r="A41" i="30"/>
  <c r="A31" i="30"/>
  <c r="A59" i="30"/>
  <c r="A33" i="30"/>
  <c r="A26" i="30"/>
  <c r="A47" i="30"/>
  <c r="A22" i="30"/>
  <c r="A42" i="30"/>
  <c r="A49" i="30"/>
  <c r="A21" i="30"/>
  <c r="A38" i="30"/>
  <c r="A50" i="30"/>
  <c r="A56" i="30"/>
  <c r="A62" i="30"/>
  <c r="A23" i="30"/>
  <c r="A51" i="30"/>
  <c r="A27" i="30"/>
  <c r="A40" i="30"/>
  <c r="A46" i="30"/>
  <c r="A57" i="30"/>
  <c r="A65" i="30"/>
  <c r="A25" i="30"/>
  <c r="A29" i="30"/>
  <c r="A48" i="30"/>
  <c r="A58" i="30"/>
  <c r="A66" i="30"/>
  <c r="A68" i="30"/>
  <c r="A35" i="30"/>
  <c r="A69" i="30"/>
  <c r="A32" i="30"/>
  <c r="A43" i="30"/>
  <c r="A44" i="30"/>
  <c r="A64" i="30"/>
  <c r="A63" i="30"/>
  <c r="A36" i="30"/>
  <c r="A24" i="30"/>
  <c r="A65" i="21"/>
  <c r="A37" i="21"/>
  <c r="A22" i="21"/>
  <c r="A34" i="21"/>
  <c r="A50" i="21"/>
  <c r="A36" i="21"/>
  <c r="A42" i="21"/>
  <c r="G42" i="21" s="1"/>
  <c r="A33" i="21"/>
  <c r="A61" i="21"/>
  <c r="A38" i="21"/>
  <c r="A63" i="21"/>
  <c r="B63" i="21" s="1"/>
  <c r="A35" i="21"/>
  <c r="F35" i="21" s="1"/>
  <c r="A57" i="21"/>
  <c r="A23" i="21"/>
  <c r="A44" i="21"/>
  <c r="A54" i="21"/>
  <c r="A45" i="21"/>
  <c r="A47" i="21"/>
  <c r="A58" i="21"/>
  <c r="A53" i="21"/>
  <c r="B53" i="21" s="1"/>
  <c r="A49" i="21"/>
  <c r="A52" i="21"/>
  <c r="A66" i="21"/>
  <c r="A62" i="21"/>
  <c r="A56" i="21"/>
  <c r="A21" i="21"/>
  <c r="A25" i="21"/>
  <c r="A64" i="21"/>
  <c r="A43" i="21"/>
  <c r="A68" i="21"/>
  <c r="A20" i="21"/>
  <c r="A60" i="21"/>
  <c r="A69" i="21"/>
  <c r="A40" i="21"/>
  <c r="B40" i="21" s="1"/>
  <c r="A46" i="21"/>
  <c r="D46" i="21" s="1"/>
  <c r="A24" i="21"/>
  <c r="A29" i="21"/>
  <c r="A51" i="21"/>
  <c r="A67" i="21"/>
  <c r="A28" i="21"/>
  <c r="A48" i="21"/>
  <c r="A39" i="21"/>
  <c r="A59" i="21"/>
  <c r="A41" i="21"/>
  <c r="A31" i="21"/>
  <c r="C31" i="21" s="1"/>
  <c r="A32" i="21"/>
  <c r="A26" i="21"/>
  <c r="A27" i="21"/>
  <c r="A30" i="21"/>
  <c r="A55" i="21"/>
  <c r="A27" i="28"/>
  <c r="A53" i="28"/>
  <c r="A35" i="28"/>
  <c r="A44" i="28"/>
  <c r="A34" i="28"/>
  <c r="A25" i="28"/>
  <c r="A69" i="28"/>
  <c r="A43" i="28"/>
  <c r="A58" i="28"/>
  <c r="A21" i="28"/>
  <c r="A61" i="28"/>
  <c r="A29" i="28"/>
  <c r="A49" i="28"/>
  <c r="A42" i="28"/>
  <c r="A56" i="28"/>
  <c r="A37" i="28"/>
  <c r="A48" i="28"/>
  <c r="A59" i="28"/>
  <c r="A65" i="28"/>
  <c r="A31" i="28"/>
  <c r="A36" i="28"/>
  <c r="A28" i="28"/>
  <c r="A20" i="28"/>
  <c r="A54" i="28"/>
  <c r="A30" i="28"/>
  <c r="A39" i="28"/>
  <c r="A57" i="28"/>
  <c r="A47" i="28"/>
  <c r="A22" i="28"/>
  <c r="A38" i="28"/>
  <c r="A64" i="28"/>
  <c r="A24" i="28"/>
  <c r="A62" i="28"/>
  <c r="A55" i="28"/>
  <c r="A32" i="28"/>
  <c r="A46" i="28"/>
  <c r="A26" i="28"/>
  <c r="A51" i="28"/>
  <c r="A63" i="28"/>
  <c r="A40" i="28"/>
  <c r="A66" i="28"/>
  <c r="A33" i="28"/>
  <c r="A67" i="28"/>
  <c r="A41" i="28"/>
  <c r="A68" i="28"/>
  <c r="A45" i="28"/>
  <c r="A52" i="28"/>
  <c r="A23" i="28"/>
  <c r="A60" i="28"/>
  <c r="A50" i="28"/>
  <c r="A48" i="24"/>
  <c r="A58" i="24"/>
  <c r="A36" i="24"/>
  <c r="A30" i="24"/>
  <c r="A50" i="24"/>
  <c r="A23" i="24"/>
  <c r="A67" i="24"/>
  <c r="A57" i="24"/>
  <c r="A52" i="24"/>
  <c r="A42" i="24"/>
  <c r="A65" i="24"/>
  <c r="A47" i="24"/>
  <c r="A43" i="24"/>
  <c r="A59" i="24"/>
  <c r="A41" i="24"/>
  <c r="A27" i="24"/>
  <c r="A68" i="24"/>
  <c r="A53" i="24"/>
  <c r="A60" i="24"/>
  <c r="A33" i="24"/>
  <c r="A45" i="24"/>
  <c r="A55" i="24"/>
  <c r="A49" i="24"/>
  <c r="A61" i="24"/>
  <c r="A46" i="24"/>
  <c r="A56" i="24"/>
  <c r="A69" i="24"/>
  <c r="A22" i="24"/>
  <c r="A54" i="24"/>
  <c r="A63" i="24"/>
  <c r="A25" i="24"/>
  <c r="A34" i="24"/>
  <c r="A44" i="24"/>
  <c r="A62" i="24"/>
  <c r="A37" i="24"/>
  <c r="A31" i="24"/>
  <c r="A24" i="24"/>
  <c r="A66" i="24"/>
  <c r="A32" i="24"/>
  <c r="A40" i="24"/>
  <c r="A29" i="24"/>
  <c r="A38" i="24"/>
  <c r="A51" i="24"/>
  <c r="A26" i="24"/>
  <c r="A20" i="24"/>
  <c r="A39" i="24"/>
  <c r="A64" i="24"/>
  <c r="A28" i="24"/>
  <c r="A35" i="24"/>
  <c r="A21" i="24"/>
  <c r="A64" i="26"/>
  <c r="A69" i="26"/>
  <c r="A23" i="26"/>
  <c r="A26" i="26"/>
  <c r="A40" i="26"/>
  <c r="A31" i="26"/>
  <c r="A30" i="26"/>
  <c r="A42" i="26"/>
  <c r="A24" i="26"/>
  <c r="A55" i="26"/>
  <c r="A34" i="26"/>
  <c r="A57" i="26"/>
  <c r="A32" i="26"/>
  <c r="A33" i="26"/>
  <c r="A43" i="26"/>
  <c r="A47" i="26"/>
  <c r="A49" i="26"/>
  <c r="A59" i="26"/>
  <c r="A48" i="26"/>
  <c r="A28" i="26"/>
  <c r="A50" i="26"/>
  <c r="A41" i="26"/>
  <c r="A68" i="26"/>
  <c r="A29" i="26"/>
  <c r="A37" i="26"/>
  <c r="A67" i="26"/>
  <c r="A52" i="26"/>
  <c r="A63" i="26"/>
  <c r="A21" i="26"/>
  <c r="A61" i="26"/>
  <c r="A53" i="26"/>
  <c r="A38" i="26"/>
  <c r="A45" i="26"/>
  <c r="A25" i="26"/>
  <c r="A58" i="26"/>
  <c r="A22" i="26"/>
  <c r="A56" i="26"/>
  <c r="A46" i="26"/>
  <c r="A36" i="26"/>
  <c r="A44" i="26"/>
  <c r="A27" i="26"/>
  <c r="A35" i="26"/>
  <c r="A60" i="26"/>
  <c r="A39" i="26"/>
  <c r="A62" i="26"/>
  <c r="A66" i="26"/>
  <c r="A51" i="26"/>
  <c r="A54" i="26"/>
  <c r="A20" i="26"/>
  <c r="A65" i="26"/>
  <c r="D14" i="33" a="1"/>
  <c r="D14" i="33" s="1"/>
  <c r="B5" i="26"/>
  <c r="B5" i="28"/>
  <c r="B5" i="24"/>
  <c r="B5" i="30"/>
  <c r="B5" i="21"/>
  <c r="G15" i="21"/>
  <c r="H15" i="21"/>
  <c r="H17" i="21" s="1"/>
  <c r="D23" i="33" s="1" a="1"/>
  <c r="D23" i="33" s="1"/>
  <c r="G15" i="23"/>
  <c r="G17" i="23" s="1"/>
  <c r="H15" i="23"/>
  <c r="H17" i="23" s="1"/>
  <c r="D33" i="33" s="1" a="1"/>
  <c r="D33" i="33" s="1"/>
  <c r="G17" i="21"/>
  <c r="G13" i="26"/>
  <c r="C15" i="26"/>
  <c r="C15" i="1"/>
  <c r="G13" i="1"/>
  <c r="G13" i="29"/>
  <c r="C15" i="29"/>
  <c r="C15" i="30"/>
  <c r="G13" i="30"/>
  <c r="G13" i="24"/>
  <c r="C15" i="24"/>
  <c r="C15" i="28"/>
  <c r="G13" i="28"/>
  <c r="G13" i="25"/>
  <c r="C15" i="25"/>
  <c r="C15" i="27"/>
  <c r="G13" i="27"/>
  <c r="G66" i="26"/>
  <c r="D66" i="26"/>
  <c r="F66" i="26"/>
  <c r="E66" i="26"/>
  <c r="C66" i="26"/>
  <c r="B66" i="26"/>
  <c r="G69" i="28"/>
  <c r="D69" i="28"/>
  <c r="E69" i="28"/>
  <c r="C69" i="28"/>
  <c r="B69" i="28"/>
  <c r="F69" i="28"/>
  <c r="F29" i="28"/>
  <c r="B29" i="28"/>
  <c r="D29" i="28" s="1"/>
  <c r="G56" i="28"/>
  <c r="D56" i="28"/>
  <c r="C56" i="28"/>
  <c r="E56" i="28"/>
  <c r="F56" i="28"/>
  <c r="B56" i="28"/>
  <c r="D40" i="28"/>
  <c r="G40" i="28"/>
  <c r="C40" i="28"/>
  <c r="B40" i="28"/>
  <c r="E40" i="28"/>
  <c r="F40" i="28"/>
  <c r="G46" i="28"/>
  <c r="D46" i="28"/>
  <c r="C46" i="28"/>
  <c r="B46" i="28"/>
  <c r="D44" i="28"/>
  <c r="G44" i="28"/>
  <c r="C44" i="28"/>
  <c r="F44" i="28"/>
  <c r="E44" i="28"/>
  <c r="B44" i="28"/>
  <c r="F38" i="28"/>
  <c r="B38" i="28"/>
  <c r="D38" i="28" s="1"/>
  <c r="D44" i="26"/>
  <c r="G44" i="26"/>
  <c r="C44" i="26"/>
  <c r="E44" i="26"/>
  <c r="F44" i="26"/>
  <c r="B44" i="26"/>
  <c r="B27" i="26"/>
  <c r="D27" i="26" s="1"/>
  <c r="F27" i="26"/>
  <c r="B39" i="26"/>
  <c r="D39" i="26" s="1"/>
  <c r="F39" i="26"/>
  <c r="B38" i="26"/>
  <c r="D38" i="26" s="1"/>
  <c r="F38" i="26"/>
  <c r="B22" i="26"/>
  <c r="D22" i="26" s="1"/>
  <c r="F22" i="26"/>
  <c r="G52" i="26"/>
  <c r="D52" i="26"/>
  <c r="E52" i="26"/>
  <c r="C52" i="26"/>
  <c r="B52" i="26"/>
  <c r="F52" i="26"/>
  <c r="G45" i="28"/>
  <c r="D45" i="28"/>
  <c r="F45" i="28"/>
  <c r="B45" i="28"/>
  <c r="E45" i="28"/>
  <c r="C45" i="28"/>
  <c r="F35" i="26"/>
  <c r="B35" i="26"/>
  <c r="D35" i="26" s="1"/>
  <c r="B36" i="24"/>
  <c r="D36" i="24" s="1"/>
  <c r="F36" i="24"/>
  <c r="F31" i="28"/>
  <c r="B31" i="28"/>
  <c r="D31" i="28" s="1"/>
  <c r="F35" i="28"/>
  <c r="B35" i="28"/>
  <c r="D35" i="28" s="1"/>
  <c r="G52" i="28"/>
  <c r="D52" i="28"/>
  <c r="E52" i="28"/>
  <c r="B52" i="28"/>
  <c r="C52" i="28"/>
  <c r="F52" i="28"/>
  <c r="G48" i="28"/>
  <c r="D48" i="28"/>
  <c r="E48" i="28"/>
  <c r="F48" i="28"/>
  <c r="C48" i="28"/>
  <c r="B48" i="28"/>
  <c r="B36" i="28"/>
  <c r="D36" i="28" s="1"/>
  <c r="F36" i="28"/>
  <c r="G54" i="28"/>
  <c r="D54" i="28"/>
  <c r="C54" i="28"/>
  <c r="B54" i="28"/>
  <c r="F54" i="28"/>
  <c r="E54" i="28"/>
  <c r="D63" i="28"/>
  <c r="G63" i="28"/>
  <c r="E63" i="28"/>
  <c r="B63" i="28"/>
  <c r="F63" i="28"/>
  <c r="C63" i="28"/>
  <c r="G68" i="24"/>
  <c r="D68" i="24"/>
  <c r="C68" i="24"/>
  <c r="E68" i="24"/>
  <c r="B68" i="24"/>
  <c r="F68" i="24"/>
  <c r="F23" i="24"/>
  <c r="B23" i="24"/>
  <c r="D23" i="24" s="1"/>
  <c r="G52" i="24"/>
  <c r="D52" i="24"/>
  <c r="E52" i="24"/>
  <c r="C52" i="24"/>
  <c r="B52" i="24"/>
  <c r="F52" i="24"/>
  <c r="F36" i="26"/>
  <c r="B36" i="26"/>
  <c r="D36" i="26" s="1"/>
  <c r="F29" i="26"/>
  <c r="B29" i="26"/>
  <c r="D29" i="26" s="1"/>
  <c r="G41" i="26"/>
  <c r="D41" i="26"/>
  <c r="B41" i="26"/>
  <c r="F41" i="26"/>
  <c r="E41" i="26"/>
  <c r="C41" i="26"/>
  <c r="F54" i="26"/>
  <c r="G54" i="26"/>
  <c r="D54" i="26"/>
  <c r="E54" i="26"/>
  <c r="C54" i="26"/>
  <c r="B54" i="26"/>
  <c r="F33" i="26"/>
  <c r="B33" i="26"/>
  <c r="D33" i="26" s="1"/>
  <c r="A41" i="1"/>
  <c r="A29" i="1"/>
  <c r="F29" i="1" s="1"/>
  <c r="A69" i="1"/>
  <c r="F69" i="1" s="1"/>
  <c r="A62" i="1"/>
  <c r="F62" i="1" s="1"/>
  <c r="A43" i="1"/>
  <c r="C43" i="1" s="1"/>
  <c r="A39" i="1"/>
  <c r="E39" i="1" s="1"/>
  <c r="A48" i="1"/>
  <c r="F48" i="1" s="1"/>
  <c r="A53" i="1"/>
  <c r="E53" i="1" s="1"/>
  <c r="A59" i="1"/>
  <c r="A27" i="1"/>
  <c r="A46" i="1"/>
  <c r="B46" i="1" s="1"/>
  <c r="A56" i="1"/>
  <c r="F56" i="1" s="1"/>
  <c r="A61" i="1"/>
  <c r="A32" i="1"/>
  <c r="A38" i="1"/>
  <c r="A37" i="1"/>
  <c r="F37" i="1" s="1"/>
  <c r="A66" i="1"/>
  <c r="A47" i="1"/>
  <c r="A37" i="23"/>
  <c r="A55" i="23"/>
  <c r="A50" i="23"/>
  <c r="A47" i="23"/>
  <c r="A45" i="23"/>
  <c r="A42" i="23"/>
  <c r="A36" i="23"/>
  <c r="A39" i="23"/>
  <c r="A67" i="23"/>
  <c r="A33" i="23"/>
  <c r="A52" i="23"/>
  <c r="A24" i="23"/>
  <c r="A27" i="23"/>
  <c r="A68" i="23"/>
  <c r="A26" i="23"/>
  <c r="A28" i="23"/>
  <c r="A61" i="23"/>
  <c r="A58" i="23"/>
  <c r="A65" i="23"/>
  <c r="A30" i="23"/>
  <c r="A54" i="23"/>
  <c r="A21" i="23"/>
  <c r="A69" i="23"/>
  <c r="A34" i="23"/>
  <c r="A41" i="23"/>
  <c r="A20" i="23"/>
  <c r="A57" i="23"/>
  <c r="A22" i="23"/>
  <c r="A46" i="23"/>
  <c r="A53" i="23"/>
  <c r="A66" i="23"/>
  <c r="A62" i="23"/>
  <c r="A49" i="23"/>
  <c r="A38" i="23"/>
  <c r="A60" i="23"/>
  <c r="A63" i="23"/>
  <c r="A32" i="23"/>
  <c r="A64" i="23"/>
  <c r="A31" i="23"/>
  <c r="A40" i="23"/>
  <c r="A29" i="23"/>
  <c r="A35" i="23"/>
  <c r="A23" i="23"/>
  <c r="A48" i="23"/>
  <c r="A51" i="23"/>
  <c r="A59" i="23"/>
  <c r="A43" i="23"/>
  <c r="A25" i="23"/>
  <c r="A44" i="23"/>
  <c r="A56" i="23"/>
  <c r="A26" i="1"/>
  <c r="A54" i="1"/>
  <c r="A68" i="29"/>
  <c r="A60" i="29"/>
  <c r="A52" i="29"/>
  <c r="A44" i="29"/>
  <c r="A36" i="29"/>
  <c r="A69" i="29"/>
  <c r="A61" i="29"/>
  <c r="A53" i="29"/>
  <c r="A45" i="29"/>
  <c r="A37" i="29"/>
  <c r="A62" i="29"/>
  <c r="A54" i="29"/>
  <c r="A46" i="29"/>
  <c r="A38" i="29"/>
  <c r="A33" i="29"/>
  <c r="A31" i="29"/>
  <c r="A29" i="29"/>
  <c r="A27" i="29"/>
  <c r="A25" i="29"/>
  <c r="A23" i="29"/>
  <c r="A21" i="29"/>
  <c r="A63" i="29"/>
  <c r="A55" i="29"/>
  <c r="A47" i="29"/>
  <c r="A39" i="29"/>
  <c r="A64" i="29"/>
  <c r="A56" i="29"/>
  <c r="A48" i="29"/>
  <c r="A40" i="29"/>
  <c r="A65" i="29"/>
  <c r="A66" i="29"/>
  <c r="A58" i="29"/>
  <c r="A50" i="29"/>
  <c r="A42" i="29"/>
  <c r="A34" i="29"/>
  <c r="A32" i="29"/>
  <c r="A30" i="29"/>
  <c r="A28" i="29"/>
  <c r="A26" i="29"/>
  <c r="A24" i="29"/>
  <c r="A22" i="29"/>
  <c r="A20" i="29"/>
  <c r="A67" i="29"/>
  <c r="A59" i="29"/>
  <c r="A51" i="29"/>
  <c r="A43" i="29"/>
  <c r="A35" i="29"/>
  <c r="A41" i="29"/>
  <c r="A49" i="29"/>
  <c r="A57" i="29"/>
  <c r="A63" i="27"/>
  <c r="A55" i="27"/>
  <c r="A47" i="27"/>
  <c r="A64" i="27"/>
  <c r="A56" i="27"/>
  <c r="A48" i="27"/>
  <c r="A40" i="27"/>
  <c r="A65" i="27"/>
  <c r="A57" i="27"/>
  <c r="A49" i="27"/>
  <c r="A41" i="27"/>
  <c r="A66" i="27"/>
  <c r="A67" i="27"/>
  <c r="A59" i="27"/>
  <c r="A51" i="27"/>
  <c r="A43" i="27"/>
  <c r="A35" i="27"/>
  <c r="A69" i="27"/>
  <c r="A61" i="27"/>
  <c r="A53" i="27"/>
  <c r="A45" i="27"/>
  <c r="A37" i="27"/>
  <c r="A62" i="27"/>
  <c r="A54" i="27"/>
  <c r="A46" i="27"/>
  <c r="A38" i="27"/>
  <c r="A33" i="27"/>
  <c r="A31" i="27"/>
  <c r="A29" i="27"/>
  <c r="A27" i="27"/>
  <c r="A25" i="27"/>
  <c r="A23" i="27"/>
  <c r="A21" i="27"/>
  <c r="A22" i="27"/>
  <c r="A68" i="27"/>
  <c r="A60" i="27"/>
  <c r="A42" i="27"/>
  <c r="A39" i="27"/>
  <c r="A36" i="27"/>
  <c r="A32" i="27"/>
  <c r="A50" i="27"/>
  <c r="A26" i="27"/>
  <c r="A20" i="27"/>
  <c r="A58" i="27"/>
  <c r="A24" i="27"/>
  <c r="A44" i="27"/>
  <c r="A34" i="27"/>
  <c r="A30" i="27"/>
  <c r="A52" i="27"/>
  <c r="A28" i="27"/>
  <c r="A25" i="1"/>
  <c r="A60" i="1"/>
  <c r="F60" i="1" s="1"/>
  <c r="A28" i="1"/>
  <c r="A57" i="1"/>
  <c r="B57" i="1" s="1"/>
  <c r="A63" i="1"/>
  <c r="E63" i="1" s="1"/>
  <c r="A68" i="1"/>
  <c r="A42" i="1"/>
  <c r="A55" i="1"/>
  <c r="A20" i="1"/>
  <c r="A65" i="1"/>
  <c r="A31" i="1"/>
  <c r="A35" i="1"/>
  <c r="A45" i="1"/>
  <c r="A23" i="1"/>
  <c r="A52" i="1"/>
  <c r="A64" i="1"/>
  <c r="F64" i="1" s="1"/>
  <c r="A30" i="1"/>
  <c r="B30" i="1" s="1"/>
  <c r="A67" i="1"/>
  <c r="F67" i="1" s="1"/>
  <c r="A51" i="1"/>
  <c r="A58" i="1"/>
  <c r="B58" i="1" s="1"/>
  <c r="A50" i="1"/>
  <c r="A22" i="1"/>
  <c r="A40" i="1"/>
  <c r="A49" i="1"/>
  <c r="F49" i="1" s="1"/>
  <c r="A21" i="1"/>
  <c r="F21" i="1" s="1"/>
  <c r="A44" i="1"/>
  <c r="A34" i="1"/>
  <c r="A38" i="25"/>
  <c r="A64" i="25"/>
  <c r="A33" i="25"/>
  <c r="A30" i="25"/>
  <c r="A62" i="25"/>
  <c r="A67" i="25"/>
  <c r="A50" i="25"/>
  <c r="A59" i="25"/>
  <c r="A47" i="25"/>
  <c r="A35" i="25"/>
  <c r="A25" i="25"/>
  <c r="A58" i="25"/>
  <c r="A52" i="25"/>
  <c r="A22" i="25"/>
  <c r="A29" i="25"/>
  <c r="A32" i="25"/>
  <c r="A45" i="25"/>
  <c r="A66" i="25"/>
  <c r="A55" i="25"/>
  <c r="A65" i="25"/>
  <c r="A21" i="25"/>
  <c r="A60" i="25"/>
  <c r="A63" i="25"/>
  <c r="A20" i="25"/>
  <c r="A26" i="25"/>
  <c r="A48" i="25"/>
  <c r="A51" i="25"/>
  <c r="A61" i="25"/>
  <c r="A40" i="25"/>
  <c r="A69" i="25"/>
  <c r="A36" i="25"/>
  <c r="A39" i="25"/>
  <c r="A49" i="25"/>
  <c r="A54" i="25"/>
  <c r="A46" i="25"/>
  <c r="A53" i="25"/>
  <c r="A56" i="25"/>
  <c r="A28" i="25"/>
  <c r="A42" i="25"/>
  <c r="A34" i="25"/>
  <c r="A24" i="25"/>
  <c r="A27" i="25"/>
  <c r="A37" i="25"/>
  <c r="A23" i="25"/>
  <c r="A68" i="25"/>
  <c r="A31" i="25"/>
  <c r="A41" i="25"/>
  <c r="A44" i="25"/>
  <c r="A57" i="25"/>
  <c r="A43" i="25"/>
  <c r="E58" i="1"/>
  <c r="G47" i="26" l="1"/>
  <c r="D47" i="26"/>
  <c r="F47" i="26"/>
  <c r="B47" i="26"/>
  <c r="E47" i="26"/>
  <c r="C47" i="26"/>
  <c r="G48" i="26"/>
  <c r="D48" i="26"/>
  <c r="C48" i="26"/>
  <c r="B48" i="26"/>
  <c r="E48" i="26"/>
  <c r="F48" i="26"/>
  <c r="G63" i="26"/>
  <c r="D63" i="26"/>
  <c r="C63" i="26"/>
  <c r="B63" i="26"/>
  <c r="F63" i="26"/>
  <c r="E63" i="26"/>
  <c r="G58" i="26"/>
  <c r="D58" i="26"/>
  <c r="F58" i="26"/>
  <c r="C58" i="26"/>
  <c r="B58" i="26"/>
  <c r="E58" i="26"/>
  <c r="B34" i="28"/>
  <c r="D34" i="28" s="1"/>
  <c r="F34" i="28"/>
  <c r="F25" i="28"/>
  <c r="B25" i="28"/>
  <c r="D25" i="28" s="1"/>
  <c r="B62" i="28"/>
  <c r="G62" i="28"/>
  <c r="D62" i="28"/>
  <c r="E62" i="28"/>
  <c r="C62" i="28"/>
  <c r="F62" i="28"/>
  <c r="E46" i="28"/>
  <c r="F46" i="28"/>
  <c r="D57" i="24"/>
  <c r="G57" i="24"/>
  <c r="F57" i="24"/>
  <c r="C57" i="24"/>
  <c r="E57" i="24"/>
  <c r="B57" i="24"/>
  <c r="D65" i="24"/>
  <c r="G65" i="24"/>
  <c r="C65" i="24"/>
  <c r="E65" i="24"/>
  <c r="B65" i="24"/>
  <c r="F65" i="24"/>
  <c r="D57" i="26"/>
  <c r="C57" i="26"/>
  <c r="G57" i="26"/>
  <c r="F57" i="26"/>
  <c r="B57" i="26"/>
  <c r="E57" i="26"/>
  <c r="F32" i="26"/>
  <c r="B32" i="26"/>
  <c r="D32" i="26" s="1"/>
  <c r="B43" i="26"/>
  <c r="F43" i="26"/>
  <c r="E43" i="26"/>
  <c r="G43" i="26"/>
  <c r="D43" i="26"/>
  <c r="C43" i="26"/>
  <c r="C49" i="26"/>
  <c r="E49" i="26"/>
  <c r="F49" i="26"/>
  <c r="B49" i="26"/>
  <c r="G49" i="26"/>
  <c r="D49" i="26"/>
  <c r="B28" i="26"/>
  <c r="D28" i="26" s="1"/>
  <c r="F28" i="26"/>
  <c r="F68" i="26"/>
  <c r="B68" i="26"/>
  <c r="G68" i="26"/>
  <c r="D68" i="26"/>
  <c r="E68" i="26"/>
  <c r="C68" i="26"/>
  <c r="F37" i="26"/>
  <c r="B37" i="26"/>
  <c r="D37" i="26" s="1"/>
  <c r="C37" i="26"/>
  <c r="E37" i="26" s="1"/>
  <c r="G37" i="26" s="1"/>
  <c r="B21" i="26"/>
  <c r="D21" i="26" s="1"/>
  <c r="F21" i="26"/>
  <c r="C61" i="26"/>
  <c r="E61" i="26"/>
  <c r="D61" i="26"/>
  <c r="G61" i="26"/>
  <c r="F61" i="26"/>
  <c r="B61" i="26"/>
  <c r="D53" i="26"/>
  <c r="G53" i="26"/>
  <c r="B53" i="26"/>
  <c r="E53" i="26"/>
  <c r="F53" i="26"/>
  <c r="C53" i="26"/>
  <c r="C45" i="26"/>
  <c r="F45" i="26"/>
  <c r="B45" i="26"/>
  <c r="G45" i="26"/>
  <c r="D45" i="26"/>
  <c r="E45" i="26"/>
  <c r="C46" i="26"/>
  <c r="B46" i="26"/>
  <c r="F46" i="26"/>
  <c r="E46" i="26"/>
  <c r="D46" i="26"/>
  <c r="G46" i="26"/>
  <c r="D60" i="26"/>
  <c r="E60" i="26"/>
  <c r="B60" i="26"/>
  <c r="C60" i="26"/>
  <c r="G60" i="26"/>
  <c r="F60" i="26"/>
  <c r="B20" i="26"/>
  <c r="D20" i="26" s="1"/>
  <c r="F20" i="26"/>
  <c r="F65" i="26"/>
  <c r="C65" i="26"/>
  <c r="B65" i="26"/>
  <c r="D65" i="26"/>
  <c r="G65" i="26"/>
  <c r="E65" i="26"/>
  <c r="B45" i="30"/>
  <c r="D45" i="30"/>
  <c r="F45" i="30"/>
  <c r="E45" i="30"/>
  <c r="C45" i="30"/>
  <c r="G45" i="30"/>
  <c r="E52" i="30"/>
  <c r="F52" i="30"/>
  <c r="B52" i="30"/>
  <c r="C52" i="30"/>
  <c r="G52" i="30"/>
  <c r="D52" i="30"/>
  <c r="F37" i="30"/>
  <c r="B37" i="30"/>
  <c r="D37" i="30" s="1"/>
  <c r="F39" i="30"/>
  <c r="B39" i="30"/>
  <c r="D39" i="30" s="1"/>
  <c r="B20" i="30"/>
  <c r="D20" i="30" s="1"/>
  <c r="F20" i="30"/>
  <c r="D60" i="30"/>
  <c r="G60" i="30"/>
  <c r="C60" i="30"/>
  <c r="F60" i="30"/>
  <c r="E60" i="30"/>
  <c r="B60" i="30"/>
  <c r="D53" i="30"/>
  <c r="G53" i="30"/>
  <c r="B53" i="30"/>
  <c r="F53" i="30"/>
  <c r="E53" i="30"/>
  <c r="C53" i="30"/>
  <c r="B28" i="30"/>
  <c r="D28" i="30" s="1"/>
  <c r="F28" i="30"/>
  <c r="D61" i="30"/>
  <c r="E61" i="30"/>
  <c r="F61" i="30"/>
  <c r="C61" i="30"/>
  <c r="B61" i="30"/>
  <c r="G61" i="30"/>
  <c r="F30" i="30"/>
  <c r="B30" i="30"/>
  <c r="D30" i="30" s="1"/>
  <c r="B34" i="30"/>
  <c r="D34" i="30" s="1"/>
  <c r="F34" i="30"/>
  <c r="D67" i="30"/>
  <c r="G67" i="30"/>
  <c r="C67" i="30"/>
  <c r="F67" i="30"/>
  <c r="E67" i="30"/>
  <c r="B67" i="30"/>
  <c r="C54" i="30"/>
  <c r="G54" i="30"/>
  <c r="E54" i="30"/>
  <c r="D54" i="30"/>
  <c r="F54" i="30"/>
  <c r="B54" i="30"/>
  <c r="D55" i="30"/>
  <c r="G55" i="30"/>
  <c r="B55" i="30"/>
  <c r="F55" i="30"/>
  <c r="E55" i="30"/>
  <c r="C55" i="30"/>
  <c r="E41" i="30"/>
  <c r="D41" i="30"/>
  <c r="G41" i="30"/>
  <c r="C41" i="30"/>
  <c r="B41" i="30"/>
  <c r="F41" i="30"/>
  <c r="C31" i="30"/>
  <c r="B31" i="30"/>
  <c r="D31" i="30" s="1"/>
  <c r="F31" i="30"/>
  <c r="E59" i="30"/>
  <c r="F59" i="30"/>
  <c r="B59" i="30"/>
  <c r="D59" i="30"/>
  <c r="C59" i="30"/>
  <c r="G59" i="30"/>
  <c r="B33" i="30"/>
  <c r="D33" i="30" s="1"/>
  <c r="F33" i="30"/>
  <c r="F26" i="30"/>
  <c r="B26" i="30"/>
  <c r="D26" i="30" s="1"/>
  <c r="E47" i="30"/>
  <c r="D47" i="30"/>
  <c r="C47" i="30"/>
  <c r="F47" i="30"/>
  <c r="B47" i="30"/>
  <c r="G47" i="30"/>
  <c r="B22" i="30"/>
  <c r="D22" i="30" s="1"/>
  <c r="F22" i="30"/>
  <c r="C42" i="30"/>
  <c r="G42" i="30"/>
  <c r="E42" i="30"/>
  <c r="B42" i="30"/>
  <c r="D42" i="30"/>
  <c r="F42" i="30"/>
  <c r="D49" i="30"/>
  <c r="E49" i="30"/>
  <c r="F49" i="30"/>
  <c r="B49" i="30"/>
  <c r="C49" i="30"/>
  <c r="G49" i="30"/>
  <c r="F21" i="30"/>
  <c r="B21" i="30"/>
  <c r="D21" i="30" s="1"/>
  <c r="B38" i="30"/>
  <c r="D38" i="30" s="1"/>
  <c r="F38" i="30"/>
  <c r="D50" i="30"/>
  <c r="B50" i="30"/>
  <c r="F50" i="30"/>
  <c r="E50" i="30"/>
  <c r="C50" i="30"/>
  <c r="G50" i="30"/>
  <c r="G56" i="30"/>
  <c r="D56" i="30"/>
  <c r="E56" i="30"/>
  <c r="F56" i="30"/>
  <c r="C56" i="30"/>
  <c r="B56" i="30"/>
  <c r="C62" i="30"/>
  <c r="F62" i="30"/>
  <c r="E62" i="30"/>
  <c r="G62" i="30"/>
  <c r="D62" i="30"/>
  <c r="B62" i="30"/>
  <c r="B23" i="30"/>
  <c r="D23" i="30" s="1"/>
  <c r="F23" i="30"/>
  <c r="G51" i="30"/>
  <c r="B51" i="30"/>
  <c r="F51" i="30"/>
  <c r="E51" i="30"/>
  <c r="C51" i="30"/>
  <c r="D51" i="30"/>
  <c r="B27" i="30"/>
  <c r="D27" i="30" s="1"/>
  <c r="F27" i="30"/>
  <c r="C27" i="30"/>
  <c r="E40" i="30"/>
  <c r="G40" i="30"/>
  <c r="D40" i="30"/>
  <c r="B40" i="30"/>
  <c r="F40" i="30"/>
  <c r="C40" i="30"/>
  <c r="B46" i="30"/>
  <c r="E46" i="30"/>
  <c r="C46" i="30"/>
  <c r="F46" i="30"/>
  <c r="D46" i="30"/>
  <c r="G46" i="30"/>
  <c r="F57" i="30"/>
  <c r="D57" i="30"/>
  <c r="G57" i="30"/>
  <c r="B57" i="30"/>
  <c r="C57" i="30"/>
  <c r="E57" i="30"/>
  <c r="B65" i="30"/>
  <c r="C65" i="30"/>
  <c r="E65" i="30"/>
  <c r="F65" i="30"/>
  <c r="G65" i="30"/>
  <c r="D65" i="30"/>
  <c r="F25" i="30"/>
  <c r="B25" i="30"/>
  <c r="D25" i="30" s="1"/>
  <c r="F29" i="30"/>
  <c r="B29" i="30"/>
  <c r="D29" i="30" s="1"/>
  <c r="B48" i="30"/>
  <c r="F48" i="30"/>
  <c r="D48" i="30"/>
  <c r="C48" i="30"/>
  <c r="E48" i="30"/>
  <c r="G48" i="30"/>
  <c r="E58" i="30"/>
  <c r="B58" i="30"/>
  <c r="F58" i="30"/>
  <c r="C58" i="30"/>
  <c r="D58" i="30"/>
  <c r="G58" i="30"/>
  <c r="G66" i="30"/>
  <c r="B66" i="30"/>
  <c r="F66" i="30"/>
  <c r="C66" i="30"/>
  <c r="E66" i="30"/>
  <c r="D66" i="30"/>
  <c r="F68" i="30"/>
  <c r="C68" i="30"/>
  <c r="B68" i="30"/>
  <c r="E68" i="30"/>
  <c r="G68" i="30"/>
  <c r="D68" i="30"/>
  <c r="F35" i="30"/>
  <c r="B35" i="30"/>
  <c r="D35" i="30" s="1"/>
  <c r="G69" i="30"/>
  <c r="B69" i="30"/>
  <c r="F69" i="30"/>
  <c r="E69" i="30"/>
  <c r="C69" i="30"/>
  <c r="D69" i="30"/>
  <c r="F32" i="30"/>
  <c r="B32" i="30"/>
  <c r="D32" i="30" s="1"/>
  <c r="D43" i="30"/>
  <c r="E43" i="30"/>
  <c r="C43" i="30"/>
  <c r="G43" i="30"/>
  <c r="F43" i="30"/>
  <c r="B43" i="30"/>
  <c r="B44" i="30"/>
  <c r="C44" i="30"/>
  <c r="E44" i="30"/>
  <c r="F44" i="30"/>
  <c r="D44" i="30"/>
  <c r="G44" i="30"/>
  <c r="E64" i="30"/>
  <c r="C64" i="30"/>
  <c r="F64" i="30"/>
  <c r="B64" i="30"/>
  <c r="G64" i="30"/>
  <c r="D64" i="30"/>
  <c r="G63" i="30"/>
  <c r="C63" i="30"/>
  <c r="D63" i="30"/>
  <c r="B63" i="30"/>
  <c r="F63" i="30"/>
  <c r="E63" i="30"/>
  <c r="F36" i="30"/>
  <c r="B36" i="30"/>
  <c r="D36" i="30" s="1"/>
  <c r="B24" i="30"/>
  <c r="D24" i="30" s="1"/>
  <c r="F24" i="30"/>
  <c r="B50" i="21"/>
  <c r="G50" i="21"/>
  <c r="E57" i="21"/>
  <c r="C57" i="21"/>
  <c r="G57" i="21"/>
  <c r="E44" i="21"/>
  <c r="F44" i="21"/>
  <c r="B44" i="21"/>
  <c r="G44" i="21"/>
  <c r="D44" i="21"/>
  <c r="C44" i="21"/>
  <c r="D47" i="21"/>
  <c r="E47" i="21"/>
  <c r="E49" i="21"/>
  <c r="B49" i="21"/>
  <c r="G49" i="21"/>
  <c r="F49" i="21"/>
  <c r="C49" i="21"/>
  <c r="D49" i="21"/>
  <c r="C52" i="21"/>
  <c r="D52" i="21"/>
  <c r="E66" i="21"/>
  <c r="C66" i="21"/>
  <c r="C62" i="21"/>
  <c r="G62" i="21"/>
  <c r="D62" i="21"/>
  <c r="E62" i="21"/>
  <c r="B62" i="21"/>
  <c r="F62" i="21"/>
  <c r="G68" i="21"/>
  <c r="B68" i="21"/>
  <c r="C68" i="21"/>
  <c r="G60" i="21"/>
  <c r="C60" i="21"/>
  <c r="E69" i="21"/>
  <c r="G69" i="21"/>
  <c r="B51" i="21"/>
  <c r="D51" i="21"/>
  <c r="C51" i="21"/>
  <c r="C67" i="21"/>
  <c r="G67" i="21"/>
  <c r="D67" i="21"/>
  <c r="B28" i="21"/>
  <c r="C28" i="21"/>
  <c r="F28" i="21"/>
  <c r="D28" i="21"/>
  <c r="G48" i="21"/>
  <c r="E48" i="21"/>
  <c r="C48" i="21"/>
  <c r="D48" i="21"/>
  <c r="F39" i="21"/>
  <c r="C39" i="21"/>
  <c r="B39" i="21"/>
  <c r="D39" i="21" s="1"/>
  <c r="F30" i="21"/>
  <c r="C30" i="21"/>
  <c r="B30" i="21"/>
  <c r="D30" i="21" s="1"/>
  <c r="B55" i="21"/>
  <c r="F55" i="21"/>
  <c r="E55" i="21"/>
  <c r="D55" i="21"/>
  <c r="G55" i="21"/>
  <c r="C55" i="21"/>
  <c r="F27" i="28"/>
  <c r="B27" i="28"/>
  <c r="D27" i="28" s="1"/>
  <c r="F53" i="28"/>
  <c r="D53" i="28"/>
  <c r="G53" i="28"/>
  <c r="C53" i="28"/>
  <c r="B53" i="28"/>
  <c r="E53" i="28"/>
  <c r="G43" i="28"/>
  <c r="B43" i="28"/>
  <c r="E43" i="28"/>
  <c r="F43" i="28"/>
  <c r="C43" i="28"/>
  <c r="D43" i="28"/>
  <c r="C58" i="28"/>
  <c r="D58" i="28"/>
  <c r="G58" i="28"/>
  <c r="B58" i="28"/>
  <c r="F58" i="28"/>
  <c r="E58" i="28"/>
  <c r="F21" i="28"/>
  <c r="B21" i="28"/>
  <c r="D21" i="28" s="1"/>
  <c r="D61" i="28"/>
  <c r="G61" i="28"/>
  <c r="F61" i="28"/>
  <c r="C61" i="28"/>
  <c r="E61" i="28"/>
  <c r="B61" i="28"/>
  <c r="C49" i="28"/>
  <c r="F49" i="28"/>
  <c r="G49" i="28"/>
  <c r="B49" i="28"/>
  <c r="E49" i="28"/>
  <c r="D49" i="28"/>
  <c r="G42" i="28"/>
  <c r="D42" i="28"/>
  <c r="E42" i="28"/>
  <c r="F42" i="28"/>
  <c r="B42" i="28"/>
  <c r="C42" i="28"/>
  <c r="F37" i="28"/>
  <c r="B37" i="28"/>
  <c r="D37" i="28" s="1"/>
  <c r="E59" i="28"/>
  <c r="B59" i="28"/>
  <c r="C59" i="28"/>
  <c r="F59" i="28"/>
  <c r="G59" i="28"/>
  <c r="D59" i="28"/>
  <c r="D65" i="28"/>
  <c r="G65" i="28"/>
  <c r="B65" i="28"/>
  <c r="F65" i="28"/>
  <c r="E65" i="28"/>
  <c r="C65" i="28"/>
  <c r="F28" i="28"/>
  <c r="C28" i="28"/>
  <c r="E28" i="28" s="1"/>
  <c r="G28" i="28" s="1"/>
  <c r="B28" i="28"/>
  <c r="D28" i="28" s="1"/>
  <c r="C20" i="28"/>
  <c r="E20" i="28" s="1"/>
  <c r="B20" i="28"/>
  <c r="D20" i="28" s="1"/>
  <c r="F20" i="28"/>
  <c r="F30" i="28"/>
  <c r="B30" i="28"/>
  <c r="D30" i="28" s="1"/>
  <c r="F39" i="28"/>
  <c r="B39" i="28"/>
  <c r="D39" i="28" s="1"/>
  <c r="F57" i="28"/>
  <c r="C57" i="28"/>
  <c r="D57" i="28"/>
  <c r="G57" i="28"/>
  <c r="B57" i="28"/>
  <c r="E57" i="28"/>
  <c r="B47" i="28"/>
  <c r="C47" i="28"/>
  <c r="E47" i="28"/>
  <c r="F47" i="28"/>
  <c r="G47" i="28"/>
  <c r="D47" i="28"/>
  <c r="F22" i="28"/>
  <c r="B22" i="28"/>
  <c r="D22" i="28" s="1"/>
  <c r="E64" i="28"/>
  <c r="D64" i="28"/>
  <c r="G64" i="28"/>
  <c r="B64" i="28"/>
  <c r="C64" i="28"/>
  <c r="F64" i="28"/>
  <c r="B24" i="28"/>
  <c r="D24" i="28" s="1"/>
  <c r="F24" i="28"/>
  <c r="B55" i="28"/>
  <c r="G55" i="28"/>
  <c r="D55" i="28"/>
  <c r="E55" i="28"/>
  <c r="F55" i="28"/>
  <c r="C55" i="28"/>
  <c r="B32" i="28"/>
  <c r="D32" i="28" s="1"/>
  <c r="F32" i="28"/>
  <c r="F26" i="28"/>
  <c r="B26" i="28"/>
  <c r="D26" i="28" s="1"/>
  <c r="C51" i="28"/>
  <c r="B51" i="28"/>
  <c r="G51" i="28"/>
  <c r="D51" i="28"/>
  <c r="E51" i="28"/>
  <c r="F51" i="28"/>
  <c r="C66" i="28"/>
  <c r="F66" i="28"/>
  <c r="B66" i="28"/>
  <c r="D66" i="28"/>
  <c r="E66" i="28"/>
  <c r="G66" i="28"/>
  <c r="F33" i="28"/>
  <c r="B33" i="28"/>
  <c r="D33" i="28" s="1"/>
  <c r="F67" i="28"/>
  <c r="D67" i="28"/>
  <c r="C67" i="28"/>
  <c r="B67" i="28"/>
  <c r="G67" i="28"/>
  <c r="E67" i="28"/>
  <c r="C41" i="28"/>
  <c r="F41" i="28"/>
  <c r="D41" i="28"/>
  <c r="G41" i="28"/>
  <c r="B41" i="28"/>
  <c r="E41" i="28"/>
  <c r="G68" i="28"/>
  <c r="D68" i="28"/>
  <c r="E68" i="28"/>
  <c r="C68" i="28"/>
  <c r="F68" i="28"/>
  <c r="B68" i="28"/>
  <c r="B23" i="28"/>
  <c r="D23" i="28" s="1"/>
  <c r="F23" i="28"/>
  <c r="F60" i="28"/>
  <c r="B60" i="28"/>
  <c r="G60" i="28"/>
  <c r="D60" i="28"/>
  <c r="E60" i="28"/>
  <c r="C60" i="28"/>
  <c r="B50" i="28"/>
  <c r="F50" i="28"/>
  <c r="E50" i="28"/>
  <c r="C50" i="28"/>
  <c r="D50" i="28"/>
  <c r="G50" i="28"/>
  <c r="B48" i="24"/>
  <c r="G48" i="24"/>
  <c r="D48" i="24"/>
  <c r="E48" i="24"/>
  <c r="F48" i="24"/>
  <c r="C48" i="24"/>
  <c r="F58" i="24"/>
  <c r="G58" i="24"/>
  <c r="B58" i="24"/>
  <c r="C58" i="24"/>
  <c r="E58" i="24"/>
  <c r="D58" i="24"/>
  <c r="B30" i="24"/>
  <c r="D30" i="24" s="1"/>
  <c r="F30" i="24"/>
  <c r="B50" i="24"/>
  <c r="C50" i="24"/>
  <c r="F50" i="24"/>
  <c r="G50" i="24"/>
  <c r="D50" i="24"/>
  <c r="E50" i="24"/>
  <c r="E67" i="24"/>
  <c r="G67" i="24"/>
  <c r="D67" i="24"/>
  <c r="B67" i="24"/>
  <c r="F67" i="24"/>
  <c r="C67" i="24"/>
  <c r="D42" i="24"/>
  <c r="C42" i="24"/>
  <c r="F42" i="24"/>
  <c r="B42" i="24"/>
  <c r="E42" i="24"/>
  <c r="G42" i="24"/>
  <c r="C47" i="24"/>
  <c r="F47" i="24"/>
  <c r="B47" i="24"/>
  <c r="E47" i="24"/>
  <c r="G47" i="24"/>
  <c r="D47" i="24"/>
  <c r="B43" i="24"/>
  <c r="C43" i="24"/>
  <c r="E43" i="24"/>
  <c r="D43" i="24"/>
  <c r="G43" i="24"/>
  <c r="F43" i="24"/>
  <c r="C59" i="24"/>
  <c r="D59" i="24"/>
  <c r="G59" i="24"/>
  <c r="B59" i="24"/>
  <c r="E59" i="24"/>
  <c r="F59" i="24"/>
  <c r="E41" i="24"/>
  <c r="F41" i="24"/>
  <c r="D41" i="24"/>
  <c r="G41" i="24"/>
  <c r="B41" i="24"/>
  <c r="C41" i="24"/>
  <c r="F27" i="24"/>
  <c r="B27" i="24"/>
  <c r="D27" i="24" s="1"/>
  <c r="C53" i="24"/>
  <c r="F53" i="24"/>
  <c r="G53" i="24"/>
  <c r="D53" i="24"/>
  <c r="B53" i="24"/>
  <c r="E53" i="24"/>
  <c r="D60" i="24"/>
  <c r="B60" i="24"/>
  <c r="C60" i="24"/>
  <c r="E60" i="24"/>
  <c r="F60" i="24"/>
  <c r="G60" i="24"/>
  <c r="B33" i="24"/>
  <c r="D33" i="24" s="1"/>
  <c r="F33" i="24"/>
  <c r="F45" i="24"/>
  <c r="D45" i="24"/>
  <c r="G45" i="24"/>
  <c r="E45" i="24"/>
  <c r="C45" i="24"/>
  <c r="B45" i="24"/>
  <c r="E55" i="24"/>
  <c r="G55" i="24"/>
  <c r="D55" i="24"/>
  <c r="C55" i="24"/>
  <c r="F55" i="24"/>
  <c r="B55" i="24"/>
  <c r="B49" i="24"/>
  <c r="D49" i="24"/>
  <c r="G49" i="24"/>
  <c r="C49" i="24"/>
  <c r="F49" i="24"/>
  <c r="E49" i="24"/>
  <c r="E61" i="24"/>
  <c r="C61" i="24"/>
  <c r="F61" i="24"/>
  <c r="G61" i="24"/>
  <c r="D61" i="24"/>
  <c r="B61" i="24"/>
  <c r="E46" i="24"/>
  <c r="C46" i="24"/>
  <c r="B46" i="24"/>
  <c r="D46" i="24"/>
  <c r="F46" i="24"/>
  <c r="G46" i="24"/>
  <c r="G56" i="24"/>
  <c r="D56" i="24"/>
  <c r="E56" i="24"/>
  <c r="B56" i="24"/>
  <c r="C56" i="24"/>
  <c r="F56" i="24"/>
  <c r="F69" i="24"/>
  <c r="E69" i="24"/>
  <c r="B69" i="24"/>
  <c r="C69" i="24"/>
  <c r="G69" i="24"/>
  <c r="D69" i="24"/>
  <c r="B22" i="24"/>
  <c r="D22" i="24" s="1"/>
  <c r="F22" i="24"/>
  <c r="D54" i="24"/>
  <c r="B54" i="24"/>
  <c r="E54" i="24"/>
  <c r="F54" i="24"/>
  <c r="G54" i="24"/>
  <c r="C54" i="24"/>
  <c r="E63" i="24"/>
  <c r="B63" i="24"/>
  <c r="G63" i="24"/>
  <c r="D63" i="24"/>
  <c r="C63" i="24"/>
  <c r="F63" i="24"/>
  <c r="B25" i="24"/>
  <c r="D25" i="24" s="1"/>
  <c r="F25" i="24"/>
  <c r="B34" i="24"/>
  <c r="D34" i="24" s="1"/>
  <c r="F34" i="24"/>
  <c r="C44" i="24"/>
  <c r="E44" i="24"/>
  <c r="B44" i="24"/>
  <c r="F44" i="24"/>
  <c r="G44" i="24"/>
  <c r="D44" i="24"/>
  <c r="B62" i="24"/>
  <c r="G62" i="24"/>
  <c r="C62" i="24"/>
  <c r="D62" i="24"/>
  <c r="F62" i="24"/>
  <c r="E62" i="24"/>
  <c r="B37" i="24"/>
  <c r="D37" i="24" s="1"/>
  <c r="F37" i="24"/>
  <c r="F31" i="24"/>
  <c r="B31" i="24"/>
  <c r="D31" i="24" s="1"/>
  <c r="F24" i="24"/>
  <c r="B24" i="24"/>
  <c r="D24" i="24" s="1"/>
  <c r="C66" i="24"/>
  <c r="E66" i="24"/>
  <c r="B66" i="24"/>
  <c r="G66" i="24"/>
  <c r="D66" i="24"/>
  <c r="F66" i="24"/>
  <c r="F32" i="24"/>
  <c r="B32" i="24"/>
  <c r="D32" i="24" s="1"/>
  <c r="C40" i="24"/>
  <c r="E40" i="24"/>
  <c r="G40" i="24"/>
  <c r="B40" i="24"/>
  <c r="F40" i="24"/>
  <c r="D40" i="24"/>
  <c r="B29" i="24"/>
  <c r="D29" i="24" s="1"/>
  <c r="F29" i="24"/>
  <c r="F38" i="24"/>
  <c r="B38" i="24"/>
  <c r="D38" i="24" s="1"/>
  <c r="D51" i="24"/>
  <c r="G51" i="24"/>
  <c r="C51" i="24"/>
  <c r="B51" i="24"/>
  <c r="F51" i="24"/>
  <c r="E51" i="24"/>
  <c r="B26" i="24"/>
  <c r="D26" i="24" s="1"/>
  <c r="F26" i="24"/>
  <c r="B20" i="24"/>
  <c r="D20" i="24" s="1"/>
  <c r="F20" i="24"/>
  <c r="B39" i="24"/>
  <c r="D39" i="24" s="1"/>
  <c r="F39" i="24"/>
  <c r="B64" i="24"/>
  <c r="F64" i="24"/>
  <c r="C64" i="24"/>
  <c r="D64" i="24"/>
  <c r="G64" i="24"/>
  <c r="E64" i="24"/>
  <c r="F28" i="24"/>
  <c r="B28" i="24"/>
  <c r="D28" i="24" s="1"/>
  <c r="B35" i="24"/>
  <c r="D35" i="24" s="1"/>
  <c r="F35" i="24"/>
  <c r="B21" i="24"/>
  <c r="D21" i="24" s="1"/>
  <c r="F21" i="24"/>
  <c r="E64" i="26"/>
  <c r="D64" i="26"/>
  <c r="G64" i="26"/>
  <c r="C64" i="26"/>
  <c r="F64" i="26"/>
  <c r="B64" i="26"/>
  <c r="C69" i="26"/>
  <c r="B69" i="26"/>
  <c r="E69" i="26"/>
  <c r="G69" i="26"/>
  <c r="F69" i="26"/>
  <c r="D69" i="26"/>
  <c r="B23" i="26"/>
  <c r="D23" i="26" s="1"/>
  <c r="F23" i="26"/>
  <c r="B26" i="26"/>
  <c r="D26" i="26" s="1"/>
  <c r="F26" i="26"/>
  <c r="G40" i="26"/>
  <c r="E40" i="26"/>
  <c r="C40" i="26"/>
  <c r="B40" i="26"/>
  <c r="D40" i="26"/>
  <c r="F40" i="26"/>
  <c r="F31" i="26"/>
  <c r="B31" i="26"/>
  <c r="D31" i="26" s="1"/>
  <c r="F30" i="26"/>
  <c r="B30" i="26"/>
  <c r="D30" i="26" s="1"/>
  <c r="D42" i="26"/>
  <c r="G42" i="26"/>
  <c r="C42" i="26"/>
  <c r="B42" i="26"/>
  <c r="E42" i="26"/>
  <c r="F42" i="26"/>
  <c r="B24" i="26"/>
  <c r="D24" i="26" s="1"/>
  <c r="F24" i="26"/>
  <c r="C55" i="26"/>
  <c r="D55" i="26"/>
  <c r="G55" i="26"/>
  <c r="F55" i="26"/>
  <c r="E55" i="26"/>
  <c r="B55" i="26"/>
  <c r="F34" i="26"/>
  <c r="B34" i="26"/>
  <c r="D34" i="26" s="1"/>
  <c r="E59" i="26"/>
  <c r="F59" i="26"/>
  <c r="B59" i="26"/>
  <c r="G59" i="26"/>
  <c r="C59" i="26"/>
  <c r="D59" i="26"/>
  <c r="C50" i="26"/>
  <c r="F50" i="26"/>
  <c r="D50" i="26"/>
  <c r="E50" i="26"/>
  <c r="G50" i="26"/>
  <c r="B50" i="26"/>
  <c r="G67" i="26"/>
  <c r="E67" i="26"/>
  <c r="F67" i="26"/>
  <c r="D67" i="26"/>
  <c r="C67" i="26"/>
  <c r="B67" i="26"/>
  <c r="B25" i="26"/>
  <c r="D25" i="26" s="1"/>
  <c r="F25" i="26"/>
  <c r="F56" i="26"/>
  <c r="D56" i="26"/>
  <c r="G56" i="26"/>
  <c r="E56" i="26"/>
  <c r="B56" i="26"/>
  <c r="C56" i="26"/>
  <c r="C62" i="26"/>
  <c r="B62" i="26"/>
  <c r="F62" i="26"/>
  <c r="G62" i="26"/>
  <c r="D62" i="26"/>
  <c r="E62" i="26"/>
  <c r="C51" i="26"/>
  <c r="D51" i="26"/>
  <c r="E51" i="26"/>
  <c r="F51" i="26"/>
  <c r="B51" i="26"/>
  <c r="G51" i="26"/>
  <c r="G65" i="21"/>
  <c r="C65" i="21"/>
  <c r="F65" i="21"/>
  <c r="E65" i="21"/>
  <c r="B65" i="21"/>
  <c r="D65" i="21"/>
  <c r="C33" i="1"/>
  <c r="A24" i="1"/>
  <c r="A36" i="1"/>
  <c r="B37" i="21"/>
  <c r="D37" i="21" s="1"/>
  <c r="C37" i="21"/>
  <c r="F37" i="21"/>
  <c r="C22" i="21"/>
  <c r="F22" i="21"/>
  <c r="B22" i="21"/>
  <c r="D22" i="21" s="1"/>
  <c r="E22" i="21" s="1"/>
  <c r="G22" i="21" s="1"/>
  <c r="C34" i="21"/>
  <c r="F34" i="21"/>
  <c r="B34" i="21"/>
  <c r="D34" i="21" s="1"/>
  <c r="C50" i="21"/>
  <c r="D50" i="21"/>
  <c r="F50" i="21"/>
  <c r="E50" i="21"/>
  <c r="C36" i="21"/>
  <c r="B36" i="21"/>
  <c r="D36" i="21" s="1"/>
  <c r="E36" i="21" s="1"/>
  <c r="F36" i="21"/>
  <c r="D42" i="21"/>
  <c r="F42" i="21"/>
  <c r="B42" i="21"/>
  <c r="C42" i="21"/>
  <c r="E42" i="21"/>
  <c r="C33" i="21"/>
  <c r="F33" i="21"/>
  <c r="B33" i="21"/>
  <c r="D33" i="21" s="1"/>
  <c r="E33" i="21" s="1"/>
  <c r="G33" i="21" s="1"/>
  <c r="D61" i="21"/>
  <c r="G61" i="21"/>
  <c r="F61" i="21"/>
  <c r="B61" i="21"/>
  <c r="E61" i="21"/>
  <c r="C61" i="21"/>
  <c r="C38" i="21"/>
  <c r="F38" i="21"/>
  <c r="B38" i="21"/>
  <c r="D38" i="21" s="1"/>
  <c r="E38" i="21" s="1"/>
  <c r="G38" i="21" s="1"/>
  <c r="E63" i="21"/>
  <c r="F63" i="21"/>
  <c r="D63" i="21"/>
  <c r="C63" i="21"/>
  <c r="G63" i="21"/>
  <c r="C35" i="21"/>
  <c r="B35" i="21"/>
  <c r="D35" i="21" s="1"/>
  <c r="B57" i="21"/>
  <c r="F57" i="21"/>
  <c r="D57" i="21"/>
  <c r="F23" i="21"/>
  <c r="B23" i="21"/>
  <c r="D23" i="21" s="1"/>
  <c r="C23" i="21"/>
  <c r="B54" i="21"/>
  <c r="C54" i="21"/>
  <c r="G54" i="21"/>
  <c r="E54" i="21"/>
  <c r="F54" i="21"/>
  <c r="D54" i="21"/>
  <c r="D45" i="21"/>
  <c r="E45" i="21"/>
  <c r="G45" i="21"/>
  <c r="C45" i="21"/>
  <c r="B45" i="21"/>
  <c r="F45" i="21"/>
  <c r="C47" i="21"/>
  <c r="B47" i="21"/>
  <c r="G47" i="21"/>
  <c r="F47" i="21"/>
  <c r="C58" i="21"/>
  <c r="G58" i="21"/>
  <c r="D58" i="21"/>
  <c r="E58" i="21"/>
  <c r="F58" i="21"/>
  <c r="B58" i="21"/>
  <c r="E53" i="21"/>
  <c r="F53" i="21"/>
  <c r="G53" i="21"/>
  <c r="C53" i="21"/>
  <c r="D53" i="21"/>
  <c r="B52" i="21"/>
  <c r="E52" i="21"/>
  <c r="G52" i="21"/>
  <c r="F52" i="21"/>
  <c r="D66" i="21"/>
  <c r="G66" i="21"/>
  <c r="B66" i="21"/>
  <c r="F66" i="21"/>
  <c r="C56" i="21"/>
  <c r="F56" i="21"/>
  <c r="E56" i="21"/>
  <c r="B56" i="21"/>
  <c r="D56" i="21"/>
  <c r="G56" i="21"/>
  <c r="C21" i="21"/>
  <c r="B21" i="21"/>
  <c r="D21" i="21" s="1"/>
  <c r="E21" i="21" s="1"/>
  <c r="F21" i="21"/>
  <c r="C25" i="21"/>
  <c r="B25" i="21"/>
  <c r="D25" i="21" s="1"/>
  <c r="E25" i="21" s="1"/>
  <c r="F25" i="21"/>
  <c r="D64" i="21"/>
  <c r="G64" i="21"/>
  <c r="C64" i="21"/>
  <c r="B64" i="21"/>
  <c r="E64" i="21"/>
  <c r="F64" i="21"/>
  <c r="E43" i="21"/>
  <c r="F43" i="21"/>
  <c r="B43" i="21"/>
  <c r="D43" i="21"/>
  <c r="C43" i="21"/>
  <c r="G43" i="21"/>
  <c r="E68" i="21"/>
  <c r="F68" i="21"/>
  <c r="D68" i="21"/>
  <c r="C20" i="21"/>
  <c r="B20" i="21"/>
  <c r="D20" i="21" s="1"/>
  <c r="F20" i="21"/>
  <c r="E60" i="21"/>
  <c r="D60" i="21"/>
  <c r="B60" i="21"/>
  <c r="F60" i="21"/>
  <c r="D69" i="21"/>
  <c r="F69" i="21"/>
  <c r="C69" i="21"/>
  <c r="B69" i="21"/>
  <c r="G40" i="21"/>
  <c r="D40" i="21"/>
  <c r="C40" i="21"/>
  <c r="E40" i="21"/>
  <c r="F40" i="21"/>
  <c r="G46" i="21"/>
  <c r="C46" i="21"/>
  <c r="F46" i="21"/>
  <c r="E46" i="21"/>
  <c r="B46" i="21"/>
  <c r="C24" i="21"/>
  <c r="F24" i="21"/>
  <c r="B24" i="21"/>
  <c r="D24" i="21" s="1"/>
  <c r="C29" i="21"/>
  <c r="F29" i="21"/>
  <c r="B29" i="21"/>
  <c r="D29" i="21" s="1"/>
  <c r="G51" i="21"/>
  <c r="E51" i="21"/>
  <c r="F51" i="21"/>
  <c r="B67" i="21"/>
  <c r="E67" i="21"/>
  <c r="F67" i="21"/>
  <c r="F48" i="21"/>
  <c r="B48" i="21"/>
  <c r="C59" i="21"/>
  <c r="E59" i="21"/>
  <c r="F59" i="21"/>
  <c r="D59" i="21"/>
  <c r="G59" i="21"/>
  <c r="B59" i="21"/>
  <c r="G41" i="21"/>
  <c r="E41" i="21"/>
  <c r="F41" i="21"/>
  <c r="B41" i="21"/>
  <c r="D41" i="21"/>
  <c r="C41" i="21"/>
  <c r="F31" i="21"/>
  <c r="B31" i="21"/>
  <c r="D31" i="21" s="1"/>
  <c r="E31" i="21" s="1"/>
  <c r="G31" i="21" s="1"/>
  <c r="C32" i="21"/>
  <c r="F32" i="21"/>
  <c r="B32" i="21"/>
  <c r="D32" i="21" s="1"/>
  <c r="E32" i="21" s="1"/>
  <c r="G32" i="21" s="1"/>
  <c r="C26" i="21"/>
  <c r="F26" i="21"/>
  <c r="B26" i="21"/>
  <c r="D26" i="21" s="1"/>
  <c r="E26" i="21" s="1"/>
  <c r="G26" i="21" s="1"/>
  <c r="F27" i="21"/>
  <c r="C27" i="21"/>
  <c r="B27" i="21"/>
  <c r="D27" i="21" s="1"/>
  <c r="B48" i="3"/>
  <c r="D34" i="33" a="1"/>
  <c r="D34" i="33" s="1"/>
  <c r="E36" i="1"/>
  <c r="B36" i="1"/>
  <c r="G36" i="1"/>
  <c r="D36" i="1"/>
  <c r="F36" i="1"/>
  <c r="C36" i="1"/>
  <c r="B42" i="3"/>
  <c r="D24" i="33" a="1"/>
  <c r="D24" i="33" s="1"/>
  <c r="G15" i="26"/>
  <c r="G17" i="26" s="1"/>
  <c r="B62" i="3" s="1"/>
  <c r="H15" i="26"/>
  <c r="H17" i="26" s="1"/>
  <c r="C20" i="26"/>
  <c r="C38" i="26"/>
  <c r="E38" i="26" s="1"/>
  <c r="G38" i="26" s="1"/>
  <c r="C39" i="26"/>
  <c r="E39" i="26" s="1"/>
  <c r="G39" i="26" s="1"/>
  <c r="C28" i="26"/>
  <c r="C29" i="26"/>
  <c r="E29" i="26" s="1"/>
  <c r="G29" i="26" s="1"/>
  <c r="C27" i="26"/>
  <c r="E27" i="26" s="1"/>
  <c r="G27" i="26" s="1"/>
  <c r="C21" i="26"/>
  <c r="C25" i="26"/>
  <c r="E25" i="26" s="1"/>
  <c r="G25" i="26" s="1"/>
  <c r="C32" i="26"/>
  <c r="C22" i="26"/>
  <c r="E22" i="26" s="1"/>
  <c r="G22" i="26" s="1"/>
  <c r="C33" i="26"/>
  <c r="E33" i="26" s="1"/>
  <c r="G33" i="26" s="1"/>
  <c r="C24" i="26"/>
  <c r="E24" i="26" s="1"/>
  <c r="G24" i="26" s="1"/>
  <c r="C34" i="26"/>
  <c r="E34" i="26" s="1"/>
  <c r="G34" i="26" s="1"/>
  <c r="C30" i="26"/>
  <c r="E30" i="26" s="1"/>
  <c r="G30" i="26" s="1"/>
  <c r="C31" i="26"/>
  <c r="E31" i="26" s="1"/>
  <c r="G31" i="26" s="1"/>
  <c r="C36" i="26"/>
  <c r="E36" i="26" s="1"/>
  <c r="G36" i="26" s="1"/>
  <c r="C35" i="26"/>
  <c r="C26" i="26"/>
  <c r="E26" i="26" s="1"/>
  <c r="G26" i="26" s="1"/>
  <c r="C23" i="26"/>
  <c r="E23" i="26" s="1"/>
  <c r="G23" i="26" s="1"/>
  <c r="G15" i="1"/>
  <c r="H15" i="1"/>
  <c r="H17" i="1" s="1"/>
  <c r="G15" i="29"/>
  <c r="G17" i="29" s="1"/>
  <c r="H15" i="29"/>
  <c r="H17" i="29" s="1"/>
  <c r="D81" i="33" s="1" a="1"/>
  <c r="D81" i="33" s="1"/>
  <c r="G15" i="30"/>
  <c r="G17" i="30" s="1"/>
  <c r="C20" i="30"/>
  <c r="C29" i="30"/>
  <c r="C34" i="30"/>
  <c r="C36" i="30"/>
  <c r="C28" i="30"/>
  <c r="C23" i="30"/>
  <c r="C24" i="30"/>
  <c r="H15" i="30"/>
  <c r="H17" i="30" s="1"/>
  <c r="D87" i="33" s="1" a="1"/>
  <c r="D87" i="33" s="1"/>
  <c r="C22" i="30"/>
  <c r="C32" i="30"/>
  <c r="C39" i="30"/>
  <c r="C26" i="30"/>
  <c r="C37" i="30"/>
  <c r="C33" i="30"/>
  <c r="C38" i="30"/>
  <c r="C35" i="30"/>
  <c r="C25" i="30"/>
  <c r="C21" i="30"/>
  <c r="C30" i="30"/>
  <c r="G15" i="24"/>
  <c r="G17" i="24" s="1"/>
  <c r="C20" i="24"/>
  <c r="E20" i="24" s="1"/>
  <c r="C23" i="24"/>
  <c r="E23" i="24" s="1"/>
  <c r="G23" i="24" s="1"/>
  <c r="C32" i="24"/>
  <c r="E32" i="24" s="1"/>
  <c r="G32" i="24" s="1"/>
  <c r="C37" i="24"/>
  <c r="E37" i="24" s="1"/>
  <c r="G37" i="24" s="1"/>
  <c r="C26" i="24"/>
  <c r="E26" i="24" s="1"/>
  <c r="G26" i="24" s="1"/>
  <c r="C21" i="24"/>
  <c r="E21" i="24" s="1"/>
  <c r="G21" i="24" s="1"/>
  <c r="C35" i="24"/>
  <c r="E35" i="24" s="1"/>
  <c r="G35" i="24" s="1"/>
  <c r="C36" i="24"/>
  <c r="E36" i="24" s="1"/>
  <c r="G36" i="24" s="1"/>
  <c r="C22" i="24"/>
  <c r="E22" i="24" s="1"/>
  <c r="G22" i="24" s="1"/>
  <c r="C27" i="24"/>
  <c r="E27" i="24" s="1"/>
  <c r="G27" i="24" s="1"/>
  <c r="H15" i="24"/>
  <c r="H17" i="24" s="1"/>
  <c r="D39" i="33" s="1" a="1"/>
  <c r="D39" i="33" s="1"/>
  <c r="C29" i="24"/>
  <c r="E29" i="24" s="1"/>
  <c r="G29" i="24" s="1"/>
  <c r="C28" i="24"/>
  <c r="E28" i="24" s="1"/>
  <c r="G28" i="24" s="1"/>
  <c r="C39" i="24"/>
  <c r="E39" i="24" s="1"/>
  <c r="G39" i="24" s="1"/>
  <c r="C38" i="24"/>
  <c r="E38" i="24" s="1"/>
  <c r="G38" i="24" s="1"/>
  <c r="C25" i="24"/>
  <c r="E25" i="24" s="1"/>
  <c r="G25" i="24" s="1"/>
  <c r="C33" i="24"/>
  <c r="E33" i="24" s="1"/>
  <c r="G33" i="24" s="1"/>
  <c r="C31" i="24"/>
  <c r="E31" i="24" s="1"/>
  <c r="G31" i="24" s="1"/>
  <c r="C34" i="24"/>
  <c r="E34" i="24" s="1"/>
  <c r="G34" i="24" s="1"/>
  <c r="C30" i="24"/>
  <c r="E30" i="24" s="1"/>
  <c r="G30" i="24" s="1"/>
  <c r="C24" i="24"/>
  <c r="E24" i="24" s="1"/>
  <c r="G24" i="24" s="1"/>
  <c r="G15" i="28"/>
  <c r="G17" i="28" s="1"/>
  <c r="B72" i="3" s="1"/>
  <c r="C39" i="28"/>
  <c r="E39" i="28" s="1"/>
  <c r="C29" i="28"/>
  <c r="H15" i="28"/>
  <c r="H17" i="28" s="1"/>
  <c r="C24" i="28"/>
  <c r="E24" i="28" s="1"/>
  <c r="G24" i="28" s="1"/>
  <c r="C26" i="28"/>
  <c r="C27" i="28"/>
  <c r="E27" i="28" s="1"/>
  <c r="G27" i="28" s="1"/>
  <c r="C23" i="28"/>
  <c r="E23" i="28" s="1"/>
  <c r="G23" i="28" s="1"/>
  <c r="C38" i="28"/>
  <c r="E38" i="28" s="1"/>
  <c r="G38" i="28" s="1"/>
  <c r="C34" i="28"/>
  <c r="C30" i="28"/>
  <c r="E30" i="28" s="1"/>
  <c r="G30" i="28" s="1"/>
  <c r="C25" i="28"/>
  <c r="C37" i="28"/>
  <c r="C31" i="28"/>
  <c r="C21" i="28"/>
  <c r="E21" i="28" s="1"/>
  <c r="G21" i="28" s="1"/>
  <c r="C35" i="28"/>
  <c r="C22" i="28"/>
  <c r="C33" i="28"/>
  <c r="E33" i="28" s="1"/>
  <c r="G33" i="28" s="1"/>
  <c r="C36" i="28"/>
  <c r="E36" i="28" s="1"/>
  <c r="G36" i="28" s="1"/>
  <c r="C32" i="28"/>
  <c r="E32" i="28" s="1"/>
  <c r="G32" i="28" s="1"/>
  <c r="G15" i="25"/>
  <c r="G17" i="25" s="1"/>
  <c r="B58" i="3" s="1"/>
  <c r="H15" i="25"/>
  <c r="H17" i="25" s="1"/>
  <c r="G15" i="27"/>
  <c r="G17" i="27" s="1"/>
  <c r="B68" i="3" s="1"/>
  <c r="H15" i="27"/>
  <c r="H17" i="27" s="1"/>
  <c r="F41" i="1"/>
  <c r="B41" i="1"/>
  <c r="E30" i="21"/>
  <c r="G30" i="21" s="1"/>
  <c r="E28" i="21"/>
  <c r="G28" i="21" s="1"/>
  <c r="E34" i="21"/>
  <c r="G34" i="21" s="1"/>
  <c r="G17" i="1"/>
  <c r="D17" i="33" a="1"/>
  <c r="D17" i="33" s="1"/>
  <c r="D18" i="33" a="1"/>
  <c r="D18" i="33" s="1"/>
  <c r="E35" i="28"/>
  <c r="B33" i="1"/>
  <c r="D33" i="1" s="1"/>
  <c r="E33" i="1" s="1"/>
  <c r="F33" i="1"/>
  <c r="E26" i="28"/>
  <c r="G26" i="28" s="1"/>
  <c r="E29" i="28"/>
  <c r="G29" i="28" s="1"/>
  <c r="G39" i="28"/>
  <c r="E22" i="28"/>
  <c r="G22" i="28" s="1"/>
  <c r="G35" i="28"/>
  <c r="E31" i="28"/>
  <c r="G31" i="28" s="1"/>
  <c r="E37" i="28"/>
  <c r="G37" i="28" s="1"/>
  <c r="E35" i="26"/>
  <c r="G35" i="26" s="1"/>
  <c r="E37" i="1"/>
  <c r="E69" i="1"/>
  <c r="C60" i="1"/>
  <c r="B53" i="1"/>
  <c r="B48" i="1"/>
  <c r="B56" i="1"/>
  <c r="E48" i="1"/>
  <c r="B69" i="1"/>
  <c r="E64" i="1"/>
  <c r="B63" i="1"/>
  <c r="B49" i="1"/>
  <c r="G67" i="25"/>
  <c r="D67" i="25"/>
  <c r="G49" i="25"/>
  <c r="D49" i="25"/>
  <c r="G39" i="25"/>
  <c r="D39" i="25"/>
  <c r="C41" i="1"/>
  <c r="D41" i="1"/>
  <c r="G41" i="1"/>
  <c r="D36" i="25"/>
  <c r="G36" i="25"/>
  <c r="G38" i="25"/>
  <c r="D38" i="25"/>
  <c r="B67" i="1"/>
  <c r="G67" i="1"/>
  <c r="D67" i="1"/>
  <c r="D52" i="27"/>
  <c r="G52" i="27"/>
  <c r="D36" i="27"/>
  <c r="G36" i="27"/>
  <c r="G61" i="27"/>
  <c r="D61" i="27"/>
  <c r="G57" i="27"/>
  <c r="D57" i="27"/>
  <c r="D49" i="29"/>
  <c r="G49" i="29"/>
  <c r="D40" i="29"/>
  <c r="G40" i="29"/>
  <c r="D45" i="29"/>
  <c r="G45" i="29"/>
  <c r="C26" i="1"/>
  <c r="G66" i="23"/>
  <c r="D66" i="23"/>
  <c r="D54" i="23"/>
  <c r="G54" i="23"/>
  <c r="D52" i="23"/>
  <c r="G52" i="23"/>
  <c r="G37" i="23"/>
  <c r="D37" i="23"/>
  <c r="C59" i="1"/>
  <c r="D59" i="1"/>
  <c r="G59" i="1"/>
  <c r="G48" i="25"/>
  <c r="D48" i="25"/>
  <c r="D38" i="29"/>
  <c r="G38" i="29"/>
  <c r="D62" i="27"/>
  <c r="G62" i="27"/>
  <c r="D67" i="29"/>
  <c r="G67" i="29"/>
  <c r="G52" i="29"/>
  <c r="D52" i="29"/>
  <c r="D51" i="23"/>
  <c r="G51" i="23"/>
  <c r="D60" i="23"/>
  <c r="G60" i="23"/>
  <c r="G45" i="23"/>
  <c r="D45" i="23"/>
  <c r="D45" i="27"/>
  <c r="G45" i="27"/>
  <c r="D68" i="29"/>
  <c r="G68" i="29"/>
  <c r="D49" i="23"/>
  <c r="G49" i="23"/>
  <c r="G50" i="23"/>
  <c r="D50" i="23"/>
  <c r="F46" i="1"/>
  <c r="D46" i="1"/>
  <c r="G46" i="1"/>
  <c r="G49" i="27"/>
  <c r="D49" i="27"/>
  <c r="D65" i="29"/>
  <c r="G65" i="29"/>
  <c r="G35" i="23"/>
  <c r="D35" i="23"/>
  <c r="D62" i="23"/>
  <c r="G62" i="23"/>
  <c r="D55" i="23"/>
  <c r="G55" i="23"/>
  <c r="C27" i="1"/>
  <c r="F63" i="1"/>
  <c r="D43" i="25"/>
  <c r="G43" i="25"/>
  <c r="D65" i="25"/>
  <c r="G65" i="25"/>
  <c r="B34" i="1"/>
  <c r="D34" i="1" s="1"/>
  <c r="G39" i="27"/>
  <c r="D39" i="27"/>
  <c r="D65" i="27"/>
  <c r="G65" i="27"/>
  <c r="G41" i="29"/>
  <c r="D41" i="29"/>
  <c r="D48" i="29"/>
  <c r="G48" i="29"/>
  <c r="D53" i="29"/>
  <c r="G53" i="29"/>
  <c r="G56" i="23"/>
  <c r="D56" i="23"/>
  <c r="G40" i="23"/>
  <c r="D40" i="23"/>
  <c r="D53" i="23"/>
  <c r="G53" i="23"/>
  <c r="F47" i="1"/>
  <c r="G47" i="1"/>
  <c r="D47" i="1"/>
  <c r="C40" i="1"/>
  <c r="G40" i="1"/>
  <c r="D40" i="1"/>
  <c r="G58" i="27"/>
  <c r="D58" i="27"/>
  <c r="G59" i="27"/>
  <c r="D59" i="27"/>
  <c r="G59" i="29"/>
  <c r="D59" i="29"/>
  <c r="D44" i="29"/>
  <c r="G44" i="29"/>
  <c r="D63" i="23"/>
  <c r="G63" i="23"/>
  <c r="G43" i="1"/>
  <c r="D43" i="1"/>
  <c r="C28" i="1"/>
  <c r="D50" i="29"/>
  <c r="G50" i="29"/>
  <c r="D63" i="25"/>
  <c r="G63" i="25"/>
  <c r="G58" i="1"/>
  <c r="D58" i="1"/>
  <c r="G41" i="27"/>
  <c r="D41" i="27"/>
  <c r="G69" i="23"/>
  <c r="D69" i="23"/>
  <c r="G37" i="29"/>
  <c r="D37" i="29"/>
  <c r="E41" i="1"/>
  <c r="B27" i="1"/>
  <c r="D27" i="1" s="1"/>
  <c r="E62" i="1"/>
  <c r="G69" i="25"/>
  <c r="D69" i="25"/>
  <c r="D35" i="25"/>
  <c r="G35" i="25"/>
  <c r="C30" i="1"/>
  <c r="D30" i="1"/>
  <c r="C55" i="1"/>
  <c r="G55" i="1"/>
  <c r="D55" i="1"/>
  <c r="G69" i="27"/>
  <c r="D69" i="27"/>
  <c r="C53" i="1"/>
  <c r="D53" i="1"/>
  <c r="G53" i="1"/>
  <c r="G57" i="25"/>
  <c r="D57" i="25"/>
  <c r="D42" i="25"/>
  <c r="G42" i="25"/>
  <c r="G40" i="25"/>
  <c r="D40" i="25"/>
  <c r="D55" i="25"/>
  <c r="G55" i="25"/>
  <c r="G47" i="25"/>
  <c r="D47" i="25"/>
  <c r="B44" i="1"/>
  <c r="D44" i="1"/>
  <c r="G44" i="1"/>
  <c r="C64" i="1"/>
  <c r="D64" i="1"/>
  <c r="G64" i="1"/>
  <c r="C42" i="1"/>
  <c r="G42" i="1"/>
  <c r="D42" i="1"/>
  <c r="G42" i="27"/>
  <c r="D42" i="27"/>
  <c r="D35" i="27"/>
  <c r="G35" i="27"/>
  <c r="G40" i="27"/>
  <c r="D40" i="27"/>
  <c r="D35" i="29"/>
  <c r="G35" i="29"/>
  <c r="D56" i="29"/>
  <c r="G56" i="29"/>
  <c r="G61" i="29"/>
  <c r="D61" i="29"/>
  <c r="D44" i="23"/>
  <c r="G44" i="23"/>
  <c r="G46" i="23"/>
  <c r="D46" i="23"/>
  <c r="D65" i="23"/>
  <c r="G65" i="23"/>
  <c r="G67" i="23"/>
  <c r="D67" i="23"/>
  <c r="G66" i="1"/>
  <c r="D66" i="1"/>
  <c r="C48" i="1"/>
  <c r="D48" i="1"/>
  <c r="G48" i="1"/>
  <c r="C22" i="1"/>
  <c r="D67" i="27"/>
  <c r="G67" i="27"/>
  <c r="G37" i="25"/>
  <c r="D37" i="25"/>
  <c r="D52" i="25"/>
  <c r="G52" i="25"/>
  <c r="G65" i="1"/>
  <c r="D65" i="1"/>
  <c r="C25" i="1"/>
  <c r="G50" i="27"/>
  <c r="D50" i="27"/>
  <c r="D66" i="29"/>
  <c r="G66" i="29"/>
  <c r="D44" i="25"/>
  <c r="G44" i="25"/>
  <c r="D61" i="25"/>
  <c r="G61" i="25"/>
  <c r="D66" i="25"/>
  <c r="G66" i="25"/>
  <c r="G59" i="25"/>
  <c r="D59" i="25"/>
  <c r="C21" i="1"/>
  <c r="C52" i="1"/>
  <c r="D52" i="1"/>
  <c r="G52" i="1"/>
  <c r="F68" i="1"/>
  <c r="G68" i="1"/>
  <c r="D68" i="1"/>
  <c r="G44" i="27"/>
  <c r="D44" i="27"/>
  <c r="G60" i="27"/>
  <c r="D60" i="27"/>
  <c r="D38" i="27"/>
  <c r="G38" i="27"/>
  <c r="D43" i="27"/>
  <c r="G43" i="27"/>
  <c r="D48" i="27"/>
  <c r="G48" i="27"/>
  <c r="G43" i="29"/>
  <c r="D43" i="29"/>
  <c r="D64" i="29"/>
  <c r="G64" i="29"/>
  <c r="G69" i="29"/>
  <c r="D69" i="29"/>
  <c r="D64" i="23"/>
  <c r="G64" i="23"/>
  <c r="G58" i="23"/>
  <c r="D58" i="23"/>
  <c r="D39" i="23"/>
  <c r="G39" i="23"/>
  <c r="C37" i="1"/>
  <c r="G37" i="1"/>
  <c r="D37" i="1"/>
  <c r="E43" i="1"/>
  <c r="G42" i="29"/>
  <c r="D42" i="29"/>
  <c r="F22" i="1"/>
  <c r="C61" i="1"/>
  <c r="D61" i="1"/>
  <c r="G61" i="1"/>
  <c r="C62" i="1"/>
  <c r="D62" i="1"/>
  <c r="G62" i="1"/>
  <c r="G41" i="25"/>
  <c r="D41" i="25"/>
  <c r="D56" i="25"/>
  <c r="G56" i="25"/>
  <c r="D51" i="25"/>
  <c r="G51" i="25"/>
  <c r="D45" i="25"/>
  <c r="G45" i="25"/>
  <c r="G50" i="25"/>
  <c r="D50" i="25"/>
  <c r="C49" i="1"/>
  <c r="G49" i="1"/>
  <c r="D49" i="1"/>
  <c r="F23" i="1"/>
  <c r="C63" i="1"/>
  <c r="D63" i="1"/>
  <c r="G63" i="1"/>
  <c r="G68" i="27"/>
  <c r="D68" i="27"/>
  <c r="D46" i="27"/>
  <c r="G46" i="27"/>
  <c r="G51" i="27"/>
  <c r="D51" i="27"/>
  <c r="D56" i="27"/>
  <c r="G56" i="27"/>
  <c r="G51" i="29"/>
  <c r="D51" i="29"/>
  <c r="D39" i="29"/>
  <c r="G39" i="29"/>
  <c r="G36" i="29"/>
  <c r="D36" i="29"/>
  <c r="D43" i="23"/>
  <c r="G43" i="23"/>
  <c r="G57" i="23"/>
  <c r="D57" i="23"/>
  <c r="D61" i="23"/>
  <c r="G61" i="23"/>
  <c r="G36" i="23"/>
  <c r="D36" i="23"/>
  <c r="G38" i="1"/>
  <c r="D38" i="1"/>
  <c r="C39" i="1"/>
  <c r="G39" i="1"/>
  <c r="D39" i="1"/>
  <c r="D45" i="1"/>
  <c r="G45" i="1"/>
  <c r="D54" i="27"/>
  <c r="G54" i="27"/>
  <c r="D64" i="27"/>
  <c r="G64" i="27"/>
  <c r="G59" i="23"/>
  <c r="D59" i="23"/>
  <c r="D42" i="23"/>
  <c r="G42" i="23"/>
  <c r="G68" i="25"/>
  <c r="D68" i="25"/>
  <c r="D46" i="25"/>
  <c r="G46" i="25"/>
  <c r="D62" i="25"/>
  <c r="G62" i="25"/>
  <c r="F35" i="1"/>
  <c r="D35" i="1"/>
  <c r="G35" i="1"/>
  <c r="D47" i="27"/>
  <c r="G47" i="27"/>
  <c r="G46" i="29"/>
  <c r="D46" i="29"/>
  <c r="D41" i="23"/>
  <c r="G41" i="23"/>
  <c r="F53" i="1"/>
  <c r="F58" i="1"/>
  <c r="E59" i="1"/>
  <c r="B37" i="1"/>
  <c r="C35" i="1"/>
  <c r="D54" i="25"/>
  <c r="G54" i="25"/>
  <c r="B50" i="1"/>
  <c r="G50" i="1"/>
  <c r="D50" i="1"/>
  <c r="B31" i="1"/>
  <c r="D31" i="1" s="1"/>
  <c r="E60" i="1"/>
  <c r="D60" i="1"/>
  <c r="G60" i="1"/>
  <c r="D37" i="27"/>
  <c r="G37" i="27"/>
  <c r="D66" i="27"/>
  <c r="G66" i="27"/>
  <c r="D55" i="27"/>
  <c r="G55" i="27"/>
  <c r="D58" i="29"/>
  <c r="G58" i="29"/>
  <c r="D63" i="29"/>
  <c r="G63" i="29"/>
  <c r="D54" i="29"/>
  <c r="G54" i="29"/>
  <c r="G60" i="29"/>
  <c r="D60" i="29"/>
  <c r="G48" i="23"/>
  <c r="D48" i="23"/>
  <c r="G38" i="23"/>
  <c r="D38" i="23"/>
  <c r="G68" i="23"/>
  <c r="D68" i="23"/>
  <c r="G47" i="23"/>
  <c r="D47" i="23"/>
  <c r="C56" i="1"/>
  <c r="G56" i="1"/>
  <c r="D56" i="1"/>
  <c r="C69" i="1"/>
  <c r="D69" i="1"/>
  <c r="G69" i="1"/>
  <c r="D53" i="25"/>
  <c r="G53" i="25"/>
  <c r="D55" i="29"/>
  <c r="G55" i="29"/>
  <c r="D63" i="27"/>
  <c r="G63" i="27"/>
  <c r="G62" i="29"/>
  <c r="D62" i="29"/>
  <c r="C29" i="1"/>
  <c r="C57" i="1"/>
  <c r="G57" i="1"/>
  <c r="D57" i="1"/>
  <c r="G47" i="29"/>
  <c r="D47" i="29"/>
  <c r="C58" i="1"/>
  <c r="G60" i="25"/>
  <c r="D60" i="25"/>
  <c r="G58" i="25"/>
  <c r="D58" i="25"/>
  <c r="D64" i="25"/>
  <c r="G64" i="25"/>
  <c r="D51" i="1"/>
  <c r="G51" i="1"/>
  <c r="C20" i="1"/>
  <c r="D53" i="27"/>
  <c r="G53" i="27"/>
  <c r="D57" i="29"/>
  <c r="G57" i="29"/>
  <c r="E54" i="1"/>
  <c r="D54" i="1"/>
  <c r="G54" i="1"/>
  <c r="E39" i="21"/>
  <c r="G39" i="21" s="1"/>
  <c r="B59" i="1"/>
  <c r="F66" i="1"/>
  <c r="E46" i="1"/>
  <c r="F27" i="1"/>
  <c r="B29" i="1"/>
  <c r="D29" i="1" s="1"/>
  <c r="E66" i="1"/>
  <c r="C68" i="1"/>
  <c r="B62" i="1"/>
  <c r="E45" i="1"/>
  <c r="C66" i="1"/>
  <c r="C45" i="1"/>
  <c r="F59" i="1"/>
  <c r="B21" i="1"/>
  <c r="D21" i="1" s="1"/>
  <c r="F45" i="1"/>
  <c r="C67" i="1"/>
  <c r="E50" i="1"/>
  <c r="E68" i="1"/>
  <c r="B68" i="1"/>
  <c r="F20" i="1"/>
  <c r="B54" i="1"/>
  <c r="E67" i="1"/>
  <c r="F39" i="1"/>
  <c r="F44" i="1"/>
  <c r="B60" i="1"/>
  <c r="C31" i="1"/>
  <c r="E44" i="1"/>
  <c r="B65" i="1"/>
  <c r="B20" i="1"/>
  <c r="D20" i="1" s="1"/>
  <c r="F28" i="1"/>
  <c r="F30" i="1"/>
  <c r="F43" i="1"/>
  <c r="F57" i="1"/>
  <c r="E65" i="1"/>
  <c r="E51" i="1"/>
  <c r="B61" i="1"/>
  <c r="B26" i="1"/>
  <c r="D26" i="1" s="1"/>
  <c r="B43" i="1"/>
  <c r="F31" i="1"/>
  <c r="C65" i="1"/>
  <c r="B39" i="1"/>
  <c r="B28" i="1"/>
  <c r="D28" i="1" s="1"/>
  <c r="B64" i="1"/>
  <c r="E57" i="1"/>
  <c r="F26" i="1"/>
  <c r="E49" i="1"/>
  <c r="E56" i="1"/>
  <c r="F65" i="1"/>
  <c r="F61" i="1"/>
  <c r="B25" i="1"/>
  <c r="D25" i="1" s="1"/>
  <c r="B51" i="1"/>
  <c r="F51" i="1"/>
  <c r="C46" i="1"/>
  <c r="C44" i="1"/>
  <c r="E61" i="1"/>
  <c r="C51" i="1"/>
  <c r="E40" i="1"/>
  <c r="F33" i="25"/>
  <c r="B33" i="25"/>
  <c r="D33" i="25" s="1"/>
  <c r="C33" i="25"/>
  <c r="C46" i="25"/>
  <c r="B46" i="25"/>
  <c r="E46" i="25"/>
  <c r="F46" i="25"/>
  <c r="E55" i="25"/>
  <c r="F55" i="25"/>
  <c r="B55" i="25"/>
  <c r="C55" i="25"/>
  <c r="B20" i="27"/>
  <c r="D20" i="27" s="1"/>
  <c r="F20" i="27"/>
  <c r="C20" i="27"/>
  <c r="F33" i="27"/>
  <c r="B33" i="27"/>
  <c r="D33" i="27" s="1"/>
  <c r="C33" i="27"/>
  <c r="E47" i="27"/>
  <c r="C47" i="27"/>
  <c r="B47" i="27"/>
  <c r="F47" i="27"/>
  <c r="F30" i="29"/>
  <c r="B30" i="29"/>
  <c r="D30" i="29" s="1"/>
  <c r="C30" i="29"/>
  <c r="B21" i="29"/>
  <c r="D21" i="29" s="1"/>
  <c r="F21" i="29"/>
  <c r="C21" i="29"/>
  <c r="F36" i="29"/>
  <c r="E36" i="29"/>
  <c r="C36" i="29"/>
  <c r="B36" i="29"/>
  <c r="B29" i="23"/>
  <c r="D29" i="23" s="1"/>
  <c r="F29" i="23"/>
  <c r="C29" i="23"/>
  <c r="F41" i="23"/>
  <c r="C41" i="23"/>
  <c r="E41" i="23"/>
  <c r="B41" i="23"/>
  <c r="F37" i="23"/>
  <c r="C37" i="23"/>
  <c r="E37" i="23"/>
  <c r="B37" i="23"/>
  <c r="E48" i="25"/>
  <c r="C48" i="25"/>
  <c r="B48" i="25"/>
  <c r="F48" i="25"/>
  <c r="B28" i="27"/>
  <c r="D28" i="27" s="1"/>
  <c r="F28" i="27"/>
  <c r="C28" i="27"/>
  <c r="B22" i="27"/>
  <c r="D22" i="27" s="1"/>
  <c r="F22" i="27"/>
  <c r="C22" i="27"/>
  <c r="F69" i="27"/>
  <c r="E69" i="27"/>
  <c r="C69" i="27"/>
  <c r="B69" i="27"/>
  <c r="E55" i="27"/>
  <c r="C55" i="27"/>
  <c r="B55" i="27"/>
  <c r="F55" i="27"/>
  <c r="E48" i="29"/>
  <c r="C48" i="29"/>
  <c r="B48" i="29"/>
  <c r="F48" i="29"/>
  <c r="F44" i="29"/>
  <c r="E44" i="29"/>
  <c r="C44" i="29"/>
  <c r="B44" i="29"/>
  <c r="E40" i="23"/>
  <c r="F40" i="23"/>
  <c r="C40" i="23"/>
  <c r="B40" i="23"/>
  <c r="C34" i="23"/>
  <c r="B34" i="23"/>
  <c r="D34" i="23" s="1"/>
  <c r="F34" i="23"/>
  <c r="B39" i="23"/>
  <c r="C39" i="23"/>
  <c r="E39" i="23"/>
  <c r="F39" i="23"/>
  <c r="C37" i="25"/>
  <c r="B37" i="25"/>
  <c r="E37" i="25"/>
  <c r="F37" i="25"/>
  <c r="C51" i="25"/>
  <c r="F51" i="25"/>
  <c r="E51" i="25"/>
  <c r="B51" i="25"/>
  <c r="F25" i="25"/>
  <c r="B25" i="25"/>
  <c r="D25" i="25" s="1"/>
  <c r="C25" i="25"/>
  <c r="F68" i="27"/>
  <c r="E68" i="27"/>
  <c r="C68" i="27"/>
  <c r="B68" i="27"/>
  <c r="F61" i="27"/>
  <c r="E61" i="27"/>
  <c r="C61" i="27"/>
  <c r="B61" i="27"/>
  <c r="B41" i="27"/>
  <c r="E41" i="27"/>
  <c r="F41" i="27"/>
  <c r="C41" i="27"/>
  <c r="F51" i="29"/>
  <c r="E51" i="29"/>
  <c r="B51" i="29"/>
  <c r="C51" i="29"/>
  <c r="E40" i="29"/>
  <c r="C40" i="29"/>
  <c r="B40" i="29"/>
  <c r="F40" i="29"/>
  <c r="C46" i="29"/>
  <c r="B46" i="29"/>
  <c r="E46" i="29"/>
  <c r="F46" i="29"/>
  <c r="B44" i="23"/>
  <c r="F44" i="23"/>
  <c r="E44" i="23"/>
  <c r="C44" i="23"/>
  <c r="E49" i="23"/>
  <c r="B49" i="23"/>
  <c r="F49" i="23"/>
  <c r="C49" i="23"/>
  <c r="F61" i="23"/>
  <c r="C61" i="23"/>
  <c r="E61" i="23"/>
  <c r="B61" i="23"/>
  <c r="F67" i="23"/>
  <c r="B67" i="23"/>
  <c r="E67" i="23"/>
  <c r="C67" i="23"/>
  <c r="E66" i="25"/>
  <c r="F66" i="25"/>
  <c r="B66" i="25"/>
  <c r="C66" i="25"/>
  <c r="B38" i="25"/>
  <c r="F38" i="25"/>
  <c r="C38" i="25"/>
  <c r="E38" i="25"/>
  <c r="F52" i="27"/>
  <c r="E52" i="27"/>
  <c r="B52" i="27"/>
  <c r="C52" i="27"/>
  <c r="F21" i="27"/>
  <c r="B21" i="27"/>
  <c r="D21" i="27" s="1"/>
  <c r="C21" i="27"/>
  <c r="C35" i="27"/>
  <c r="F35" i="27"/>
  <c r="E35" i="27"/>
  <c r="B35" i="27"/>
  <c r="F63" i="27"/>
  <c r="E63" i="27"/>
  <c r="C63" i="27"/>
  <c r="B63" i="27"/>
  <c r="F34" i="29"/>
  <c r="C34" i="29"/>
  <c r="B34" i="29"/>
  <c r="D34" i="29" s="1"/>
  <c r="E56" i="29"/>
  <c r="C56" i="29"/>
  <c r="B56" i="29"/>
  <c r="F56" i="29"/>
  <c r="F52" i="29"/>
  <c r="E52" i="29"/>
  <c r="C52" i="29"/>
  <c r="B52" i="29"/>
  <c r="B43" i="23"/>
  <c r="E43" i="23"/>
  <c r="C43" i="23"/>
  <c r="F43" i="23"/>
  <c r="B31" i="23"/>
  <c r="D31" i="23" s="1"/>
  <c r="F31" i="23"/>
  <c r="C31" i="23"/>
  <c r="F66" i="23"/>
  <c r="C66" i="23"/>
  <c r="B66" i="23"/>
  <c r="E66" i="23"/>
  <c r="E69" i="23"/>
  <c r="F69" i="23"/>
  <c r="C69" i="23"/>
  <c r="B69" i="23"/>
  <c r="B26" i="23"/>
  <c r="D26" i="23" s="1"/>
  <c r="F26" i="23"/>
  <c r="C26" i="23"/>
  <c r="E52" i="1"/>
  <c r="B42" i="1"/>
  <c r="C23" i="1"/>
  <c r="B44" i="25"/>
  <c r="F44" i="25"/>
  <c r="C44" i="25"/>
  <c r="E44" i="25"/>
  <c r="C34" i="25"/>
  <c r="B34" i="25"/>
  <c r="D34" i="25" s="1"/>
  <c r="F34" i="25"/>
  <c r="F39" i="25"/>
  <c r="E39" i="25"/>
  <c r="B39" i="25"/>
  <c r="C39" i="25"/>
  <c r="B20" i="25"/>
  <c r="D20" i="25" s="1"/>
  <c r="F20" i="25"/>
  <c r="C20" i="25"/>
  <c r="B32" i="25"/>
  <c r="D32" i="25" s="1"/>
  <c r="F32" i="25"/>
  <c r="C32" i="25"/>
  <c r="F59" i="25"/>
  <c r="E59" i="25"/>
  <c r="C59" i="25"/>
  <c r="B59" i="25"/>
  <c r="C34" i="1"/>
  <c r="F34" i="1"/>
  <c r="B35" i="1"/>
  <c r="E35" i="1"/>
  <c r="B30" i="27"/>
  <c r="D30" i="27" s="1"/>
  <c r="F30" i="27"/>
  <c r="C30" i="27"/>
  <c r="B32" i="27"/>
  <c r="D32" i="27" s="1"/>
  <c r="F32" i="27"/>
  <c r="C32" i="27"/>
  <c r="F23" i="27"/>
  <c r="B23" i="27"/>
  <c r="D23" i="27" s="1"/>
  <c r="C23" i="27"/>
  <c r="F54" i="27"/>
  <c r="B54" i="27"/>
  <c r="E54" i="27"/>
  <c r="C54" i="27"/>
  <c r="E43" i="27"/>
  <c r="C43" i="27"/>
  <c r="F43" i="27"/>
  <c r="B43" i="27"/>
  <c r="C65" i="27"/>
  <c r="B65" i="27"/>
  <c r="E65" i="27"/>
  <c r="F65" i="27"/>
  <c r="F57" i="29"/>
  <c r="E57" i="29"/>
  <c r="C57" i="29"/>
  <c r="B57" i="29"/>
  <c r="F20" i="29"/>
  <c r="B20" i="29"/>
  <c r="D20" i="29" s="1"/>
  <c r="C20" i="29"/>
  <c r="F42" i="29"/>
  <c r="E42" i="29"/>
  <c r="C42" i="29"/>
  <c r="B42" i="29"/>
  <c r="E64" i="29"/>
  <c r="C64" i="29"/>
  <c r="B64" i="29"/>
  <c r="F64" i="29"/>
  <c r="B27" i="29"/>
  <c r="D27" i="29" s="1"/>
  <c r="F27" i="29"/>
  <c r="C27" i="29"/>
  <c r="B37" i="29"/>
  <c r="F37" i="29"/>
  <c r="C37" i="29"/>
  <c r="E37" i="29"/>
  <c r="F60" i="29"/>
  <c r="E60" i="29"/>
  <c r="C60" i="29"/>
  <c r="B60" i="29"/>
  <c r="B59" i="23"/>
  <c r="F59" i="23"/>
  <c r="E59" i="23"/>
  <c r="C59" i="23"/>
  <c r="E64" i="23"/>
  <c r="B64" i="23"/>
  <c r="C64" i="23"/>
  <c r="F64" i="23"/>
  <c r="C53" i="23"/>
  <c r="E53" i="23"/>
  <c r="B53" i="23"/>
  <c r="F53" i="23"/>
  <c r="B21" i="23"/>
  <c r="D21" i="23" s="1"/>
  <c r="F21" i="23"/>
  <c r="C21" i="23"/>
  <c r="B68" i="23"/>
  <c r="C68" i="23"/>
  <c r="F68" i="23"/>
  <c r="E68" i="23"/>
  <c r="C42" i="23"/>
  <c r="B42" i="23"/>
  <c r="E42" i="23"/>
  <c r="F42" i="23"/>
  <c r="F43" i="25"/>
  <c r="E43" i="25"/>
  <c r="B43" i="25"/>
  <c r="C43" i="25"/>
  <c r="F27" i="25"/>
  <c r="B27" i="25"/>
  <c r="D27" i="25" s="1"/>
  <c r="C27" i="25"/>
  <c r="F54" i="25"/>
  <c r="C54" i="25"/>
  <c r="B54" i="25"/>
  <c r="E54" i="25"/>
  <c r="B35" i="25"/>
  <c r="F35" i="25"/>
  <c r="E35" i="25"/>
  <c r="C35" i="25"/>
  <c r="C64" i="25"/>
  <c r="E64" i="25"/>
  <c r="B64" i="25"/>
  <c r="F64" i="25"/>
  <c r="B26" i="27"/>
  <c r="D26" i="27" s="1"/>
  <c r="F26" i="27"/>
  <c r="C26" i="27"/>
  <c r="F38" i="27"/>
  <c r="B38" i="27"/>
  <c r="E38" i="27"/>
  <c r="C38" i="27"/>
  <c r="C49" i="27"/>
  <c r="B49" i="27"/>
  <c r="E49" i="27"/>
  <c r="F49" i="27"/>
  <c r="F59" i="29"/>
  <c r="E59" i="29"/>
  <c r="B59" i="29"/>
  <c r="C59" i="29"/>
  <c r="F32" i="29"/>
  <c r="B32" i="29"/>
  <c r="D32" i="29" s="1"/>
  <c r="C32" i="29"/>
  <c r="B23" i="29"/>
  <c r="D23" i="29" s="1"/>
  <c r="F23" i="29"/>
  <c r="C23" i="29"/>
  <c r="C54" i="29"/>
  <c r="B54" i="29"/>
  <c r="E54" i="29"/>
  <c r="F54" i="29"/>
  <c r="F25" i="23"/>
  <c r="B25" i="23"/>
  <c r="D25" i="23" s="1"/>
  <c r="C25" i="23"/>
  <c r="F62" i="23"/>
  <c r="E62" i="23"/>
  <c r="C62" i="23"/>
  <c r="B62" i="23"/>
  <c r="F28" i="23"/>
  <c r="B28" i="23"/>
  <c r="D28" i="23" s="1"/>
  <c r="C28" i="23"/>
  <c r="B52" i="1"/>
  <c r="F57" i="25"/>
  <c r="E57" i="25"/>
  <c r="C57" i="25"/>
  <c r="B57" i="25"/>
  <c r="F49" i="25"/>
  <c r="E49" i="25"/>
  <c r="C49" i="25"/>
  <c r="B49" i="25"/>
  <c r="C26" i="25"/>
  <c r="B26" i="25"/>
  <c r="D26" i="25" s="1"/>
  <c r="F26" i="25"/>
  <c r="B47" i="25"/>
  <c r="E47" i="25"/>
  <c r="C47" i="25"/>
  <c r="F47" i="25"/>
  <c r="F46" i="27"/>
  <c r="B46" i="27"/>
  <c r="E46" i="27"/>
  <c r="C46" i="27"/>
  <c r="C57" i="27"/>
  <c r="B57" i="27"/>
  <c r="E57" i="27"/>
  <c r="F57" i="27"/>
  <c r="F67" i="29"/>
  <c r="E67" i="29"/>
  <c r="C67" i="29"/>
  <c r="B67" i="29"/>
  <c r="B25" i="29"/>
  <c r="D25" i="29" s="1"/>
  <c r="F25" i="29"/>
  <c r="C25" i="29"/>
  <c r="E36" i="23"/>
  <c r="C36" i="23"/>
  <c r="B36" i="23"/>
  <c r="F36" i="23"/>
  <c r="F55" i="1"/>
  <c r="E42" i="1"/>
  <c r="B47" i="1"/>
  <c r="B23" i="1"/>
  <c r="D23" i="1" s="1"/>
  <c r="C50" i="1"/>
  <c r="F41" i="25"/>
  <c r="C41" i="25"/>
  <c r="B41" i="25"/>
  <c r="E41" i="25"/>
  <c r="F42" i="25"/>
  <c r="C42" i="25"/>
  <c r="B42" i="25"/>
  <c r="E42" i="25"/>
  <c r="C36" i="25"/>
  <c r="B36" i="25"/>
  <c r="F36" i="25"/>
  <c r="E36" i="25"/>
  <c r="F63" i="25"/>
  <c r="E63" i="25"/>
  <c r="B63" i="25"/>
  <c r="C63" i="25"/>
  <c r="F29" i="25"/>
  <c r="B29" i="25"/>
  <c r="D29" i="25" s="1"/>
  <c r="C29" i="25"/>
  <c r="B50" i="25"/>
  <c r="F50" i="25"/>
  <c r="E50" i="25"/>
  <c r="C50" i="25"/>
  <c r="C34" i="27"/>
  <c r="B34" i="27"/>
  <c r="D34" i="27" s="1"/>
  <c r="F34" i="27"/>
  <c r="E36" i="27"/>
  <c r="B36" i="27"/>
  <c r="C36" i="27"/>
  <c r="F36" i="27"/>
  <c r="F25" i="27"/>
  <c r="B25" i="27"/>
  <c r="D25" i="27" s="1"/>
  <c r="C25" i="27"/>
  <c r="F62" i="27"/>
  <c r="E62" i="27"/>
  <c r="B62" i="27"/>
  <c r="C62" i="27"/>
  <c r="E51" i="27"/>
  <c r="C51" i="27"/>
  <c r="F51" i="27"/>
  <c r="B51" i="27"/>
  <c r="F40" i="27"/>
  <c r="C40" i="27"/>
  <c r="B40" i="27"/>
  <c r="E40" i="27"/>
  <c r="F49" i="29"/>
  <c r="E49" i="29"/>
  <c r="C49" i="29"/>
  <c r="B49" i="29"/>
  <c r="F22" i="29"/>
  <c r="B22" i="29"/>
  <c r="D22" i="29" s="1"/>
  <c r="C22" i="29"/>
  <c r="F50" i="29"/>
  <c r="E50" i="29"/>
  <c r="C50" i="29"/>
  <c r="B50" i="29"/>
  <c r="C39" i="29"/>
  <c r="B39" i="29"/>
  <c r="F39" i="29"/>
  <c r="E39" i="29"/>
  <c r="B29" i="29"/>
  <c r="D29" i="29" s="1"/>
  <c r="F29" i="29"/>
  <c r="C29" i="29"/>
  <c r="B45" i="29"/>
  <c r="F45" i="29"/>
  <c r="C45" i="29"/>
  <c r="E45" i="29"/>
  <c r="F68" i="29"/>
  <c r="E68" i="29"/>
  <c r="C68" i="29"/>
  <c r="B68" i="29"/>
  <c r="B51" i="23"/>
  <c r="C51" i="23"/>
  <c r="F51" i="23"/>
  <c r="E51" i="23"/>
  <c r="F32" i="23"/>
  <c r="B32" i="23"/>
  <c r="D32" i="23" s="1"/>
  <c r="C32" i="23"/>
  <c r="E46" i="23"/>
  <c r="F46" i="23"/>
  <c r="C46" i="23"/>
  <c r="B46" i="23"/>
  <c r="E54" i="23"/>
  <c r="F54" i="23"/>
  <c r="C54" i="23"/>
  <c r="B54" i="23"/>
  <c r="B27" i="23"/>
  <c r="D27" i="23" s="1"/>
  <c r="F27" i="23"/>
  <c r="C27" i="23"/>
  <c r="B45" i="23"/>
  <c r="C45" i="23"/>
  <c r="F45" i="23"/>
  <c r="E45" i="23"/>
  <c r="B66" i="1"/>
  <c r="F50" i="1"/>
  <c r="C47" i="1"/>
  <c r="C31" i="25"/>
  <c r="F31" i="25"/>
  <c r="B31" i="25"/>
  <c r="D31" i="25" s="1"/>
  <c r="F28" i="25"/>
  <c r="C28" i="25"/>
  <c r="B28" i="25"/>
  <c r="D28" i="25" s="1"/>
  <c r="B69" i="25"/>
  <c r="C69" i="25"/>
  <c r="F69" i="25"/>
  <c r="E69" i="25"/>
  <c r="F60" i="25"/>
  <c r="E60" i="25"/>
  <c r="B60" i="25"/>
  <c r="C60" i="25"/>
  <c r="B22" i="25"/>
  <c r="D22" i="25" s="1"/>
  <c r="F22" i="25"/>
  <c r="C22" i="25"/>
  <c r="E67" i="25"/>
  <c r="B67" i="25"/>
  <c r="F67" i="25"/>
  <c r="C67" i="25"/>
  <c r="F44" i="27"/>
  <c r="E44" i="27"/>
  <c r="B44" i="27"/>
  <c r="C44" i="27"/>
  <c r="E39" i="27"/>
  <c r="C39" i="27"/>
  <c r="B39" i="27"/>
  <c r="F39" i="27"/>
  <c r="F27" i="27"/>
  <c r="B27" i="27"/>
  <c r="D27" i="27" s="1"/>
  <c r="C27" i="27"/>
  <c r="F37" i="27"/>
  <c r="E37" i="27"/>
  <c r="C37" i="27"/>
  <c r="B37" i="27"/>
  <c r="E59" i="27"/>
  <c r="C59" i="27"/>
  <c r="F59" i="27"/>
  <c r="B59" i="27"/>
  <c r="B48" i="27"/>
  <c r="F48" i="27"/>
  <c r="C48" i="27"/>
  <c r="E48" i="27"/>
  <c r="F41" i="29"/>
  <c r="E41" i="29"/>
  <c r="C41" i="29"/>
  <c r="B41" i="29"/>
  <c r="F24" i="29"/>
  <c r="B24" i="29"/>
  <c r="D24" i="29" s="1"/>
  <c r="C24" i="29"/>
  <c r="F58" i="29"/>
  <c r="E58" i="29"/>
  <c r="C58" i="29"/>
  <c r="B58" i="29"/>
  <c r="C47" i="29"/>
  <c r="B47" i="29"/>
  <c r="F47" i="29"/>
  <c r="E47" i="29"/>
  <c r="B31" i="29"/>
  <c r="D31" i="29" s="1"/>
  <c r="F31" i="29"/>
  <c r="C31" i="29"/>
  <c r="B53" i="29"/>
  <c r="F53" i="29"/>
  <c r="C53" i="29"/>
  <c r="E53" i="29"/>
  <c r="C54" i="1"/>
  <c r="F54" i="1"/>
  <c r="B48" i="23"/>
  <c r="C48" i="23"/>
  <c r="F48" i="23"/>
  <c r="E48" i="23"/>
  <c r="E63" i="23"/>
  <c r="F63" i="23"/>
  <c r="B63" i="23"/>
  <c r="C63" i="23"/>
  <c r="B22" i="23"/>
  <c r="D22" i="23" s="1"/>
  <c r="F22" i="23"/>
  <c r="C22" i="23"/>
  <c r="F30" i="23"/>
  <c r="B30" i="23"/>
  <c r="D30" i="23" s="1"/>
  <c r="C30" i="23"/>
  <c r="B24" i="23"/>
  <c r="D24" i="23" s="1"/>
  <c r="F24" i="23"/>
  <c r="C24" i="23"/>
  <c r="F47" i="23"/>
  <c r="C47" i="23"/>
  <c r="E47" i="23"/>
  <c r="B47" i="23"/>
  <c r="E47" i="1"/>
  <c r="F68" i="25"/>
  <c r="C68" i="25"/>
  <c r="E68" i="25"/>
  <c r="B68" i="25"/>
  <c r="B56" i="25"/>
  <c r="C56" i="25"/>
  <c r="F56" i="25"/>
  <c r="E56" i="25"/>
  <c r="C40" i="25"/>
  <c r="F40" i="25"/>
  <c r="E40" i="25"/>
  <c r="B40" i="25"/>
  <c r="F21" i="25"/>
  <c r="B21" i="25"/>
  <c r="D21" i="25" s="1"/>
  <c r="C21" i="25"/>
  <c r="C52" i="25"/>
  <c r="B52" i="25"/>
  <c r="F52" i="25"/>
  <c r="E52" i="25"/>
  <c r="F62" i="25"/>
  <c r="C62" i="25"/>
  <c r="E62" i="25"/>
  <c r="B62" i="25"/>
  <c r="B24" i="27"/>
  <c r="D24" i="27" s="1"/>
  <c r="F24" i="27"/>
  <c r="C24" i="27"/>
  <c r="C42" i="27"/>
  <c r="B42" i="27"/>
  <c r="F42" i="27"/>
  <c r="E42" i="27"/>
  <c r="F29" i="27"/>
  <c r="B29" i="27"/>
  <c r="D29" i="27" s="1"/>
  <c r="C29" i="27"/>
  <c r="F45" i="27"/>
  <c r="E45" i="27"/>
  <c r="C45" i="27"/>
  <c r="B45" i="27"/>
  <c r="E67" i="27"/>
  <c r="C67" i="27"/>
  <c r="B67" i="27"/>
  <c r="F67" i="27"/>
  <c r="B56" i="27"/>
  <c r="F56" i="27"/>
  <c r="C56" i="27"/>
  <c r="E56" i="27"/>
  <c r="F35" i="29"/>
  <c r="E35" i="29"/>
  <c r="B35" i="29"/>
  <c r="C35" i="29"/>
  <c r="F26" i="29"/>
  <c r="B26" i="29"/>
  <c r="D26" i="29" s="1"/>
  <c r="C26" i="29"/>
  <c r="F66" i="29"/>
  <c r="E66" i="29"/>
  <c r="C66" i="29"/>
  <c r="B66" i="29"/>
  <c r="C55" i="29"/>
  <c r="B55" i="29"/>
  <c r="F55" i="29"/>
  <c r="E55" i="29"/>
  <c r="B33" i="29"/>
  <c r="D33" i="29" s="1"/>
  <c r="F33" i="29"/>
  <c r="C33" i="29"/>
  <c r="B61" i="29"/>
  <c r="F61" i="29"/>
  <c r="E61" i="29"/>
  <c r="C61" i="29"/>
  <c r="F23" i="23"/>
  <c r="B23" i="23"/>
  <c r="D23" i="23" s="1"/>
  <c r="C23" i="23"/>
  <c r="B60" i="23"/>
  <c r="F60" i="23"/>
  <c r="E60" i="23"/>
  <c r="C60" i="23"/>
  <c r="B57" i="23"/>
  <c r="F57" i="23"/>
  <c r="E57" i="23"/>
  <c r="C57" i="23"/>
  <c r="C65" i="23"/>
  <c r="E65" i="23"/>
  <c r="B65" i="23"/>
  <c r="F65" i="23"/>
  <c r="E52" i="23"/>
  <c r="F52" i="23"/>
  <c r="C52" i="23"/>
  <c r="B52" i="23"/>
  <c r="B50" i="23"/>
  <c r="C50" i="23"/>
  <c r="E50" i="23"/>
  <c r="F50" i="23"/>
  <c r="C38" i="1"/>
  <c r="F38" i="1"/>
  <c r="E38" i="1"/>
  <c r="B38" i="1"/>
  <c r="C24" i="25"/>
  <c r="B24" i="25"/>
  <c r="D24" i="25" s="1"/>
  <c r="F24" i="25"/>
  <c r="B45" i="25"/>
  <c r="F45" i="25"/>
  <c r="E45" i="25"/>
  <c r="C45" i="25"/>
  <c r="C50" i="27"/>
  <c r="B50" i="27"/>
  <c r="F50" i="27"/>
  <c r="E50" i="27"/>
  <c r="C62" i="29"/>
  <c r="B62" i="29"/>
  <c r="F62" i="29"/>
  <c r="E62" i="29"/>
  <c r="F52" i="1"/>
  <c r="F40" i="1"/>
  <c r="E55" i="1"/>
  <c r="F25" i="1"/>
  <c r="B55" i="1"/>
  <c r="F42" i="1"/>
  <c r="B22" i="1"/>
  <c r="B40" i="1"/>
  <c r="B45" i="1"/>
  <c r="F23" i="25"/>
  <c r="B23" i="25"/>
  <c r="D23" i="25" s="1"/>
  <c r="C23" i="25"/>
  <c r="F53" i="25"/>
  <c r="E53" i="25"/>
  <c r="C53" i="25"/>
  <c r="B53" i="25"/>
  <c r="F61" i="25"/>
  <c r="E61" i="25"/>
  <c r="C61" i="25"/>
  <c r="B61" i="25"/>
  <c r="F65" i="25"/>
  <c r="E65" i="25"/>
  <c r="B65" i="25"/>
  <c r="C65" i="25"/>
  <c r="F58" i="25"/>
  <c r="E58" i="25"/>
  <c r="B58" i="25"/>
  <c r="C58" i="25"/>
  <c r="F30" i="25"/>
  <c r="B30" i="25"/>
  <c r="D30" i="25" s="1"/>
  <c r="C30" i="25"/>
  <c r="C58" i="27"/>
  <c r="B58" i="27"/>
  <c r="F58" i="27"/>
  <c r="E58" i="27"/>
  <c r="F60" i="27"/>
  <c r="E60" i="27"/>
  <c r="B60" i="27"/>
  <c r="C60" i="27"/>
  <c r="F31" i="27"/>
  <c r="B31" i="27"/>
  <c r="D31" i="27" s="1"/>
  <c r="C31" i="27"/>
  <c r="F53" i="27"/>
  <c r="E53" i="27"/>
  <c r="C53" i="27"/>
  <c r="B53" i="27"/>
  <c r="C66" i="27"/>
  <c r="B66" i="27"/>
  <c r="F66" i="27"/>
  <c r="E66" i="27"/>
  <c r="F64" i="27"/>
  <c r="B64" i="27"/>
  <c r="C64" i="27"/>
  <c r="E64" i="27"/>
  <c r="F43" i="29"/>
  <c r="E43" i="29"/>
  <c r="B43" i="29"/>
  <c r="C43" i="29"/>
  <c r="F28" i="29"/>
  <c r="B28" i="29"/>
  <c r="D28" i="29" s="1"/>
  <c r="C28" i="29"/>
  <c r="F65" i="29"/>
  <c r="E65" i="29"/>
  <c r="C65" i="29"/>
  <c r="B65" i="29"/>
  <c r="C63" i="29"/>
  <c r="B63" i="29"/>
  <c r="F63" i="29"/>
  <c r="E63" i="29"/>
  <c r="C38" i="29"/>
  <c r="B38" i="29"/>
  <c r="E38" i="29"/>
  <c r="F38" i="29"/>
  <c r="B69" i="29"/>
  <c r="F69" i="29"/>
  <c r="E69" i="29"/>
  <c r="C69" i="29"/>
  <c r="E56" i="23"/>
  <c r="C56" i="23"/>
  <c r="B56" i="23"/>
  <c r="F56" i="23"/>
  <c r="E35" i="23"/>
  <c r="F35" i="23"/>
  <c r="C35" i="23"/>
  <c r="B35" i="23"/>
  <c r="C38" i="23"/>
  <c r="B38" i="23"/>
  <c r="F38" i="23"/>
  <c r="E38" i="23"/>
  <c r="B20" i="23"/>
  <c r="D20" i="23" s="1"/>
  <c r="F20" i="23"/>
  <c r="C20" i="23"/>
  <c r="B58" i="23"/>
  <c r="E58" i="23"/>
  <c r="C58" i="23"/>
  <c r="F58" i="23"/>
  <c r="F33" i="23"/>
  <c r="B33" i="23"/>
  <c r="D33" i="23" s="1"/>
  <c r="C33" i="23"/>
  <c r="F55" i="23"/>
  <c r="E55" i="23"/>
  <c r="C55" i="23"/>
  <c r="B55" i="23"/>
  <c r="C32" i="1"/>
  <c r="B32" i="1"/>
  <c r="D32" i="1" s="1"/>
  <c r="F32" i="1"/>
  <c r="E34" i="28" l="1"/>
  <c r="G34" i="28" s="1"/>
  <c r="E20" i="30"/>
  <c r="E28" i="30"/>
  <c r="E25" i="30"/>
  <c r="G25" i="30" s="1"/>
  <c r="E29" i="30"/>
  <c r="G29" i="30" s="1"/>
  <c r="G28" i="30"/>
  <c r="E31" i="30"/>
  <c r="G31" i="30" s="1"/>
  <c r="E36" i="30"/>
  <c r="G36" i="30" s="1"/>
  <c r="E35" i="30"/>
  <c r="G35" i="30" s="1"/>
  <c r="E23" i="21"/>
  <c r="G23" i="21" s="1"/>
  <c r="E20" i="26"/>
  <c r="E21" i="26"/>
  <c r="G21" i="26" s="1"/>
  <c r="E32" i="26"/>
  <c r="G32" i="26" s="1"/>
  <c r="E24" i="30"/>
  <c r="G24" i="30" s="1"/>
  <c r="E25" i="28"/>
  <c r="E24" i="21"/>
  <c r="E28" i="26"/>
  <c r="G28" i="26" s="1"/>
  <c r="E32" i="30"/>
  <c r="G32" i="30" s="1"/>
  <c r="E27" i="30"/>
  <c r="G27" i="30" s="1"/>
  <c r="E22" i="30"/>
  <c r="G22" i="30" s="1"/>
  <c r="E34" i="30"/>
  <c r="G34" i="30" s="1"/>
  <c r="E26" i="30"/>
  <c r="G26" i="30" s="1"/>
  <c r="E21" i="30"/>
  <c r="E35" i="21"/>
  <c r="G35" i="21" s="1"/>
  <c r="G24" i="21"/>
  <c r="E23" i="30"/>
  <c r="G23" i="30" s="1"/>
  <c r="E39" i="30"/>
  <c r="G39" i="30" s="1"/>
  <c r="E33" i="30"/>
  <c r="G33" i="30" s="1"/>
  <c r="E29" i="21"/>
  <c r="G29" i="21" s="1"/>
  <c r="E27" i="21"/>
  <c r="G27" i="21" s="1"/>
  <c r="E37" i="30"/>
  <c r="G37" i="30" s="1"/>
  <c r="E38" i="30"/>
  <c r="G38" i="30" s="1"/>
  <c r="E30" i="30"/>
  <c r="G30" i="30" s="1"/>
  <c r="F24" i="1"/>
  <c r="B24" i="1"/>
  <c r="D24" i="1" s="1"/>
  <c r="C24" i="1"/>
  <c r="E37" i="21"/>
  <c r="G36" i="21"/>
  <c r="G21" i="21"/>
  <c r="G25" i="21"/>
  <c r="E20" i="21"/>
  <c r="G20" i="21" s="1"/>
  <c r="E23" i="31" a="1"/>
  <c r="E23" i="31" s="1"/>
  <c r="B26" i="32" s="1"/>
  <c r="F23" i="31" a="1"/>
  <c r="F23" i="31" s="1"/>
  <c r="G33" i="1"/>
  <c r="E27" i="1"/>
  <c r="G27" i="1" s="1"/>
  <c r="E29" i="1"/>
  <c r="G29" i="1" s="1"/>
  <c r="E20" i="1"/>
  <c r="G20" i="1" s="1"/>
  <c r="E26" i="1"/>
  <c r="G26" i="1" s="1"/>
  <c r="B78" i="3"/>
  <c r="D82" i="33" a="1"/>
  <c r="D82" i="33" s="1"/>
  <c r="B82" i="3"/>
  <c r="D88" i="33" a="1"/>
  <c r="D88" i="33" s="1"/>
  <c r="B52" i="3"/>
  <c r="D40" i="33" a="1"/>
  <c r="D40" i="33" s="1"/>
  <c r="B35" i="3"/>
  <c r="E30" i="1"/>
  <c r="G30" i="1" s="1"/>
  <c r="E21" i="1"/>
  <c r="G21" i="1" s="1"/>
  <c r="E28" i="1"/>
  <c r="G28" i="1" s="1"/>
  <c r="E25" i="1"/>
  <c r="G25" i="1" s="1"/>
  <c r="E31" i="1"/>
  <c r="G31" i="1" s="1"/>
  <c r="E33" i="23"/>
  <c r="G33" i="23" s="1"/>
  <c r="D22" i="1"/>
  <c r="G20" i="30"/>
  <c r="G20" i="24"/>
  <c r="G71" i="24" s="1"/>
  <c r="D42" i="33" s="1" a="1"/>
  <c r="D42" i="33" s="1"/>
  <c r="E71" i="24"/>
  <c r="G20" i="28"/>
  <c r="E32" i="25"/>
  <c r="G32" i="25" s="1"/>
  <c r="E34" i="23"/>
  <c r="G34" i="23" s="1"/>
  <c r="E34" i="1"/>
  <c r="G34" i="1" s="1"/>
  <c r="E25" i="23"/>
  <c r="G25" i="23" s="1"/>
  <c r="E30" i="23"/>
  <c r="G30" i="23" s="1"/>
  <c r="E34" i="29"/>
  <c r="G34" i="29" s="1"/>
  <c r="E27" i="25"/>
  <c r="G27" i="25" s="1"/>
  <c r="E34" i="27"/>
  <c r="G34" i="27" s="1"/>
  <c r="E29" i="23"/>
  <c r="G29" i="23" s="1"/>
  <c r="E34" i="25"/>
  <c r="G34" i="25" s="1"/>
  <c r="E32" i="29"/>
  <c r="G32" i="29" s="1"/>
  <c r="E33" i="27"/>
  <c r="G33" i="27" s="1"/>
  <c r="E26" i="25"/>
  <c r="G26" i="25" s="1"/>
  <c r="E23" i="1"/>
  <c r="G23" i="1" s="1"/>
  <c r="E33" i="25"/>
  <c r="G33" i="25" s="1"/>
  <c r="E32" i="1"/>
  <c r="G32" i="1" s="1"/>
  <c r="E23" i="23"/>
  <c r="G23" i="23" s="1"/>
  <c r="E33" i="29"/>
  <c r="G33" i="29" s="1"/>
  <c r="E32" i="23"/>
  <c r="G32" i="23" s="1"/>
  <c r="E32" i="27"/>
  <c r="G32" i="27" s="1"/>
  <c r="E31" i="23"/>
  <c r="G31" i="23" s="1"/>
  <c r="E28" i="25"/>
  <c r="G28" i="25" s="1"/>
  <c r="E31" i="25"/>
  <c r="G31" i="25" s="1"/>
  <c r="E27" i="29"/>
  <c r="G27" i="29" s="1"/>
  <c r="E28" i="27"/>
  <c r="G28" i="27" s="1"/>
  <c r="E21" i="29"/>
  <c r="G21" i="29" s="1"/>
  <c r="E20" i="23"/>
  <c r="G20" i="23" s="1"/>
  <c r="E29" i="29"/>
  <c r="G29" i="29" s="1"/>
  <c r="E29" i="25"/>
  <c r="G29" i="25" s="1"/>
  <c r="E20" i="29"/>
  <c r="G20" i="29" s="1"/>
  <c r="E20" i="25"/>
  <c r="G20" i="25" s="1"/>
  <c r="E31" i="29"/>
  <c r="G31" i="29" s="1"/>
  <c r="E25" i="29"/>
  <c r="G25" i="29" s="1"/>
  <c r="E31" i="27"/>
  <c r="G31" i="27" s="1"/>
  <c r="E30" i="25"/>
  <c r="G30" i="25" s="1"/>
  <c r="E29" i="27"/>
  <c r="G29" i="27" s="1"/>
  <c r="E23" i="29"/>
  <c r="G23" i="29" s="1"/>
  <c r="E25" i="25"/>
  <c r="G25" i="25" s="1"/>
  <c r="E24" i="23"/>
  <c r="G24" i="23" s="1"/>
  <c r="E30" i="29"/>
  <c r="G30" i="29" s="1"/>
  <c r="E27" i="23"/>
  <c r="G27" i="23" s="1"/>
  <c r="E23" i="27"/>
  <c r="G23" i="27" s="1"/>
  <c r="E30" i="27"/>
  <c r="G30" i="27" s="1"/>
  <c r="E21" i="27"/>
  <c r="G21" i="27" s="1"/>
  <c r="E24" i="25"/>
  <c r="G24" i="25" s="1"/>
  <c r="E22" i="23"/>
  <c r="G22" i="23" s="1"/>
  <c r="E24" i="29"/>
  <c r="G24" i="29" s="1"/>
  <c r="E26" i="27"/>
  <c r="G26" i="27" s="1"/>
  <c r="E26" i="23"/>
  <c r="G26" i="23" s="1"/>
  <c r="E20" i="27"/>
  <c r="G20" i="27" s="1"/>
  <c r="E23" i="25"/>
  <c r="G23" i="25" s="1"/>
  <c r="E24" i="27"/>
  <c r="G24" i="27" s="1"/>
  <c r="E21" i="25"/>
  <c r="G21" i="25" s="1"/>
  <c r="E22" i="25"/>
  <c r="G22" i="25" s="1"/>
  <c r="E22" i="29"/>
  <c r="G22" i="29" s="1"/>
  <c r="E22" i="27"/>
  <c r="G22" i="27" s="1"/>
  <c r="E25" i="27"/>
  <c r="G25" i="27" s="1"/>
  <c r="E28" i="23"/>
  <c r="G28" i="23" s="1"/>
  <c r="E21" i="23"/>
  <c r="G21" i="23" s="1"/>
  <c r="E28" i="29"/>
  <c r="G28" i="29" s="1"/>
  <c r="E26" i="29"/>
  <c r="G26" i="29" s="1"/>
  <c r="E27" i="27"/>
  <c r="G27" i="27" s="1"/>
  <c r="G20" i="26" l="1"/>
  <c r="G71" i="26" s="1"/>
  <c r="D58" i="33" s="1" a="1"/>
  <c r="D58" i="33" s="1"/>
  <c r="E71" i="26"/>
  <c r="E73" i="26" s="1"/>
  <c r="D61" i="33" s="1" a="1"/>
  <c r="D61" i="33" s="1"/>
  <c r="G25" i="28"/>
  <c r="G71" i="28" s="1"/>
  <c r="D74" i="33" s="1" a="1"/>
  <c r="D74" i="33" s="1"/>
  <c r="E71" i="28"/>
  <c r="E73" i="28" s="1"/>
  <c r="D77" i="33" s="1" a="1"/>
  <c r="D77" i="33" s="1"/>
  <c r="G21" i="30"/>
  <c r="G71" i="30" s="1"/>
  <c r="E71" i="30"/>
  <c r="E73" i="30" s="1"/>
  <c r="D93" i="33" s="1" a="1"/>
  <c r="D93" i="33" s="1"/>
  <c r="E24" i="1"/>
  <c r="G24" i="1" s="1"/>
  <c r="G37" i="21"/>
  <c r="G71" i="21" s="1"/>
  <c r="E71" i="21"/>
  <c r="E73" i="21" s="1"/>
  <c r="D29" i="33" s="1" a="1"/>
  <c r="D29" i="33" s="1"/>
  <c r="D25" i="33" a="1"/>
  <c r="D25" i="33" s="1"/>
  <c r="D89" i="33" a="1"/>
  <c r="D89" i="33" s="1"/>
  <c r="D57" i="33" a="1"/>
  <c r="D57" i="33" s="1"/>
  <c r="D73" i="33" a="1"/>
  <c r="D73" i="33" s="1"/>
  <c r="E73" i="24"/>
  <c r="D45" i="33" s="1" a="1"/>
  <c r="D45" i="33" s="1"/>
  <c r="D41" i="33" a="1"/>
  <c r="D41" i="33" s="1"/>
  <c r="E22" i="1"/>
  <c r="G22" i="1" s="1"/>
  <c r="F22" i="31" a="1"/>
  <c r="F22" i="31" s="1"/>
  <c r="E22" i="31" a="1"/>
  <c r="E22" i="31" s="1"/>
  <c r="B53" i="3"/>
  <c r="G73" i="24"/>
  <c r="B63" i="3"/>
  <c r="G73" i="26"/>
  <c r="G73" i="28"/>
  <c r="B73" i="3"/>
  <c r="G71" i="25"/>
  <c r="G71" i="29"/>
  <c r="D84" i="33" s="1" a="1"/>
  <c r="D84" i="33" s="1"/>
  <c r="G71" i="27"/>
  <c r="D68" i="33" s="1" a="1"/>
  <c r="D68" i="33" s="1"/>
  <c r="G71" i="23"/>
  <c r="E71" i="23"/>
  <c r="E71" i="27"/>
  <c r="E71" i="29"/>
  <c r="E71" i="25"/>
  <c r="D90" i="33" l="1" a="1"/>
  <c r="D90" i="33" s="1"/>
  <c r="G73" i="30"/>
  <c r="B84" i="3" s="1"/>
  <c r="B83" i="3"/>
  <c r="G73" i="21"/>
  <c r="B44" i="3" s="1"/>
  <c r="B43" i="3"/>
  <c r="D26" i="33" a="1"/>
  <c r="D26" i="33" s="1"/>
  <c r="G71" i="1"/>
  <c r="D20" i="33" s="1" a="1"/>
  <c r="D20" i="33" s="1"/>
  <c r="D30" i="33" a="1"/>
  <c r="D30" i="33" s="1"/>
  <c r="B64" i="3"/>
  <c r="D62" i="33" a="1"/>
  <c r="D62" i="33" s="1"/>
  <c r="B74" i="3"/>
  <c r="D78" i="33" a="1"/>
  <c r="D78" i="33" s="1"/>
  <c r="D94" i="33" a="1"/>
  <c r="D94" i="33" s="1"/>
  <c r="G73" i="25"/>
  <c r="D52" i="33" a="1"/>
  <c r="D52" i="33" s="1"/>
  <c r="G73" i="23"/>
  <c r="D36" i="33" a="1"/>
  <c r="D36" i="33" s="1"/>
  <c r="E73" i="23"/>
  <c r="D43" i="33" s="1" a="1"/>
  <c r="D43" i="33" s="1"/>
  <c r="D35" i="33" a="1"/>
  <c r="D35" i="33" s="1"/>
  <c r="E73" i="27"/>
  <c r="D75" i="33" s="1" a="1"/>
  <c r="D75" i="33" s="1"/>
  <c r="D67" i="33" a="1"/>
  <c r="D67" i="33" s="1"/>
  <c r="E73" i="29"/>
  <c r="D91" i="33" s="1" a="1"/>
  <c r="D91" i="33" s="1"/>
  <c r="D83" i="33" a="1"/>
  <c r="D83" i="33" s="1"/>
  <c r="E73" i="25"/>
  <c r="D59" i="33" s="1" a="1"/>
  <c r="D59" i="33" s="1"/>
  <c r="D51" i="33" a="1"/>
  <c r="D51" i="33" s="1"/>
  <c r="B54" i="3"/>
  <c r="D46" i="33" a="1"/>
  <c r="D46" i="33" s="1"/>
  <c r="B24" i="32"/>
  <c r="B25" i="32"/>
  <c r="G73" i="29"/>
  <c r="B79" i="3"/>
  <c r="B49" i="3"/>
  <c r="B59" i="3"/>
  <c r="B69" i="3"/>
  <c r="G73" i="27"/>
  <c r="D60" i="33" l="1" a="1"/>
  <c r="D60" i="33" s="1"/>
  <c r="B60" i="3"/>
  <c r="D44" i="33" a="1"/>
  <c r="D44" i="33" s="1"/>
  <c r="B50" i="3"/>
  <c r="B80" i="3"/>
  <c r="D92" i="33" a="1"/>
  <c r="D92" i="33" s="1"/>
  <c r="B70" i="3"/>
  <c r="D76" i="33" a="1"/>
  <c r="D76" i="33" s="1"/>
  <c r="B37" i="3"/>
  <c r="E71" i="1"/>
  <c r="E73" i="1" l="1"/>
  <c r="D27" i="33" s="1" a="1"/>
  <c r="D27" i="33" s="1"/>
  <c r="D19" i="33" a="1"/>
  <c r="D19" i="33" s="1"/>
  <c r="G73" i="1"/>
  <c r="B40" i="3" l="1"/>
  <c r="D28" i="33" a="1"/>
  <c r="D28" i="3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tc={98A895FD-FF05-4F5A-AAE8-C7D1BDAC3001}</author>
    <author>tc={418F6EE3-8C93-4C0B-B6BF-CDDC617536BE}</author>
  </authors>
  <commentList>
    <comment ref="A102" authorId="0" shapeId="0" xr:uid="{98A895FD-FF05-4F5A-AAE8-C7D1BDAC3001}">
      <text>
        <t>[Threaded comment]
Your version of Excel allows you to read this threaded comment; however, any edits to it will get removed if the file is opened in a newer version of Excel. Learn more: https://go.microsoft.com/fwlink/?linkid=870924
Comment:
    Need these for each base, will have designated place on ‘case inputs’</t>
      </text>
    </comment>
    <comment ref="A104" authorId="1" shapeId="0" xr:uid="{418F6EE3-8C93-4C0B-B6BF-CDDC617536BE}">
      <text>
        <t>[Threaded comment]
Your version of Excel allows you to read this threaded comment; however, any edits to it will get removed if the file is opened in a newer version of Excel. Learn more: https://go.microsoft.com/fwlink/?linkid=870924
Comment:
    Also needed for each earning base, will have designated spot in Case Inputs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tc={AB00BBE9-1081-42CE-AE31-5149D3430740}</author>
    <author>tc={9F5EA60E-02A7-4AD8-A527-5204302C06EF}</author>
  </authors>
  <commentList>
    <comment ref="B9" authorId="0" shapeId="0" xr:uid="{AB00BBE9-1081-42CE-AE31-5149D3430740}">
      <text>
        <t>[Threaded comment]
Your version of Excel allows you to read this threaded comment; however, any edits to it will get removed if the file is opened in a newer version of Excel. Learn more: https://go.microsoft.com/fwlink/?linkid=870924
Comment:
    Typically from Voc report</t>
      </text>
    </comment>
    <comment ref="A12" authorId="1" shapeId="0" xr:uid="{9F5EA60E-02A7-4AD8-A527-5204302C06EF}">
      <text>
        <t>[Threaded comment]
Your version of Excel allows you to read this threaded comment; however, any edits to it will get removed if the file is opened in a newer version of Excel. Learn more: https://go.microsoft.com/fwlink/?linkid=870924
Comment:
    First calculate AGE AT ACCIDENT, then WLE calculated from that point</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591B00-DE6D-4489-AF0F-3FF8539916B6}"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<sst xmlns="http://schemas.openxmlformats.org/spreadsheetml/2006/main" count="3662" uniqueCount="460">
  <si>
    <t>Year</t>
  </si>
  <si>
    <t>Age</t>
  </si>
  <si>
    <t>HSD</t>
  </si>
  <si>
    <t>GED</t>
  </si>
  <si>
    <t>Time To Marity</t>
  </si>
  <si>
    <t>Discount Rate (Nominal)</t>
  </si>
  <si>
    <t>1</t>
  </si>
  <si>
    <t>2027</t>
  </si>
  <si>
    <t>2</t>
  </si>
  <si>
    <t>2028</t>
  </si>
  <si>
    <t>3</t>
  </si>
  <si>
    <t>2029</t>
  </si>
  <si>
    <t>4</t>
  </si>
  <si>
    <t>2030</t>
  </si>
  <si>
    <t>5</t>
  </si>
  <si>
    <t>2031</t>
  </si>
  <si>
    <t>6</t>
  </si>
  <si>
    <t>2032</t>
  </si>
  <si>
    <t>7</t>
  </si>
  <si>
    <t>2033</t>
  </si>
  <si>
    <t>8</t>
  </si>
  <si>
    <t>2034</t>
  </si>
  <si>
    <t>9</t>
  </si>
  <si>
    <t>2035</t>
  </si>
  <si>
    <t>10</t>
  </si>
  <si>
    <t>2036</t>
  </si>
  <si>
    <t>11</t>
  </si>
  <si>
    <t>2037</t>
  </si>
  <si>
    <t>12</t>
  </si>
  <si>
    <t>2038</t>
  </si>
  <si>
    <t>13</t>
  </si>
  <si>
    <t>2039</t>
  </si>
  <si>
    <t>14</t>
  </si>
  <si>
    <t>2040</t>
  </si>
  <si>
    <t>15</t>
  </si>
  <si>
    <t>2041</t>
  </si>
  <si>
    <t>16</t>
  </si>
  <si>
    <t>2042</t>
  </si>
  <si>
    <t>17</t>
  </si>
  <si>
    <t>2043</t>
  </si>
  <si>
    <t>18</t>
  </si>
  <si>
    <t>2044</t>
  </si>
  <si>
    <t>19</t>
  </si>
  <si>
    <t>2045</t>
  </si>
  <si>
    <t>20</t>
  </si>
  <si>
    <t>2046</t>
  </si>
  <si>
    <t>21</t>
  </si>
  <si>
    <t>2047</t>
  </si>
  <si>
    <t>22</t>
  </si>
  <si>
    <t>2048</t>
  </si>
  <si>
    <t>23</t>
  </si>
  <si>
    <t>2049</t>
  </si>
  <si>
    <t>24</t>
  </si>
  <si>
    <t>2050</t>
  </si>
  <si>
    <t>25</t>
  </si>
  <si>
    <t>2051</t>
  </si>
  <si>
    <t>26</t>
  </si>
  <si>
    <t>2052</t>
  </si>
  <si>
    <t>27</t>
  </si>
  <si>
    <t>2053</t>
  </si>
  <si>
    <t>28</t>
  </si>
  <si>
    <t>2054</t>
  </si>
  <si>
    <t>29</t>
  </si>
  <si>
    <t>2055</t>
  </si>
  <si>
    <t>30</t>
  </si>
  <si>
    <t>Gender</t>
  </si>
  <si>
    <t>Table</t>
  </si>
  <si>
    <t>WLE
Mean</t>
  </si>
  <si>
    <t>All-Education</t>
  </si>
  <si>
    <t>M</t>
  </si>
  <si>
    <t>No Education to 9th</t>
  </si>
  <si>
    <t>10th to 12th Grade</t>
  </si>
  <si>
    <t>Some College</t>
  </si>
  <si>
    <t>Associates Degree</t>
  </si>
  <si>
    <t>Bachelor's Degree</t>
  </si>
  <si>
    <t>Master's Degree</t>
  </si>
  <si>
    <t>Professional or Doctoral</t>
  </si>
  <si>
    <t>F</t>
  </si>
  <si>
    <t>2056</t>
  </si>
  <si>
    <t>CASE INFORMATION</t>
  </si>
  <si>
    <t>Plaintiff Name:</t>
  </si>
  <si>
    <t>Date of Birth (DOB):</t>
  </si>
  <si>
    <t>Date of Accident (DOA):</t>
  </si>
  <si>
    <t>Date of Trial (DOT):</t>
  </si>
  <si>
    <t>Gender (M/F):</t>
  </si>
  <si>
    <t>Education Level:</t>
  </si>
  <si>
    <t>Base Annual Earnings:</t>
  </si>
  <si>
    <t>CALCULATED VALUES</t>
  </si>
  <si>
    <t>Age at Accident:</t>
  </si>
  <si>
    <t>Age at Trial:</t>
  </si>
  <si>
    <t>Life Expectancy at Accident:</t>
  </si>
  <si>
    <t>Life Expectancy at Trial:</t>
  </si>
  <si>
    <t>Work Life Expectancy (WLE):</t>
  </si>
  <si>
    <t>WLE at Trial:</t>
  </si>
  <si>
    <t>Full Years for PV Calc:</t>
  </si>
  <si>
    <t>Partial Year Fraction:</t>
  </si>
  <si>
    <t>ASSUMPTIONS</t>
  </si>
  <si>
    <t>Growth Rate:</t>
  </si>
  <si>
    <t>Base Earnings:</t>
  </si>
  <si>
    <t>Full Years:</t>
  </si>
  <si>
    <t>Partial Year:</t>
  </si>
  <si>
    <t>Calendar Year</t>
  </si>
  <si>
    <t>Proration Factor</t>
  </si>
  <si>
    <t>TOTAL</t>
  </si>
  <si>
    <t>← Discount rates from Power Query</t>
  </si>
  <si>
    <t>Jane Doe</t>
  </si>
  <si>
    <t>(Sample rates - refresh Power Query for actual)</t>
  </si>
  <si>
    <t>2.955</t>
  </si>
  <si>
    <t>Retirement Age:</t>
  </si>
  <si>
    <t>Years to Retirement (from Trial):</t>
  </si>
  <si>
    <t>Full Years (Retirement):</t>
  </si>
  <si>
    <t>Partial Year (Retirement):</t>
  </si>
  <si>
    <t>Years to Retirement:</t>
  </si>
  <si>
    <t>Years from Accident to Trial:</t>
  </si>
  <si>
    <t>Full Pre-Trial Years:</t>
  </si>
  <si>
    <t>PRE-TRIAL LOSSES (Accident to Trial)</t>
  </si>
  <si>
    <t>Loss Amount</t>
  </si>
  <si>
    <t>PRE-TRIAL SUBTOTAL</t>
  </si>
  <si>
    <t>POST-TRIAL LOSSES (Trial to WLE)</t>
  </si>
  <si>
    <t>GRAND TOTAL (Pre-Trial + Post-Trial)</t>
  </si>
  <si>
    <t>POST-TRIAL LOSSES (Trial to Retirement)</t>
  </si>
  <si>
    <t>Month</t>
  </si>
  <si>
    <t>CPI Index</t>
  </si>
  <si>
    <t>Trial CPI</t>
  </si>
  <si>
    <t>Pre-Trial Method:</t>
  </si>
  <si>
    <t>Adjusted Loss</t>
  </si>
  <si>
    <t>← INPUT</t>
  </si>
  <si>
    <t>Custom/Interest Rate:</t>
  </si>
  <si>
    <t>← Options: "CPI Adjustment", "No Adjustment", or "Custom Rate"</t>
  </si>
  <si>
    <t>Growth Factor</t>
  </si>
  <si>
    <t>m</t>
  </si>
  <si>
    <t>PRESENT VALUE LOSS - BASE 2 WLE SCENARIO</t>
  </si>
  <si>
    <t>PRESENT VALUE LOSS - BASE 2 TO AGE SCENARIO</t>
  </si>
  <si>
    <t>PRESENT VALUE LOSS - BASE 3 TO AGE SCENARIO</t>
  </si>
  <si>
    <t xml:space="preserve">  WLE Scenario:</t>
  </si>
  <si>
    <t xml:space="preserve">    Pre-Trial Loss:</t>
  </si>
  <si>
    <t xml:space="preserve">    Post-Trial Loss:</t>
  </si>
  <si>
    <t xml:space="preserve">    TOTAL - WLE:</t>
  </si>
  <si>
    <t xml:space="preserve">  To Age Scenario:</t>
  </si>
  <si>
    <t xml:space="preserve">    TOTAL - To Age:</t>
  </si>
  <si>
    <t>BASE 2 SCENARIOS</t>
  </si>
  <si>
    <t>BASE 3 SCENARIOS</t>
  </si>
  <si>
    <t>PRESENT VALUE LOSS - BASE 1 WLE SCENARIO</t>
  </si>
  <si>
    <t>PRESENT VALUE LOSS - BASE 1 TO AGE SCENARIO</t>
  </si>
  <si>
    <t>PRESENT VALUE LOSS - BASE 5 WLE SCENARIO</t>
  </si>
  <si>
    <t>PRESENT VALUE LOSS - BASE 5 TO AGE SCENARIO</t>
  </si>
  <si>
    <t>BASE 4 SCENARIOS</t>
  </si>
  <si>
    <t>BASE 5 SCENARIOS</t>
  </si>
  <si>
    <t>POST-TRIAL LOSSES (To Age)</t>
  </si>
  <si>
    <t>POST-TRIAL LOSSES (Trial to Age)</t>
  </si>
  <si>
    <t>Custom Rate</t>
  </si>
  <si>
    <t>Report Date</t>
  </si>
  <si>
    <t>Attorney Salutation</t>
  </si>
  <si>
    <t>Attorney First Name</t>
  </si>
  <si>
    <t>Attorney Last Name</t>
  </si>
  <si>
    <t>Law Firm</t>
  </si>
  <si>
    <t>Street Address</t>
  </si>
  <si>
    <t>City</t>
  </si>
  <si>
    <t>State</t>
  </si>
  <si>
    <t>Zipcode</t>
  </si>
  <si>
    <t>VIA EMAIL:</t>
  </si>
  <si>
    <t>Claimant First Name</t>
  </si>
  <si>
    <t>Claimant Last Name</t>
  </si>
  <si>
    <t>Date of Birth</t>
  </si>
  <si>
    <t>Date of Accident</t>
  </si>
  <si>
    <t>Place of Trial</t>
  </si>
  <si>
    <t>Trial or Reference? (TRUE=Trial)</t>
  </si>
  <si>
    <t>Trial</t>
  </si>
  <si>
    <t>Documents Reviewed</t>
  </si>
  <si>
    <t>--- SUMMARY TOGGLES ---</t>
  </si>
  <si>
    <t>Summary Item</t>
  </si>
  <si>
    <t>Include?</t>
  </si>
  <si>
    <t>Without return to gainful employment</t>
  </si>
  <si>
    <t>--- BASE 2 SUMMARY TOGGLES ---</t>
  </si>
  <si>
    <t>--- BASE 3 SUMMARY TOGGLES ---</t>
  </si>
  <si>
    <t>Future Medical Low</t>
  </si>
  <si>
    <t>Future Medical High</t>
  </si>
  <si>
    <t>Future Medical Midpoint</t>
  </si>
  <si>
    <t>Use Range? (TRUE=Range, FALSE=Midpoint Only)</t>
  </si>
  <si>
    <t>--- EARNINGS/AFTER CREDIT BASES ---</t>
  </si>
  <si>
    <t>Base 1</t>
  </si>
  <si>
    <t>AC1 Annual Amount (Base 1)</t>
  </si>
  <si>
    <t>AC2 Annual Amount (Base 1)</t>
  </si>
  <si>
    <t>AC3 Annual Amount (Base 1)</t>
  </si>
  <si>
    <t>Base 2</t>
  </si>
  <si>
    <t>AC1 Annual Amount (Base 2)</t>
  </si>
  <si>
    <t>AC2 Annual Amount (Base 2)</t>
  </si>
  <si>
    <t>AC3 Annual Amount (Base 2)</t>
  </si>
  <si>
    <t>Base 3</t>
  </si>
  <si>
    <t>AC1 Annual Amount (Base 3)</t>
  </si>
  <si>
    <t>AC2 Annual Amount (Base 3)</t>
  </si>
  <si>
    <t>AC3 Annual Amount (Base 3)</t>
  </si>
  <si>
    <t>Base Earnings Options:</t>
  </si>
  <si>
    <t>Claimant Salutation</t>
  </si>
  <si>
    <t>Base 4</t>
  </si>
  <si>
    <t>AC1 Annual Amount (Base 4)</t>
  </si>
  <si>
    <t>AC2 Annual Amount (Base 4)</t>
  </si>
  <si>
    <t>AC3 Annual Amount (Base 4)</t>
  </si>
  <si>
    <t>Base 5</t>
  </si>
  <si>
    <t>AC1 Annual Amount (Base 5)</t>
  </si>
  <si>
    <t>AC2 Annual Amount (Base 5)</t>
  </si>
  <si>
    <t>AC3 Annual Amount (Base 5)</t>
  </si>
  <si>
    <t>--- BASE 4 SUMMARY TOGGLES ---</t>
  </si>
  <si>
    <t>--- BASE 5 SUMMARY TOGGLES ---</t>
  </si>
  <si>
    <t>Section</t>
  </si>
  <si>
    <t xml:space="preserve">I. </t>
  </si>
  <si>
    <t>Introduction</t>
  </si>
  <si>
    <t>II.</t>
  </si>
  <si>
    <t>Summary Results</t>
  </si>
  <si>
    <t>Smith</t>
  </si>
  <si>
    <t>Smith &amp; Associates LLP</t>
  </si>
  <si>
    <t>123 Main Street</t>
  </si>
  <si>
    <t>Miami</t>
  </si>
  <si>
    <t>FL</t>
  </si>
  <si>
    <t>jsmith@smithlaw.com</t>
  </si>
  <si>
    <t>III.</t>
  </si>
  <si>
    <t>Census Data</t>
  </si>
  <si>
    <t>Date of Birth:</t>
  </si>
  <si>
    <t>Date of Accident:</t>
  </si>
  <si>
    <t>Place of Trial:</t>
  </si>
  <si>
    <t>Earnings Base</t>
  </si>
  <si>
    <t>Effective Tax Rate</t>
  </si>
  <si>
    <t>Effective Tax Rates</t>
  </si>
  <si>
    <t>Spouse:</t>
  </si>
  <si>
    <t>Employment Status:</t>
  </si>
  <si>
    <t>Youngest Child:</t>
  </si>
  <si>
    <t xml:space="preserve">Date of Birth: </t>
  </si>
  <si>
    <t>Other Children:</t>
  </si>
  <si>
    <t>Spouse Name</t>
  </si>
  <si>
    <t>Spouse DOB</t>
  </si>
  <si>
    <t>Youngest Child Name</t>
  </si>
  <si>
    <t>Youngest Child DOB</t>
  </si>
  <si>
    <t>Earnings</t>
  </si>
  <si>
    <t>Employment Status</t>
  </si>
  <si>
    <t>Rodney</t>
  </si>
  <si>
    <t>Full-Time</t>
  </si>
  <si>
    <t>Derrick</t>
  </si>
  <si>
    <t>Include</t>
  </si>
  <si>
    <t>Loss To Trial</t>
  </si>
  <si>
    <t>Occupation at time of accident employed by</t>
  </si>
  <si>
    <t>Earnings and Employment Background</t>
  </si>
  <si>
    <t>Plumber for ABC, Inc</t>
  </si>
  <si>
    <t>4b</t>
  </si>
  <si>
    <t>Discount Rates</t>
  </si>
  <si>
    <t xml:space="preserve">OPTIONS </t>
  </si>
  <si>
    <t>Discount Rate WLE</t>
  </si>
  <si>
    <t>Discount Rate to Age</t>
  </si>
  <si>
    <t>Nominal_WLE</t>
  </si>
  <si>
    <t>Below Mkt_WLE</t>
  </si>
  <si>
    <t>Inflation Rate</t>
  </si>
  <si>
    <t>Nominal_To_Age</t>
  </si>
  <si>
    <t>Base 1 SCENARIOS</t>
  </si>
  <si>
    <t>Tax Returns 2020-2024, W-2s from ABC, Co. Inc; Schedule C's and the Claimant Information Sheet.</t>
  </si>
  <si>
    <t>Variable Name</t>
  </si>
  <si>
    <t>Worksheet Name</t>
  </si>
  <si>
    <t>Cell Reference</t>
  </si>
  <si>
    <t>Live Cell Value</t>
  </si>
  <si>
    <t>PV2 OUTPUTS</t>
  </si>
  <si>
    <t>[[claimant_DOB_short]]</t>
  </si>
  <si>
    <t>[[claimant_DOI_short]]</t>
  </si>
  <si>
    <t>[[trial_date]]</t>
  </si>
  <si>
    <t>[[claimant_salutation]]</t>
  </si>
  <si>
    <t>[[claimant_name_first]]</t>
  </si>
  <si>
    <t>[[claimant_name_last]]</t>
  </si>
  <si>
    <t>[[court_jurisdiction]]</t>
  </si>
  <si>
    <t>[[attorney_salutation]]</t>
  </si>
  <si>
    <t>[[</t>
  </si>
  <si>
    <t>← either EC from Voc (AUTOMATE THIS) or stat. earnings</t>
  </si>
  <si>
    <t>← either from Voc (NEED TO AUTOMATE), or could be credit 1</t>
  </si>
  <si>
    <t>&lt;- 0 - 10 WLE = 3.10%, 11-infinity WLE = 3.56%, for federal court subtract ESTIMATED INFLATION RATE (often 2.4%, needs to be customizable) to return REAL RATE</t>
  </si>
  <si>
    <t>&lt;- LOSS TO TRIAL (IF STILL UNEMPLOYED)</t>
  </si>
  <si>
    <t>&lt;- LOSS TO TRIAL - ACTUAL EARNINGS (EARNINGS SINCE DOI) IF EMPLOYED</t>
  </si>
  <si>
    <t>2057*</t>
  </si>
  <si>
    <t>IDEALLY WILL SYNCHRONIZE WITH WORKING CALC</t>
  </si>
  <si>
    <t>clm_age_at_DOI</t>
  </si>
  <si>
    <t>clm_age_at_trial</t>
  </si>
  <si>
    <t>clm_LE_at_DOI</t>
  </si>
  <si>
    <t>clm_LE_at_trial</t>
  </si>
  <si>
    <t>clm_WLE</t>
  </si>
  <si>
    <t>clm_age_at_retire</t>
  </si>
  <si>
    <t>b1e_WLE_pretrial_loss_notax</t>
  </si>
  <si>
    <t>b1e_WLE_posttrial_loss_notax</t>
  </si>
  <si>
    <t>b1e_toage_pretrial_loss_notax</t>
  </si>
  <si>
    <t>b1e_toage_posttrial_loss_notax</t>
  </si>
  <si>
    <t>b1e_WLE_total_loss_notax</t>
  </si>
  <si>
    <t>b1e_toage_total_loss_notax</t>
  </si>
  <si>
    <t>b2e_WLE_posttrial_loss_notax</t>
  </si>
  <si>
    <t>b2e_toage_pretrial_loss_notax</t>
  </si>
  <si>
    <t>b2e_toage_posttrial_loss_notax</t>
  </si>
  <si>
    <t>b2e_WLE_total_loss_notax</t>
  </si>
  <si>
    <t>b2e_toage_total_loss_notax</t>
  </si>
  <si>
    <t>b2e_WLE_pretrial_loss_notax</t>
  </si>
  <si>
    <t>b3e_WLE_pretrial_loss_notax</t>
  </si>
  <si>
    <t>b3e_WLE_posttrial_loss_notax</t>
  </si>
  <si>
    <t>b3e_toage_pretrial_loss_notax</t>
  </si>
  <si>
    <t>b3e_toage_posttrial_loss_notax</t>
  </si>
  <si>
    <t>b3e_WLE_total_loss_notax</t>
  </si>
  <si>
    <t>b3e_toage_total_loss_notax</t>
  </si>
  <si>
    <t>b4e_WLE_pretrial_loss_notax</t>
  </si>
  <si>
    <t>b4e_WLE_posttrial_loss_notax</t>
  </si>
  <si>
    <t>b4e_toage_pretrial_loss_notax</t>
  </si>
  <si>
    <t>b4e_toage_posttrial_loss_notax</t>
  </si>
  <si>
    <t>b4e_WLE_total_loss_notax</t>
  </si>
  <si>
    <t>b4e_toage_total_loss_notax</t>
  </si>
  <si>
    <t>b5e_WLE_pretrial_loss_notax</t>
  </si>
  <si>
    <t>b5e_WLE_posttrial_loss_notax</t>
  </si>
  <si>
    <t>b5e_toage_pretrial_loss_notax</t>
  </si>
  <si>
    <t>b5e_toage_posttrial_loss_notax</t>
  </si>
  <si>
    <t>b5e_WLE_total_loss_notax</t>
  </si>
  <si>
    <t>b5e_toage_total_loss_notax</t>
  </si>
  <si>
    <t>Case Inputs</t>
  </si>
  <si>
    <t>B13</t>
  </si>
  <si>
    <t>B14</t>
  </si>
  <si>
    <t>B15</t>
  </si>
  <si>
    <t>B16</t>
  </si>
  <si>
    <t>B17</t>
  </si>
  <si>
    <t>B18</t>
  </si>
  <si>
    <t>B7</t>
  </si>
  <si>
    <t>clm_retire_from_trial_int</t>
  </si>
  <si>
    <t>clm_retire_from_trial_partial</t>
  </si>
  <si>
    <t>clm_retire_from_trial_full</t>
  </si>
  <si>
    <t>B21</t>
  </si>
  <si>
    <t>B22</t>
  </si>
  <si>
    <t>B23</t>
  </si>
  <si>
    <t>Base 1 PV Loss WLE</t>
  </si>
  <si>
    <t>G17</t>
  </si>
  <si>
    <t>POST-TRIAL SUBTOTAL</t>
  </si>
  <si>
    <t>B19</t>
  </si>
  <si>
    <t>B20</t>
  </si>
  <si>
    <t>Unadjusted Loss</t>
  </si>
  <si>
    <t>H17</t>
  </si>
  <si>
    <t>E71</t>
  </si>
  <si>
    <t>G71</t>
  </si>
  <si>
    <t>Base 2 PV Loss WLE</t>
  </si>
  <si>
    <t>Base 3 PV Loss WLE</t>
  </si>
  <si>
    <t>Base 4 PV Loss WLE</t>
  </si>
  <si>
    <t>Base 5 PV Loss WLE</t>
  </si>
  <si>
    <t>E73</t>
  </si>
  <si>
    <t>G73</t>
  </si>
  <si>
    <t>ALSO AFFECTED BY FEDERAL COURT/ERI (-2.4%)</t>
  </si>
  <si>
    <t>clm_WLE_from_trial_full</t>
  </si>
  <si>
    <t>clm_WLE_from_trial_int</t>
  </si>
  <si>
    <t>clm_WLE_from_trial_partial</t>
  </si>
  <si>
    <t>b1e_WLE_earnings</t>
  </si>
  <si>
    <t>b1e_WLE_growth_rate</t>
  </si>
  <si>
    <t>B3</t>
  </si>
  <si>
    <t>E3</t>
  </si>
  <si>
    <t>b1e_toage_earnings</t>
  </si>
  <si>
    <t>b1e_toage_growth_rate</t>
  </si>
  <si>
    <t>b2e_WLE_earnings</t>
  </si>
  <si>
    <t>b2e_WLE_growth_rate</t>
  </si>
  <si>
    <t>b2e_toage_earnings</t>
  </si>
  <si>
    <t>b2e_toage_growth_rate</t>
  </si>
  <si>
    <t>b3e_toage_earnings</t>
  </si>
  <si>
    <t>b3e_toage_growth_rate</t>
  </si>
  <si>
    <t>b4e_toage_earnings</t>
  </si>
  <si>
    <t>b4e_toage_growth_rate</t>
  </si>
  <si>
    <t>b5e_WLE_earnings</t>
  </si>
  <si>
    <t>b5e_WLE_growth_rate</t>
  </si>
  <si>
    <t>b5e_toage_earnings</t>
  </si>
  <si>
    <t>b5e_toage_growth_rate</t>
  </si>
  <si>
    <t>b3e_WLE_earnings</t>
  </si>
  <si>
    <t>b3e_WLE_growth_rate</t>
  </si>
  <si>
    <t>b4e_WLE_earnings</t>
  </si>
  <si>
    <t>b4e_WLE_growth_rate</t>
  </si>
  <si>
    <t>b1e_WLE_pretrial_loss_adj</t>
  </si>
  <si>
    <t>b1e_WLE_posttrial_loss_adj</t>
  </si>
  <si>
    <t>b1e_toage_pretrial_loss_adj</t>
  </si>
  <si>
    <t>b1e_toage_posttrial_loss_adj</t>
  </si>
  <si>
    <t>b1e_WLE_total_loss_adj</t>
  </si>
  <si>
    <t>b1e_toage_total_loss_adj</t>
  </si>
  <si>
    <t>b2e_WLE_pretrial_loss_adj</t>
  </si>
  <si>
    <t>b2e_WLE_posttrial_loss_adj</t>
  </si>
  <si>
    <t>b2e_toage_pretrial_loss_adj</t>
  </si>
  <si>
    <t>b2e_toage_posttrial_loss_adj</t>
  </si>
  <si>
    <t>b2e_WLE_total_loss_adj</t>
  </si>
  <si>
    <t>b2e_toage_total_loss_adj</t>
  </si>
  <si>
    <t>b3e_WLE_pretrial_loss_adj</t>
  </si>
  <si>
    <t>b3e_WLE_posttrial_loss_adj</t>
  </si>
  <si>
    <t>b3e_toage_pretrial_loss_adj</t>
  </si>
  <si>
    <t>b3e_toage_posttrial_loss_adj</t>
  </si>
  <si>
    <t>b3e_WLE_total_loss_adj</t>
  </si>
  <si>
    <t>b3e_toage_total_loss_adj</t>
  </si>
  <si>
    <t>b4e_WLE_pretrial_loss_adj</t>
  </si>
  <si>
    <t>b4e_WLE_posttrial_loss_adj</t>
  </si>
  <si>
    <t>b4e_toage_pretrial_loss_adj</t>
  </si>
  <si>
    <t>b4e_toage_posttrial_loss_adj</t>
  </si>
  <si>
    <t>b4e_WLE_total_loss_adj</t>
  </si>
  <si>
    <t>b4e_toage_total_loss_adj</t>
  </si>
  <si>
    <t>b5e_WLE_pretrial_loss_adj</t>
  </si>
  <si>
    <t>b5e_WLE_posttrial_loss_adj</t>
  </si>
  <si>
    <t>b5e_toage_pretrial_loss_adj</t>
  </si>
  <si>
    <t>b5e_toage_posttrial_loss_adj</t>
  </si>
  <si>
    <t>b5e_WLE_total_loss_adj</t>
  </si>
  <si>
    <t>b5e_toage_total_loss_adj</t>
  </si>
  <si>
    <t>2.301</t>
  </si>
  <si>
    <t>2.291</t>
  </si>
  <si>
    <t>2.289</t>
  </si>
  <si>
    <t>2.346</t>
  </si>
  <si>
    <t>2.397</t>
  </si>
  <si>
    <t>2.481</t>
  </si>
  <si>
    <t>2.581</t>
  </si>
  <si>
    <t>2.646</t>
  </si>
  <si>
    <t>2.738</t>
  </si>
  <si>
    <t>2.842</t>
  </si>
  <si>
    <t>3.063</t>
  </si>
  <si>
    <t>3.137</t>
  </si>
  <si>
    <t>3.243</t>
  </si>
  <si>
    <t>3.297</t>
  </si>
  <si>
    <t>3.404</t>
  </si>
  <si>
    <t>3.536</t>
  </si>
  <si>
    <t>3.668</t>
  </si>
  <si>
    <t>3.804</t>
  </si>
  <si>
    <t>3.927</t>
  </si>
  <si>
    <t>4.003</t>
  </si>
  <si>
    <t>4.064</t>
  </si>
  <si>
    <t>4.105</t>
  </si>
  <si>
    <t>4.152</t>
  </si>
  <si>
    <t>4.170</t>
  </si>
  <si>
    <t>4.189</t>
  </si>
  <si>
    <t>4.201</t>
  </si>
  <si>
    <t>4.223</t>
  </si>
  <si>
    <t>4.226</t>
  </si>
  <si>
    <t>4.244</t>
  </si>
  <si>
    <t>est_rate_of_infl</t>
  </si>
  <si>
    <t>Base 1 PV Loss To Age</t>
  </si>
  <si>
    <t>Base 2 PV Loss To Age</t>
  </si>
  <si>
    <t>Base 3 PV Loss To Age</t>
  </si>
  <si>
    <t>Base 4 PV Loss To Age</t>
  </si>
  <si>
    <t>Base 5 PV Loss To Age</t>
  </si>
  <si>
    <t>PV2_disc_rate_default</t>
  </si>
  <si>
    <t>PV2_disc_rate_real</t>
  </si>
  <si>
    <t>E5</t>
  </si>
  <si>
    <t>PV2_disc_rate_low</t>
  </si>
  <si>
    <t>PV2_disc_rate_high</t>
  </si>
  <si>
    <r>
      <t xml:space="preserve">Functionally: </t>
    </r>
    <r>
      <rPr>
        <u/>
        <sz val="9"/>
        <rFont val="Segoe UI"/>
        <family val="2"/>
      </rPr>
      <t>life expectancy from trial + age at trial</t>
    </r>
  </si>
  <si>
    <t xml:space="preserve">Age at accident is calculated = LE from accident </t>
  </si>
  <si>
    <r>
      <t xml:space="preserve">If LCP with annual costs is present, number is pulled from </t>
    </r>
    <r>
      <rPr>
        <b/>
        <i/>
        <u/>
        <sz val="9"/>
        <rFont val="Segoe UI"/>
        <family val="2"/>
      </rPr>
      <t>LCP report instead</t>
    </r>
  </si>
  <si>
    <r>
      <t xml:space="preserve">If only earnings, </t>
    </r>
    <r>
      <rPr>
        <u/>
        <sz val="9"/>
        <rFont val="Segoe UI"/>
        <family val="2"/>
      </rPr>
      <t xml:space="preserve">LE at trial (calculated using LE from accident) </t>
    </r>
    <r>
      <rPr>
        <sz val="9"/>
        <rFont val="Segoe UI"/>
        <family val="2"/>
      </rPr>
      <t xml:space="preserve">+ </t>
    </r>
    <r>
      <rPr>
        <u/>
        <sz val="9"/>
        <rFont val="Segoe UI"/>
        <family val="2"/>
      </rPr>
      <t>age at trial</t>
    </r>
  </si>
  <si>
    <t>Table Name</t>
  </si>
  <si>
    <t>Chart Name</t>
  </si>
  <si>
    <t>PV_Summary_No_Rounding</t>
  </si>
  <si>
    <t>GetBloombergDailyYieldCurve_cur</t>
  </si>
  <si>
    <t>WC_Disc_Rate_Chart</t>
  </si>
  <si>
    <t>&lt;round to 1 decimal</t>
  </si>
  <si>
    <t>DR for bases are WLE years (rounded up) from Bloomberg</t>
  </si>
  <si>
    <t>fraction of year multiplied by highest rate to get actual</t>
  </si>
  <si>
    <t>growth rate + disc rates</t>
  </si>
  <si>
    <t>will be negative for some values!!!</t>
  </si>
  <si>
    <t>b1e_WLE_pretrial_EFC_notax</t>
  </si>
  <si>
    <t>b1e_WLE_pretrial_EFC_adj</t>
  </si>
  <si>
    <t>b1e_WLE_pretrial_meals_notax</t>
  </si>
  <si>
    <t>b1e_WLE_pretrial_meals_adj</t>
  </si>
  <si>
    <t>Pre-Trial Credit (Actual Earnings)</t>
  </si>
  <si>
    <t>Post-Trial Credit 1 (Low Earning Capacity)</t>
  </si>
  <si>
    <t>Post-Trial Credit 2 (High Earning Capacity)</t>
  </si>
  <si>
    <t>PRESENT VALUE LOSS - CREDIT 1 WLE SCENARIO</t>
  </si>
  <si>
    <t>PRESENT VALUE LOSS - CREDIT 2 WLE SCENARIO</t>
  </si>
  <si>
    <t>PRESENT VALUE LOSS - CREDIT 2 TO AGE SCENARIO</t>
  </si>
  <si>
    <t>b1e_eff_tax_rate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</si>
</sst>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quot;$&quot;#,##0"/>
    <numFmt numFmtId="165" formatCode="0.0"/>
    <numFmt numFmtId="166" formatCode="&quot;$&quot;#,##0.00"/>
    <numFmt numFmtId="167" formatCode="mm/dd/yyyy"/>
    <numFmt numFmtId="168" formatCode="0.0000"/>
    <numFmt numFmtId="169" formatCode="0.000"/>
  </numFmts>
  <fonts count="38" x14ac:knownFonts="1">
    <font>
      <sz val="10"/>
      <name val="Arial"/>
    </font>
    <font>
      <u/>
      <sz val="10"/>
      <name val="Arial"/>
      <family val="2"/>
    </font>
    <font>
      <sz val="10"/>
      <color indexed="9"/>
      <name val="Arial"/>
      <family val="2"/>
    </font>
    <font>
      <sz val="10"/>
      <name val="Arial"/>
      <family val="2"/>
    </font>
    <font>
      <sz val="12"/>
      <color rgb="FF006100"/>
      <name val="Calibri"/>
      <family val="2"/>
      <scheme val="minor"/>
    </font>
    <font>
      <sz val="12"/>
      <color rgb="FF9C6500"/>
      <name val="Calibri"/>
      <family val="2"/>
      <scheme val="minor"/>
    </font>
    <font>
      <b/>
      <sz val="10"/>
      <color theme="0"/>
      <name val="Calibri"/>
      <family val="2"/>
      <scheme val="minor"/>
    </font>
    <font>
      <sz val="10"/>
      <color theme="1"/>
      <name val="Calibri"/>
      <family val="2"/>
      <scheme val="minor"/>
    </font>
    <font>
      <b/>
      <sz val="10"/>
      <name val="Arial"/>
      <family val="2"/>
    </font>
    <font>
      <b/>
      <sz val="14"/>
      <name val="Arial"/>
      <family val="2"/>
    </font>
    <font>
      <b/>
      <sz val="14"/>
      <color rgb="FFFFFFFF"/>
      <name val="Arial"/>
      <family val="2"/>
    </font>
    <font>
      <b/>
      <sz val="10"/>
      <color rgb="FFFFFFFF"/>
      <name val="Arial"/>
      <family val="2"/>
    </font>
    <font>
      <i/>
      <sz val="10"/>
      <color rgb="FF808080"/>
      <name val="Arial"/>
      <family val="2"/>
    </font>
    <font>
      <i/>
      <sz val="10"/>
      <color rgb="FFC00000"/>
      <name val="Arial"/>
      <family val="2"/>
    </font>
    <font>
      <i/>
      <sz val="10"/>
      <color rgb="FF666666"/>
      <name val="Arial"/>
      <family val="2"/>
    </font>
    <font>
      <b/>
      <sz val="10"/>
      <color theme="0"/>
      <name val="Arial"/>
      <family val="2"/>
    </font>
    <font>
      <b/>
      <sz val="10"/>
      <color rgb="FFFFFFFF"/>
      <name val="Arial"/>
      <family val="2"/>
    </font>
    <font>
      <b/>
      <sz val="10"/>
      <name val="Arial"/>
      <family val="2"/>
    </font>
    <font>
      <sz val="10"/>
      <name val="Arial"/>
      <family val="2"/>
    </font>
    <font>
      <b/>
      <sz val="11"/>
      <color theme="1"/>
      <name val="Calibri"/>
      <family val="2"/>
      <scheme val="minor"/>
    </font>
    <font>
      <b/>
      <sz val="11"/>
      <color rgb="FF1F4E79"/>
      <name val="Calibri"/>
      <family val="2"/>
      <scheme val="minor"/>
    </font>
    <font>
      <b/>
      <sz val="11"/>
      <color rgb="FF1F4E79"/>
      <name val="Calibri"/>
      <family val="2"/>
    </font>
    <font>
      <sz val="10"/>
      <color theme="0"/>
      <name val="Arial"/>
      <family val="2"/>
    </font>
    <font>
      <sz val="12"/>
      <name val="Times New Roman"/>
      <family val="1"/>
    </font>
    <font>
      <sz val="12"/>
      <color rgb="FF000000"/>
      <name val="Times New Roman"/>
      <family val="1"/>
    </font>
    <font>
      <sz val="12"/>
      <color theme="0"/>
      <name val="Times New Roman"/>
      <family val="1"/>
    </font>
    <font>
      <b/>
      <sz val="16"/>
      <color theme="1"/>
      <name val="Aptos Display"/>
      <family val="2"/>
    </font>
    <font>
      <b/>
      <u/>
      <sz val="12"/>
      <color theme="1"/>
      <name val="Aptos Display"/>
      <family val="2"/>
    </font>
    <font>
      <sz val="11"/>
      <name val="Aptos Narrow"/>
      <family val="2"/>
    </font>
    <font>
      <sz val="11"/>
      <color theme="1"/>
      <name val="Aptos Narrow"/>
      <family val="2"/>
    </font>
    <font>
      <sz val="10"/>
      <name val="Arial"/>
    </font>
    <font>
      <sz val="8"/>
      <name val="Arial"/>
    </font>
    <font>
      <b/>
      <i/>
      <sz val="10"/>
      <name val="Arial"/>
      <family val="2"/>
    </font>
    <font>
      <b/>
      <u/>
      <sz val="10"/>
      <name val="Arial"/>
      <family val="2"/>
    </font>
    <font>
      <sz val="9"/>
      <name val="Segoe UI"/>
      <family val="2"/>
    </font>
    <font>
      <u/>
      <sz val="9"/>
      <name val="Segoe UI"/>
      <family val="2"/>
    </font>
    <font>
      <b/>
      <i/>
      <u/>
      <sz val="9"/>
      <name val="Segoe UI"/>
      <family val="2"/>
    </font>
    <font>
      <b/>
      <u/>
      <sz val="12"/>
      <color theme="1" tint="4.9989318521683403E-2"/>
      <name val="Aptos Display"/>
      <family val="2"/>
    </font>
  </fonts>
  <fills count="30">
    <fill>
      <patternFill patternType="none"/>
    </fill>
    <fill>
      <patternFill patternType="gray125"/>
    </fill>
    <fill>
      <patternFill patternType="solid">
        <fgColor rgb="FFC6EFCE"/>
      </patternFill>
    </fill>
    <fill>
      <patternFill patternType="solid">
        <fgColor rgb="FFFFEB9C"/>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rgb="FF4472C4"/>
        <bgColor indexed="64"/>
      </patternFill>
    </fill>
    <fill>
      <patternFill patternType="solid">
        <fgColor rgb="FF5B9BD5"/>
        <bgColor indexed="64"/>
      </patternFill>
    </fill>
    <fill>
      <patternFill patternType="solid">
        <fgColor rgb="FFFFFFCC"/>
        <bgColor indexed="64"/>
      </patternFill>
    </fill>
    <fill>
      <patternFill patternType="solid">
        <fgColor rgb="FFE2EFDA"/>
        <bgColor indexed="64"/>
      </patternFill>
    </fill>
    <fill>
      <patternFill patternType="solid">
        <fgColor rgb="FFD9E1F2"/>
        <bgColor indexed="64"/>
      </patternFill>
    </fill>
    <fill>
      <patternFill patternType="solid">
        <fgColor rgb="FFC6EFCE"/>
        <bgColor indexed="64"/>
      </patternFill>
    </fill>
    <fill>
      <patternFill patternType="solid">
        <fgColor rgb="FFFFFF00"/>
        <bgColor indexed="64"/>
      </patternFill>
    </fill>
    <fill>
      <patternFill patternType="solid">
        <fgColor rgb="FFFFF2CC"/>
        <bgColor indexed="64"/>
      </patternFill>
    </fill>
    <fill>
      <patternFill patternType="solid">
        <fgColor rgb="FFD9E2F3"/>
        <bgColor indexed="64"/>
      </patternFill>
    </fill>
    <fill>
      <patternFill patternType="solid">
        <fgColor rgb="FF70AD47"/>
        <bgColor indexed="64"/>
      </patternFill>
    </fill>
    <fill>
      <patternFill patternType="solid">
        <fgColor rgb="FFED7D31"/>
        <bgColor indexed="64"/>
      </patternFill>
    </fill>
    <fill>
      <patternFill patternType="solid">
        <fgColor theme="7"/>
        <bgColor indexed="64"/>
      </patternFill>
    </fill>
    <fill>
      <patternFill patternType="solid">
        <fgColor rgb="FFFF0000"/>
        <bgColor indexed="64"/>
      </patternFill>
    </fill>
    <fill>
      <patternFill patternType="solid">
        <fgColor theme="3" tint="0.39997558519241921"/>
        <bgColor indexed="64"/>
      </patternFill>
    </fill>
    <fill>
      <patternFill patternType="solid">
        <fgColor theme="1"/>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DCE6F1"/>
      </patternFill>
    </fill>
    <fill>
      <patternFill patternType="solid">
        <fgColor theme="4" tint="0.79998168889431442"/>
        <bgColor indexed="64"/>
      </patternFill>
    </fill>
    <fill>
      <patternFill patternType="solid">
        <fgColor rgb="FFFFFFFF"/>
      </patternFill>
    </fill>
    <fill>
      <patternFill patternType="solid">
        <fgColor rgb="FF92D050"/>
        <bgColor indexed="64"/>
      </patternFill>
    </fill>
    <fill>
      <patternFill patternType="solid">
        <fgColor rgb="FFFF8B20"/>
        <bgColor indexed="64"/>
      </patternFill>
    </fill>
  </fills>
  <borders count="3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rgb="FF4472C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1"/>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medium">
        <color indexed="64"/>
      </right>
      <top/>
      <bottom style="thin">
        <color theme="0" tint="-0.14999847407452621"/>
      </bottom>
      <diagonal/>
    </border>
    <border>
      <left style="medium">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theme="0" tint="-0.14999847407452621"/>
      </right>
      <top style="thin">
        <color theme="0" tint="-0.14999847407452621"/>
      </top>
      <bottom style="medium">
        <color indexed="64"/>
      </bottom>
      <diagonal/>
    </border>
    <border>
      <left style="thin">
        <color theme="0" tint="-0.14999847407452621"/>
      </left>
      <right style="thin">
        <color theme="0" tint="-0.14999847407452621"/>
      </right>
      <top style="thin">
        <color theme="0" tint="-0.14999847407452621"/>
      </top>
      <bottom style="medium">
        <color indexed="64"/>
      </bottom>
      <diagonal/>
    </border>
    <border>
      <left style="thin">
        <color theme="0" tint="-0.14999847407452621"/>
      </left>
      <right style="medium">
        <color indexed="64"/>
      </right>
      <top/>
      <bottom style="medium">
        <color indexed="64"/>
      </bottom>
      <diagonal/>
    </border>
    <border>
      <left style="medium">
        <color theme="1" tint="4.9989318521683403E-2"/>
      </left>
      <right style="thin">
        <color auto="1"/>
      </right>
      <top style="medium">
        <color theme="1" tint="4.9989318521683403E-2"/>
      </top>
      <bottom style="thin">
        <color auto="1"/>
      </bottom>
      <diagonal/>
    </border>
    <border>
      <left style="thin">
        <color auto="1"/>
      </left>
      <right style="medium">
        <color theme="1" tint="4.9989318521683403E-2"/>
      </right>
      <top style="medium">
        <color theme="1" tint="4.9989318521683403E-2"/>
      </top>
      <bottom style="thin">
        <color auto="1"/>
      </bottom>
      <diagonal/>
    </border>
    <border>
      <left style="medium">
        <color theme="1"/>
      </left>
      <right style="thin">
        <color auto="1"/>
      </right>
      <top style="medium">
        <color theme="1"/>
      </top>
      <bottom/>
      <diagonal/>
    </border>
    <border>
      <left style="thin">
        <color auto="1"/>
      </left>
      <right style="medium">
        <color theme="1"/>
      </right>
      <top style="medium">
        <color theme="1"/>
      </top>
      <bottom/>
      <diagonal/>
    </border>
    <border>
      <left style="medium">
        <color theme="1" tint="4.9989318521683403E-2"/>
      </left>
      <right/>
      <top style="thin">
        <color auto="1"/>
      </top>
      <bottom style="thin">
        <color theme="1" tint="4.9989318521683403E-2"/>
      </bottom>
      <diagonal/>
    </border>
    <border>
      <left style="thin">
        <color theme="1"/>
      </left>
      <right style="medium">
        <color theme="1" tint="4.9989318521683403E-2"/>
      </right>
      <top style="thin">
        <color auto="1"/>
      </top>
      <bottom style="thin">
        <color theme="1" tint="4.9989318521683403E-2"/>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tint="4.9989318521683403E-2"/>
      </left>
      <right style="thin">
        <color theme="0" tint="-0.14999847407452621"/>
      </right>
      <top/>
      <bottom style="thin">
        <color theme="0" tint="-0.14999847407452621"/>
      </bottom>
      <diagonal/>
    </border>
    <border>
      <left style="thin">
        <color theme="0" tint="-0.14999847407452621"/>
      </left>
      <right style="medium">
        <color theme="1" tint="4.9989318521683403E-2"/>
      </right>
      <top/>
      <bottom style="thin">
        <color theme="0" tint="-0.14999847407452621"/>
      </bottom>
      <diagonal/>
    </border>
    <border>
      <left style="medium">
        <color theme="1"/>
      </left>
      <right style="thin">
        <color theme="0" tint="-0.14999847407452621"/>
      </right>
      <top/>
      <bottom style="thin">
        <color theme="0" tint="-0.14999847407452621"/>
      </bottom>
      <diagonal/>
    </border>
    <border>
      <left style="thin">
        <color theme="0" tint="-0.14999847407452621"/>
      </left>
      <right style="medium">
        <color theme="1"/>
      </right>
      <top/>
      <bottom style="thin">
        <color theme="0" tint="-0.14999847407452621"/>
      </bottom>
      <diagonal/>
    </border>
    <border>
      <left style="medium">
        <color theme="1" tint="4.9989318521683403E-2"/>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1" tint="4.9989318521683403E-2"/>
      </right>
      <top style="thin">
        <color theme="0" tint="-0.14999847407452621"/>
      </top>
      <bottom style="thin">
        <color theme="0" tint="-0.14999847407452621"/>
      </bottom>
      <diagonal/>
    </border>
    <border>
      <left style="medium">
        <color theme="1"/>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1"/>
      </right>
      <top style="thin">
        <color theme="0" tint="-0.14999847407452621"/>
      </top>
      <bottom style="thin">
        <color theme="0" tint="-0.14999847407452621"/>
      </bottom>
      <diagonal/>
    </border>
    <border>
      <left style="medium">
        <color theme="1" tint="4.9989318521683403E-2"/>
      </left>
      <right style="thin">
        <color theme="0" tint="-0.14999847407452621"/>
      </right>
      <top style="thin">
        <color theme="0" tint="-0.14999847407452621"/>
      </top>
      <bottom style="medium">
        <color theme="1" tint="4.9989318521683403E-2"/>
      </bottom>
      <diagonal/>
    </border>
    <border>
      <left style="thin">
        <color theme="0" tint="-0.14999847407452621"/>
      </left>
      <right style="medium">
        <color theme="1" tint="4.9989318521683403E-2"/>
      </right>
      <top style="thin">
        <color theme="0" tint="-0.14999847407452621"/>
      </top>
      <bottom style="medium">
        <color theme="1" tint="4.9989318521683403E-2"/>
      </bottom>
      <diagonal/>
    </border>
    <border>
      <left style="medium">
        <color theme="1"/>
      </left>
      <right style="thin">
        <color theme="0" tint="-0.14999847407452621"/>
      </right>
      <top style="thin">
        <color theme="0" tint="-0.14999847407452621"/>
      </top>
      <bottom style="medium">
        <color theme="1"/>
      </bottom>
      <diagonal/>
    </border>
    <border>
      <left style="thin">
        <color theme="0" tint="-0.14999847407452621"/>
      </left>
      <right style="medium">
        <color theme="1"/>
      </right>
      <top style="thin">
        <color theme="0" tint="-0.14999847407452621"/>
      </top>
      <bottom style="medium">
        <color theme="1"/>
      </bottom>
      <diagonal/>
    </border>
  </borders>
  <cellStyleXfs count="6">
    <xf numFmtId="0" fontId="0" fillId="0" borderId="0"/>
    <xf numFmtId="0" fontId="4" fillId="2" borderId="0" applyNumberFormat="0" applyBorder="0" applyAlignment="0" applyProtection="0"/>
    <xf numFmtId="0" fontId="5" fillId="3" borderId="0" applyNumberFormat="0" applyBorder="0" applyAlignment="0" applyProtection="0"/>
    <xf numFmtId="44" fontId="3" fillId="0" borderId="0" applyFont="0" applyFill="0" applyBorder="0" applyAlignment="0" applyProtection="0"/>
    <xf numFmtId="9" fontId="18" fillId="0" borderId="0" applyFont="0" applyFill="0" applyBorder="0" applyAlignment="0" applyProtection="0"/>
    <xf numFmtId="44" fontId="30" fillId="0" borderId="0" applyFont="0" applyFill="0" applyBorder="0" applyAlignment="0" applyProtection="0"/>
  </cellStyleXfs>
  <cellXfs count="150">
    <xf numFmtId="0" fontId="0" fillId="0" borderId="0" xfId="0"/>
    <xf numFmtId="0" fontId="1" fillId="0" borderId="0" xfId="0" applyFont="1"/>
    <xf numFmtId="164" fontId="0" fillId="0" borderId="0" xfId="0" applyNumberFormat="1"/>
    <xf numFmtId="0" fontId="1" fillId="0" borderId="0" xfId="0" applyFont="1" applyAlignment="1">
      <alignment horizontal="center"/>
    </xf>
    <xf numFmtId="164" fontId="2" fillId="0" borderId="0" xfId="0" applyNumberFormat="1" applyFont="1"/>
    <xf numFmtId="0" fontId="1" fillId="0" borderId="0" xfId="0" applyFont="1" applyAlignment="1">
      <alignment wrapText="1"/>
    </xf>
    <xf numFmtId="165" fontId="0" fillId="0" borderId="0" xfId="0" applyNumberFormat="1"/>
    <xf numFmtId="166" fontId="0" fillId="0" borderId="0" xfId="0" applyNumberFormat="1"/>
    <xf numFmtId="0" fontId="3" fillId="0" borderId="0" xfId="0" applyFont="1"/>
    <xf numFmtId="0" fontId="4" fillId="0" borderId="0" xfId="1" applyFill="1"/>
    <xf numFmtId="10" fontId="0" fillId="0" borderId="0" xfId="0" applyNumberFormat="1"/>
    <xf numFmtId="0" fontId="5" fillId="0" borderId="0" xfId="2" applyFill="1"/>
    <xf numFmtId="0" fontId="0" fillId="0" borderId="0" xfId="0" applyAlignment="1">
      <alignment vertical="center" wrapText="1"/>
    </xf>
    <xf numFmtId="0" fontId="6" fillId="4" borderId="1" xfId="0" applyFont="1" applyFill="1" applyBorder="1"/>
    <xf numFmtId="0" fontId="6" fillId="4" borderId="2" xfId="0" applyFont="1" applyFill="1" applyBorder="1"/>
    <xf numFmtId="0" fontId="0" fillId="5" borderId="1" xfId="0" applyFill="1" applyBorder="1"/>
    <xf numFmtId="0" fontId="7" fillId="5" borderId="2" xfId="0" applyFont="1" applyFill="1" applyBorder="1"/>
    <xf numFmtId="0" fontId="0" fillId="0" borderId="1" xfId="0" applyBorder="1"/>
    <xf numFmtId="0" fontId="7" fillId="0" borderId="2" xfId="0" applyFont="1" applyBorder="1"/>
    <xf numFmtId="0" fontId="8" fillId="0" borderId="0" xfId="0" applyFont="1"/>
    <xf numFmtId="0" fontId="0" fillId="9" borderId="0" xfId="0" applyFill="1"/>
    <xf numFmtId="167" fontId="0" fillId="9" borderId="0" xfId="0" applyNumberFormat="1" applyFill="1"/>
    <xf numFmtId="166" fontId="0" fillId="9" borderId="3" xfId="0" applyNumberFormat="1" applyFill="1" applyBorder="1"/>
    <xf numFmtId="2" fontId="0" fillId="10" borderId="0" xfId="0" applyNumberFormat="1" applyFill="1"/>
    <xf numFmtId="1" fontId="0" fillId="10" borderId="0" xfId="0" applyNumberFormat="1" applyFill="1"/>
    <xf numFmtId="168" fontId="0" fillId="10" borderId="0" xfId="0" applyNumberFormat="1" applyFill="1"/>
    <xf numFmtId="168" fontId="0" fillId="0" borderId="0" xfId="0" applyNumberFormat="1"/>
    <xf numFmtId="1" fontId="0" fillId="0" borderId="0" xfId="0" applyNumberFormat="1"/>
    <xf numFmtId="0" fontId="8" fillId="12" borderId="0" xfId="0" applyFont="1" applyFill="1"/>
    <xf numFmtId="166" fontId="8" fillId="12" borderId="0" xfId="0" applyNumberFormat="1" applyFont="1" applyFill="1"/>
    <xf numFmtId="166" fontId="8" fillId="0" borderId="0" xfId="0" applyNumberFormat="1" applyFont="1"/>
    <xf numFmtId="0" fontId="11" fillId="7" borderId="0" xfId="0" applyFont="1" applyFill="1"/>
    <xf numFmtId="0" fontId="12" fillId="0" borderId="0" xfId="0" applyFont="1"/>
    <xf numFmtId="2" fontId="0" fillId="0" borderId="0" xfId="0" applyNumberFormat="1"/>
    <xf numFmtId="0" fontId="13" fillId="0" borderId="0" xfId="0" applyFont="1"/>
    <xf numFmtId="1" fontId="0" fillId="13" borderId="0" xfId="0" applyNumberFormat="1" applyFill="1"/>
    <xf numFmtId="0" fontId="8" fillId="10" borderId="0" xfId="0" applyFont="1" applyFill="1"/>
    <xf numFmtId="0" fontId="0" fillId="12" borderId="0" xfId="0" applyFill="1"/>
    <xf numFmtId="169" fontId="0" fillId="0" borderId="0" xfId="0" applyNumberFormat="1"/>
    <xf numFmtId="10" fontId="0" fillId="13" borderId="0" xfId="0" applyNumberFormat="1" applyFill="1"/>
    <xf numFmtId="0" fontId="0" fillId="13" borderId="0" xfId="0" applyFill="1"/>
    <xf numFmtId="0" fontId="14" fillId="0" borderId="0" xfId="0" applyFont="1"/>
    <xf numFmtId="166" fontId="0" fillId="13" borderId="0" xfId="0" applyNumberFormat="1" applyFill="1"/>
    <xf numFmtId="0" fontId="11" fillId="17" borderId="0" xfId="0" applyFont="1" applyFill="1"/>
    <xf numFmtId="0" fontId="15" fillId="18" borderId="0" xfId="0" applyFont="1" applyFill="1"/>
    <xf numFmtId="0" fontId="15" fillId="19" borderId="0" xfId="0" applyFont="1" applyFill="1"/>
    <xf numFmtId="0" fontId="0" fillId="20" borderId="0" xfId="0" applyFill="1"/>
    <xf numFmtId="0" fontId="0" fillId="6" borderId="0" xfId="0" applyFill="1"/>
    <xf numFmtId="0" fontId="0" fillId="0" borderId="0" xfId="0" applyAlignment="1">
      <alignment horizontal="left" vertical="top" wrapText="1"/>
    </xf>
    <xf numFmtId="0" fontId="19" fillId="0" borderId="0" xfId="0" applyFont="1"/>
    <xf numFmtId="166" fontId="0" fillId="6" borderId="0" xfId="0" applyNumberFormat="1" applyFill="1"/>
    <xf numFmtId="14" fontId="0" fillId="0" borderId="0" xfId="0" applyNumberFormat="1"/>
    <xf numFmtId="167" fontId="0" fillId="0" borderId="0" xfId="0" applyNumberFormat="1"/>
    <xf numFmtId="0" fontId="0" fillId="0" borderId="0" xfId="0">
      <extLst>
        <ext xmlns:xfpb="http://schemas.microsoft.com/office/spreadsheetml/2022/featurepropertybag" uri="{C7286773-470A-42A8-94C5-96B5CB345126}">
          <xfpb:xfComplement i="0"/>
        </ext>
      </extLst>
    </xf>
    <xf numFmtId="0" fontId="3" fillId="0" borderId="0" xfId="0" applyFont="1" applyAlignment="1">
      <alignment horizontal="left" vertical="top" wrapText="1"/>
    </xf>
    <xf numFmtId="0" fontId="3" fillId="0" borderId="0" xfId="0" applyFont="1" applyAlignment="1">
      <alignment horizontal="left"/>
    </xf>
    <xf numFmtId="0" fontId="3"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wrapText="1"/>
    </xf>
    <xf numFmtId="0" fontId="0" fillId="0" borderId="0" xfId="0" applyAlignment="1">
      <alignment horizontal="left" vertical="center" wrapText="1"/>
    </xf>
    <xf numFmtId="0" fontId="0" fillId="21" borderId="0" xfId="0" applyFill="1"/>
    <xf numFmtId="0" fontId="22" fillId="21" borderId="0" xfId="0" applyFont="1" applyFill="1"/>
    <xf numFmtId="0" fontId="22" fillId="21" borderId="0" xfId="0" applyFont="1" applyFill="1" applyAlignment="1">
      <alignment horizontal="left"/>
    </xf>
    <xf numFmtId="0" fontId="23" fillId="0" borderId="0" xfId="0" applyFont="1" applyAlignment="1">
      <alignment horizontal="justify" vertical="center"/>
    </xf>
    <xf numFmtId="9" fontId="0" fillId="0" borderId="0" xfId="0" applyNumberFormat="1"/>
    <xf numFmtId="0" fontId="23" fillId="0" borderId="0" xfId="0" applyFont="1" applyAlignment="1">
      <alignment horizontal="justify" vertical="center" wrapText="1"/>
    </xf>
    <xf numFmtId="0" fontId="23" fillId="0" borderId="0" xfId="0" applyFont="1" applyAlignment="1">
      <alignment horizontal="justify" vertical="center" wrapText="1"/>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24" fillId="0" borderId="0" xfId="0" applyFont="1" applyAlignment="1">
      <alignment horizontal="justify" vertical="center" wrapText="1"/>
    </xf>
    <xf numFmtId="49" fontId="22" fillId="21" borderId="0" xfId="0" applyNumberFormat="1" applyFont="1" applyFill="1" applyAlignment="1">
      <alignment horizontal="left" vertical="top" wrapText="1"/>
    </xf>
    <xf numFmtId="0" fontId="24" fillId="0" borderId="0" xfId="0" applyFont="1" applyAlignment="1">
      <alignment horizontal="justify" vertical="center" wrapText="1"/>
      <extLst>
        <ext xmlns:xfpb="http://schemas.microsoft.com/office/spreadsheetml/2022/featurepropertybag" uri="{C7286773-470A-42A8-94C5-96B5CB345126}">
          <xfpb:xfComplement i="0"/>
        </ext>
      </extLst>
    </xf>
    <xf numFmtId="0" fontId="24" fillId="21" borderId="0" xfId="0" applyFont="1" applyFill="1" applyAlignment="1">
      <alignment horizontal="justify" vertical="center" wrapText="1"/>
    </xf>
    <xf numFmtId="0" fontId="25" fillId="21" borderId="0" xfId="0" applyFont="1" applyFill="1" applyAlignment="1">
      <alignment horizontal="justify" vertical="center" wrapText="1"/>
    </xf>
    <xf numFmtId="10" fontId="0" fillId="0" borderId="0" xfId="4" applyNumberFormat="1" applyFont="1"/>
    <xf numFmtId="0" fontId="15" fillId="16" borderId="0" xfId="0" applyFont="1" applyFill="1"/>
    <xf numFmtId="0" fontId="0" fillId="22" borderId="0" xfId="0" applyFill="1"/>
    <xf numFmtId="0" fontId="0" fillId="22" borderId="0" xfId="0" applyFill="1" applyAlignment="1">
      <alignment vertical="center"/>
    </xf>
    <xf numFmtId="0" fontId="27" fillId="24" borderId="7" xfId="0" applyFont="1" applyFill="1" applyBorder="1" applyAlignment="1">
      <alignment horizontal="center" vertical="center"/>
    </xf>
    <xf numFmtId="0" fontId="27" fillId="24" borderId="8" xfId="0" applyFont="1" applyFill="1" applyBorder="1" applyAlignment="1">
      <alignment horizontal="center" vertical="center"/>
    </xf>
    <xf numFmtId="0" fontId="27" fillId="24" borderId="9" xfId="0" applyFont="1" applyFill="1" applyBorder="1" applyAlignment="1">
      <alignment horizontal="center" vertical="center"/>
    </xf>
    <xf numFmtId="0" fontId="28" fillId="25" borderId="10" xfId="0" applyFont="1" applyFill="1" applyBorder="1" applyAlignment="1">
      <alignment horizontal="left" vertical="center"/>
    </xf>
    <xf numFmtId="0" fontId="28" fillId="25" borderId="11" xfId="0" applyFont="1" applyFill="1" applyBorder="1" applyAlignment="1">
      <alignment horizontal="center" vertical="center"/>
    </xf>
    <xf numFmtId="0" fontId="29" fillId="26" borderId="12" xfId="0" applyFont="1" applyFill="1" applyBorder="1" applyAlignment="1">
      <alignment horizontal="center" vertical="center"/>
    </xf>
    <xf numFmtId="0" fontId="28" fillId="27" borderId="13" xfId="0" applyFont="1" applyFill="1" applyBorder="1" applyAlignment="1">
      <alignment horizontal="left" vertical="center"/>
    </xf>
    <xf numFmtId="0" fontId="28" fillId="27" borderId="14" xfId="0" applyFont="1" applyFill="1" applyBorder="1" applyAlignment="1">
      <alignment horizontal="center" vertical="center"/>
    </xf>
    <xf numFmtId="0" fontId="29" fillId="6" borderId="12" xfId="0" applyFont="1" applyFill="1" applyBorder="1" applyAlignment="1">
      <alignment horizontal="center" vertical="center"/>
    </xf>
    <xf numFmtId="0" fontId="28" fillId="25" borderId="13" xfId="0" applyFont="1" applyFill="1" applyBorder="1" applyAlignment="1">
      <alignment horizontal="left" vertical="center"/>
    </xf>
    <xf numFmtId="0" fontId="28" fillId="25" borderId="14" xfId="0" applyFont="1" applyFill="1" applyBorder="1" applyAlignment="1">
      <alignment horizontal="center" vertical="center"/>
    </xf>
    <xf numFmtId="0" fontId="29" fillId="6" borderId="14" xfId="0" applyFont="1" applyFill="1" applyBorder="1" applyAlignment="1">
      <alignment horizontal="center" vertical="center"/>
    </xf>
    <xf numFmtId="0" fontId="29" fillId="26" borderId="14" xfId="0" applyFont="1" applyFill="1" applyBorder="1" applyAlignment="1">
      <alignment horizontal="center" vertical="center"/>
    </xf>
    <xf numFmtId="0" fontId="29" fillId="6" borderId="16" xfId="0" applyFont="1" applyFill="1" applyBorder="1" applyAlignment="1">
      <alignment horizontal="center" vertical="center"/>
    </xf>
    <xf numFmtId="0" fontId="29" fillId="6" borderId="17" xfId="0" applyFont="1" applyFill="1" applyBorder="1" applyAlignment="1">
      <alignment horizontal="center" vertical="center"/>
    </xf>
    <xf numFmtId="167" fontId="3" fillId="0" borderId="0" xfId="0" applyNumberFormat="1" applyFont="1"/>
    <xf numFmtId="0" fontId="12" fillId="0" borderId="0" xfId="0" applyFont="1" applyAlignment="1">
      <alignment wrapText="1"/>
    </xf>
    <xf numFmtId="0" fontId="29" fillId="6" borderId="13" xfId="0" applyFont="1" applyFill="1" applyBorder="1" applyAlignment="1">
      <alignment horizontal="left" vertical="center"/>
    </xf>
    <xf numFmtId="0" fontId="29" fillId="26" borderId="13" xfId="0" applyFont="1" applyFill="1" applyBorder="1" applyAlignment="1">
      <alignment horizontal="left" vertical="center"/>
    </xf>
    <xf numFmtId="0" fontId="28" fillId="6" borderId="11" xfId="0" applyFont="1" applyFill="1" applyBorder="1" applyAlignment="1">
      <alignment horizontal="center" vertical="center"/>
    </xf>
    <xf numFmtId="0" fontId="28" fillId="26" borderId="13" xfId="0" applyFont="1" applyFill="1" applyBorder="1" applyAlignment="1">
      <alignment horizontal="left" vertical="center"/>
    </xf>
    <xf numFmtId="0" fontId="28" fillId="26" borderId="14" xfId="0" applyFont="1" applyFill="1" applyBorder="1" applyAlignment="1">
      <alignment horizontal="center" vertical="center"/>
    </xf>
    <xf numFmtId="0" fontId="0" fillId="0" borderId="0" xfId="0" applyAlignment="1">
      <alignment horizontal="left"/>
    </xf>
    <xf numFmtId="166" fontId="32" fillId="0" borderId="0" xfId="0" applyNumberFormat="1" applyFont="1"/>
    <xf numFmtId="44" fontId="29" fillId="26" borderId="12" xfId="5" applyFont="1" applyFill="1" applyBorder="1" applyAlignment="1">
      <alignment horizontal="center" vertical="center"/>
    </xf>
    <xf numFmtId="44" fontId="29" fillId="6" borderId="12" xfId="5" applyFont="1" applyFill="1" applyBorder="1" applyAlignment="1">
      <alignment horizontal="center" vertical="center"/>
    </xf>
    <xf numFmtId="0" fontId="33" fillId="0" borderId="0" xfId="0" applyFont="1"/>
    <xf numFmtId="0" fontId="28" fillId="26" borderId="11" xfId="0" applyFont="1" applyFill="1" applyBorder="1" applyAlignment="1">
      <alignment horizontal="center" vertical="center"/>
    </xf>
    <xf numFmtId="10" fontId="29" fillId="6" borderId="12" xfId="4" applyNumberFormat="1" applyFont="1" applyFill="1" applyBorder="1" applyAlignment="1">
      <alignment horizontal="center" vertical="center"/>
    </xf>
    <xf numFmtId="0" fontId="29" fillId="6" borderId="15" xfId="0" applyFont="1" applyFill="1" applyBorder="1" applyAlignment="1">
      <alignment horizontal="left" vertical="center"/>
    </xf>
    <xf numFmtId="0" fontId="29" fillId="13" borderId="13" xfId="0" applyFont="1" applyFill="1" applyBorder="1" applyAlignment="1">
      <alignment horizontal="left" vertical="center"/>
    </xf>
    <xf numFmtId="9" fontId="29" fillId="6" borderId="12" xfId="4" applyFont="1" applyFill="1" applyBorder="1" applyAlignment="1">
      <alignment horizontal="center" vertical="center"/>
    </xf>
    <xf numFmtId="0" fontId="28" fillId="13" borderId="13" xfId="0" applyFont="1" applyFill="1" applyBorder="1" applyAlignment="1">
      <alignment horizontal="left" vertical="center"/>
    </xf>
    <xf numFmtId="0" fontId="34" fillId="0" borderId="0" xfId="0" applyFont="1" applyAlignment="1">
      <alignment vertical="center"/>
    </xf>
    <xf numFmtId="0" fontId="0" fillId="0" borderId="0" xfId="0" applyAlignment="1">
      <alignment vertical="center"/>
    </xf>
    <xf numFmtId="0" fontId="37" fillId="24" borderId="22" xfId="0" applyFont="1" applyFill="1" applyBorder="1" applyAlignment="1">
      <alignment horizontal="center" vertical="center"/>
    </xf>
    <xf numFmtId="0" fontId="37" fillId="24" borderId="23" xfId="0" applyFont="1" applyFill="1" applyBorder="1" applyAlignment="1">
      <alignment horizontal="center" vertical="center"/>
    </xf>
    <xf numFmtId="0" fontId="37" fillId="24" borderId="24" xfId="0" applyFont="1" applyFill="1" applyBorder="1" applyAlignment="1">
      <alignment horizontal="center" vertical="center"/>
    </xf>
    <xf numFmtId="0" fontId="37" fillId="24" borderId="25" xfId="0" applyFont="1" applyFill="1" applyBorder="1" applyAlignment="1">
      <alignment horizontal="center" vertical="center"/>
    </xf>
    <xf numFmtId="0" fontId="29" fillId="0" borderId="26" xfId="0" applyFont="1" applyBorder="1" applyAlignment="1">
      <alignment horizontal="center"/>
    </xf>
    <xf numFmtId="0" fontId="29" fillId="0" borderId="27" xfId="0" applyFont="1" applyBorder="1" applyAlignment="1">
      <alignment horizontal="center"/>
    </xf>
    <xf numFmtId="0" fontId="29" fillId="0" borderId="28" xfId="0" applyFont="1" applyBorder="1" applyAlignment="1">
      <alignment horizontal="center" vertical="center"/>
    </xf>
    <xf numFmtId="0" fontId="29" fillId="0" borderId="29" xfId="0" applyFont="1" applyBorder="1" applyAlignment="1">
      <alignment horizontal="center" vertical="center"/>
    </xf>
    <xf numFmtId="0" fontId="29" fillId="0" borderId="30" xfId="0" applyFont="1" applyBorder="1"/>
    <xf numFmtId="0" fontId="29" fillId="0" borderId="31" xfId="0" applyFont="1" applyBorder="1"/>
    <xf numFmtId="0" fontId="29" fillId="0" borderId="32" xfId="0" applyFont="1" applyBorder="1" applyAlignment="1">
      <alignment horizontal="center" vertical="center"/>
    </xf>
    <xf numFmtId="0" fontId="29" fillId="0" borderId="33" xfId="0" applyFont="1" applyBorder="1" applyAlignment="1">
      <alignment horizontal="center" vertical="center"/>
    </xf>
    <xf numFmtId="0" fontId="29" fillId="0" borderId="34" xfId="0" applyFont="1" applyBorder="1"/>
    <xf numFmtId="0" fontId="29" fillId="0" borderId="35" xfId="0" applyFont="1" applyBorder="1"/>
    <xf numFmtId="0" fontId="29" fillId="0" borderId="36" xfId="0" applyFont="1" applyBorder="1" applyAlignment="1">
      <alignment horizontal="center" vertical="center"/>
    </xf>
    <xf numFmtId="0" fontId="29" fillId="0" borderId="37" xfId="0" applyFont="1" applyBorder="1" applyAlignment="1">
      <alignment horizontal="center" vertical="center"/>
    </xf>
    <xf numFmtId="0" fontId="11" fillId="7" borderId="0" xfId="0" applyFont="1" applyFill="1"/>
    <xf numFmtId="166" fontId="0" fillId="0" borderId="0" xfId="0" applyNumberFormat="1"/>
    <xf numFmtId="0" fontId="0" fillId="0" borderId="0" xfId="0"/>
    <xf numFmtId="0" fontId="10" fillId="7" borderId="0" xfId="0" applyFont="1" applyFill="1"/>
    <xf numFmtId="0" fontId="11" fillId="8" borderId="0" xfId="0" applyFont="1" applyFill="1"/>
    <xf numFmtId="0" fontId="8" fillId="15" borderId="0" xfId="0" applyFont="1" applyFill="1"/>
    <xf numFmtId="0" fontId="26" fillId="23" borderId="4" xfId="0" applyFont="1" applyFill="1" applyBorder="1" applyAlignment="1">
      <alignment horizontal="center" vertical="center"/>
    </xf>
    <xf numFmtId="0" fontId="26" fillId="23" borderId="5" xfId="0" applyFont="1" applyFill="1" applyBorder="1" applyAlignment="1">
      <alignment horizontal="center" vertical="center"/>
    </xf>
    <xf numFmtId="0" fontId="26" fillId="23" borderId="6" xfId="0" applyFont="1" applyFill="1" applyBorder="1" applyAlignment="1">
      <alignment horizontal="center" vertical="center"/>
    </xf>
    <xf numFmtId="0" fontId="26" fillId="28" borderId="18" xfId="0" applyFont="1" applyFill="1" applyBorder="1" applyAlignment="1">
      <alignment horizontal="center" vertical="center"/>
    </xf>
    <xf numFmtId="0" fontId="26" fillId="28" borderId="19" xfId="0" applyFont="1" applyFill="1" applyBorder="1" applyAlignment="1">
      <alignment horizontal="center" vertical="center"/>
    </xf>
    <xf numFmtId="0" fontId="26" fillId="29" borderId="20" xfId="0" applyFont="1" applyFill="1" applyBorder="1" applyAlignment="1">
      <alignment horizontal="center" vertical="center"/>
    </xf>
    <xf numFmtId="0" fontId="26" fillId="29" borderId="21" xfId="0" applyFont="1" applyFill="1" applyBorder="1" applyAlignment="1">
      <alignment horizontal="center" vertical="center"/>
    </xf>
    <xf numFmtId="0" fontId="20" fillId="15" borderId="0" xfId="0" applyFont="1" applyFill="1" applyAlignment="1">
      <alignment horizontal="center"/>
    </xf>
    <xf numFmtId="0" fontId="21" fillId="15" borderId="0" xfId="0" applyFont="1" applyFill="1" applyAlignment="1">
      <alignment horizontal="center"/>
    </xf>
    <xf numFmtId="0" fontId="23" fillId="0" borderId="0" xfId="0" applyFont="1" applyAlignment="1">
      <alignment horizontal="justify" vertical="center"/>
    </xf>
    <xf numFmtId="0" fontId="0" fillId="0" borderId="0" xfId="0" applyAlignment="1">
      <alignment horizontal="left" vertical="top" wrapText="1"/>
    </xf>
    <xf numFmtId="0" fontId="8" fillId="14" borderId="0" xfId="0" applyFont="1" applyFill="1"/>
    <xf numFmtId="0" fontId="8" fillId="11" borderId="0" xfId="0" applyFont="1" applyFill="1"/>
    <xf numFmtId="0" fontId="17" fillId="11" borderId="0" xfId="0" applyFont="1" applyFill="1"/>
    <xf numFmtId="0" fontId="9" fillId="0" borderId="0" xfId="0" applyFont="1"/>
    <xf numFmtId="0" fontId="16" fillId="20" borderId="0" xfId="0" applyFont="1" applyFill="1"/>
  </cellXfs>
  <cellStyles count="6">
    <cellStyle name="Currency" xfId="5" builtinId="4"/>
    <cellStyle name="Currency 2" xfId="3" xr:uid="{EBD6B286-6E81-4CD7-A2A5-ECC54C9325BF}"/>
    <cellStyle name="Good" xfId="1" builtinId="26"/>
    <cellStyle name="Neutral" xfId="2" builtinId="28"/>
    <cellStyle name="Normal" xfId="0" builtinId="0"/>
    <cellStyle name="Percent" xfId="4" builtinId="5"/>
  </cellStyles>
  <dxfs count="14">
    <dxf>
      <numFmt numFmtId="2" formatCode="0.00"/>
    </dxf>
    <dxf>
      <font>
        <b/>
        <color rgb="FFFFFFFF"/>
      </font>
      <fill>
        <patternFill patternType="solid">
          <fgColor indexed="64"/>
          <bgColor rgb="FF4472C4"/>
        </patternFill>
      </fill>
    </dxf>
    <dxf>
      <font>
        <strike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dxf>
    <dxf>
      <border outline="0">
        <top style="thin">
          <color auto="1"/>
        </top>
      </border>
    </dxf>
    <dxf>
      <font>
        <strike val="0"/>
        <outline val="0"/>
        <shadow val="0"/>
        <u val="none"/>
        <vertAlign val="baseline"/>
        <sz val="11"/>
        <color theme="1"/>
        <name val="Aptos Narrow"/>
        <scheme val="none"/>
      </font>
      <alignment horizontal="center" vertical="center" textRotation="0" wrapText="0" indent="0" justifyLastLine="0" shrinkToFit="0" readingOrder="0"/>
    </dxf>
    <dxf>
      <border>
        <bottom style="thin">
          <color theme="1"/>
        </bottom>
      </border>
    </dxf>
    <dxf>
      <font>
        <b/>
        <i val="0"/>
        <strike val="0"/>
        <condense val="0"/>
        <extend val="0"/>
        <outline val="0"/>
        <shadow val="0"/>
        <u/>
        <vertAlign val="baseline"/>
        <sz val="12"/>
        <color theme="1" tint="4.9989318521683403E-2"/>
        <name val="Aptos Display"/>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1"/>
        </left>
        <right style="thin">
          <color theme="1"/>
        </right>
        <top/>
        <bottom/>
        <vertical style="thin">
          <color theme="1"/>
        </vertical>
        <horizontal style="thin">
          <color theme="1"/>
        </horizontal>
      </border>
    </dxf>
    <dxf>
      <font>
        <b val="0"/>
        <i val="0"/>
        <strike val="0"/>
        <condense val="0"/>
        <extend val="0"/>
        <outline val="0"/>
        <shadow val="0"/>
        <u val="none"/>
        <vertAlign val="baseline"/>
        <sz val="11"/>
        <color theme="1"/>
        <name val="Aptos Narrow"/>
        <scheme val="none"/>
      </font>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b val="0"/>
        <i val="0"/>
        <strike val="0"/>
        <condense val="0"/>
        <extend val="0"/>
        <outline val="0"/>
        <shadow val="0"/>
        <u val="none"/>
        <vertAlign val="baseline"/>
        <sz val="11"/>
        <color theme="1"/>
        <name val="Aptos Narrow"/>
        <scheme val="none"/>
      </font>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outline="0">
        <top style="thin">
          <color auto="1"/>
        </top>
      </border>
    </dxf>
    <dxf>
      <font>
        <b val="0"/>
        <i val="0"/>
        <strike val="0"/>
        <condense val="0"/>
        <extend val="0"/>
        <outline val="0"/>
        <shadow val="0"/>
        <u val="none"/>
        <vertAlign val="baseline"/>
        <sz val="11"/>
        <color theme="1"/>
        <name val="Aptos Narrow"/>
        <scheme val="none"/>
      </font>
    </dxf>
    <dxf>
      <border>
        <bottom style="thin">
          <color theme="1" tint="4.9989318521683403E-2"/>
        </bottom>
      </border>
    </dxf>
    <dxf>
      <font>
        <b/>
        <i val="0"/>
        <strike val="0"/>
        <condense val="0"/>
        <extend val="0"/>
        <outline val="0"/>
        <shadow val="0"/>
        <u/>
        <vertAlign val="baseline"/>
        <sz val="12"/>
        <color theme="1" tint="4.9989318521683403E-2"/>
        <name val="Aptos Display"/>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auto="1"/>
        </left>
        <right style="thin">
          <color auto="1"/>
        </right>
        <top/>
        <bottom/>
        <vertical style="thin">
          <color auto="1"/>
        </vertical>
        <horizontal/>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spPr>
            <a:solidFill>
              <a:schemeClr val="bg1">
                <a:lumMod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Rates'!$E$2:$E$31</c:f>
              <c:strCache>
                <c:ptCount val="1"/>
                <c:pt idx="0">
                  <c:v>(Sample rates - refresh Power Query for actual)</c:v>
                </c:pt>
              </c:strCache>
            </c:strRef>
          </c:cat>
          <c:val>
            <c:numRef>
              <c:f>'Discount Rates'!$G$2:$G$31</c:f>
              <c:numCache>
                <c:formatCode>0.0</c:formatCode>
                <c:ptCount val="30"/>
              </c:numCache>
            </c:numRef>
          </c:val>
          <c:extLst>
            <c:ext xmlns:c16="http://schemas.microsoft.com/office/drawing/2014/chart" uri="{C3380CC4-5D6E-409C-BE32-E72D297353CC}">
              <c16:uniqueId val="{00000001-8C16-4556-987F-F0880C6B7C08}"/>
            </c:ext>
          </c:extLst>
        </c:ser>
        <c:dLbls>
          <c:showLegendKey val="0"/>
          <c:showVal val="0"/>
          <c:showCatName val="0"/>
          <c:showSerName val="0"/>
          <c:showPercent val="0"/>
          <c:showBubbleSize val="0"/>
        </c:dLbls>
        <c:gapWidth val="219"/>
        <c:overlap val="-27"/>
        <c:axId val="1679211951"/>
        <c:axId val="1679222031"/>
        <c:extLst>
          <c:ext xmlns:c15="http://schemas.microsoft.com/office/drawing/2012/chart" uri="{02D57815-91ED-43cb-92C2-25804820EDAC}">
            <c15:filteredBarSeries>
              <c15:ser>
                <c:idx val="0"/>
                <c:order val="0"/>
                <c:spPr>
                  <a:solidFill>
                    <a:schemeClr val="bg1">
                      <a:lumMod val="65000"/>
                    </a:schemeClr>
                  </a:solidFill>
                  <a:ln>
                    <a:noFill/>
                  </a:ln>
                  <a:effectLst/>
                </c:spPr>
                <c:invertIfNegative val="0"/>
                <c:cat>
                  <c:strRef>
                    <c:extLst>
                      <c:ext uri="{02D57815-91ED-43cb-92C2-25804820EDAC}">
                        <c15:formulaRef>
                          <c15:sqref>'Discount Rates'!$E$2:$E$31</c15:sqref>
                        </c15:formulaRef>
                      </c:ext>
                    </c:extLst>
                    <c:strCache>
                      <c:ptCount val="1"/>
                      <c:pt idx="0">
                        <c:v>(Sample rates - refresh Power Query for actual)</c:v>
                      </c:pt>
                    </c:strCache>
                  </c:strRef>
                </c:cat>
                <c:val>
                  <c:numRef>
                    <c:extLst>
                      <c:ext uri="{02D57815-91ED-43cb-92C2-25804820EDAC}">
                        <c15:formulaRef>
                          <c15:sqref>'Discount Rates'!$E$2:$E$31</c15:sqref>
                        </c15:formulaRef>
                      </c:ext>
                    </c:extLst>
                    <c:numCache>
                      <c:formatCode>General</c:formatCode>
                      <c:ptCount val="30"/>
                      <c:pt idx="0">
                        <c:v>0</c:v>
                      </c:pt>
                    </c:numCache>
                  </c:numRef>
                </c:val>
                <c:extLst>
                  <c:ext xmlns:c16="http://schemas.microsoft.com/office/drawing/2014/chart" uri="{C3380CC4-5D6E-409C-BE32-E72D297353CC}">
                    <c16:uniqueId val="{00000000-8C16-4556-987F-F0880C6B7C08}"/>
                  </c:ext>
                </c:extLst>
              </c15:ser>
            </c15:filteredBarSeries>
          </c:ext>
        </c:extLst>
      </c:barChart>
      <c:catAx>
        <c:axId val="167921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22031"/>
        <c:crosses val="autoZero"/>
        <c:auto val="1"/>
        <c:lblAlgn val="ctr"/>
        <c:lblOffset val="100"/>
        <c:noMultiLvlLbl val="0"/>
      </c:catAx>
      <c:valAx>
        <c:axId val="16792220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1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206376</xdr:colOff>
      <xdr:row>9</xdr:row>
      <xdr:rowOff>30160</xdr:rowOff>
    </xdr:from>
    <xdr:to>
      <xdr:col>15</xdr:col>
      <xdr:colOff>85725</xdr:colOff>
      <xdr:row>28</xdr:row>
      <xdr:rowOff>155574</xdr:rowOff>
    </xdr:to>
    <xdr:graphicFrame macro="">
      <xdr:nvGraphicFramePr>
        <xdr:cNvPr id="2" name="Chart 1">
          <a:extLst>
            <a:ext uri="{FF2B5EF4-FFF2-40B4-BE49-F238E27FC236}">
              <a16:creationId xmlns:a16="http://schemas.microsoft.com/office/drawing/2014/main" id="{033C48A6-2454-BCAE-B56E-D5FDFEA93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Eric Bussey" id="{D056F4AA-A8FF-466F-9A60-DA9FE1DF69B5}" userId="S::ebussey@stokes-associates.com::17d037d4-636b-48f5-9fa0-15b0feea31b5"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5425AF-3080-4719-82DA-E65A049ADE48}" autoFormatId="16" applyNumberFormats="0" applyBorderFormats="0" applyFontFormats="0" applyPatternFormats="0" applyAlignmentFormats="0" applyWidthHeightFormats="0">
  <queryTableRefresh nextId="4">
    <queryTableFields count="3">
      <queryTableField id="1" name="Year" tableColumnId="1"/>
      <queryTableField id="2" name="Time To Marity" tableColumnId="2"/>
      <queryTableField id="3" name="Discount Rate (Nominal)" tableColumnId="3"/>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538414-6763-4762-BBF9-804546B5DEDD}" name="Table17" displayName="Table17" ref="F2:G40" totalsRowShown="0" headerRowDxfId="13" dataDxfId="11" headerRowBorderDxfId="12" tableBorderDxfId="10">
  <autoFilter ref="F2:G40" xr:uid="{87538414-6763-4762-BBF9-804546B5DEDD}"/>
  <tableColumns count="2">
    <tableColumn id="1" xr3:uid="{1419F573-7D92-44EA-A170-A65257623B7C}" name="Worksheet Name" dataDxfId="9"/>
    <tableColumn id="2" xr3:uid="{4D0D2808-2933-4647-9507-8550E222E67F}" name="Table Name" dataDxfId="8"/>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5A3BDE-F911-4A92-A4BD-22AB3C491593}" name="Table19" displayName="Table19" ref="I2:J40" totalsRowShown="0" headerRowDxfId="7" dataDxfId="5" headerRowBorderDxfId="6" tableBorderDxfId="4">
  <autoFilter ref="I2:J40" xr:uid="{D75A3BDE-F911-4A92-A4BD-22AB3C491593}"/>
  <tableColumns count="2">
    <tableColumn id="1" xr3:uid="{76F27099-1D07-4A3E-B625-2F1D871C3A46}" name="Worksheet Name" dataDxfId="3"/>
    <tableColumn id="2" xr3:uid="{C1DA07FA-4554-4D5C-B465-36F2CF159E68}" name="Chart Name"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5BA94F-F2EA-4AAE-942B-F73F6553BE39}" name="Query1" displayName="Query1" ref="A1:C31" tableType="queryTable" totalsRowShown="0" headerRowDxfId="1">
  <autoFilter ref="A1:C31" xr:uid="{D25BA94F-F2EA-4AAE-942B-F73F6553BE39}"/>
  <tableColumns count="3">
    <tableColumn id="1" xr3:uid="{C1A8695F-31C6-45EB-A63A-D4556CD17CBE}" uniqueName="1" name="Year" queryTableFieldId="1"/>
    <tableColumn id="2" xr3:uid="{0C883D22-FCA4-4161-892C-EF72796B8A2D}" uniqueName="2" name="Time To Marity" queryTableFieldId="2"/>
    <tableColumn id="3" xr3:uid="{B219988D-00A9-4D12-9B24-7CA341ADC811}" uniqueName="3" name="Discount Rate (Nominal)" queryTableFieldId="3"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02" dT="2026-05-07T17:07:40.78" personId="{D056F4AA-A8FF-466F-9A60-DA9FE1DF69B5}" id="{98A895FD-FF05-4F5A-AAE8-C7D1BDAC3001}">
    <text>Need these for each base, will have designated place on ‘case inputs’</text>
  </threadedComment>
  <threadedComment ref="A104" dT="2026-05-07T17:08:30.75" personId="{D056F4AA-A8FF-466F-9A60-DA9FE1DF69B5}" id="{418F6EE3-8C93-4C0B-B6BF-CDDC617536BE}">
    <text>Also needed for each earning base, will have designated spot in Case Inputs</text>
  </threadedComment>
</ThreadedComments>
</file>

<file path=xl/threadedComments/threadedComment2.xml><?xml version="1.0" encoding="utf-8"?>
<ThreadedComments xmlns="http://schemas.microsoft.com/office/spreadsheetml/2018/threadedcomments" xmlns:x="http://schemas.openxmlformats.org/spreadsheetml/2006/main">
  <threadedComment ref="B9" dT="2026-04-27T20:35:45.24" personId="{D056F4AA-A8FF-466F-9A60-DA9FE1DF69B5}" id="{AB00BBE9-1081-42CE-AE31-5149D3430740}">
    <text>Typically from Voc report</text>
  </threadedComment>
  <threadedComment ref="A12" dT="2026-04-27T20:36:59.83" personId="{D056F4AA-A8FF-466F-9A60-DA9FE1DF69B5}" id="{9F5EA60E-02A7-4AD8-A527-5204302C06EF}">
    <text>First calculate AGE AT ACCIDENT, then WLE calculated from that point</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CDB8-ADA0-46AE-A8A0-0D2688C2037A}">
  <sheetPr>
    <tabColor rgb="FF00B0F0"/>
  </sheetPr>
  <dimension ref="A1:J124"/>
  <sheetViews>
    <sheetView tabSelected="1" topLeftCell="A85" workbookViewId="0">
      <selection activeCell="F100" sqref="F100"/>
    </sheetView>
  </sheetViews>
  <sheetFormatPr defaultColWidth="8.85546875" defaultRowHeight="12.75" x14ac:dyDescent="0.2"/>
  <cols>
    <col min="1" max="1" width="29" bestFit="1" customWidth="1"/>
    <col min="2" max="2" width="19.85546875" bestFit="1" customWidth="1"/>
    <col min="3" max="3" width="15.42578125" bestFit="1" customWidth="1"/>
    <col min="4" max="4" width="15.5703125" bestFit="1" customWidth="1"/>
    <col min="6" max="6" width="26.28515625" customWidth="1"/>
    <col min="7" max="7" width="34.28515625" customWidth="1"/>
    <col min="9" max="9" width="31.42578125" bestFit="1" customWidth="1"/>
    <col min="10" max="10" width="25.140625" customWidth="1"/>
  </cols>
  <sheetData>
    <row r="1" spans="1:10" ht="21" x14ac:dyDescent="0.2">
      <c r="A1" s="134" t="s">
        <v>257</v>
      </c>
      <c r="B1" s="135"/>
      <c r="C1" s="135"/>
      <c r="D1" s="136"/>
      <c r="F1" s="137" t="str" cm="1">
        <f t="array" aca="1" ref="F1" ca="1">_xlfn.TEXTAFTER(_xlfn.TEXTBEFORE(CELL("filename",A1),"]"),"[") &amp; " TABLES"</f>
        <v>PV2 (color coded).xlsx TABLES</v>
      </c>
      <c r="G1" s="138"/>
      <c r="H1" s="111"/>
      <c r="I1" s="139" t="str" cm="1">
        <f t="array" aca="1" ref="I1" ca="1">_xlfn.TEXTAFTER(_xlfn.TEXTBEFORE(CELL("filename",D1),"]"),"[") &amp; " CHARTS"</f>
        <v>PV2 (color coded).xlsx CHARTS</v>
      </c>
      <c r="J1" s="140"/>
    </row>
    <row r="2" spans="1:10" ht="15.75" x14ac:dyDescent="0.2">
      <c r="A2" s="77" t="s">
        <v>253</v>
      </c>
      <c r="B2" s="78" t="s">
        <v>254</v>
      </c>
      <c r="C2" s="78" t="s">
        <v>255</v>
      </c>
      <c r="D2" s="79" t="s">
        <v>256</v>
      </c>
      <c r="F2" s="112" t="s">
        <v>254</v>
      </c>
      <c r="G2" s="113" t="s">
        <v>439</v>
      </c>
      <c r="I2" s="114" t="s">
        <v>254</v>
      </c>
      <c r="J2" s="115" t="s">
        <v>440</v>
      </c>
    </row>
    <row r="3" spans="1:10" ht="15" x14ac:dyDescent="0.25">
      <c r="A3" s="80" t="s">
        <v>274</v>
      </c>
      <c r="B3" s="81" t="s">
        <v>310</v>
      </c>
      <c r="C3" s="81" t="s">
        <v>311</v>
      </c>
      <c r="D3" s="82" cm="1">
        <f t="array" aca="1" ref="D3" ca="1">IF(OR(IF(OR(A3="", B3="", C3=""), "", INDIRECT("'" &amp; B3 &amp; "'!" &amp; C3))=0, IF(OR(A3="", B3="", C3=""), "", INDIRECT("'" &amp; B3 &amp; "'!" &amp; C3))=""),"",INDIRECT("'" &amp; B3 &amp; "'!" &amp; C3))</f>
        <v>46.214921286789867</v>
      </c>
      <c r="F3" s="116" t="s">
        <v>441</v>
      </c>
      <c r="G3" s="117" t="s">
        <v>441</v>
      </c>
      <c r="I3" s="118" t="s">
        <v>442</v>
      </c>
      <c r="J3" s="119" t="s">
        <v>443</v>
      </c>
    </row>
    <row r="4" spans="1:10" ht="15" x14ac:dyDescent="0.25">
      <c r="A4" s="83" t="s">
        <v>275</v>
      </c>
      <c r="B4" s="84" t="s">
        <v>310</v>
      </c>
      <c r="C4" s="96" t="s">
        <v>312</v>
      </c>
      <c r="D4" s="85" cm="1">
        <f t="array" aca="1" ref="D4" ca="1">IF(OR(IF(OR(A4="", B4="", C4=""), "", INDIRECT("'" &amp; B4 &amp; "'!" &amp; C4))=0, IF(OR(A4="", B4="", C4=""), "", INDIRECT("'" &amp; B4 &amp; "'!" &amp; C4))=""),"",INDIRECT("'" &amp; B4 &amp; "'!" &amp; C4))</f>
        <v>50.962354551676931</v>
      </c>
      <c r="F4" s="120"/>
      <c r="G4" s="121"/>
      <c r="I4" s="122"/>
      <c r="J4" s="123"/>
    </row>
    <row r="5" spans="1:10" ht="15" x14ac:dyDescent="0.25">
      <c r="A5" s="86" t="s">
        <v>276</v>
      </c>
      <c r="B5" s="87" t="s">
        <v>310</v>
      </c>
      <c r="C5" s="81" t="s">
        <v>313</v>
      </c>
      <c r="D5" s="82" cm="1">
        <f t="array" aca="1" ref="D5" ca="1">IF(OR(IF(OR(A5="", B5="", C5=""), "", INDIRECT("'" &amp; B5 &amp; "'!" &amp; C5))=0, IF(OR(A5="", B5="", C5=""), "", INDIRECT("'" &amp; B5 &amp; "'!" &amp; C5))=""),"",INDIRECT("'" &amp; B5 &amp; "'!" &amp; C5))</f>
        <v>33.4</v>
      </c>
      <c r="F5" s="120"/>
      <c r="G5" s="121"/>
      <c r="I5" s="122"/>
      <c r="J5" s="123"/>
    </row>
    <row r="6" spans="1:10" ht="15" x14ac:dyDescent="0.25">
      <c r="A6" s="83" t="s">
        <v>277</v>
      </c>
      <c r="B6" s="84" t="s">
        <v>310</v>
      </c>
      <c r="C6" s="96" t="s">
        <v>314</v>
      </c>
      <c r="D6" s="85" cm="1">
        <f t="array" aca="1" ref="D6" ca="1">IF(OR(IF(OR(A6="", B6="", C6=""), "", INDIRECT("'" &amp; B6 &amp; "'!" &amp; C6))=0, IF(OR(A6="", B6="", C6=""), "", INDIRECT("'" &amp; B6 &amp; "'!" &amp; C6))=""),"",INDIRECT("'" &amp; B6 &amp; "'!" &amp; C6))</f>
        <v>28.652566735112934</v>
      </c>
      <c r="F6" s="120"/>
      <c r="G6" s="121"/>
      <c r="I6" s="122"/>
      <c r="J6" s="123"/>
    </row>
    <row r="7" spans="1:10" ht="15" x14ac:dyDescent="0.25">
      <c r="A7" s="86" t="s">
        <v>278</v>
      </c>
      <c r="B7" s="87" t="s">
        <v>310</v>
      </c>
      <c r="C7" s="81" t="s">
        <v>315</v>
      </c>
      <c r="D7" s="82" cm="1">
        <f t="array" aca="1" ref="D7" ca="1">IF(OR(IF(OR(A7="", B7="", C7=""), "", INDIRECT("'" &amp; B7 &amp; "'!" &amp; C7))=0, IF(OR(A7="", B7="", C7=""), "", INDIRECT("'" &amp; B7 &amp; "'!" &amp; C7))=""),"",INDIRECT("'" &amp; B7 &amp; "'!" &amp; C7))</f>
        <v>19.04</v>
      </c>
      <c r="F7" s="120"/>
      <c r="G7" s="121"/>
      <c r="I7" s="122"/>
      <c r="J7" s="123"/>
    </row>
    <row r="8" spans="1:10" ht="15" x14ac:dyDescent="0.25">
      <c r="A8" s="83" t="s">
        <v>340</v>
      </c>
      <c r="B8" s="84" t="s">
        <v>310</v>
      </c>
      <c r="C8" s="96" t="s">
        <v>316</v>
      </c>
      <c r="D8" s="85" cm="1">
        <f t="array" aca="1" ref="D8" ca="1">IF(OR(IF(OR(A8="", B8="", C8=""), "", INDIRECT("'" &amp; B8 &amp; "'!" &amp; C8))=0, IF(OR(A8="", B8="", C8=""), "", INDIRECT("'" &amp; B8 &amp; "'!" &amp; C8))=""),"",INDIRECT("'" &amp; B8 &amp; "'!" &amp; C8))</f>
        <v>14.292566735112935</v>
      </c>
      <c r="E8" s="8" t="s">
        <v>444</v>
      </c>
      <c r="F8" s="120"/>
      <c r="G8" s="121"/>
      <c r="I8" s="122"/>
      <c r="J8" s="123"/>
    </row>
    <row r="9" spans="1:10" ht="15" x14ac:dyDescent="0.25">
      <c r="A9" s="97" t="s">
        <v>341</v>
      </c>
      <c r="B9" s="98" t="s">
        <v>310</v>
      </c>
      <c r="C9" s="104" t="s">
        <v>327</v>
      </c>
      <c r="D9" s="82" cm="1">
        <f t="array" aca="1" ref="D9" ca="1">IF(OR(IF(OR(A9="", B9="", C9=""), "", INDIRECT("'" &amp; B9 &amp; "'!" &amp; C9))=0, IF(OR(A9="", B9="", C9=""), "", INDIRECT("'" &amp; B9 &amp; "'!" &amp; C9))=""),"",INDIRECT("'" &amp; B9 &amp; "'!" &amp; C9))</f>
        <v>14</v>
      </c>
      <c r="F9" s="120"/>
      <c r="G9" s="121"/>
      <c r="I9" s="122"/>
      <c r="J9" s="123"/>
    </row>
    <row r="10" spans="1:10" ht="15" x14ac:dyDescent="0.25">
      <c r="A10" s="83" t="s">
        <v>342</v>
      </c>
      <c r="B10" s="84" t="s">
        <v>310</v>
      </c>
      <c r="C10" s="96" t="s">
        <v>328</v>
      </c>
      <c r="D10" s="85" cm="1">
        <f t="array" aca="1" ref="D10" ca="1">IF(OR(IF(OR(A10="", B10="", C10=""), "", INDIRECT("'" &amp; B10 &amp; "'!" &amp; C10))=0, IF(OR(A10="", B10="", C10=""), "", INDIRECT("'" &amp; B10 &amp; "'!" &amp; C10))=""),"",INDIRECT("'" &amp; B10 &amp; "'!" &amp; C10))</f>
        <v>0.29256673511293485</v>
      </c>
      <c r="F10" s="120"/>
      <c r="G10" s="121"/>
      <c r="I10" s="122"/>
      <c r="J10" s="123"/>
    </row>
    <row r="11" spans="1:10" ht="15" x14ac:dyDescent="0.25">
      <c r="A11" s="86" t="s">
        <v>279</v>
      </c>
      <c r="B11" s="87" t="s">
        <v>310</v>
      </c>
      <c r="C11" s="87" t="s">
        <v>317</v>
      </c>
      <c r="D11" s="82" cm="1">
        <f t="array" aca="1" ref="D11" ca="1">IF(OR(IF(OR(A11="", B11="", C11=""), "", INDIRECT("'" &amp; B11 &amp; "'!" &amp; C11))=0, IF(OR(A11="", B11="", C11=""), "", INDIRECT("'" &amp; B11 &amp; "'!" &amp; C11))=""),"",INDIRECT("'" &amp; B11 &amp; "'!" &amp; C11))</f>
        <v>70</v>
      </c>
      <c r="F11" s="120"/>
      <c r="G11" s="121"/>
      <c r="I11" s="122"/>
      <c r="J11" s="123"/>
    </row>
    <row r="12" spans="1:10" ht="15" x14ac:dyDescent="0.25">
      <c r="A12" s="83" t="s">
        <v>320</v>
      </c>
      <c r="B12" s="84" t="s">
        <v>310</v>
      </c>
      <c r="C12" s="84" t="s">
        <v>321</v>
      </c>
      <c r="D12" s="85" cm="1">
        <f t="array" aca="1" ref="D12" ca="1">IF(OR(IF(OR(A12="", B12="", C12=""), "", INDIRECT("'" &amp; B12 &amp; "'!" &amp; C12))=0, IF(OR(A12="", B12="", C12=""), "", INDIRECT("'" &amp; B12 &amp; "'!" &amp; C12))=""),"",INDIRECT("'" &amp; B12 &amp; "'!" &amp; C12))</f>
        <v>19.037645448323069</v>
      </c>
      <c r="E12" s="8" t="s">
        <v>444</v>
      </c>
      <c r="F12" s="120"/>
      <c r="G12" s="121"/>
      <c r="I12" s="122"/>
      <c r="J12" s="123"/>
    </row>
    <row r="13" spans="1:10" ht="15" x14ac:dyDescent="0.25">
      <c r="A13" s="97" t="s">
        <v>318</v>
      </c>
      <c r="B13" s="98" t="s">
        <v>310</v>
      </c>
      <c r="C13" s="98" t="s">
        <v>322</v>
      </c>
      <c r="D13" s="82" cm="1">
        <f t="array" aca="1" ref="D13" ca="1">IF(OR(IF(OR(A13="", B13="", C13=""), "", INDIRECT("'" &amp; B13 &amp; "'!" &amp; C13))=0, IF(OR(A13="", B13="", C13=""), "", INDIRECT("'" &amp; B13 &amp; "'!" &amp; C13))=""),"",INDIRECT("'" &amp; B13 &amp; "'!" &amp; C13))</f>
        <v>19</v>
      </c>
      <c r="F13" s="120"/>
      <c r="G13" s="121"/>
      <c r="I13" s="122"/>
      <c r="J13" s="123"/>
    </row>
    <row r="14" spans="1:10" ht="15" x14ac:dyDescent="0.25">
      <c r="A14" s="83" t="s">
        <v>319</v>
      </c>
      <c r="B14" s="84" t="s">
        <v>310</v>
      </c>
      <c r="C14" s="84" t="s">
        <v>323</v>
      </c>
      <c r="D14" s="85" cm="1">
        <f t="array" aca="1" ref="D14" ca="1">IF(OR(IF(OR(A14="", B14="", C14=""), "", INDIRECT("'" &amp; B14 &amp; "'!" &amp; C14))=0, IF(OR(A14="", B14="", C14=""), "", INDIRECT("'" &amp; B14 &amp; "'!" &amp; C14))=""),"",INDIRECT("'" &amp; B14 &amp; "'!" &amp; C14))</f>
        <v>3.764544832306882E-2</v>
      </c>
      <c r="E14" s="8"/>
      <c r="F14" s="120"/>
      <c r="G14" s="121"/>
      <c r="I14" s="122"/>
      <c r="J14" s="123"/>
    </row>
    <row r="15" spans="1:10" ht="15" x14ac:dyDescent="0.25">
      <c r="A15" s="97" t="s">
        <v>343</v>
      </c>
      <c r="B15" s="98" t="s">
        <v>324</v>
      </c>
      <c r="C15" s="98" t="s">
        <v>345</v>
      </c>
      <c r="D15" s="101" cm="1">
        <f t="array" aca="1" ref="D15" ca="1">IF(OR(IF(OR(A15="", B15="", C15=""), "", INDIRECT("'" &amp; B15 &amp; "'!" &amp; C15))=0, IF(OR(A15="", B15="", C15=""), "", INDIRECT("'" &amp; B15 &amp; "'!" &amp; C15))=""),"",INDIRECT("'" &amp; B15 &amp; "'!" &amp; C15))</f>
        <v>75000</v>
      </c>
      <c r="E15" s="8"/>
      <c r="F15" s="120"/>
      <c r="G15" s="121"/>
      <c r="I15" s="122"/>
      <c r="J15" s="123"/>
    </row>
    <row r="16" spans="1:10" ht="15" x14ac:dyDescent="0.25">
      <c r="A16" s="83" t="s">
        <v>344</v>
      </c>
      <c r="B16" s="84" t="s">
        <v>324</v>
      </c>
      <c r="C16" s="84" t="s">
        <v>346</v>
      </c>
      <c r="D16" s="105" cm="1">
        <f t="array" aca="1" ref="D16" ca="1">IF(OR(IF(OR(A16="", B16="", C16=""), "", INDIRECT("'" &amp; B16 &amp; "'!" &amp; C16))=0, IF(OR(A16="", B16="", C16=""), "", INDIRECT("'" &amp; B16 &amp; "'!" &amp; C16))=""),"",INDIRECT("'" &amp; B16 &amp; "'!" &amp; C16))</f>
        <v>3.1E-2</v>
      </c>
      <c r="E16" s="8"/>
      <c r="F16" s="120"/>
      <c r="G16" s="121"/>
      <c r="I16" s="122"/>
      <c r="J16" s="123"/>
    </row>
    <row r="17" spans="1:10" ht="15" x14ac:dyDescent="0.25">
      <c r="A17" s="86" t="s">
        <v>280</v>
      </c>
      <c r="B17" s="87" t="s">
        <v>324</v>
      </c>
      <c r="C17" s="87" t="s">
        <v>330</v>
      </c>
      <c r="D17" s="101" cm="1">
        <f t="array" aca="1" ref="D17" ca="1">IF(OR(IF(OR(A17="", B17="", C17=""), "", INDIRECT("'" &amp; B17 &amp; "'!" &amp; C17))=0, IF(OR(A17="", B17="", C17=""), "", INDIRECT("'" &amp; B17 &amp; "'!" &amp; C17))=""),"",INDIRECT("'" &amp; B17 &amp; "'!" &amp; C17))</f>
        <v>355890.41095890413</v>
      </c>
      <c r="E17" s="8"/>
      <c r="F17" s="120"/>
      <c r="G17" s="121"/>
      <c r="I17" s="122"/>
      <c r="J17" s="123"/>
    </row>
    <row r="18" spans="1:10" ht="15" x14ac:dyDescent="0.25">
      <c r="A18" s="83" t="s">
        <v>365</v>
      </c>
      <c r="B18" s="84" t="s">
        <v>324</v>
      </c>
      <c r="C18" s="84" t="s">
        <v>325</v>
      </c>
      <c r="D18" s="102" cm="1">
        <f t="array" aca="1" ref="D18" ca="1">IF(OR(IF(OR(A18="", B18="", C18=""), "", INDIRECT("'" &amp; B18 &amp; "'!" &amp; C18))=0, IF(OR(A18="", B18="", C18=""), "", INDIRECT("'" &amp; B18 &amp; "'!" &amp; C18))=""),"",INDIRECT("'" &amp; B18 &amp; "'!" &amp; C18))</f>
        <v>355890.41095890413</v>
      </c>
      <c r="E18" s="8"/>
      <c r="F18" s="120"/>
      <c r="G18" s="121"/>
      <c r="I18" s="122"/>
      <c r="J18" s="123"/>
    </row>
    <row r="19" spans="1:10" ht="15" x14ac:dyDescent="0.25">
      <c r="A19" s="86" t="s">
        <v>281</v>
      </c>
      <c r="B19" s="87" t="s">
        <v>324</v>
      </c>
      <c r="C19" s="87" t="s">
        <v>331</v>
      </c>
      <c r="D19" s="101" cm="1">
        <f t="array" aca="1" ref="D19" ca="1">IF(OR(IF(OR(A19="", B19="", C19=""), "", INDIRECT("'" &amp; B19 &amp; "'!" &amp; C19))=0, IF(OR(A19="", B19="", C19=""), "", INDIRECT("'" &amp; B19 &amp; "'!" &amp; C19))=""),"",INDIRECT("'" &amp; B19 &amp; "'!" &amp; C19))</f>
        <v>1143472.7451096461</v>
      </c>
      <c r="F19" s="120"/>
      <c r="G19" s="121"/>
      <c r="I19" s="122"/>
      <c r="J19" s="123"/>
    </row>
    <row r="20" spans="1:10" ht="15" x14ac:dyDescent="0.25">
      <c r="A20" s="83" t="s">
        <v>366</v>
      </c>
      <c r="B20" s="84" t="s">
        <v>324</v>
      </c>
      <c r="C20" s="84" t="s">
        <v>332</v>
      </c>
      <c r="D20" s="102" cm="1">
        <f t="array" aca="1" ref="D20" ca="1">IF(OR(IF(OR(A20="", B20="", C20=""), "", INDIRECT("'" &amp; B20 &amp; "'!" &amp; C20))=0, IF(OR(A20="", B20="", C20=""), "", INDIRECT("'" &amp; B20 &amp; "'!" &amp; C20))=""),"",INDIRECT("'" &amp; B20 &amp; "'!" &amp; C20))</f>
        <v>1091912.9611206262</v>
      </c>
      <c r="F20" s="120"/>
      <c r="G20" s="121"/>
      <c r="I20" s="122"/>
      <c r="J20" s="123"/>
    </row>
    <row r="21" spans="1:10" ht="15" x14ac:dyDescent="0.25">
      <c r="A21" s="97" t="s">
        <v>347</v>
      </c>
      <c r="B21" s="98" t="s">
        <v>425</v>
      </c>
      <c r="C21" s="98" t="s">
        <v>345</v>
      </c>
      <c r="D21" s="101" cm="1">
        <f t="array" aca="1" ref="D21" ca="1">IF(OR(IF(OR(A21="", B21="", C21=""), "", INDIRECT("'" &amp; B21 &amp; "'!" &amp; C21))=0, IF(OR(A21="", B21="", C21=""), "", INDIRECT("'" &amp; B21 &amp; "'!" &amp; C21))=""),"",INDIRECT("'" &amp; B21 &amp; "'!" &amp; C21))</f>
        <v>141416</v>
      </c>
      <c r="F21" s="120"/>
      <c r="G21" s="121"/>
      <c r="I21" s="122"/>
      <c r="J21" s="123"/>
    </row>
    <row r="22" spans="1:10" ht="15" x14ac:dyDescent="0.25">
      <c r="A22" s="83" t="s">
        <v>348</v>
      </c>
      <c r="B22" s="84" t="s">
        <v>425</v>
      </c>
      <c r="C22" s="84" t="s">
        <v>346</v>
      </c>
      <c r="D22" s="105" cm="1">
        <f t="array" aca="1" ref="D22" ca="1">IF(OR(IF(OR(A22="", B22="", C22=""), "", INDIRECT("'" &amp; B22 &amp; "'!" &amp; C22))=0, IF(OR(A22="", B22="", C22=""), "", INDIRECT("'" &amp; B22 &amp; "'!" &amp; C22))=""),"",INDIRECT("'" &amp; B22 &amp; "'!" &amp; C22))</f>
        <v>3.56E-2</v>
      </c>
      <c r="F22" s="120"/>
      <c r="G22" s="121"/>
      <c r="I22" s="122"/>
      <c r="J22" s="123"/>
    </row>
    <row r="23" spans="1:10" ht="15" x14ac:dyDescent="0.25">
      <c r="A23" s="86" t="s">
        <v>282</v>
      </c>
      <c r="B23" s="87" t="s">
        <v>425</v>
      </c>
      <c r="C23" s="87" t="s">
        <v>330</v>
      </c>
      <c r="D23" s="101" cm="1">
        <f t="array" aca="1" ref="D23" ca="1">IF(OR(IF(OR(A23="", B23="", C23=""), "", INDIRECT("'" &amp; B23 &amp; "'!" &amp; C23))=0, IF(OR(A23="", B23="", C23=""), "", INDIRECT("'" &amp; B23 &amp; "'!" &amp; C23))=""),"",INDIRECT("'" &amp; B23 &amp; "'!" &amp; C23))</f>
        <v>671047.97808219178</v>
      </c>
      <c r="F23" s="120"/>
      <c r="G23" s="121"/>
      <c r="I23" s="122"/>
      <c r="J23" s="123"/>
    </row>
    <row r="24" spans="1:10" ht="15" x14ac:dyDescent="0.25">
      <c r="A24" s="83" t="s">
        <v>367</v>
      </c>
      <c r="B24" s="84" t="s">
        <v>425</v>
      </c>
      <c r="C24" s="84" t="s">
        <v>325</v>
      </c>
      <c r="D24" s="102" cm="1">
        <f t="array" aca="1" ref="D24" ca="1">IF(OR(IF(OR(A24="", B24="", C24=""), "", INDIRECT("'" &amp; B24 &amp; "'!" &amp; C24))=0, IF(OR(A24="", B24="", C24=""), "", INDIRECT("'" &amp; B24 &amp; "'!" &amp; C24))=""),"",INDIRECT("'" &amp; B24 &amp; "'!" &amp; C24))</f>
        <v>671047.97808219178</v>
      </c>
      <c r="F24" s="120"/>
      <c r="G24" s="121"/>
      <c r="I24" s="122"/>
      <c r="J24" s="123"/>
    </row>
    <row r="25" spans="1:10" ht="15" x14ac:dyDescent="0.25">
      <c r="A25" s="86" t="s">
        <v>283</v>
      </c>
      <c r="B25" s="87" t="s">
        <v>425</v>
      </c>
      <c r="C25" s="87" t="s">
        <v>331</v>
      </c>
      <c r="D25" s="101" cm="1">
        <f t="array" aca="1" ref="D25" ca="1">IF(OR(IF(OR(A25="", B25="", C25=""), "", INDIRECT("'" &amp; B25 &amp; "'!" &amp; C25))=0, IF(OR(A25="", B25="", C25=""), "", INDIRECT("'" &amp; B25 &amp; "'!" &amp; C25))=""),"",INDIRECT("'" &amp; B25 &amp; "'!" &amp; C25))</f>
        <v>2926750.9218469802</v>
      </c>
      <c r="F25" s="120"/>
      <c r="G25" s="121"/>
      <c r="I25" s="122"/>
      <c r="J25" s="123"/>
    </row>
    <row r="26" spans="1:10" ht="15" x14ac:dyDescent="0.25">
      <c r="A26" s="83" t="s">
        <v>368</v>
      </c>
      <c r="B26" s="84" t="s">
        <v>425</v>
      </c>
      <c r="C26" s="84" t="s">
        <v>332</v>
      </c>
      <c r="D26" s="102" cm="1">
        <f t="array" aca="1" ref="D26" ca="1">IF(OR(IF(OR(A26="", B26="", C26=""), "", INDIRECT("'" &amp; B26 &amp; "'!" &amp; C26))=0, IF(OR(A26="", B26="", C26=""), "", INDIRECT("'" &amp; B26 &amp; "'!" &amp; C26))=""),"",INDIRECT("'" &amp; B26 &amp; "'!" &amp; C26))</f>
        <v>2799954.5957609955</v>
      </c>
      <c r="F26" s="120"/>
      <c r="G26" s="121"/>
      <c r="I26" s="122"/>
      <c r="J26" s="123"/>
    </row>
    <row r="27" spans="1:10" ht="15" x14ac:dyDescent="0.25">
      <c r="A27" s="86" t="s">
        <v>284</v>
      </c>
      <c r="B27" s="87" t="s">
        <v>324</v>
      </c>
      <c r="C27" s="87" t="s">
        <v>337</v>
      </c>
      <c r="D27" s="101" cm="1">
        <f t="array" aca="1" ref="D27" ca="1">IF(OR(IF(OR(A27="", B27="", C27=""), "", INDIRECT("'" &amp; B27 &amp; "'!" &amp; C27))=0, IF(OR(A27="", B27="", C27=""), "", INDIRECT("'" &amp; B27 &amp; "'!" &amp; C27))=""),"",INDIRECT("'" &amp; B27 &amp; "'!" &amp; C27))</f>
        <v>1499363.1560685502</v>
      </c>
      <c r="F27" s="120"/>
      <c r="G27" s="121"/>
      <c r="I27" s="122"/>
      <c r="J27" s="123"/>
    </row>
    <row r="28" spans="1:10" ht="15" x14ac:dyDescent="0.25">
      <c r="A28" s="83" t="s">
        <v>369</v>
      </c>
      <c r="B28" s="84" t="s">
        <v>324</v>
      </c>
      <c r="C28" s="84" t="s">
        <v>338</v>
      </c>
      <c r="D28" s="102" cm="1">
        <f t="array" aca="1" ref="D28" ca="1">IF(OR(IF(OR(A28="", B28="", C28=""), "", INDIRECT("'" &amp; B28 &amp; "'!" &amp; C28))=0, IF(OR(A28="", B28="", C28=""), "", INDIRECT("'" &amp; B28 &amp; "'!" &amp; C28))=""),"",INDIRECT("'" &amp; B28 &amp; "'!" &amp; C28))</f>
        <v>1447803.3720795303</v>
      </c>
      <c r="F28" s="120"/>
      <c r="G28" s="121"/>
      <c r="I28" s="122"/>
      <c r="J28" s="123"/>
    </row>
    <row r="29" spans="1:10" ht="15" x14ac:dyDescent="0.25">
      <c r="A29" s="86" t="s">
        <v>285</v>
      </c>
      <c r="B29" s="87" t="s">
        <v>425</v>
      </c>
      <c r="C29" s="87" t="s">
        <v>337</v>
      </c>
      <c r="D29" s="101" cm="1">
        <f t="array" aca="1" ref="D29" ca="1">IF(OR(IF(OR(A29="", B29="", C29=""), "", INDIRECT("'" &amp; B29 &amp; "'!" &amp; C29))=0, IF(OR(A29="", B29="", C29=""), "", INDIRECT("'" &amp; B29 &amp; "'!" &amp; C29))=""),"",INDIRECT("'" &amp; B29 &amp; "'!" &amp; C29))</f>
        <v>3597798.8999291719</v>
      </c>
      <c r="F29" s="120"/>
      <c r="G29" s="121"/>
      <c r="I29" s="122"/>
      <c r="J29" s="123"/>
    </row>
    <row r="30" spans="1:10" ht="15" x14ac:dyDescent="0.25">
      <c r="A30" s="83" t="s">
        <v>370</v>
      </c>
      <c r="B30" s="84" t="s">
        <v>425</v>
      </c>
      <c r="C30" s="84" t="s">
        <v>338</v>
      </c>
      <c r="D30" s="102" cm="1">
        <f t="array" aca="1" ref="D30" ca="1">IF(OR(IF(OR(A30="", B30="", C30=""), "", INDIRECT("'" &amp; B30 &amp; "'!" &amp; C30))=0, IF(OR(A30="", B30="", C30=""), "", INDIRECT("'" &amp; B30 &amp; "'!" &amp; C30))=""),"",INDIRECT("'" &amp; B30 &amp; "'!" &amp; C30))</f>
        <v>3471002.5738431872</v>
      </c>
      <c r="F30" s="120"/>
      <c r="G30" s="121"/>
      <c r="I30" s="122"/>
      <c r="J30" s="123"/>
    </row>
    <row r="31" spans="1:10" ht="15" x14ac:dyDescent="0.25">
      <c r="A31" s="97" t="s">
        <v>349</v>
      </c>
      <c r="B31" s="98" t="s">
        <v>333</v>
      </c>
      <c r="C31" s="98" t="s">
        <v>345</v>
      </c>
      <c r="D31" s="101" cm="1">
        <f t="array" aca="1" ref="D31" ca="1">IF(OR(IF(OR(A31="", B31="", C31=""), "", INDIRECT("'" &amp; B31 &amp; "'!" &amp; C31))=0, IF(OR(A31="", B31="", C31=""), "", INDIRECT("'" &amp; B31 &amp; "'!" &amp; C31))=""),"",INDIRECT("'" &amp; B31 &amp; "'!" &amp; C31))</f>
        <v>141416</v>
      </c>
      <c r="F31" s="120"/>
      <c r="G31" s="121"/>
      <c r="I31" s="122"/>
      <c r="J31" s="123"/>
    </row>
    <row r="32" spans="1:10" ht="15" x14ac:dyDescent="0.25">
      <c r="A32" s="83" t="s">
        <v>350</v>
      </c>
      <c r="B32" s="84" t="s">
        <v>333</v>
      </c>
      <c r="C32" s="84" t="s">
        <v>346</v>
      </c>
      <c r="D32" s="105" cm="1">
        <f t="array" aca="1" ref="D32" ca="1">IF(OR(IF(OR(A32="", B32="", C32=""), "", INDIRECT("'" &amp; B32 &amp; "'!" &amp; C32))=0, IF(OR(A32="", B32="", C32=""), "", INDIRECT("'" &amp; B32 &amp; "'!" &amp; C32))=""),"",INDIRECT("'" &amp; B32 &amp; "'!" &amp; C32))</f>
        <v>3.1E-2</v>
      </c>
      <c r="F32" s="120"/>
      <c r="G32" s="121"/>
      <c r="I32" s="122"/>
      <c r="J32" s="123"/>
    </row>
    <row r="33" spans="1:10" ht="15" x14ac:dyDescent="0.25">
      <c r="A33" s="86" t="s">
        <v>291</v>
      </c>
      <c r="B33" s="87" t="s">
        <v>333</v>
      </c>
      <c r="C33" s="87" t="s">
        <v>330</v>
      </c>
      <c r="D33" s="101" cm="1">
        <f t="array" aca="1" ref="D33" ca="1">IF(OR(IF(OR(A33="", B33="", C33=""), "", INDIRECT("'" &amp; B33 &amp; "'!" &amp; C33))=0, IF(OR(A33="", B33="", C33=""), "", INDIRECT("'" &amp; B33 &amp; "'!" &amp; C33))=""),"",INDIRECT("'" &amp; B33 &amp; "'!" &amp; C33))</f>
        <v>671047.97808219178</v>
      </c>
      <c r="F33" s="120"/>
      <c r="G33" s="121"/>
      <c r="I33" s="122"/>
      <c r="J33" s="123"/>
    </row>
    <row r="34" spans="1:10" ht="15" x14ac:dyDescent="0.25">
      <c r="A34" s="83" t="s">
        <v>371</v>
      </c>
      <c r="B34" s="84" t="s">
        <v>333</v>
      </c>
      <c r="C34" s="84" t="s">
        <v>325</v>
      </c>
      <c r="D34" s="102" cm="1">
        <f t="array" aca="1" ref="D34" ca="1">IF(OR(IF(OR(A34="", B34="", C34=""), "", INDIRECT("'" &amp; B34 &amp; "'!" &amp; C34))=0, IF(OR(A34="", B34="", C34=""), "", INDIRECT("'" &amp; B34 &amp; "'!" &amp; C34))=""),"",INDIRECT("'" &amp; B34 &amp; "'!" &amp; C34))</f>
        <v>671047.97808219178</v>
      </c>
      <c r="F34" s="120"/>
      <c r="G34" s="121"/>
      <c r="I34" s="122"/>
      <c r="J34" s="123"/>
    </row>
    <row r="35" spans="1:10" ht="15" x14ac:dyDescent="0.25">
      <c r="A35" s="86" t="s">
        <v>286</v>
      </c>
      <c r="B35" s="87" t="s">
        <v>333</v>
      </c>
      <c r="C35" s="87" t="s">
        <v>331</v>
      </c>
      <c r="D35" s="101" cm="1">
        <f t="array" aca="1" ref="D35" ca="1">IF(OR(IF(OR(A35="", B35="", C35=""), "", INDIRECT("'" &amp; B35 &amp; "'!" &amp; C35))=0, IF(OR(A35="", B35="", C35=""), "", INDIRECT("'" &amp; B35 &amp; "'!" &amp; C35))=""),"",INDIRECT("'" &amp; B35 &amp; "'!" &amp; C35))</f>
        <v>2156071.2229656759</v>
      </c>
      <c r="F35" s="120"/>
      <c r="G35" s="121"/>
      <c r="I35" s="122"/>
      <c r="J35" s="123"/>
    </row>
    <row r="36" spans="1:10" ht="15" x14ac:dyDescent="0.25">
      <c r="A36" s="83" t="s">
        <v>372</v>
      </c>
      <c r="B36" s="84" t="s">
        <v>333</v>
      </c>
      <c r="C36" s="84" t="s">
        <v>332</v>
      </c>
      <c r="D36" s="102" cm="1">
        <f t="array" aca="1" ref="D36" ca="1">IF(OR(IF(OR(A36="", B36="", C36=""), "", INDIRECT("'" &amp; B36 &amp; "'!" &amp; C36))=0, IF(OR(A36="", B36="", C36=""), "", INDIRECT("'" &amp; B36 &amp; "'!" &amp; C36))=""),"",INDIRECT("'" &amp; B36 &amp; "'!" &amp; C36))</f>
        <v>2058852.8441311263</v>
      </c>
      <c r="F36" s="120"/>
      <c r="G36" s="121"/>
      <c r="I36" s="122"/>
      <c r="J36" s="123"/>
    </row>
    <row r="37" spans="1:10" ht="15" x14ac:dyDescent="0.25">
      <c r="A37" s="97" t="s">
        <v>351</v>
      </c>
      <c r="B37" s="98" t="s">
        <v>426</v>
      </c>
      <c r="C37" s="98" t="s">
        <v>345</v>
      </c>
      <c r="D37" s="101" cm="1">
        <f t="array" aca="1" ref="D37" ca="1">IF(OR(IF(OR(A37="", B37="", C37=""), "", INDIRECT("'" &amp; B37 &amp; "'!" &amp; C37))=0, IF(OR(A37="", B37="", C37=""), "", INDIRECT("'" &amp; B37 &amp; "'!" &amp; C37))=""),"",INDIRECT("'" &amp; B37 &amp; "'!" &amp; C37))</f>
        <v>250000</v>
      </c>
      <c r="F37" s="120"/>
      <c r="G37" s="121"/>
      <c r="I37" s="122"/>
      <c r="J37" s="123"/>
    </row>
    <row r="38" spans="1:10" ht="15" x14ac:dyDescent="0.25">
      <c r="A38" s="83" t="s">
        <v>352</v>
      </c>
      <c r="B38" s="84" t="s">
        <v>426</v>
      </c>
      <c r="C38" s="84" t="s">
        <v>346</v>
      </c>
      <c r="D38" s="105" cm="1">
        <f t="array" aca="1" ref="D38" ca="1">IF(OR(IF(OR(A38="", B38="", C38=""), "", INDIRECT("'" &amp; B38 &amp; "'!" &amp; C38))=0, IF(OR(A38="", B38="", C38=""), "", INDIRECT("'" &amp; B38 &amp; "'!" &amp; C38))=""),"",INDIRECT("'" &amp; B38 &amp; "'!" &amp; C38))</f>
        <v>3.1E-2</v>
      </c>
      <c r="F38" s="120"/>
      <c r="G38" s="121"/>
      <c r="I38" s="122"/>
      <c r="J38" s="123"/>
    </row>
    <row r="39" spans="1:10" ht="15" x14ac:dyDescent="0.25">
      <c r="A39" s="86" t="s">
        <v>287</v>
      </c>
      <c r="B39" s="87" t="s">
        <v>426</v>
      </c>
      <c r="C39" s="87" t="s">
        <v>330</v>
      </c>
      <c r="D39" s="101" cm="1">
        <f t="array" aca="1" ref="D39" ca="1">IF(OR(IF(OR(A39="", B39="", C39=""), "", INDIRECT("'" &amp; B39 &amp; "'!" &amp; C39))=0, IF(OR(A39="", B39="", C39=""), "", INDIRECT("'" &amp; B39 &amp; "'!" &amp; C39))=""),"",INDIRECT("'" &amp; B39 &amp; "'!" &amp; C39))</f>
        <v>1186301.3698630137</v>
      </c>
      <c r="F39" s="120"/>
      <c r="G39" s="121"/>
      <c r="I39" s="122"/>
      <c r="J39" s="123"/>
    </row>
    <row r="40" spans="1:10" ht="15.75" thickBot="1" x14ac:dyDescent="0.3">
      <c r="A40" s="83" t="s">
        <v>373</v>
      </c>
      <c r="B40" s="84" t="s">
        <v>426</v>
      </c>
      <c r="C40" s="84" t="s">
        <v>325</v>
      </c>
      <c r="D40" s="102" cm="1">
        <f t="array" aca="1" ref="D40" ca="1">IF(OR(IF(OR(A40="", B40="", C40=""), "", INDIRECT("'" &amp; B40 &amp; "'!" &amp; C40))=0, IF(OR(A40="", B40="", C40=""), "", INDIRECT("'" &amp; B40 &amp; "'!" &amp; C40))=""),"",INDIRECT("'" &amp; B40 &amp; "'!" &amp; C40))</f>
        <v>1186301.3698630137</v>
      </c>
      <c r="F40" s="124"/>
      <c r="G40" s="125"/>
      <c r="I40" s="126"/>
      <c r="J40" s="127"/>
    </row>
    <row r="41" spans="1:10" ht="15" x14ac:dyDescent="0.2">
      <c r="A41" s="86" t="s">
        <v>288</v>
      </c>
      <c r="B41" s="87" t="s">
        <v>426</v>
      </c>
      <c r="C41" s="87" t="s">
        <v>331</v>
      </c>
      <c r="D41" s="101" cm="1">
        <f t="array" aca="1" ref="D41" ca="1">IF(OR(IF(OR(A41="", B41="", C41=""), "", INDIRECT("'" &amp; B41 &amp; "'!" &amp; C41))=0, IF(OR(A41="", B41="", C41=""), "", INDIRECT("'" &amp; B41 &amp; "'!" &amp; C41))=""),"",INDIRECT("'" &amp; B41 &amp; "'!" &amp; C41))</f>
        <v>4941984.4801672073</v>
      </c>
    </row>
    <row r="42" spans="1:10" ht="15" x14ac:dyDescent="0.2">
      <c r="A42" s="83" t="s">
        <v>374</v>
      </c>
      <c r="B42" s="84" t="s">
        <v>426</v>
      </c>
      <c r="C42" s="84" t="s">
        <v>332</v>
      </c>
      <c r="D42" s="102" cm="1">
        <f t="array" aca="1" ref="D42" ca="1">IF(OR(IF(OR(A42="", B42="", C42=""), "", INDIRECT("'" &amp; B42 &amp; "'!" &amp; C42))=0, IF(OR(A42="", B42="", C42=""), "", INDIRECT("'" &amp; B42 &amp; "'!" &amp; C42))=""),"",INDIRECT("'" &amp; B42 &amp; "'!" &amp; C42))</f>
        <v>4736924.6467422284</v>
      </c>
    </row>
    <row r="43" spans="1:10" ht="15" x14ac:dyDescent="0.2">
      <c r="A43" s="86" t="s">
        <v>289</v>
      </c>
      <c r="B43" s="87" t="s">
        <v>333</v>
      </c>
      <c r="C43" s="87" t="s">
        <v>337</v>
      </c>
      <c r="D43" s="101" cm="1">
        <f t="array" aca="1" ref="D43" ca="1">IF(OR(IF(OR(A43="", B43="", C43=""), "", INDIRECT("'" &amp; B43 &amp; "'!" &amp; C43))=0, IF(OR(A43="", B43="", C43=""), "", INDIRECT("'" &amp; B43 &amp; "'!" &amp; C43))=""),"",INDIRECT("'" &amp; B43 &amp; "'!" &amp; C43))</f>
        <v>2827119.2010478675</v>
      </c>
    </row>
    <row r="44" spans="1:10" ht="15" x14ac:dyDescent="0.2">
      <c r="A44" s="83" t="s">
        <v>375</v>
      </c>
      <c r="B44" s="84" t="s">
        <v>333</v>
      </c>
      <c r="C44" s="84" t="s">
        <v>338</v>
      </c>
      <c r="D44" s="102" cm="1">
        <f t="array" aca="1" ref="D44" ca="1">IF(OR(IF(OR(A44="", B44="", C44=""), "", INDIRECT("'" &amp; B44 &amp; "'!" &amp; C44))=0, IF(OR(A44="", B44="", C44=""), "", INDIRECT("'" &amp; B44 &amp; "'!" &amp; C44))=""),"",INDIRECT("'" &amp; B44 &amp; "'!" &amp; C44))</f>
        <v>2729900.8222133182</v>
      </c>
      <c r="F44" s="8" t="s">
        <v>445</v>
      </c>
    </row>
    <row r="45" spans="1:10" ht="15" x14ac:dyDescent="0.2">
      <c r="A45" s="86" t="s">
        <v>290</v>
      </c>
      <c r="B45" s="87" t="s">
        <v>426</v>
      </c>
      <c r="C45" s="87" t="s">
        <v>337</v>
      </c>
      <c r="D45" s="101" cm="1">
        <f t="array" aca="1" ref="D45" ca="1">IF(OR(IF(OR(A45="", B45="", C45=""), "", INDIRECT("'" &amp; B45 &amp; "'!" &amp; C45))=0, IF(OR(A45="", B45="", C45=""), "", INDIRECT("'" &amp; B45 &amp; "'!" &amp; C45))=""),"",INDIRECT("'" &amp; B45 &amp; "'!" &amp; C45))</f>
        <v>6128285.850030221</v>
      </c>
      <c r="F45" s="8" t="s">
        <v>446</v>
      </c>
    </row>
    <row r="46" spans="1:10" ht="15" x14ac:dyDescent="0.2">
      <c r="A46" s="83" t="s">
        <v>376</v>
      </c>
      <c r="B46" s="84" t="s">
        <v>426</v>
      </c>
      <c r="C46" s="84" t="s">
        <v>338</v>
      </c>
      <c r="D46" s="102" cm="1">
        <f t="array" aca="1" ref="D46" ca="1">IF(OR(IF(OR(A46="", B46="", C46=""), "", INDIRECT("'" &amp; B46 &amp; "'!" &amp; C46))=0, IF(OR(A46="", B46="", C46=""), "", INDIRECT("'" &amp; B46 &amp; "'!" &amp; C46))=""),"",INDIRECT("'" &amp; B46 &amp; "'!" &amp; C46))</f>
        <v>5923226.0166052422</v>
      </c>
    </row>
    <row r="47" spans="1:10" ht="15" x14ac:dyDescent="0.2">
      <c r="A47" s="97" t="s">
        <v>361</v>
      </c>
      <c r="B47" s="98" t="s">
        <v>334</v>
      </c>
      <c r="C47" s="98" t="s">
        <v>345</v>
      </c>
      <c r="D47" s="101" t="e" cm="1">
        <f t="array" aca="1" ref="D47" ca="1">IF(OR(IF(OR(A47="", B47="", C47=""), "", INDIRECT("'" &amp; B47 &amp; "'!" &amp; C47))=0, IF(OR(A47="", B47="", C47=""), "", INDIRECT("'" &amp; B47 &amp; "'!" &amp; C47))=""),"",INDIRECT("'" &amp; B47 &amp; "'!" &amp; C47))</f>
        <v>#REF!</v>
      </c>
    </row>
    <row r="48" spans="1:10" ht="15" x14ac:dyDescent="0.2">
      <c r="A48" s="83" t="s">
        <v>362</v>
      </c>
      <c r="B48" s="84" t="s">
        <v>334</v>
      </c>
      <c r="C48" s="84" t="s">
        <v>346</v>
      </c>
      <c r="D48" s="105" t="e" cm="1">
        <f t="array" aca="1" ref="D48" ca="1">IF(OR(IF(OR(A48="", B48="", C48=""), "", INDIRECT("'" &amp; B48 &amp; "'!" &amp; C48))=0, IF(OR(A48="", B48="", C48=""), "", INDIRECT("'" &amp; B48 &amp; "'!" &amp; C48))=""),"",INDIRECT("'" &amp; B48 &amp; "'!" &amp; C48))</f>
        <v>#REF!</v>
      </c>
    </row>
    <row r="49" spans="1:4" ht="15" x14ac:dyDescent="0.2">
      <c r="A49" s="86" t="s">
        <v>292</v>
      </c>
      <c r="B49" s="87" t="s">
        <v>334</v>
      </c>
      <c r="C49" s="87" t="s">
        <v>330</v>
      </c>
      <c r="D49" s="101" t="e" cm="1">
        <f t="array" aca="1" ref="D49" ca="1">IF(OR(IF(OR(A49="", B49="", C49=""), "", INDIRECT("'" &amp; B49 &amp; "'!" &amp; C49))=0, IF(OR(A49="", B49="", C49=""), "", INDIRECT("'" &amp; B49 &amp; "'!" &amp; C49))=""),"",INDIRECT("'" &amp; B49 &amp; "'!" &amp; C49))</f>
        <v>#REF!</v>
      </c>
    </row>
    <row r="50" spans="1:4" ht="15" x14ac:dyDescent="0.2">
      <c r="A50" s="83" t="s">
        <v>377</v>
      </c>
      <c r="B50" s="84" t="s">
        <v>334</v>
      </c>
      <c r="C50" s="84" t="s">
        <v>325</v>
      </c>
      <c r="D50" s="102" t="e" cm="1">
        <f t="array" aca="1" ref="D50" ca="1">IF(OR(IF(OR(A50="", B50="", C50=""), "", INDIRECT("'" &amp; B50 &amp; "'!" &amp; C50))=0, IF(OR(A50="", B50="", C50=""), "", INDIRECT("'" &amp; B50 &amp; "'!" &amp; C50))=""),"",INDIRECT("'" &amp; B50 &amp; "'!" &amp; C50))</f>
        <v>#REF!</v>
      </c>
    </row>
    <row r="51" spans="1:4" ht="15" x14ac:dyDescent="0.2">
      <c r="A51" s="86" t="s">
        <v>293</v>
      </c>
      <c r="B51" s="87" t="s">
        <v>334</v>
      </c>
      <c r="C51" s="87" t="s">
        <v>331</v>
      </c>
      <c r="D51" s="101" t="e" cm="1">
        <f t="array" aca="1" ref="D51" ca="1">IF(OR(IF(OR(A51="", B51="", C51=""), "", INDIRECT("'" &amp; B51 &amp; "'!" &amp; C51))=0, IF(OR(A51="", B51="", C51=""), "", INDIRECT("'" &amp; B51 &amp; "'!" &amp; C51))=""),"",INDIRECT("'" &amp; B51 &amp; "'!" &amp; C51))</f>
        <v>#REF!</v>
      </c>
    </row>
    <row r="52" spans="1:4" ht="15" x14ac:dyDescent="0.2">
      <c r="A52" s="83" t="s">
        <v>378</v>
      </c>
      <c r="B52" s="84" t="s">
        <v>334</v>
      </c>
      <c r="C52" s="84" t="s">
        <v>332</v>
      </c>
      <c r="D52" s="102" t="e" cm="1">
        <f t="array" aca="1" ref="D52" ca="1">IF(OR(IF(OR(A52="", B52="", C52=""), "", INDIRECT("'" &amp; B52 &amp; "'!" &amp; C52))=0, IF(OR(A52="", B52="", C52=""), "", INDIRECT("'" &amp; B52 &amp; "'!" &amp; C52))=""),"",INDIRECT("'" &amp; B52 &amp; "'!" &amp; C52))</f>
        <v>#REF!</v>
      </c>
    </row>
    <row r="53" spans="1:4" ht="15" x14ac:dyDescent="0.2">
      <c r="A53" s="97" t="s">
        <v>353</v>
      </c>
      <c r="B53" s="98" t="s">
        <v>427</v>
      </c>
      <c r="C53" s="98" t="s">
        <v>345</v>
      </c>
      <c r="D53" s="101" t="e" cm="1">
        <f t="array" aca="1" ref="D53" ca="1">IF(OR(IF(OR(A53="", B53="", C53=""), "", INDIRECT("'" &amp; B53 &amp; "'!" &amp; C53))=0, IF(OR(A53="", B53="", C53=""), "", INDIRECT("'" &amp; B53 &amp; "'!" &amp; C53))=""),"",INDIRECT("'" &amp; B53 &amp; "'!" &amp; C53))</f>
        <v>#REF!</v>
      </c>
    </row>
    <row r="54" spans="1:4" ht="15" x14ac:dyDescent="0.2">
      <c r="A54" s="83" t="s">
        <v>354</v>
      </c>
      <c r="B54" s="84" t="s">
        <v>427</v>
      </c>
      <c r="C54" s="84" t="s">
        <v>346</v>
      </c>
      <c r="D54" s="105" t="e" cm="1">
        <f t="array" aca="1" ref="D54" ca="1">IF(OR(IF(OR(A54="", B54="", C54=""), "", INDIRECT("'" &amp; B54 &amp; "'!" &amp; C54))=0, IF(OR(A54="", B54="", C54=""), "", INDIRECT("'" &amp; B54 &amp; "'!" &amp; C54))=""),"",INDIRECT("'" &amp; B54 &amp; "'!" &amp; C54))</f>
        <v>#REF!</v>
      </c>
    </row>
    <row r="55" spans="1:4" ht="15" x14ac:dyDescent="0.2">
      <c r="A55" s="86" t="s">
        <v>294</v>
      </c>
      <c r="B55" s="87" t="s">
        <v>427</v>
      </c>
      <c r="C55" s="87" t="s">
        <v>330</v>
      </c>
      <c r="D55" s="101" t="e" cm="1">
        <f t="array" aca="1" ref="D55" ca="1">IF(OR(IF(OR(A55="", B55="", C55=""), "", INDIRECT("'" &amp; B55 &amp; "'!" &amp; C55))=0, IF(OR(A55="", B55="", C55=""), "", INDIRECT("'" &amp; B55 &amp; "'!" &amp; C55))=""),"",INDIRECT("'" &amp; B55 &amp; "'!" &amp; C55))</f>
        <v>#REF!</v>
      </c>
    </row>
    <row r="56" spans="1:4" ht="15" x14ac:dyDescent="0.2">
      <c r="A56" s="83" t="s">
        <v>379</v>
      </c>
      <c r="B56" s="84" t="s">
        <v>427</v>
      </c>
      <c r="C56" s="84" t="s">
        <v>325</v>
      </c>
      <c r="D56" s="102" t="e" cm="1">
        <f t="array" aca="1" ref="D56" ca="1">IF(OR(IF(OR(A56="", B56="", C56=""), "", INDIRECT("'" &amp; B56 &amp; "'!" &amp; C56))=0, IF(OR(A56="", B56="", C56=""), "", INDIRECT("'" &amp; B56 &amp; "'!" &amp; C56))=""),"",INDIRECT("'" &amp; B56 &amp; "'!" &amp; C56))</f>
        <v>#REF!</v>
      </c>
    </row>
    <row r="57" spans="1:4" ht="15" x14ac:dyDescent="0.2">
      <c r="A57" s="86" t="s">
        <v>295</v>
      </c>
      <c r="B57" s="87" t="s">
        <v>427</v>
      </c>
      <c r="C57" s="87" t="s">
        <v>331</v>
      </c>
      <c r="D57" s="101" t="e" cm="1">
        <f t="array" aca="1" ref="D57" ca="1">IF(OR(IF(OR(A57="", B57="", C57=""), "", INDIRECT("'" &amp; B57 &amp; "'!" &amp; C57))=0, IF(OR(A57="", B57="", C57=""), "", INDIRECT("'" &amp; B57 &amp; "'!" &amp; C57))=""),"",INDIRECT("'" &amp; B57 &amp; "'!" &amp; C57))</f>
        <v>#REF!</v>
      </c>
    </row>
    <row r="58" spans="1:4" ht="15" x14ac:dyDescent="0.2">
      <c r="A58" s="83" t="s">
        <v>380</v>
      </c>
      <c r="B58" s="84" t="s">
        <v>427</v>
      </c>
      <c r="C58" s="84" t="s">
        <v>332</v>
      </c>
      <c r="D58" s="102" t="e" cm="1">
        <f t="array" aca="1" ref="D58" ca="1">IF(OR(IF(OR(A58="", B58="", C58=""), "", INDIRECT("'" &amp; B58 &amp; "'!" &amp; C58))=0, IF(OR(A58="", B58="", C58=""), "", INDIRECT("'" &amp; B58 &amp; "'!" &amp; C58))=""),"",INDIRECT("'" &amp; B58 &amp; "'!" &amp; C58))</f>
        <v>#REF!</v>
      </c>
    </row>
    <row r="59" spans="1:4" ht="15" x14ac:dyDescent="0.2">
      <c r="A59" s="86" t="s">
        <v>296</v>
      </c>
      <c r="B59" s="87" t="s">
        <v>334</v>
      </c>
      <c r="C59" s="87" t="s">
        <v>337</v>
      </c>
      <c r="D59" s="101" t="e" cm="1">
        <f t="array" aca="1" ref="D59" ca="1">IF(OR(IF(OR(A59="", B59="", C59=""), "", INDIRECT("'" &amp; B59 &amp; "'!" &amp; C59))=0, IF(OR(A59="", B59="", C59=""), "", INDIRECT("'" &amp; B59 &amp; "'!" &amp; C59))=""),"",INDIRECT("'" &amp; B59 &amp; "'!" &amp; C59))</f>
        <v>#REF!</v>
      </c>
    </row>
    <row r="60" spans="1:4" ht="15" x14ac:dyDescent="0.2">
      <c r="A60" s="83" t="s">
        <v>381</v>
      </c>
      <c r="B60" s="84" t="s">
        <v>334</v>
      </c>
      <c r="C60" s="84" t="s">
        <v>338</v>
      </c>
      <c r="D60" s="102" t="e" cm="1">
        <f t="array" aca="1" ref="D60" ca="1">IF(OR(IF(OR(A60="", B60="", C60=""), "", INDIRECT("'" &amp; B60 &amp; "'!" &amp; C60))=0, IF(OR(A60="", B60="", C60=""), "", INDIRECT("'" &amp; B60 &amp; "'!" &amp; C60))=""),"",INDIRECT("'" &amp; B60 &amp; "'!" &amp; C60))</f>
        <v>#REF!</v>
      </c>
    </row>
    <row r="61" spans="1:4" ht="15" x14ac:dyDescent="0.2">
      <c r="A61" s="86" t="s">
        <v>297</v>
      </c>
      <c r="B61" s="87" t="s">
        <v>427</v>
      </c>
      <c r="C61" s="87" t="s">
        <v>337</v>
      </c>
      <c r="D61" s="101" t="e" cm="1">
        <f t="array" aca="1" ref="D61" ca="1">IF(OR(IF(OR(A61="", B61="", C61=""), "", INDIRECT("'" &amp; B61 &amp; "'!" &amp; C61))=0, IF(OR(A61="", B61="", C61=""), "", INDIRECT("'" &amp; B61 &amp; "'!" &amp; C61))=""),"",INDIRECT("'" &amp; B61 &amp; "'!" &amp; C61))</f>
        <v>#REF!</v>
      </c>
    </row>
    <row r="62" spans="1:4" ht="15" x14ac:dyDescent="0.2">
      <c r="A62" s="83" t="s">
        <v>382</v>
      </c>
      <c r="B62" s="84" t="s">
        <v>427</v>
      </c>
      <c r="C62" s="84" t="s">
        <v>338</v>
      </c>
      <c r="D62" s="102" t="e" cm="1">
        <f t="array" aca="1" ref="D62" ca="1">IF(OR(IF(OR(A62="", B62="", C62=""), "", INDIRECT("'" &amp; B62 &amp; "'!" &amp; C62))=0, IF(OR(A62="", B62="", C62=""), "", INDIRECT("'" &amp; B62 &amp; "'!" &amp; C62))=""),"",INDIRECT("'" &amp; B62 &amp; "'!" &amp; C62))</f>
        <v>#REF!</v>
      </c>
    </row>
    <row r="63" spans="1:4" ht="15" x14ac:dyDescent="0.2">
      <c r="A63" s="97" t="s">
        <v>363</v>
      </c>
      <c r="B63" s="98" t="s">
        <v>335</v>
      </c>
      <c r="C63" s="98" t="s">
        <v>345</v>
      </c>
      <c r="D63" s="101" t="e" cm="1">
        <f t="array" aca="1" ref="D63" ca="1">IF(OR(IF(OR(A63="", B63="", C63=""), "", INDIRECT("'" &amp; B63 &amp; "'!" &amp; C63))=0, IF(OR(A63="", B63="", C63=""), "", INDIRECT("'" &amp; B63 &amp; "'!" &amp; C63))=""),"",INDIRECT("'" &amp; B63 &amp; "'!" &amp; C63))</f>
        <v>#REF!</v>
      </c>
    </row>
    <row r="64" spans="1:4" ht="15" x14ac:dyDescent="0.2">
      <c r="A64" s="83" t="s">
        <v>364</v>
      </c>
      <c r="B64" s="84" t="s">
        <v>335</v>
      </c>
      <c r="C64" s="84" t="s">
        <v>346</v>
      </c>
      <c r="D64" s="105" t="e" cm="1">
        <f t="array" aca="1" ref="D64" ca="1">IF(OR(IF(OR(A64="", B64="", C64=""), "", INDIRECT("'" &amp; B64 &amp; "'!" &amp; C64))=0, IF(OR(A64="", B64="", C64=""), "", INDIRECT("'" &amp; B64 &amp; "'!" &amp; C64))=""),"",INDIRECT("'" &amp; B64 &amp; "'!" &amp; C64))</f>
        <v>#REF!</v>
      </c>
    </row>
    <row r="65" spans="1:4" ht="15" x14ac:dyDescent="0.2">
      <c r="A65" s="86" t="s">
        <v>298</v>
      </c>
      <c r="B65" s="87" t="s">
        <v>335</v>
      </c>
      <c r="C65" s="87" t="s">
        <v>330</v>
      </c>
      <c r="D65" s="101" t="e" cm="1">
        <f t="array" aca="1" ref="D65" ca="1">IF(OR(IF(OR(A65="", B65="", C65=""), "", INDIRECT("'" &amp; B65 &amp; "'!" &amp; C65))=0, IF(OR(A65="", B65="", C65=""), "", INDIRECT("'" &amp; B65 &amp; "'!" &amp; C65))=""),"",INDIRECT("'" &amp; B65 &amp; "'!" &amp; C65))</f>
        <v>#REF!</v>
      </c>
    </row>
    <row r="66" spans="1:4" ht="15" x14ac:dyDescent="0.2">
      <c r="A66" s="83" t="s">
        <v>383</v>
      </c>
      <c r="B66" s="84" t="s">
        <v>335</v>
      </c>
      <c r="C66" s="84" t="s">
        <v>325</v>
      </c>
      <c r="D66" s="102" t="e" cm="1">
        <f t="array" aca="1" ref="D66" ca="1">IF(OR(IF(OR(A66="", B66="", C66=""), "", INDIRECT("'" &amp; B66 &amp; "'!" &amp; C66))=0, IF(OR(A66="", B66="", C66=""), "", INDIRECT("'" &amp; B66 &amp; "'!" &amp; C66))=""),"",INDIRECT("'" &amp; B66 &amp; "'!" &amp; C66))</f>
        <v>#REF!</v>
      </c>
    </row>
    <row r="67" spans="1:4" ht="15" x14ac:dyDescent="0.2">
      <c r="A67" s="86" t="s">
        <v>299</v>
      </c>
      <c r="B67" s="87" t="s">
        <v>335</v>
      </c>
      <c r="C67" s="87" t="s">
        <v>331</v>
      </c>
      <c r="D67" s="101" t="e" cm="1">
        <f t="array" aca="1" ref="D67" ca="1">IF(OR(IF(OR(A67="", B67="", C67=""), "", INDIRECT("'" &amp; B67 &amp; "'!" &amp; C67))=0, IF(OR(A67="", B67="", C67=""), "", INDIRECT("'" &amp; B67 &amp; "'!" &amp; C67))=""),"",INDIRECT("'" &amp; B67 &amp; "'!" &amp; C67))</f>
        <v>#REF!</v>
      </c>
    </row>
    <row r="68" spans="1:4" ht="15" x14ac:dyDescent="0.2">
      <c r="A68" s="83" t="s">
        <v>384</v>
      </c>
      <c r="B68" s="84" t="s">
        <v>335</v>
      </c>
      <c r="C68" s="84" t="s">
        <v>332</v>
      </c>
      <c r="D68" s="102" t="e" cm="1">
        <f t="array" aca="1" ref="D68" ca="1">IF(OR(IF(OR(A68="", B68="", C68=""), "", INDIRECT("'" &amp; B68 &amp; "'!" &amp; C68))=0, IF(OR(A68="", B68="", C68=""), "", INDIRECT("'" &amp; B68 &amp; "'!" &amp; C68))=""),"",INDIRECT("'" &amp; B68 &amp; "'!" &amp; C68))</f>
        <v>#REF!</v>
      </c>
    </row>
    <row r="69" spans="1:4" ht="15" x14ac:dyDescent="0.2">
      <c r="A69" s="97" t="s">
        <v>355</v>
      </c>
      <c r="B69" s="98" t="s">
        <v>428</v>
      </c>
      <c r="C69" s="98" t="s">
        <v>345</v>
      </c>
      <c r="D69" s="101" t="e" cm="1">
        <f t="array" aca="1" ref="D69" ca="1">IF(OR(IF(OR(A69="", B69="", C69=""), "", INDIRECT("'" &amp; B69 &amp; "'!" &amp; C69))=0, IF(OR(A69="", B69="", C69=""), "", INDIRECT("'" &amp; B69 &amp; "'!" &amp; C69))=""),"",INDIRECT("'" &amp; B69 &amp; "'!" &amp; C69))</f>
        <v>#REF!</v>
      </c>
    </row>
    <row r="70" spans="1:4" ht="15" x14ac:dyDescent="0.2">
      <c r="A70" s="83" t="s">
        <v>356</v>
      </c>
      <c r="B70" s="84" t="s">
        <v>428</v>
      </c>
      <c r="C70" s="84" t="s">
        <v>346</v>
      </c>
      <c r="D70" s="105" t="e" cm="1">
        <f t="array" aca="1" ref="D70" ca="1">IF(OR(IF(OR(A70="", B70="", C70=""), "", INDIRECT("'" &amp; B70 &amp; "'!" &amp; C70))=0, IF(OR(A70="", B70="", C70=""), "", INDIRECT("'" &amp; B70 &amp; "'!" &amp; C70))=""),"",INDIRECT("'" &amp; B70 &amp; "'!" &amp; C70))</f>
        <v>#REF!</v>
      </c>
    </row>
    <row r="71" spans="1:4" ht="15" x14ac:dyDescent="0.2">
      <c r="A71" s="86" t="s">
        <v>300</v>
      </c>
      <c r="B71" s="87" t="s">
        <v>428</v>
      </c>
      <c r="C71" s="87" t="s">
        <v>330</v>
      </c>
      <c r="D71" s="101" t="e" cm="1">
        <f t="array" aca="1" ref="D71" ca="1">IF(OR(IF(OR(A71="", B71="", C71=""), "", INDIRECT("'" &amp; B71 &amp; "'!" &amp; C71))=0, IF(OR(A71="", B71="", C71=""), "", INDIRECT("'" &amp; B71 &amp; "'!" &amp; C71))=""),"",INDIRECT("'" &amp; B71 &amp; "'!" &amp; C71))</f>
        <v>#REF!</v>
      </c>
    </row>
    <row r="72" spans="1:4" ht="15" x14ac:dyDescent="0.2">
      <c r="A72" s="83" t="s">
        <v>385</v>
      </c>
      <c r="B72" s="84" t="s">
        <v>428</v>
      </c>
      <c r="C72" s="84" t="s">
        <v>325</v>
      </c>
      <c r="D72" s="102" t="e" cm="1">
        <f t="array" aca="1" ref="D72" ca="1">IF(OR(IF(OR(A72="", B72="", C72=""), "", INDIRECT("'" &amp; B72 &amp; "'!" &amp; C72))=0, IF(OR(A72="", B72="", C72=""), "", INDIRECT("'" &amp; B72 &amp; "'!" &amp; C72))=""),"",INDIRECT("'" &amp; B72 &amp; "'!" &amp; C72))</f>
        <v>#REF!</v>
      </c>
    </row>
    <row r="73" spans="1:4" ht="15" x14ac:dyDescent="0.2">
      <c r="A73" s="86" t="s">
        <v>301</v>
      </c>
      <c r="B73" s="87" t="s">
        <v>428</v>
      </c>
      <c r="C73" s="87" t="s">
        <v>331</v>
      </c>
      <c r="D73" s="101" t="e" cm="1">
        <f t="array" aca="1" ref="D73" ca="1">IF(OR(IF(OR(A73="", B73="", C73=""), "", INDIRECT("'" &amp; B73 &amp; "'!" &amp; C73))=0, IF(OR(A73="", B73="", C73=""), "", INDIRECT("'" &amp; B73 &amp; "'!" &amp; C73))=""),"",INDIRECT("'" &amp; B73 &amp; "'!" &amp; C73))</f>
        <v>#REF!</v>
      </c>
    </row>
    <row r="74" spans="1:4" ht="15" x14ac:dyDescent="0.2">
      <c r="A74" s="83" t="s">
        <v>386</v>
      </c>
      <c r="B74" s="84" t="s">
        <v>428</v>
      </c>
      <c r="C74" s="84" t="s">
        <v>332</v>
      </c>
      <c r="D74" s="102" t="e" cm="1">
        <f t="array" aca="1" ref="D74" ca="1">IF(OR(IF(OR(A74="", B74="", C74=""), "", INDIRECT("'" &amp; B74 &amp; "'!" &amp; C74))=0, IF(OR(A74="", B74="", C74=""), "", INDIRECT("'" &amp; B74 &amp; "'!" &amp; C74))=""),"",INDIRECT("'" &amp; B74 &amp; "'!" &amp; C74))</f>
        <v>#REF!</v>
      </c>
    </row>
    <row r="75" spans="1:4" ht="15" x14ac:dyDescent="0.2">
      <c r="A75" s="86" t="s">
        <v>302</v>
      </c>
      <c r="B75" s="87" t="s">
        <v>335</v>
      </c>
      <c r="C75" s="87" t="s">
        <v>337</v>
      </c>
      <c r="D75" s="101" t="e" cm="1">
        <f t="array" aca="1" ref="D75" ca="1">IF(OR(IF(OR(A75="", B75="", C75=""), "", INDIRECT("'" &amp; B75 &amp; "'!" &amp; C75))=0, IF(OR(A75="", B75="", C75=""), "", INDIRECT("'" &amp; B75 &amp; "'!" &amp; C75))=""),"",INDIRECT("'" &amp; B75 &amp; "'!" &amp; C75))</f>
        <v>#REF!</v>
      </c>
    </row>
    <row r="76" spans="1:4" ht="15" x14ac:dyDescent="0.2">
      <c r="A76" s="94" t="s">
        <v>387</v>
      </c>
      <c r="B76" s="84" t="s">
        <v>335</v>
      </c>
      <c r="C76" s="88" t="s">
        <v>338</v>
      </c>
      <c r="D76" s="102" t="e" cm="1">
        <f t="array" aca="1" ref="D76" ca="1">IF(OR(IF(OR(A76="", B76="", C76=""), "", INDIRECT("'" &amp; B76 &amp; "'!" &amp; C76))=0, IF(OR(A76="", B76="", C76=""), "", INDIRECT("'" &amp; B76 &amp; "'!" &amp; C76))=""),"",INDIRECT("'" &amp; B76 &amp; "'!" &amp; C76))</f>
        <v>#REF!</v>
      </c>
    </row>
    <row r="77" spans="1:4" ht="15" x14ac:dyDescent="0.2">
      <c r="A77" s="95" t="s">
        <v>303</v>
      </c>
      <c r="B77" s="87" t="s">
        <v>428</v>
      </c>
      <c r="C77" s="89" t="s">
        <v>337</v>
      </c>
      <c r="D77" s="101" t="e" cm="1">
        <f t="array" aca="1" ref="D77" ca="1">IF(OR(IF(OR(A77="", B77="", C77=""), "", INDIRECT("'" &amp; B77 &amp; "'!" &amp; C77))=0, IF(OR(A77="", B77="", C77=""), "", INDIRECT("'" &amp; B77 &amp; "'!" &amp; C77))=""),"",INDIRECT("'" &amp; B77 &amp; "'!" &amp; C77))</f>
        <v>#REF!</v>
      </c>
    </row>
    <row r="78" spans="1:4" ht="15" x14ac:dyDescent="0.2">
      <c r="A78" s="94" t="s">
        <v>388</v>
      </c>
      <c r="B78" s="84" t="s">
        <v>428</v>
      </c>
      <c r="C78" s="88" t="s">
        <v>338</v>
      </c>
      <c r="D78" s="102" t="e" cm="1">
        <f t="array" aca="1" ref="D78" ca="1">IF(OR(IF(OR(A78="", B78="", C78=""), "", INDIRECT("'" &amp; B78 &amp; "'!" &amp; C78))=0, IF(OR(A78="", B78="", C78=""), "", INDIRECT("'" &amp; B78 &amp; "'!" &amp; C78))=""),"",INDIRECT("'" &amp; B78 &amp; "'!" &amp; C78))</f>
        <v>#REF!</v>
      </c>
    </row>
    <row r="79" spans="1:4" ht="15" x14ac:dyDescent="0.2">
      <c r="A79" s="97" t="s">
        <v>357</v>
      </c>
      <c r="B79" s="98" t="s">
        <v>336</v>
      </c>
      <c r="C79" s="98" t="s">
        <v>345</v>
      </c>
      <c r="D79" s="101" cm="1">
        <f t="array" aca="1" ref="D79" ca="1">IF(OR(IF(OR(A79="", B79="", C79=""), "", INDIRECT("'" &amp; B79 &amp; "'!" &amp; C79))=0, IF(OR(A79="", B79="", C79=""), "", INDIRECT("'" &amp; B79 &amp; "'!" &amp; C79))=""),"",INDIRECT("'" &amp; B79 &amp; "'!" &amp; C79))</f>
        <v>87666</v>
      </c>
    </row>
    <row r="80" spans="1:4" ht="15" x14ac:dyDescent="0.2">
      <c r="A80" s="83" t="s">
        <v>358</v>
      </c>
      <c r="B80" s="84" t="s">
        <v>336</v>
      </c>
      <c r="C80" s="84" t="s">
        <v>346</v>
      </c>
      <c r="D80" s="105" cm="1">
        <f t="array" aca="1" ref="D80" ca="1">IF(OR(IF(OR(A80="", B80="", C80=""), "", INDIRECT("'" &amp; B80 &amp; "'!" &amp; C80))=0, IF(OR(A80="", B80="", C80=""), "", INDIRECT("'" &amp; B80 &amp; "'!" &amp; C80))=""),"",INDIRECT("'" &amp; B80 &amp; "'!" &amp; C80))</f>
        <v>3.1E-2</v>
      </c>
    </row>
    <row r="81" spans="1:4" ht="15" x14ac:dyDescent="0.2">
      <c r="A81" s="86" t="s">
        <v>304</v>
      </c>
      <c r="B81" s="89" t="s">
        <v>336</v>
      </c>
      <c r="C81" s="89" t="s">
        <v>330</v>
      </c>
      <c r="D81" s="101" cm="1">
        <f t="array" aca="1" ref="D81" ca="1">IF(OR(IF(OR(A81="", B81="", C81=""), "", INDIRECT("'" &amp; B81 &amp; "'!" &amp; C81))=0, IF(OR(A81="", B81="", C81=""), "", INDIRECT("'" &amp; B81 &amp; "'!" &amp; C81))=""),"",INDIRECT("'" &amp; B81 &amp; "'!" &amp; C81))</f>
        <v>415993.18356164382</v>
      </c>
    </row>
    <row r="82" spans="1:4" ht="15" x14ac:dyDescent="0.2">
      <c r="A82" s="83" t="s">
        <v>389</v>
      </c>
      <c r="B82" s="88" t="s">
        <v>336</v>
      </c>
      <c r="C82" s="88" t="s">
        <v>325</v>
      </c>
      <c r="D82" s="102" cm="1">
        <f t="array" aca="1" ref="D82" ca="1">IF(OR(IF(OR(A82="", B82="", C82=""), "", INDIRECT("'" &amp; B82 &amp; "'!" &amp; C82))=0, IF(OR(A82="", B82="", C82=""), "", INDIRECT("'" &amp; B82 &amp; "'!" &amp; C82))=""),"",INDIRECT("'" &amp; B82 &amp; "'!" &amp; C82))</f>
        <v>415993.18356164382</v>
      </c>
    </row>
    <row r="83" spans="1:4" ht="15" x14ac:dyDescent="0.2">
      <c r="A83" s="86" t="s">
        <v>305</v>
      </c>
      <c r="B83" s="89" t="s">
        <v>336</v>
      </c>
      <c r="C83" s="89" t="s">
        <v>331</v>
      </c>
      <c r="D83" s="101" cm="1">
        <f t="array" aca="1" ref="D83" ca="1">IF(OR(IF(OR(A83="", B83="", C83=""), "", INDIRECT("'" &amp; B83 &amp; "'!" &amp; C83))=0, IF(OR(A83="", B83="", C83=""), "", INDIRECT("'" &amp; B83 &amp; "'!" &amp; C83))=""),"",INDIRECT("'" &amp; B83 &amp; "'!" &amp; C83))</f>
        <v>1719086.3742774371</v>
      </c>
    </row>
    <row r="84" spans="1:4" ht="15" x14ac:dyDescent="0.2">
      <c r="A84" s="83" t="s">
        <v>390</v>
      </c>
      <c r="B84" s="88" t="s">
        <v>336</v>
      </c>
      <c r="C84" s="88" t="s">
        <v>332</v>
      </c>
      <c r="D84" s="102" cm="1">
        <f t="array" aca="1" ref="D84" ca="1">IF(OR(IF(OR(A84="", B84="", C84=""), "", INDIRECT("'" &amp; B84 &amp; "'!" &amp; C84))=0, IF(OR(A84="", B84="", C84=""), "", INDIRECT("'" &amp; B84 &amp; "'!" &amp; C84))=""),"",INDIRECT("'" &amp; B84 &amp; "'!" &amp; C84))</f>
        <v>1623899.7620677983</v>
      </c>
    </row>
    <row r="85" spans="1:4" ht="15" x14ac:dyDescent="0.2">
      <c r="A85" s="97" t="s">
        <v>359</v>
      </c>
      <c r="B85" s="98" t="s">
        <v>429</v>
      </c>
      <c r="C85" s="98" t="s">
        <v>345</v>
      </c>
      <c r="D85" s="101" cm="1">
        <f t="array" aca="1" ref="D85" ca="1">IF(OR(IF(OR(A85="", B85="", C85=""), "", INDIRECT("'" &amp; B85 &amp; "'!" &amp; C85))=0, IF(OR(A85="", B85="", C85=""), "", INDIRECT("'" &amp; B85 &amp; "'!" &amp; C85))=""),"",INDIRECT("'" &amp; B85 &amp; "'!" &amp; C85))</f>
        <v>32000</v>
      </c>
    </row>
    <row r="86" spans="1:4" ht="15" x14ac:dyDescent="0.2">
      <c r="A86" s="83" t="s">
        <v>360</v>
      </c>
      <c r="B86" s="84" t="s">
        <v>429</v>
      </c>
      <c r="C86" s="84" t="s">
        <v>346</v>
      </c>
      <c r="D86" s="105" cm="1">
        <f t="array" aca="1" ref="D86" ca="1">IF(OR(IF(OR(A86="", B86="", C86=""), "", INDIRECT("'" &amp; B86 &amp; "'!" &amp; C86))=0, IF(OR(A86="", B86="", C86=""), "", INDIRECT("'" &amp; B86 &amp; "'!" &amp; C86))=""),"",INDIRECT("'" &amp; B86 &amp; "'!" &amp; C86))</f>
        <v>3.1E-2</v>
      </c>
    </row>
    <row r="87" spans="1:4" ht="15" x14ac:dyDescent="0.2">
      <c r="A87" s="86" t="s">
        <v>306</v>
      </c>
      <c r="B87" s="89" t="s">
        <v>429</v>
      </c>
      <c r="C87" s="89" t="s">
        <v>330</v>
      </c>
      <c r="D87" s="101" cm="1">
        <f t="array" aca="1" ref="D87" ca="1">IF(OR(IF(OR(A87="", B87="", C87=""), "", INDIRECT("'" &amp; B87 &amp; "'!" &amp; C87))=0, IF(OR(A87="", B87="", C87=""), "", INDIRECT("'" &amp; B87 &amp; "'!" &amp; C87))=""),"",INDIRECT("'" &amp; B87 &amp; "'!" &amp; C87))</f>
        <v>151846.57534246575</v>
      </c>
    </row>
    <row r="88" spans="1:4" ht="15" x14ac:dyDescent="0.2">
      <c r="A88" s="83" t="s">
        <v>391</v>
      </c>
      <c r="B88" s="88" t="s">
        <v>429</v>
      </c>
      <c r="C88" s="88" t="s">
        <v>325</v>
      </c>
      <c r="D88" s="102" cm="1">
        <f t="array" aca="1" ref="D88" ca="1">IF(OR(IF(OR(A88="", B88="", C88=""), "", INDIRECT("'" &amp; B88 &amp; "'!" &amp; C88))=0, IF(OR(A88="", B88="", C88=""), "", INDIRECT("'" &amp; B88 &amp; "'!" &amp; C88))=""),"",INDIRECT("'" &amp; B88 &amp; "'!" &amp; C88))</f>
        <v>98700.27397260275</v>
      </c>
    </row>
    <row r="89" spans="1:4" ht="15" x14ac:dyDescent="0.2">
      <c r="A89" s="86" t="s">
        <v>307</v>
      </c>
      <c r="B89" s="89" t="s">
        <v>429</v>
      </c>
      <c r="C89" s="89" t="s">
        <v>331</v>
      </c>
      <c r="D89" s="101" cm="1">
        <f t="array" aca="1" ref="D89" ca="1">IF(OR(IF(OR(A89="", B89="", C89=""), "", INDIRECT("'" &amp; B89 &amp; "'!" &amp; C89))=0, IF(OR(A89="", B89="", C89=""), "", INDIRECT("'" &amp; B89 &amp; "'!" &amp; C89))=""),"",INDIRECT("'" &amp; B89 &amp; "'!" &amp; C89))</f>
        <v>877190.3848693989</v>
      </c>
    </row>
    <row r="90" spans="1:4" ht="15" x14ac:dyDescent="0.2">
      <c r="A90" s="83" t="s">
        <v>392</v>
      </c>
      <c r="B90" s="88" t="s">
        <v>429</v>
      </c>
      <c r="C90" s="88" t="s">
        <v>332</v>
      </c>
      <c r="D90" s="102" cm="1">
        <f t="array" aca="1" ref="D90" ca="1">IF(OR(IF(OR(A90="", B90="", C90=""), "", INDIRECT("'" &amp; B90 &amp; "'!" &amp; C90))=0, IF(OR(A90="", B90="", C90=""), "", INDIRECT("'" &amp; B90 &amp; "'!" &amp; C90))=""),"",INDIRECT("'" &amp; B90 &amp; "'!" &amp; C90))</f>
        <v>538910.44879299647</v>
      </c>
    </row>
    <row r="91" spans="1:4" ht="15" x14ac:dyDescent="0.2">
      <c r="A91" s="86" t="s">
        <v>308</v>
      </c>
      <c r="B91" s="89" t="s">
        <v>336</v>
      </c>
      <c r="C91" s="89" t="s">
        <v>337</v>
      </c>
      <c r="D91" s="101" cm="1">
        <f t="array" aca="1" ref="D91" ca="1">IF(OR(IF(OR(A91="", B91="", C91=""), "", INDIRECT("'" &amp; B91 &amp; "'!" &amp; C91))=0, IF(OR(A91="", B91="", C91=""), "", INDIRECT("'" &amp; B91 &amp; "'!" &amp; C91))=""),"",INDIRECT("'" &amp; B91 &amp; "'!" &amp; C91))</f>
        <v>2135079.5578390807</v>
      </c>
    </row>
    <row r="92" spans="1:4" ht="15" x14ac:dyDescent="0.2">
      <c r="A92" s="94" t="s">
        <v>393</v>
      </c>
      <c r="B92" s="88" t="s">
        <v>336</v>
      </c>
      <c r="C92" s="88" t="s">
        <v>338</v>
      </c>
      <c r="D92" s="102" cm="1">
        <f t="array" aca="1" ref="D92" ca="1">IF(OR(IF(OR(A92="", B92="", C92=""), "", INDIRECT("'" &amp; B92 &amp; "'!" &amp; C92))=0, IF(OR(A92="", B92="", C92=""), "", INDIRECT("'" &amp; B92 &amp; "'!" &amp; C92))=""),"",INDIRECT("'" &amp; B92 &amp; "'!" &amp; C92))</f>
        <v>2039892.9456294421</v>
      </c>
    </row>
    <row r="93" spans="1:4" ht="15" x14ac:dyDescent="0.2">
      <c r="A93" s="95" t="s">
        <v>309</v>
      </c>
      <c r="B93" s="89" t="s">
        <v>429</v>
      </c>
      <c r="C93" s="89" t="s">
        <v>337</v>
      </c>
      <c r="D93" s="101" cm="1">
        <f t="array" aca="1" ref="D93" ca="1">IF(OR(IF(OR(A93="", B93="", C93=""), "", INDIRECT("'" &amp; B93 &amp; "'!" &amp; C93))=0, IF(OR(A93="", B93="", C93=""), "", INDIRECT("'" &amp; B93 &amp; "'!" &amp; C93))=""),"",INDIRECT("'" &amp; B93 &amp; "'!" &amp; C93))</f>
        <v>1029036.9602118647</v>
      </c>
    </row>
    <row r="94" spans="1:4" ht="15" x14ac:dyDescent="0.2">
      <c r="A94" s="94" t="s">
        <v>394</v>
      </c>
      <c r="B94" s="88" t="s">
        <v>429</v>
      </c>
      <c r="C94" s="88" t="s">
        <v>338</v>
      </c>
      <c r="D94" s="102" cm="1">
        <f t="array" aca="1" ref="D94" ca="1">IF(OR(IF(OR(A94="", B94="", C94=""), "", INDIRECT("'" &amp; B94 &amp; "'!" &amp; C94))=0, IF(OR(A94="", B94="", C94=""), "", INDIRECT("'" &amp; B94 &amp; "'!" &amp; C94))=""),"",INDIRECT("'" &amp; B94 &amp; "'!" &amp; C94))</f>
        <v>637610.72276559926</v>
      </c>
    </row>
    <row r="95" spans="1:4" ht="15" x14ac:dyDescent="0.2">
      <c r="A95" s="107" t="s">
        <v>424</v>
      </c>
      <c r="B95" s="89"/>
      <c r="C95" s="89"/>
      <c r="D95" s="82" t="str" cm="1">
        <f t="array" aca="1" ref="D95" ca="1">IF(OR(IF(OR(A95="", B95="", C95=""), "", INDIRECT("'" &amp; B95 &amp; "'!" &amp; C95))=0, IF(OR(A95="", B95="", C95=""), "", INDIRECT("'" &amp; B95 &amp; "'!" &amp; C95))=""),"",INDIRECT("'" &amp; B95 &amp; "'!" &amp; C95))</f>
        <v/>
      </c>
    </row>
    <row r="96" spans="1:4" ht="15" x14ac:dyDescent="0.2">
      <c r="A96" s="107" t="s">
        <v>431</v>
      </c>
      <c r="B96" s="88"/>
      <c r="C96" s="88"/>
      <c r="D96" s="85" t="str" cm="1">
        <f t="array" aca="1" ref="D96" ca="1">IF(OR(IF(OR(A96="", B96="", C96=""), "", INDIRECT("'" &amp; B96 &amp; "'!" &amp; C96))=0, IF(OR(A96="", B96="", C96=""), "", INDIRECT("'" &amp; B96 &amp; "'!" &amp; C96))=""),"",INDIRECT("'" &amp; B96 &amp; "'!" &amp; C96))</f>
        <v/>
      </c>
    </row>
    <row r="97" spans="1:4" ht="15" x14ac:dyDescent="0.2">
      <c r="A97" s="107" t="s">
        <v>430</v>
      </c>
      <c r="B97" s="89"/>
      <c r="C97" s="89"/>
      <c r="D97" s="82" t="str" cm="1">
        <f t="array" aca="1" ref="D97" ca="1">IF(OR(IF(OR(A97="", B97="", C97=""), "", INDIRECT("'" &amp; B97 &amp; "'!" &amp; C97))=0, IF(OR(A97="", B97="", C97=""), "", INDIRECT("'" &amp; B97 &amp; "'!" &amp; C97))=""),"",INDIRECT("'" &amp; B97 &amp; "'!" &amp; C97))</f>
        <v/>
      </c>
    </row>
    <row r="98" spans="1:4" ht="15" x14ac:dyDescent="0.2">
      <c r="A98" s="94" t="s">
        <v>459</v>
      </c>
      <c r="B98" s="88" t="s">
        <v>324</v>
      </c>
      <c r="C98" s="88" t="s">
        <v>432</v>
      </c>
      <c r="D98" s="108" cm="1">
        <f t="array" aca="1" ref="D98" ca="1">IF(OR(IF(OR(A98="", B98="", C98=""), "", INDIRECT("'" &amp; B98 &amp; "'!" &amp; C98))=0, IF(OR(A98="", B98="", C98=""), "", INDIRECT("'" &amp; B98 &amp; "'!" &amp; C98))=""),"",INDIRECT("'" &amp; B98 &amp; "'!" &amp; C98))</f>
        <v>0.1</v>
      </c>
    </row>
    <row r="99" spans="1:4" ht="15" x14ac:dyDescent="0.2">
      <c r="A99" s="109" t="s">
        <v>433</v>
      </c>
      <c r="B99" s="89"/>
      <c r="C99" s="89"/>
      <c r="D99" s="82" t="str" cm="1">
        <f t="array" aca="1" ref="D99" ca="1">IF(OR(IF(OR(A99="", B99="", C99=""), "", INDIRECT("'" &amp; B99 &amp; "'!" &amp; C99))=0, IF(OR(A99="", B99="", C99=""), "", INDIRECT("'" &amp; B99 &amp; "'!" &amp; C99))=""),"",INDIRECT("'" &amp; B99 &amp; "'!" &amp; C99))</f>
        <v/>
      </c>
    </row>
    <row r="100" spans="1:4" ht="15" x14ac:dyDescent="0.2">
      <c r="A100" s="109" t="s">
        <v>434</v>
      </c>
      <c r="B100" s="88"/>
      <c r="C100" s="88"/>
      <c r="D100" s="85" t="str" cm="1">
        <f t="array" aca="1" ref="D100" ca="1">IF(OR(IF(OR(A100="", B100="", C100=""), "", INDIRECT("'" &amp; B100 &amp; "'!" &amp; C100))=0, IF(OR(A100="", B100="", C100=""), "", INDIRECT("'" &amp; B100 &amp; "'!" &amp; C100))=""),"",INDIRECT("'" &amp; B100 &amp; "'!" &amp; C100))</f>
        <v/>
      </c>
    </row>
    <row r="101" spans="1:4" ht="15" x14ac:dyDescent="0.2">
      <c r="A101" s="95" t="s">
        <v>449</v>
      </c>
      <c r="B101" s="89" t="s">
        <v>310</v>
      </c>
      <c r="C101" s="89"/>
      <c r="D101" s="82" t="str" cm="1">
        <f t="array" aca="1" ref="D101" ca="1">IF(OR(IF(OR(A101="", B101="", C101=""), "", INDIRECT("'" &amp; B101 &amp; "'!" &amp; C101))=0, IF(OR(A101="", B101="", C101=""), "", INDIRECT("'" &amp; B101 &amp; "'!" &amp; C101))=""),"",INDIRECT("'" &amp; B101 &amp; "'!" &amp; C101))</f>
        <v/>
      </c>
    </row>
    <row r="102" spans="1:4" ht="15" x14ac:dyDescent="0.2">
      <c r="A102" s="94" t="s">
        <v>450</v>
      </c>
      <c r="B102" s="88" t="s">
        <v>310</v>
      </c>
      <c r="C102" s="88"/>
      <c r="D102" s="85" t="str" cm="1">
        <f t="array" aca="1" ref="D102" ca="1">IF(OR(IF(OR(A102="", B102="", C102=""), "", INDIRECT("'" &amp; B102 &amp; "'!" &amp; C102))=0, IF(OR(A102="", B102="", C102=""), "", INDIRECT("'" &amp; B102 &amp; "'!" &amp; C102))=""),"",INDIRECT("'" &amp; B102 &amp; "'!" &amp; C102))</f>
        <v/>
      </c>
    </row>
    <row r="103" spans="1:4" ht="15" x14ac:dyDescent="0.2">
      <c r="A103" s="95" t="s">
        <v>451</v>
      </c>
      <c r="B103" s="89" t="s">
        <v>310</v>
      </c>
      <c r="C103" s="89"/>
      <c r="D103" s="82" t="str" cm="1">
        <f t="array" aca="1" ref="D103" ca="1">IF(OR(IF(OR(A103="", B103="", C103=""), "", INDIRECT("'" &amp; B103 &amp; "'!" &amp; C103))=0, IF(OR(A103="", B103="", C103=""), "", INDIRECT("'" &amp; B103 &amp; "'!" &amp; C103))=""),"",INDIRECT("'" &amp; B103 &amp; "'!" &amp; C103))</f>
        <v/>
      </c>
    </row>
    <row r="104" spans="1:4" ht="15" x14ac:dyDescent="0.2">
      <c r="A104" s="94" t="s">
        <v>452</v>
      </c>
      <c r="B104" s="88" t="s">
        <v>310</v>
      </c>
      <c r="C104" s="88"/>
      <c r="D104" s="85" t="str" cm="1">
        <f t="array" aca="1" ref="D104" ca="1">IF(OR(IF(OR(A104="", B104="", C104=""), "", INDIRECT("'" &amp; B104 &amp; "'!" &amp; C104))=0, IF(OR(A104="", B104="", C104=""), "", INDIRECT("'" &amp; B104 &amp; "'!" &amp; C104))=""),"",INDIRECT("'" &amp; B104 &amp; "'!" &amp; C104))</f>
        <v/>
      </c>
    </row>
    <row r="105" spans="1:4" ht="15" x14ac:dyDescent="0.2">
      <c r="A105" s="95"/>
      <c r="B105" s="89"/>
      <c r="C105" s="89"/>
      <c r="D105" s="82" t="str" cm="1">
        <f t="array" aca="1" ref="D105" ca="1">IF(OR(IF(OR(A105="", B105="", C105=""), "", INDIRECT("'" &amp; B105 &amp; "'!" &amp; C105))=0, IF(OR(A105="", B105="", C105=""), "", INDIRECT("'" &amp; B105 &amp; "'!" &amp; C105))=""),"",INDIRECT("'" &amp; B105 &amp; "'!" &amp; C105))</f>
        <v/>
      </c>
    </row>
    <row r="106" spans="1:4" ht="15" x14ac:dyDescent="0.2">
      <c r="A106" s="94"/>
      <c r="B106" s="88"/>
      <c r="C106" s="88"/>
      <c r="D106" s="85" t="str" cm="1">
        <f t="array" aca="1" ref="D106" ca="1">IF(OR(IF(OR(A106="", B106="", C106=""), "", INDIRECT("'" &amp; B106 &amp; "'!" &amp; C106))=0, IF(OR(A106="", B106="", C106=""), "", INDIRECT("'" &amp; B106 &amp; "'!" &amp; C106))=""),"",INDIRECT("'" &amp; B106 &amp; "'!" &amp; C106))</f>
        <v/>
      </c>
    </row>
    <row r="107" spans="1:4" ht="15" x14ac:dyDescent="0.2">
      <c r="A107" s="95"/>
      <c r="B107" s="89"/>
      <c r="C107" s="89"/>
      <c r="D107" s="82" t="str" cm="1">
        <f t="array" aca="1" ref="D107" ca="1">IF(OR(IF(OR(A107="", B107="", C107=""), "", INDIRECT("'" &amp; B107 &amp; "'!" &amp; C107))=0, IF(OR(A107="", B107="", C107=""), "", INDIRECT("'" &amp; B107 &amp; "'!" &amp; C107))=""),"",INDIRECT("'" &amp; B107 &amp; "'!" &amp; C107))</f>
        <v/>
      </c>
    </row>
    <row r="108" spans="1:4" ht="15" x14ac:dyDescent="0.2">
      <c r="A108" s="94"/>
      <c r="B108" s="88"/>
      <c r="C108" s="88"/>
      <c r="D108" s="85" t="str" cm="1">
        <f t="array" aca="1" ref="D108" ca="1">IF(OR(IF(OR(A108="", B108="", C108=""), "", INDIRECT("'" &amp; B108 &amp; "'!" &amp; C108))=0, IF(OR(A108="", B108="", C108=""), "", INDIRECT("'" &amp; B108 &amp; "'!" &amp; C108))=""),"",INDIRECT("'" &amp; B108 &amp; "'!" &amp; C108))</f>
        <v/>
      </c>
    </row>
    <row r="109" spans="1:4" ht="15" x14ac:dyDescent="0.2">
      <c r="A109" s="95"/>
      <c r="B109" s="89"/>
      <c r="C109" s="89"/>
      <c r="D109" s="82" t="str" cm="1">
        <f t="array" aca="1" ref="D109" ca="1">IF(OR(IF(OR(A109="", B109="", C109=""), "", INDIRECT("'" &amp; B109 &amp; "'!" &amp; C109))=0, IF(OR(A109="", B109="", C109=""), "", INDIRECT("'" &amp; B109 &amp; "'!" &amp; C109))=""),"",INDIRECT("'" &amp; B109 &amp; "'!" &amp; C109))</f>
        <v/>
      </c>
    </row>
    <row r="110" spans="1:4" ht="15" x14ac:dyDescent="0.2">
      <c r="A110" s="94"/>
      <c r="B110" s="88"/>
      <c r="C110" s="88"/>
      <c r="D110" s="85" t="str" cm="1">
        <f t="array" aca="1" ref="D110" ca="1">IF(OR(IF(OR(A110="", B110="", C110=""), "", INDIRECT("'" &amp; B110 &amp; "'!" &amp; C110))=0, IF(OR(A110="", B110="", C110=""), "", INDIRECT("'" &amp; B110 &amp; "'!" &amp; C110))=""),"",INDIRECT("'" &amp; B110 &amp; "'!" &amp; C110))</f>
        <v/>
      </c>
    </row>
    <row r="111" spans="1:4" ht="15" x14ac:dyDescent="0.2">
      <c r="A111" s="95"/>
      <c r="B111" s="89"/>
      <c r="C111" s="89"/>
      <c r="D111" s="82" t="str" cm="1">
        <f t="array" aca="1" ref="D111" ca="1">IF(OR(IF(OR(A111="", B111="", C111=""), "", INDIRECT("'" &amp; B111 &amp; "'!" &amp; C111))=0, IF(OR(A111="", B111="", C111=""), "", INDIRECT("'" &amp; B111 &amp; "'!" &amp; C111))=""),"",INDIRECT("'" &amp; B111 &amp; "'!" &amp; C111))</f>
        <v/>
      </c>
    </row>
    <row r="112" spans="1:4" ht="15" x14ac:dyDescent="0.2">
      <c r="A112" s="94"/>
      <c r="B112" s="88"/>
      <c r="C112" s="88"/>
      <c r="D112" s="85" t="str" cm="1">
        <f t="array" aca="1" ref="D112" ca="1">IF(OR(IF(OR(A112="", B112="", C112=""), "", INDIRECT("'" &amp; B112 &amp; "'!" &amp; C112))=0, IF(OR(A112="", B112="", C112=""), "", INDIRECT("'" &amp; B112 &amp; "'!" &amp; C112))=""),"",INDIRECT("'" &amp; B112 &amp; "'!" &amp; C112))</f>
        <v/>
      </c>
    </row>
    <row r="113" spans="1:4" ht="15" x14ac:dyDescent="0.2">
      <c r="A113" s="95"/>
      <c r="B113" s="89"/>
      <c r="C113" s="89"/>
      <c r="D113" s="82" t="str" cm="1">
        <f t="array" aca="1" ref="D113" ca="1">IF(OR(IF(OR(A113="", B113="", C113=""), "", INDIRECT("'" &amp; B113 &amp; "'!" &amp; C113))=0, IF(OR(A113="", B113="", C113=""), "", INDIRECT("'" &amp; B113 &amp; "'!" &amp; C113))=""),"",INDIRECT("'" &amp; B113 &amp; "'!" &amp; C113))</f>
        <v/>
      </c>
    </row>
    <row r="114" spans="1:4" ht="15" x14ac:dyDescent="0.2">
      <c r="A114" s="94"/>
      <c r="B114" s="88"/>
      <c r="C114" s="88"/>
      <c r="D114" s="85" t="str" cm="1">
        <f t="array" aca="1" ref="D114" ca="1">IF(OR(IF(OR(A114="", B114="", C114=""), "", INDIRECT("'" &amp; B114 &amp; "'!" &amp; C114))=0, IF(OR(A114="", B114="", C114=""), "", INDIRECT("'" &amp; B114 &amp; "'!" &amp; C114))=""),"",INDIRECT("'" &amp; B114 &amp; "'!" &amp; C114))</f>
        <v/>
      </c>
    </row>
    <row r="115" spans="1:4" ht="15" x14ac:dyDescent="0.2">
      <c r="A115" s="95"/>
      <c r="B115" s="89"/>
      <c r="C115" s="89"/>
      <c r="D115" s="82" t="str" cm="1">
        <f t="array" aca="1" ref="D115" ca="1">IF(OR(IF(OR(A115="", B115="", C115=""), "", INDIRECT("'" &amp; B115 &amp; "'!" &amp; C115))=0, IF(OR(A115="", B115="", C115=""), "", INDIRECT("'" &amp; B115 &amp; "'!" &amp; C115))=""),"",INDIRECT("'" &amp; B115 &amp; "'!" &amp; C115))</f>
        <v/>
      </c>
    </row>
    <row r="116" spans="1:4" ht="15" x14ac:dyDescent="0.2">
      <c r="A116" s="94"/>
      <c r="B116" s="88"/>
      <c r="C116" s="88"/>
      <c r="D116" s="85" t="str" cm="1">
        <f t="array" aca="1" ref="D116" ca="1">IF(OR(IF(OR(A116="", B116="", C116=""), "", INDIRECT("'" &amp; B116 &amp; "'!" &amp; C116))=0, IF(OR(A116="", B116="", C116=""), "", INDIRECT("'" &amp; B116 &amp; "'!" &amp; C116))=""),"",INDIRECT("'" &amp; B116 &amp; "'!" &amp; C116))</f>
        <v/>
      </c>
    </row>
    <row r="117" spans="1:4" ht="15" x14ac:dyDescent="0.2">
      <c r="A117" s="95"/>
      <c r="B117" s="89"/>
      <c r="C117" s="89"/>
      <c r="D117" s="82" t="str" cm="1">
        <f t="array" aca="1" ref="D117" ca="1">IF(OR(IF(OR(A117="", B117="", C117=""), "", INDIRECT("'" &amp; B117 &amp; "'!" &amp; C117))=0, IF(OR(A117="", B117="", C117=""), "", INDIRECT("'" &amp; B117 &amp; "'!" &amp; C117))=""),"",INDIRECT("'" &amp; B117 &amp; "'!" &amp; C117))</f>
        <v/>
      </c>
    </row>
    <row r="118" spans="1:4" ht="15" x14ac:dyDescent="0.2">
      <c r="A118" s="94"/>
      <c r="B118" s="88"/>
      <c r="C118" s="88"/>
      <c r="D118" s="85" t="str" cm="1">
        <f t="array" aca="1" ref="D118" ca="1">IF(OR(IF(OR(A118="", B118="", C118=""), "", INDIRECT("'" &amp; B118 &amp; "'!" &amp; C118))=0, IF(OR(A118="", B118="", C118=""), "", INDIRECT("'" &amp; B118 &amp; "'!" &amp; C118))=""),"",INDIRECT("'" &amp; B118 &amp; "'!" &amp; C118))</f>
        <v/>
      </c>
    </row>
    <row r="119" spans="1:4" ht="15" x14ac:dyDescent="0.2">
      <c r="A119" s="95"/>
      <c r="B119" s="89"/>
      <c r="C119" s="89"/>
      <c r="D119" s="82" t="str" cm="1">
        <f t="array" aca="1" ref="D119" ca="1">IF(OR(IF(OR(A119="", B119="", C119=""), "", INDIRECT("'" &amp; B119 &amp; "'!" &amp; C119))=0, IF(OR(A119="", B119="", C119=""), "", INDIRECT("'" &amp; B119 &amp; "'!" &amp; C119))=""),"",INDIRECT("'" &amp; B119 &amp; "'!" &amp; C119))</f>
        <v/>
      </c>
    </row>
    <row r="120" spans="1:4" ht="15" x14ac:dyDescent="0.2">
      <c r="A120" s="94"/>
      <c r="B120" s="88"/>
      <c r="C120" s="88"/>
      <c r="D120" s="85" t="str" cm="1">
        <f t="array" aca="1" ref="D120" ca="1">IF(OR(IF(OR(A120="", B120="", C120=""), "", INDIRECT("'" &amp; B120 &amp; "'!" &amp; C120))=0, IF(OR(A120="", B120="", C120=""), "", INDIRECT("'" &amp; B120 &amp; "'!" &amp; C120))=""),"",INDIRECT("'" &amp; B120 &amp; "'!" &amp; C120))</f>
        <v/>
      </c>
    </row>
    <row r="121" spans="1:4" ht="15" x14ac:dyDescent="0.2">
      <c r="A121" s="95"/>
      <c r="B121" s="89"/>
      <c r="C121" s="89"/>
      <c r="D121" s="82" t="str" cm="1">
        <f t="array" aca="1" ref="D121" ca="1">IF(OR(IF(OR(A121="", B121="", C121=""), "", INDIRECT("'" &amp; B121 &amp; "'!" &amp; C121))=0, IF(OR(A121="", B121="", C121=""), "", INDIRECT("'" &amp; B121 &amp; "'!" &amp; C121))=""),"",INDIRECT("'" &amp; B121 &amp; "'!" &amp; C121))</f>
        <v/>
      </c>
    </row>
    <row r="122" spans="1:4" ht="15" x14ac:dyDescent="0.2">
      <c r="A122" s="94"/>
      <c r="B122" s="88"/>
      <c r="C122" s="88"/>
      <c r="D122" s="85" t="str" cm="1">
        <f t="array" aca="1" ref="D122" ca="1">IF(OR(IF(OR(A122="", B122="", C122=""), "", INDIRECT("'" &amp; B122 &amp; "'!" &amp; C122))=0, IF(OR(A122="", B122="", C122=""), "", INDIRECT("'" &amp; B122 &amp; "'!" &amp; C122))=""),"",INDIRECT("'" &amp; B122 &amp; "'!" &amp; C122))</f>
        <v/>
      </c>
    </row>
    <row r="123" spans="1:4" ht="15" x14ac:dyDescent="0.2">
      <c r="A123" s="95"/>
      <c r="B123" s="89"/>
      <c r="C123" s="89"/>
      <c r="D123" s="82" t="str" cm="1">
        <f t="array" aca="1" ref="D123" ca="1">IF(OR(IF(OR(A123="", B123="", C123=""), "", INDIRECT("'" &amp; B123 &amp; "'!" &amp; C123))=0, IF(OR(A123="", B123="", C123=""), "", INDIRECT("'" &amp; B123 &amp; "'!" &amp; C123))=""),"",INDIRECT("'" &amp; B123 &amp; "'!" &amp; C123))</f>
        <v/>
      </c>
    </row>
    <row r="124" spans="1:4" ht="15.75" thickBot="1" x14ac:dyDescent="0.25">
      <c r="A124" s="106"/>
      <c r="B124" s="90"/>
      <c r="C124" s="90"/>
      <c r="D124" s="91" t="str" cm="1">
        <f t="array" aca="1" ref="D124" ca="1">IF(OR(IF(OR(A124="", B124="", C124=""), "", INDIRECT("'" &amp; B124 &amp; "'!" &amp; C124))=0, IF(OR(A124="", B124="", C124=""), "", INDIRECT("'" &amp; B124 &amp; "'!" &amp; C124))=""),"",INDIRECT("'" &amp; B124 &amp; "'!" &amp; C124))</f>
        <v/>
      </c>
    </row>
  </sheetData>
  <mergeCells count="3">
    <mergeCell ref="A1:D1"/>
    <mergeCell ref="F1:G1"/>
    <mergeCell ref="I1:J1"/>
  </mergeCells>
  <phoneticPr fontId="31" type="noConversion"/>
  <pageMargins left="0.7" right="0.7" top="0.75" bottom="0.75" header="0.3" footer="0.3"/>
  <pageSetup orientation="portrait" verticalDpi="0" r:id="rId1"/>
  <legacy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A6402-B233-409D-BC46-F71ECF57F60E}">
  <sheetPr>
    <tabColor theme="6"/>
  </sheetPr>
  <dimension ref="A1:S84"/>
  <sheetViews>
    <sheetView showGridLines="0" topLeftCell="A12" zoomScale="125" zoomScaleNormal="125" workbookViewId="0">
      <selection activeCell="F8" sqref="F8"/>
    </sheetView>
  </sheetViews>
  <sheetFormatPr defaultColWidth="8.85546875" defaultRowHeight="12.75" x14ac:dyDescent="0.2"/>
  <cols>
    <col min="1" max="1" width="35.42578125" customWidth="1"/>
    <col min="2" max="2" width="21.42578125" customWidth="1"/>
    <col min="3" max="3" width="12.42578125" customWidth="1"/>
    <col min="5" max="5" width="15.85546875" customWidth="1"/>
    <col min="6" max="6" width="16.42578125" customWidth="1"/>
    <col min="7" max="7" width="9.140625" bestFit="1" customWidth="1"/>
    <col min="10" max="10" width="14.85546875" customWidth="1"/>
    <col min="14" max="14" width="15.85546875" customWidth="1"/>
    <col min="16" max="16" width="12.85546875" customWidth="1"/>
    <col min="18" max="18" width="11.140625" customWidth="1"/>
  </cols>
  <sheetData>
    <row r="1" spans="1:19" ht="18" x14ac:dyDescent="0.25">
      <c r="A1" s="131" t="s">
        <v>79</v>
      </c>
      <c r="B1" s="131"/>
      <c r="C1" s="131"/>
      <c r="D1" s="131"/>
      <c r="K1" s="9"/>
      <c r="L1" s="9"/>
    </row>
    <row r="2" spans="1:19" ht="15.75" x14ac:dyDescent="0.25">
      <c r="K2" s="9"/>
      <c r="L2" s="9"/>
    </row>
    <row r="3" spans="1:19" ht="15.75" x14ac:dyDescent="0.25">
      <c r="A3" t="s">
        <v>80</v>
      </c>
      <c r="B3" s="20" t="s">
        <v>105</v>
      </c>
      <c r="K3" s="9"/>
      <c r="L3" s="9"/>
    </row>
    <row r="4" spans="1:19" ht="15.75" x14ac:dyDescent="0.25">
      <c r="A4" t="s">
        <v>81</v>
      </c>
      <c r="B4" s="21">
        <v>27560</v>
      </c>
      <c r="K4" s="9"/>
      <c r="L4" s="9"/>
      <c r="M4" s="9"/>
    </row>
    <row r="5" spans="1:19" ht="15.75" x14ac:dyDescent="0.25">
      <c r="A5" t="s">
        <v>82</v>
      </c>
      <c r="B5" s="21">
        <v>44440</v>
      </c>
      <c r="K5" s="9"/>
      <c r="L5" s="9"/>
    </row>
    <row r="6" spans="1:19" ht="15.75" x14ac:dyDescent="0.25">
      <c r="A6" t="s">
        <v>83</v>
      </c>
      <c r="B6" s="21">
        <f>DATE(2026,6,1)</f>
        <v>46174</v>
      </c>
      <c r="Q6" s="9"/>
      <c r="S6" s="9"/>
    </row>
    <row r="7" spans="1:19" ht="15.75" x14ac:dyDescent="0.25">
      <c r="A7" t="s">
        <v>108</v>
      </c>
      <c r="B7" s="35">
        <v>70</v>
      </c>
      <c r="O7" s="11"/>
      <c r="Q7" s="9"/>
    </row>
    <row r="8" spans="1:19" ht="15.75" x14ac:dyDescent="0.25">
      <c r="A8" t="s">
        <v>84</v>
      </c>
      <c r="B8" s="20" t="s">
        <v>130</v>
      </c>
      <c r="O8" s="11"/>
      <c r="Q8" s="9"/>
      <c r="S8" s="9"/>
    </row>
    <row r="9" spans="1:19" ht="15.75" x14ac:dyDescent="0.25">
      <c r="A9" t="s">
        <v>85</v>
      </c>
      <c r="B9" s="20" t="s">
        <v>74</v>
      </c>
      <c r="Q9" s="9"/>
    </row>
    <row r="10" spans="1:19" ht="15.75" x14ac:dyDescent="0.25">
      <c r="A10" t="s">
        <v>86</v>
      </c>
      <c r="B10" s="22">
        <v>141416</v>
      </c>
      <c r="O10" s="9"/>
      <c r="Q10" s="9"/>
    </row>
    <row r="11" spans="1:19" ht="15.75" x14ac:dyDescent="0.25">
      <c r="Q11" s="9"/>
    </row>
    <row r="12" spans="1:19" ht="15.75" x14ac:dyDescent="0.25">
      <c r="A12" s="132" t="s">
        <v>87</v>
      </c>
      <c r="B12" s="132"/>
      <c r="C12" s="132"/>
      <c r="D12" s="132"/>
      <c r="Q12" s="9"/>
    </row>
    <row r="13" spans="1:19" ht="15.75" x14ac:dyDescent="0.25">
      <c r="A13" t="s">
        <v>88</v>
      </c>
      <c r="B13" s="23">
        <f>IF(OR(B5="",B4=""),"",(B5-B4)/365.25)</f>
        <v>46.214921286789867</v>
      </c>
      <c r="Q13" s="9"/>
    </row>
    <row r="14" spans="1:19" ht="15.75" x14ac:dyDescent="0.25">
      <c r="A14" t="s">
        <v>89</v>
      </c>
      <c r="B14" s="23">
        <f>IF(OR(B6="",B4=""),"",(B6-B4)/365.25)</f>
        <v>50.962354551676931</v>
      </c>
      <c r="Q14" s="9"/>
    </row>
    <row r="15" spans="1:19" ht="15.75" x14ac:dyDescent="0.25">
      <c r="A15" t="s">
        <v>90</v>
      </c>
      <c r="B15" s="23">
        <f>IF(B13="","",IF(UPPER(B8)="F",_xlfn.XLOOKUP(INT(B13),LE_F!A:A,LE_F!B:B,""),IF(UPPER(B8)="M",_xlfn.XLOOKUP(INT(B13),LE_M!A:A,LE_M!B:B,""),"")))</f>
        <v>33.4</v>
      </c>
      <c r="Q15" s="9"/>
    </row>
    <row r="16" spans="1:19" ht="15.75" x14ac:dyDescent="0.25">
      <c r="A16" t="s">
        <v>91</v>
      </c>
      <c r="B16" s="23">
        <f>IF(OR(B15="",B13="",B14=""),"",B15-(B14-B13))</f>
        <v>28.652566735112934</v>
      </c>
      <c r="O16" s="9"/>
    </row>
    <row r="17" spans="1:15" ht="15.75" x14ac:dyDescent="0.25">
      <c r="A17" t="s">
        <v>92</v>
      </c>
      <c r="B17" s="23" cm="1">
        <f t="array" ref="B17">IF(OR(B8="",B9="",B13=""),"",_xlfn.XLOOKUP(1,(WLE!A:A=B9)*(WLE!B:B=UPPER(LEFT(B8,1)))*(WLE!C:C=INT(B13)),WLE!D:D,""))</f>
        <v>19.04</v>
      </c>
      <c r="O17" s="9"/>
    </row>
    <row r="18" spans="1:15" ht="15.75" x14ac:dyDescent="0.25">
      <c r="A18" t="s">
        <v>93</v>
      </c>
      <c r="B18" s="23">
        <f>IF(OR(B17="",B13="",B14=""),"",MAX(0,B17-(B14-B13)))</f>
        <v>14.292566735112935</v>
      </c>
      <c r="O18" s="9"/>
    </row>
    <row r="19" spans="1:15" ht="15.75" x14ac:dyDescent="0.25">
      <c r="A19" t="s">
        <v>94</v>
      </c>
      <c r="B19" s="24">
        <f>IF(B18="","",INT(B18))</f>
        <v>14</v>
      </c>
      <c r="O19" s="9"/>
    </row>
    <row r="20" spans="1:15" ht="15.75" x14ac:dyDescent="0.25">
      <c r="A20" t="s">
        <v>95</v>
      </c>
      <c r="B20" s="25">
        <f>IF(B18="","",B18-INT(B18))</f>
        <v>0.29256673511293485</v>
      </c>
      <c r="O20" s="9"/>
    </row>
    <row r="21" spans="1:15" ht="15.75" x14ac:dyDescent="0.25">
      <c r="A21" t="s">
        <v>109</v>
      </c>
      <c r="B21" s="23">
        <f>MAX(0, B7 - B14)</f>
        <v>19.037645448323069</v>
      </c>
      <c r="O21" s="9"/>
    </row>
    <row r="22" spans="1:15" x14ac:dyDescent="0.2">
      <c r="A22" t="s">
        <v>110</v>
      </c>
      <c r="B22" s="24">
        <f>INT(B21)</f>
        <v>19</v>
      </c>
    </row>
    <row r="23" spans="1:15" ht="15.75" x14ac:dyDescent="0.25">
      <c r="A23" t="s">
        <v>111</v>
      </c>
      <c r="B23" s="25">
        <f>B21-B22</f>
        <v>3.764544832306882E-2</v>
      </c>
      <c r="O23" s="9"/>
    </row>
    <row r="24" spans="1:15" ht="15.75" x14ac:dyDescent="0.25">
      <c r="A24" t="s">
        <v>113</v>
      </c>
      <c r="B24" s="25">
        <f>(B6-B5)/365.25</f>
        <v>4.7474332648870634</v>
      </c>
      <c r="O24" s="9"/>
    </row>
    <row r="25" spans="1:15" x14ac:dyDescent="0.2">
      <c r="A25" t="s">
        <v>114</v>
      </c>
      <c r="B25">
        <f>INT(B24)</f>
        <v>4</v>
      </c>
    </row>
    <row r="26" spans="1:15" x14ac:dyDescent="0.2">
      <c r="A26" s="133" t="s">
        <v>96</v>
      </c>
      <c r="B26" s="130"/>
      <c r="C26" s="130"/>
      <c r="D26" s="130"/>
    </row>
    <row r="27" spans="1:15" x14ac:dyDescent="0.2">
      <c r="A27" t="s">
        <v>97</v>
      </c>
      <c r="B27" s="39">
        <v>3.1E-2</v>
      </c>
    </row>
    <row r="28" spans="1:15" x14ac:dyDescent="0.2">
      <c r="A28" t="s">
        <v>124</v>
      </c>
      <c r="B28" s="40" t="s">
        <v>150</v>
      </c>
      <c r="C28" s="41" t="s">
        <v>128</v>
      </c>
    </row>
    <row r="29" spans="1:15" x14ac:dyDescent="0.2">
      <c r="A29" t="s">
        <v>127</v>
      </c>
      <c r="B29" s="39">
        <v>0</v>
      </c>
    </row>
    <row r="30" spans="1:15" x14ac:dyDescent="0.2">
      <c r="B30" s="7"/>
      <c r="F30" s="7"/>
    </row>
    <row r="31" spans="1:15" x14ac:dyDescent="0.2">
      <c r="A31" s="128"/>
      <c r="B31" s="129"/>
      <c r="C31" s="130"/>
      <c r="D31" s="130"/>
      <c r="F31" s="7"/>
    </row>
    <row r="32" spans="1:15" ht="13.35" customHeight="1" x14ac:dyDescent="0.2">
      <c r="B32" s="7"/>
      <c r="F32" s="7"/>
    </row>
    <row r="33" spans="1:7" x14ac:dyDescent="0.2">
      <c r="A33" s="74" t="s">
        <v>251</v>
      </c>
      <c r="B33" s="50"/>
    </row>
    <row r="34" spans="1:7" x14ac:dyDescent="0.2">
      <c r="A34" t="s">
        <v>134</v>
      </c>
      <c r="B34" s="7"/>
    </row>
    <row r="35" spans="1:7" x14ac:dyDescent="0.2">
      <c r="A35" t="s">
        <v>135</v>
      </c>
      <c r="B35" s="7">
        <f>'Base 1 PV Loss WLE'!G17</f>
        <v>355890.41095890413</v>
      </c>
    </row>
    <row r="36" spans="1:7" x14ac:dyDescent="0.2">
      <c r="A36" t="s">
        <v>453</v>
      </c>
      <c r="B36" s="7"/>
    </row>
    <row r="37" spans="1:7" x14ac:dyDescent="0.2">
      <c r="A37" t="s">
        <v>136</v>
      </c>
      <c r="B37" s="7">
        <f>'Base 1 PV Loss WLE'!G71</f>
        <v>1091912.9611206262</v>
      </c>
    </row>
    <row r="38" spans="1:7" x14ac:dyDescent="0.2">
      <c r="A38" t="s">
        <v>454</v>
      </c>
      <c r="B38" s="7"/>
    </row>
    <row r="39" spans="1:7" x14ac:dyDescent="0.2">
      <c r="A39" t="s">
        <v>455</v>
      </c>
      <c r="B39" s="7"/>
    </row>
    <row r="40" spans="1:7" x14ac:dyDescent="0.2">
      <c r="A40" s="19" t="s">
        <v>137</v>
      </c>
      <c r="B40" s="7">
        <f>'Base 1 PV Loss WLE'!G73</f>
        <v>1447803.3720795303</v>
      </c>
    </row>
    <row r="41" spans="1:7" x14ac:dyDescent="0.2">
      <c r="A41" t="s">
        <v>138</v>
      </c>
      <c r="B41" s="7"/>
    </row>
    <row r="42" spans="1:7" x14ac:dyDescent="0.2">
      <c r="A42" t="s">
        <v>135</v>
      </c>
      <c r="B42" s="7">
        <f>'Base 1 PV Loss To Age'!G17</f>
        <v>671047.97808219178</v>
      </c>
    </row>
    <row r="43" spans="1:7" x14ac:dyDescent="0.2">
      <c r="A43" t="s">
        <v>136</v>
      </c>
      <c r="B43" s="7">
        <f>'Base 1 PV Loss To Age'!G71</f>
        <v>2799954.5957609955</v>
      </c>
      <c r="G43" s="8"/>
    </row>
    <row r="44" spans="1:7" x14ac:dyDescent="0.2">
      <c r="A44" s="19" t="s">
        <v>139</v>
      </c>
      <c r="B44" s="7">
        <f>'Base 1 PV Loss To Age'!G73</f>
        <v>3471002.5738431872</v>
      </c>
    </row>
    <row r="46" spans="1:7" x14ac:dyDescent="0.2">
      <c r="A46" s="31" t="s">
        <v>140</v>
      </c>
      <c r="B46" s="47"/>
    </row>
    <row r="47" spans="1:7" x14ac:dyDescent="0.2">
      <c r="A47" t="s">
        <v>134</v>
      </c>
    </row>
    <row r="48" spans="1:7" x14ac:dyDescent="0.2">
      <c r="A48" t="s">
        <v>135</v>
      </c>
      <c r="B48" s="7">
        <f>'Base 2 PV Loss WLE'!G17</f>
        <v>671047.97808219178</v>
      </c>
    </row>
    <row r="49" spans="1:10" x14ac:dyDescent="0.2">
      <c r="A49" t="s">
        <v>136</v>
      </c>
      <c r="B49" s="7">
        <f>'Base 2 PV Loss WLE'!G71</f>
        <v>2058852.8441311263</v>
      </c>
      <c r="J49" s="8"/>
    </row>
    <row r="50" spans="1:10" x14ac:dyDescent="0.2">
      <c r="A50" s="19" t="s">
        <v>137</v>
      </c>
      <c r="B50" s="7">
        <f>'Base 2 PV Loss WLE'!G73</f>
        <v>2729900.8222133182</v>
      </c>
      <c r="J50" s="8"/>
    </row>
    <row r="51" spans="1:10" x14ac:dyDescent="0.2">
      <c r="A51" t="s">
        <v>138</v>
      </c>
      <c r="B51" s="7"/>
      <c r="J51" s="8"/>
    </row>
    <row r="52" spans="1:10" x14ac:dyDescent="0.2">
      <c r="A52" t="s">
        <v>135</v>
      </c>
      <c r="B52" s="7">
        <f>'Base 2 PV Loss To Age'!G17</f>
        <v>1186301.3698630137</v>
      </c>
    </row>
    <row r="53" spans="1:10" x14ac:dyDescent="0.2">
      <c r="A53" t="s">
        <v>136</v>
      </c>
      <c r="B53" s="7">
        <f>'Base 2 PV Loss To Age'!G71</f>
        <v>4736924.6467422284</v>
      </c>
    </row>
    <row r="54" spans="1:10" x14ac:dyDescent="0.2">
      <c r="A54" s="19" t="s">
        <v>139</v>
      </c>
      <c r="B54" s="7">
        <f>'Base 2 PV Loss To Age'!G73</f>
        <v>5923226.0166052422</v>
      </c>
    </row>
    <row r="56" spans="1:10" x14ac:dyDescent="0.2">
      <c r="A56" s="43" t="s">
        <v>141</v>
      </c>
      <c r="B56" s="47"/>
      <c r="C56" s="8"/>
      <c r="J56" s="8"/>
    </row>
    <row r="57" spans="1:10" x14ac:dyDescent="0.2">
      <c r="A57" t="s">
        <v>134</v>
      </c>
      <c r="C57" s="8"/>
    </row>
    <row r="58" spans="1:10" x14ac:dyDescent="0.2">
      <c r="A58" t="s">
        <v>135</v>
      </c>
      <c r="B58" s="7">
        <f>'Credit 1 PV Loss WLE'!G17</f>
        <v>322142.50958904106</v>
      </c>
      <c r="C58" s="8"/>
    </row>
    <row r="59" spans="1:10" x14ac:dyDescent="0.2">
      <c r="A59" t="s">
        <v>136</v>
      </c>
      <c r="B59" s="7">
        <f>'Credit 1 PV Loss WLE'!G71</f>
        <v>1257537.7802940556</v>
      </c>
    </row>
    <row r="60" spans="1:10" x14ac:dyDescent="0.2">
      <c r="A60" s="19" t="s">
        <v>137</v>
      </c>
      <c r="B60" s="7">
        <f>'Credit 1 PV Loss WLE'!G73</f>
        <v>1579680.2898830967</v>
      </c>
    </row>
    <row r="61" spans="1:10" x14ac:dyDescent="0.2">
      <c r="A61" t="s">
        <v>138</v>
      </c>
      <c r="B61" s="7"/>
      <c r="C61" s="8"/>
    </row>
    <row r="62" spans="1:10" x14ac:dyDescent="0.2">
      <c r="A62" t="s">
        <v>135</v>
      </c>
      <c r="B62" s="7">
        <f>'Credit 1 PV Loss To Age'!G17</f>
        <v>320078.34520547948</v>
      </c>
      <c r="C62" s="8"/>
    </row>
    <row r="63" spans="1:10" x14ac:dyDescent="0.2">
      <c r="A63" t="s">
        <v>136</v>
      </c>
      <c r="B63" s="7">
        <f>'Credit 1 PV Loss To Age'!G71</f>
        <v>1747650.3126170188</v>
      </c>
    </row>
    <row r="64" spans="1:10" x14ac:dyDescent="0.2">
      <c r="A64" s="19" t="s">
        <v>139</v>
      </c>
      <c r="B64" s="7">
        <f>'Credit 1 PV Loss To Age'!G73</f>
        <v>2067728.6578224984</v>
      </c>
      <c r="C64" s="8"/>
    </row>
    <row r="65" spans="1:3" x14ac:dyDescent="0.2">
      <c r="C65" s="8"/>
    </row>
    <row r="66" spans="1:3" x14ac:dyDescent="0.2">
      <c r="A66" s="44" t="s">
        <v>146</v>
      </c>
      <c r="B66" s="47"/>
    </row>
    <row r="67" spans="1:3" x14ac:dyDescent="0.2">
      <c r="A67" t="s">
        <v>134</v>
      </c>
      <c r="C67" s="8"/>
    </row>
    <row r="68" spans="1:3" x14ac:dyDescent="0.2">
      <c r="A68" s="19" t="s">
        <v>135</v>
      </c>
      <c r="B68" s="7">
        <f>'Credit 2 PV Loss WLE'!G17</f>
        <v>374866.48767123284</v>
      </c>
    </row>
    <row r="69" spans="1:3" x14ac:dyDescent="0.2">
      <c r="A69" t="s">
        <v>136</v>
      </c>
      <c r="B69" s="7">
        <f>'Credit 2 PV Loss WLE'!G71</f>
        <v>1463354.7476056165</v>
      </c>
    </row>
    <row r="70" spans="1:3" x14ac:dyDescent="0.2">
      <c r="A70" s="19" t="s">
        <v>137</v>
      </c>
      <c r="B70" s="30">
        <f>'Credit 2 PV Loss WLE'!G73</f>
        <v>1838221.2352768492</v>
      </c>
    </row>
    <row r="71" spans="1:3" x14ac:dyDescent="0.2">
      <c r="A71" t="s">
        <v>138</v>
      </c>
    </row>
    <row r="72" spans="1:3" x14ac:dyDescent="0.2">
      <c r="A72" s="19" t="s">
        <v>135</v>
      </c>
      <c r="B72" s="7">
        <f>'Credit 2 PV Loss To Age'!G17</f>
        <v>312125.38082191779</v>
      </c>
    </row>
    <row r="73" spans="1:3" x14ac:dyDescent="0.2">
      <c r="A73" t="s">
        <v>136</v>
      </c>
      <c r="B73" s="7">
        <f>'Credit 2 PV Loss To Age'!G71</f>
        <v>1704226.5668392754</v>
      </c>
    </row>
    <row r="74" spans="1:3" x14ac:dyDescent="0.2">
      <c r="A74" s="19" t="s">
        <v>139</v>
      </c>
      <c r="B74" s="30">
        <f>'Credit 2 PV Loss To Age'!G73</f>
        <v>2016351.9476611931</v>
      </c>
    </row>
    <row r="76" spans="1:3" x14ac:dyDescent="0.2">
      <c r="A76" s="45" t="s">
        <v>147</v>
      </c>
      <c r="B76" s="47"/>
    </row>
    <row r="77" spans="1:3" x14ac:dyDescent="0.2">
      <c r="A77" t="s">
        <v>134</v>
      </c>
    </row>
    <row r="78" spans="1:3" x14ac:dyDescent="0.2">
      <c r="A78" s="19" t="s">
        <v>135</v>
      </c>
      <c r="B78" s="7">
        <f>'Base 5 PV Loss WLE'!G17</f>
        <v>415993.18356164382</v>
      </c>
    </row>
    <row r="79" spans="1:3" x14ac:dyDescent="0.2">
      <c r="A79" t="s">
        <v>136</v>
      </c>
      <c r="B79" s="7">
        <f>'Base 5 PV Loss WLE'!G71</f>
        <v>1623899.7620677983</v>
      </c>
    </row>
    <row r="80" spans="1:3" x14ac:dyDescent="0.2">
      <c r="A80" s="19" t="s">
        <v>137</v>
      </c>
      <c r="B80" s="30">
        <f>'Base 5 PV Loss WLE'!G73</f>
        <v>2039892.9456294421</v>
      </c>
    </row>
    <row r="81" spans="1:2" x14ac:dyDescent="0.2">
      <c r="A81" t="s">
        <v>138</v>
      </c>
    </row>
    <row r="82" spans="1:2" x14ac:dyDescent="0.2">
      <c r="A82" s="19" t="s">
        <v>135</v>
      </c>
      <c r="B82" s="7">
        <f>'Base 5 PV Loss To Age'!G17</f>
        <v>98700.27397260275</v>
      </c>
    </row>
    <row r="83" spans="1:2" x14ac:dyDescent="0.2">
      <c r="A83" t="s">
        <v>136</v>
      </c>
      <c r="B83" s="7">
        <f>'Base 5 PV Loss To Age'!G71</f>
        <v>538910.44879299647</v>
      </c>
    </row>
    <row r="84" spans="1:2" x14ac:dyDescent="0.2">
      <c r="A84" s="19" t="s">
        <v>139</v>
      </c>
      <c r="B84" s="30">
        <f>'Base 5 PV Loss To Age'!G73</f>
        <v>637610.72276559926</v>
      </c>
    </row>
  </sheetData>
  <mergeCells count="4">
    <mergeCell ref="A31:D31"/>
    <mergeCell ref="A1:D1"/>
    <mergeCell ref="A12:D12"/>
    <mergeCell ref="A26:D26"/>
  </mergeCells>
  <phoneticPr fontId="0" type="noConversion"/>
  <dataValidations count="2">
    <dataValidation type="list" allowBlank="1" showInputMessage="1" showErrorMessage="1" sqref="B28" xr:uid="{538D03BE-50D6-475B-B155-93A8C8C6ED02}">
      <formula1>"CPI Adjustment,No Adjustment,Custom Rate"</formula1>
    </dataValidation>
    <dataValidation type="list" allowBlank="1" showInputMessage="1" showErrorMessage="1" sqref="B9" xr:uid="{355B3624-D816-463D-AC94-E8591D129290}">
      <formula1>"All-Education,No Education to 9th,10th to 12th Grade,GED,HSD,Some College,Associates Degree,Bachelor's Degree,Master's Degree,Professional or Doctoral"</formula1>
    </dataValidation>
  </dataValidations>
  <pageMargins left="0.75" right="0.75" top="1" bottom="1" header="0.5" footer="0.5"/>
  <pageSetup orientation="portrait" horizontalDpi="4294967292" verticalDpi="4294967292"/>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2098-77B8-4E6B-973C-F8453D7291D8}">
  <sheetPr>
    <tabColor rgb="FF70AD47"/>
  </sheetPr>
  <dimension ref="A1:L106"/>
  <sheetViews>
    <sheetView workbookViewId="0">
      <selection activeCell="B20" sqref="B20"/>
    </sheetView>
  </sheetViews>
  <sheetFormatPr defaultColWidth="8.85546875" defaultRowHeight="12.75" x14ac:dyDescent="0.2"/>
  <cols>
    <col min="1" max="1" width="32.42578125" customWidth="1"/>
    <col min="2" max="2" width="64.85546875" customWidth="1"/>
    <col min="3" max="3" width="26.42578125" customWidth="1"/>
    <col min="4" max="4" width="17.85546875" customWidth="1"/>
  </cols>
  <sheetData>
    <row r="1" spans="1:5" x14ac:dyDescent="0.2">
      <c r="E1" s="8" t="s">
        <v>237</v>
      </c>
    </row>
    <row r="2" spans="1:5" x14ac:dyDescent="0.2">
      <c r="A2" s="75" t="s">
        <v>151</v>
      </c>
      <c r="B2" s="52">
        <v>46106</v>
      </c>
    </row>
    <row r="3" spans="1:5" x14ac:dyDescent="0.2">
      <c r="A3" s="75" t="s">
        <v>152</v>
      </c>
      <c r="B3" t="s">
        <v>265</v>
      </c>
      <c r="C3" s="8" t="s">
        <v>0</v>
      </c>
      <c r="D3" s="8" t="s">
        <v>232</v>
      </c>
    </row>
    <row r="4" spans="1:5" x14ac:dyDescent="0.2">
      <c r="A4" s="75" t="s">
        <v>153</v>
      </c>
      <c r="B4" t="s">
        <v>266</v>
      </c>
    </row>
    <row r="5" spans="1:5" x14ac:dyDescent="0.2">
      <c r="A5" s="75" t="s">
        <v>154</v>
      </c>
      <c r="B5" t="s">
        <v>209</v>
      </c>
    </row>
    <row r="6" spans="1:5" x14ac:dyDescent="0.2">
      <c r="A6" s="75" t="s">
        <v>155</v>
      </c>
      <c r="B6" t="s">
        <v>210</v>
      </c>
    </row>
    <row r="7" spans="1:5" x14ac:dyDescent="0.2">
      <c r="A7" s="75" t="s">
        <v>156</v>
      </c>
      <c r="B7" t="s">
        <v>211</v>
      </c>
    </row>
    <row r="8" spans="1:5" x14ac:dyDescent="0.2">
      <c r="A8" s="75" t="s">
        <v>157</v>
      </c>
      <c r="B8" t="s">
        <v>212</v>
      </c>
    </row>
    <row r="9" spans="1:5" x14ac:dyDescent="0.2">
      <c r="A9" s="75" t="s">
        <v>158</v>
      </c>
      <c r="B9" t="s">
        <v>213</v>
      </c>
    </row>
    <row r="10" spans="1:5" x14ac:dyDescent="0.2">
      <c r="A10" s="75" t="s">
        <v>159</v>
      </c>
      <c r="B10" s="99">
        <v>33101</v>
      </c>
    </row>
    <row r="11" spans="1:5" x14ac:dyDescent="0.2">
      <c r="A11" s="75" t="s">
        <v>160</v>
      </c>
      <c r="B11" t="s">
        <v>214</v>
      </c>
    </row>
    <row r="12" spans="1:5" x14ac:dyDescent="0.2">
      <c r="A12" s="75" t="s">
        <v>193</v>
      </c>
      <c r="B12" s="8" t="s">
        <v>261</v>
      </c>
    </row>
    <row r="13" spans="1:5" x14ac:dyDescent="0.2">
      <c r="A13" s="75" t="s">
        <v>161</v>
      </c>
      <c r="B13" s="8" t="s">
        <v>262</v>
      </c>
    </row>
    <row r="14" spans="1:5" x14ac:dyDescent="0.2">
      <c r="A14" s="75" t="s">
        <v>162</v>
      </c>
      <c r="B14" s="8" t="s">
        <v>263</v>
      </c>
      <c r="C14" s="8" t="s">
        <v>228</v>
      </c>
      <c r="D14" s="8" t="s">
        <v>234</v>
      </c>
      <c r="E14" s="53" t="b">
        <v>0</v>
      </c>
    </row>
    <row r="15" spans="1:5" x14ac:dyDescent="0.2">
      <c r="A15" s="75" t="s">
        <v>163</v>
      </c>
      <c r="B15" s="92" t="s">
        <v>258</v>
      </c>
      <c r="C15" s="8" t="s">
        <v>229</v>
      </c>
      <c r="D15" s="51">
        <v>27983</v>
      </c>
      <c r="E15" s="53" t="b">
        <v>0</v>
      </c>
    </row>
    <row r="16" spans="1:5" x14ac:dyDescent="0.2">
      <c r="A16" s="75" t="s">
        <v>164</v>
      </c>
      <c r="B16" s="92" t="s">
        <v>259</v>
      </c>
      <c r="C16" s="8" t="s">
        <v>233</v>
      </c>
      <c r="D16" s="8" t="s">
        <v>235</v>
      </c>
      <c r="E16" s="53" t="b">
        <v>0</v>
      </c>
    </row>
    <row r="17" spans="1:12" x14ac:dyDescent="0.2">
      <c r="A17" s="75" t="str">
        <f>"Date of "&amp;B19</f>
        <v>Date of Trial</v>
      </c>
      <c r="B17" s="92" t="s">
        <v>260</v>
      </c>
      <c r="C17" s="8" t="s">
        <v>230</v>
      </c>
      <c r="D17" s="8" t="s">
        <v>236</v>
      </c>
      <c r="E17" s="53" t="b">
        <v>0</v>
      </c>
    </row>
    <row r="18" spans="1:12" x14ac:dyDescent="0.2">
      <c r="A18" s="75" t="s">
        <v>165</v>
      </c>
      <c r="B18" s="8" t="s">
        <v>264</v>
      </c>
      <c r="C18" s="8" t="s">
        <v>231</v>
      </c>
      <c r="D18" s="51">
        <v>45145</v>
      </c>
      <c r="E18" s="53" t="b">
        <v>0</v>
      </c>
    </row>
    <row r="19" spans="1:12" x14ac:dyDescent="0.2">
      <c r="A19" s="75" t="s">
        <v>166</v>
      </c>
      <c r="B19" t="s">
        <v>167</v>
      </c>
      <c r="L19" s="110" t="s">
        <v>435</v>
      </c>
    </row>
    <row r="20" spans="1:12" ht="99.95" customHeight="1" x14ac:dyDescent="0.2">
      <c r="A20" s="76" t="s">
        <v>168</v>
      </c>
      <c r="B20" s="54" t="s">
        <v>252</v>
      </c>
      <c r="C20" s="59" t="s">
        <v>239</v>
      </c>
      <c r="D20" s="58" t="s">
        <v>241</v>
      </c>
    </row>
    <row r="21" spans="1:12" ht="19.7" customHeight="1" x14ac:dyDescent="0.25">
      <c r="A21" s="141" t="s">
        <v>169</v>
      </c>
      <c r="B21" s="130"/>
      <c r="C21" s="130"/>
      <c r="D21" s="141" t="s">
        <v>244</v>
      </c>
      <c r="E21" s="130"/>
      <c r="F21" s="130"/>
      <c r="L21" s="110" t="s">
        <v>436</v>
      </c>
    </row>
    <row r="22" spans="1:12" ht="15" x14ac:dyDescent="0.25">
      <c r="A22" s="49" t="s">
        <v>170</v>
      </c>
      <c r="B22" s="49"/>
      <c r="C22" t="s">
        <v>171</v>
      </c>
      <c r="D22" s="8" t="s">
        <v>245</v>
      </c>
      <c r="E22" s="73" cm="1">
        <f t="array" ref="E22">MIN(IF(ISNUMBER('Base 1 PV Loss WLE'!D20:D49),'Base 1 PV Loss WLE'!D20:D49))</f>
        <v>2.2890000000000001E-2</v>
      </c>
      <c r="F22" s="73" cm="1">
        <f t="array" ref="F22">MAX(IF(ISNUMBER('Base 1 PV Loss WLE'!D20:D49),'Base 1 PV Loss WLE'!D20:D49))</f>
        <v>3.2969999999999999E-2</v>
      </c>
    </row>
    <row r="23" spans="1:12" ht="15" x14ac:dyDescent="0.25">
      <c r="A23" s="49" t="str">
        <f>"Base 1: "&amp;TEXT(B87,"$#,##0")</f>
        <v>Base 1: $67,453</v>
      </c>
      <c r="B23" s="49"/>
      <c r="C23" s="53" t="b">
        <v>1</v>
      </c>
      <c r="D23" s="8" t="s">
        <v>246</v>
      </c>
      <c r="E23" s="73" cm="1">
        <f t="array" ref="E23">MIN(IF(ISNUMBER('Base 1 PV Loss To Age'!D20:D49),'Base 1 PV Loss To Age'!D20:D49))</f>
        <v>2.2890000000000001E-2</v>
      </c>
      <c r="F23" s="10" cm="1">
        <f t="array" ref="F23">MAX(IF(ISNUMBER('Base 1 PV Loss To Age'!D20:D49),'Base 1 PV Loss To Age'!D20:D49))</f>
        <v>3.9269999999999999E-2</v>
      </c>
      <c r="L23" s="110" t="s">
        <v>437</v>
      </c>
    </row>
    <row r="24" spans="1:12" x14ac:dyDescent="0.2">
      <c r="A24" t="str">
        <f>"Loss To "&amp;$B$19</f>
        <v>Loss To Trial</v>
      </c>
      <c r="B24" s="2">
        <v>225000</v>
      </c>
      <c r="C24" s="53" t="b">
        <v>1</v>
      </c>
    </row>
    <row r="25" spans="1:12" x14ac:dyDescent="0.2">
      <c r="A25" t="str">
        <f>"Fringe Benefits Loss To "&amp;$B$19</f>
        <v>Fringe Benefits Loss To Trial</v>
      </c>
      <c r="B25" s="2">
        <v>25000</v>
      </c>
      <c r="C25" s="53" t="b">
        <v>1</v>
      </c>
      <c r="L25" s="110" t="s">
        <v>438</v>
      </c>
    </row>
    <row r="26" spans="1:12" x14ac:dyDescent="0.2">
      <c r="A26" t="str">
        <f>"Meal Cost to "&amp;$B$19</f>
        <v>Meal Cost to Trial</v>
      </c>
      <c r="B26" s="2">
        <v>5000</v>
      </c>
      <c r="C26" s="53" t="b">
        <v>1</v>
      </c>
    </row>
    <row r="27" spans="1:12" x14ac:dyDescent="0.2">
      <c r="A27" t="str">
        <f>"Household Service Loss To "&amp;$B$19</f>
        <v>Household Service Loss To Trial</v>
      </c>
      <c r="B27" s="2">
        <v>35000</v>
      </c>
      <c r="C27" s="53" t="b">
        <v>1</v>
      </c>
    </row>
    <row r="28" spans="1:12" x14ac:dyDescent="0.2">
      <c r="A28" t="s">
        <v>172</v>
      </c>
      <c r="C28" s="53" t="b">
        <v>0</v>
      </c>
    </row>
    <row r="29" spans="1:12" x14ac:dyDescent="0.2">
      <c r="A29" t="str">
        <f>"After Credit 1: "&amp;TEXT(B88,"$#,##0")</f>
        <v>After Credit 1: $141,416</v>
      </c>
      <c r="C29" s="53" t="b">
        <v>0</v>
      </c>
    </row>
    <row r="30" spans="1:12" x14ac:dyDescent="0.2">
      <c r="A30" t="str">
        <f>"After Credit 2: "&amp;TEXT(B89,"$#,##0")</f>
        <v>After Credit 2: $250,000</v>
      </c>
      <c r="C30" s="53" t="b">
        <v>0</v>
      </c>
    </row>
    <row r="31" spans="1:12" x14ac:dyDescent="0.2">
      <c r="A31" t="str">
        <f>"After Credit 3: "&amp;TEXT(B90,"$#,##0")</f>
        <v>After Credit 3: $75,000</v>
      </c>
      <c r="C31" s="53" t="b">
        <v>0</v>
      </c>
    </row>
    <row r="32" spans="1:12" x14ac:dyDescent="0.2">
      <c r="A32" t="str">
        <f>"Fringe Benefits Loss From "&amp;$B$19</f>
        <v>Fringe Benefits Loss From Trial</v>
      </c>
      <c r="B32" s="2">
        <v>18000</v>
      </c>
      <c r="C32" s="53" t="b">
        <v>0</v>
      </c>
    </row>
    <row r="33" spans="1:3" x14ac:dyDescent="0.2">
      <c r="A33" t="str">
        <f>"Employer Meals from "&amp;$B$19</f>
        <v>Employer Meals from Trial</v>
      </c>
      <c r="B33" s="2">
        <v>4500</v>
      </c>
      <c r="C33" s="53" t="b">
        <v>0</v>
      </c>
    </row>
    <row r="34" spans="1:3" ht="15" x14ac:dyDescent="0.25">
      <c r="A34" s="141" t="s">
        <v>173</v>
      </c>
      <c r="B34" s="141"/>
      <c r="C34" s="141"/>
    </row>
    <row r="35" spans="1:3" x14ac:dyDescent="0.2">
      <c r="A35" t="str">
        <f>"Base 2: "&amp;TEXT(B91,"$#,##0")</f>
        <v>Base 2: $75,000</v>
      </c>
      <c r="C35" s="53" t="b">
        <v>1</v>
      </c>
    </row>
    <row r="36" spans="1:3" x14ac:dyDescent="0.2">
      <c r="A36" t="str">
        <f>"Loss To "&amp;$B$19</f>
        <v>Loss To Trial</v>
      </c>
      <c r="B36" s="2">
        <v>145000</v>
      </c>
      <c r="C36" s="53" t="b">
        <v>0</v>
      </c>
    </row>
    <row r="37" spans="1:3" x14ac:dyDescent="0.2">
      <c r="A37" t="str">
        <f>"Fringe Benefits Loss To "&amp;$B$19</f>
        <v>Fringe Benefits Loss To Trial</v>
      </c>
      <c r="B37" s="2">
        <v>24000</v>
      </c>
      <c r="C37" s="53" t="b">
        <v>0</v>
      </c>
    </row>
    <row r="38" spans="1:3" x14ac:dyDescent="0.2">
      <c r="A38" t="str">
        <f>"Meal Cost to "&amp;$B$19</f>
        <v>Meal Cost to Trial</v>
      </c>
      <c r="B38" s="2">
        <v>4800</v>
      </c>
      <c r="C38" s="53" t="b">
        <v>0</v>
      </c>
    </row>
    <row r="39" spans="1:3" x14ac:dyDescent="0.2">
      <c r="A39" t="str">
        <f>"Household Service Loss To "&amp;$B$19</f>
        <v>Household Service Loss To Trial</v>
      </c>
      <c r="B39" s="2">
        <v>33000</v>
      </c>
      <c r="C39" s="53" t="b">
        <v>0</v>
      </c>
    </row>
    <row r="40" spans="1:3" x14ac:dyDescent="0.2">
      <c r="A40" t="s">
        <v>172</v>
      </c>
      <c r="C40" s="53" t="b">
        <v>0</v>
      </c>
    </row>
    <row r="41" spans="1:3" x14ac:dyDescent="0.2">
      <c r="A41" t="str">
        <f>"After Credit 1: "&amp;TEXT(B92,"$#,##0")</f>
        <v>After Credit 1: $141,416</v>
      </c>
      <c r="C41" s="53" t="b">
        <v>0</v>
      </c>
    </row>
    <row r="42" spans="1:3" x14ac:dyDescent="0.2">
      <c r="A42" t="str">
        <f>"After Credit 2: "&amp;TEXT(B93,"$#,##0")</f>
        <v>After Credit 2: $250,000</v>
      </c>
      <c r="C42" s="53" t="b">
        <v>0</v>
      </c>
    </row>
    <row r="43" spans="1:3" x14ac:dyDescent="0.2">
      <c r="A43" t="str">
        <f>"After Credit 3: "&amp;TEXT(B94,"$#,##0")</f>
        <v>After Credit 3: $75,000</v>
      </c>
      <c r="C43" s="53" t="b">
        <v>0</v>
      </c>
    </row>
    <row r="44" spans="1:3" x14ac:dyDescent="0.2">
      <c r="A44" t="str">
        <f>"Fringe Benefits Loss From "&amp;$B$19</f>
        <v>Fringe Benefits Loss From Trial</v>
      </c>
      <c r="B44" s="2">
        <v>17500</v>
      </c>
      <c r="C44" s="53" t="b">
        <v>0</v>
      </c>
    </row>
    <row r="45" spans="1:3" x14ac:dyDescent="0.2">
      <c r="A45" t="str">
        <f>"Employer Meals from "&amp;$B$19</f>
        <v>Employer Meals from Trial</v>
      </c>
      <c r="B45" s="2">
        <v>4200</v>
      </c>
      <c r="C45" s="53" t="b">
        <v>0</v>
      </c>
    </row>
    <row r="46" spans="1:3" ht="15" x14ac:dyDescent="0.25">
      <c r="A46" s="141" t="s">
        <v>174</v>
      </c>
      <c r="B46" s="141"/>
      <c r="C46" s="141"/>
    </row>
    <row r="47" spans="1:3" x14ac:dyDescent="0.2">
      <c r="A47" t="str">
        <f>"Base 3: "&amp;TEXT(B95,"$#,##0")</f>
        <v>Base 3: $65,777</v>
      </c>
      <c r="C47" s="53" t="b">
        <v>0</v>
      </c>
    </row>
    <row r="48" spans="1:3" x14ac:dyDescent="0.2">
      <c r="A48" t="str">
        <f>"Loss To "&amp;$B$19</f>
        <v>Loss To Trial</v>
      </c>
      <c r="B48" s="2">
        <v>140000</v>
      </c>
      <c r="C48" s="53" t="b">
        <v>0</v>
      </c>
    </row>
    <row r="49" spans="1:3" x14ac:dyDescent="0.2">
      <c r="A49" t="str">
        <f>"Fringe Benefits Loss To "&amp;$B$19</f>
        <v>Fringe Benefits Loss To Trial</v>
      </c>
      <c r="B49" s="2">
        <v>23000</v>
      </c>
      <c r="C49" s="53" t="b">
        <v>0</v>
      </c>
    </row>
    <row r="50" spans="1:3" x14ac:dyDescent="0.2">
      <c r="A50" t="str">
        <f>"Meal Cost to "&amp;$B$19</f>
        <v>Meal Cost to Trial</v>
      </c>
      <c r="B50" s="2">
        <v>4600</v>
      </c>
      <c r="C50" s="53" t="b">
        <v>0</v>
      </c>
    </row>
    <row r="51" spans="1:3" x14ac:dyDescent="0.2">
      <c r="A51" t="str">
        <f>"Household Service Loss To "&amp;$B$19</f>
        <v>Household Service Loss To Trial</v>
      </c>
      <c r="B51" s="2">
        <v>32000</v>
      </c>
      <c r="C51" s="53" t="b">
        <v>0</v>
      </c>
    </row>
    <row r="52" spans="1:3" x14ac:dyDescent="0.2">
      <c r="A52" t="s">
        <v>172</v>
      </c>
      <c r="C52" s="53" t="b">
        <v>0</v>
      </c>
    </row>
    <row r="53" spans="1:3" x14ac:dyDescent="0.2">
      <c r="A53" t="str">
        <f>"After Credit 1: "&amp;TEXT(B96,"$#,##0")</f>
        <v>After Credit 1: $141,416</v>
      </c>
      <c r="C53" s="53" t="b">
        <v>0</v>
      </c>
    </row>
    <row r="54" spans="1:3" x14ac:dyDescent="0.2">
      <c r="A54" t="str">
        <f>"After Credit 2: "&amp;TEXT(B97,"$#,##0")</f>
        <v>After Credit 2: $250,000</v>
      </c>
      <c r="C54" s="53" t="b">
        <v>0</v>
      </c>
    </row>
    <row r="55" spans="1:3" x14ac:dyDescent="0.2">
      <c r="A55" t="str">
        <f>"After Credit 3: "&amp;TEXT(B98,"$#,##0")</f>
        <v>After Credit 3: $75,000</v>
      </c>
      <c r="C55" s="53" t="b">
        <v>0</v>
      </c>
    </row>
    <row r="56" spans="1:3" x14ac:dyDescent="0.2">
      <c r="A56" t="str">
        <f>"Fringe Benefits Loss From "&amp;$B$19</f>
        <v>Fringe Benefits Loss From Trial</v>
      </c>
      <c r="B56" s="2">
        <v>17000</v>
      </c>
      <c r="C56" s="53" t="b">
        <v>0</v>
      </c>
    </row>
    <row r="57" spans="1:3" x14ac:dyDescent="0.2">
      <c r="A57" t="str">
        <f>"Employer Meals from "&amp;$B$19</f>
        <v>Employer Meals from Trial</v>
      </c>
      <c r="B57" s="2">
        <v>4000</v>
      </c>
      <c r="C57" s="53" t="b">
        <v>0</v>
      </c>
    </row>
    <row r="58" spans="1:3" ht="15" x14ac:dyDescent="0.25">
      <c r="A58" s="142" t="s">
        <v>202</v>
      </c>
      <c r="B58" s="142"/>
      <c r="C58" s="142"/>
    </row>
    <row r="59" spans="1:3" x14ac:dyDescent="0.2">
      <c r="A59" t="str">
        <f>"Base 4: "&amp;TEXT(B99,"$#,##0")</f>
        <v>Base 4: $65,777</v>
      </c>
      <c r="C59" s="53" t="b">
        <v>0</v>
      </c>
    </row>
    <row r="60" spans="1:3" x14ac:dyDescent="0.2">
      <c r="A60" t="str">
        <f>"Loss To "&amp;$B$19</f>
        <v>Loss To Trial</v>
      </c>
      <c r="B60" s="2">
        <v>135000</v>
      </c>
      <c r="C60" s="53" t="b">
        <v>0</v>
      </c>
    </row>
    <row r="61" spans="1:3" x14ac:dyDescent="0.2">
      <c r="A61" t="str">
        <f>"Fringe Benefits Loss To "&amp;$B$19</f>
        <v>Fringe Benefits Loss To Trial</v>
      </c>
      <c r="B61" s="2">
        <v>22000</v>
      </c>
      <c r="C61" s="53" t="b">
        <v>0</v>
      </c>
    </row>
    <row r="62" spans="1:3" x14ac:dyDescent="0.2">
      <c r="A62" t="str">
        <f>"Meal Cost to "&amp;$B$19</f>
        <v>Meal Cost to Trial</v>
      </c>
      <c r="B62" s="2">
        <v>4400</v>
      </c>
      <c r="C62" s="53" t="b">
        <v>0</v>
      </c>
    </row>
    <row r="63" spans="1:3" x14ac:dyDescent="0.2">
      <c r="A63" t="str">
        <f>"Household Service Loss To "&amp;$B$19</f>
        <v>Household Service Loss To Trial</v>
      </c>
      <c r="B63" s="2">
        <v>31000</v>
      </c>
      <c r="C63" s="53" t="b">
        <v>0</v>
      </c>
    </row>
    <row r="64" spans="1:3" x14ac:dyDescent="0.2">
      <c r="A64" t="s">
        <v>172</v>
      </c>
      <c r="C64" s="53" t="b">
        <v>0</v>
      </c>
    </row>
    <row r="65" spans="1:3" x14ac:dyDescent="0.2">
      <c r="A65" t="str">
        <f>"After Credit 1: "&amp;TEXT(B100,"$#,##0")</f>
        <v>After Credit 1: $141,416</v>
      </c>
      <c r="C65" s="53" t="b">
        <v>0</v>
      </c>
    </row>
    <row r="66" spans="1:3" x14ac:dyDescent="0.2">
      <c r="A66" t="str">
        <f>"After Credit 2: "&amp;TEXT(B101,"$#,##0")</f>
        <v>After Credit 2: $250,000</v>
      </c>
      <c r="C66" s="53" t="b">
        <v>0</v>
      </c>
    </row>
    <row r="67" spans="1:3" x14ac:dyDescent="0.2">
      <c r="A67" t="str">
        <f>"After Credit 3: "&amp;TEXT(B102,"$#,##0")</f>
        <v>After Credit 3: $75,000</v>
      </c>
      <c r="C67" s="53" t="b">
        <v>0</v>
      </c>
    </row>
    <row r="68" spans="1:3" x14ac:dyDescent="0.2">
      <c r="A68" t="str">
        <f>"Fringe Benefits Loss From "&amp;$B$19</f>
        <v>Fringe Benefits Loss From Trial</v>
      </c>
      <c r="B68" s="2">
        <v>16500</v>
      </c>
      <c r="C68" s="53" t="b">
        <v>0</v>
      </c>
    </row>
    <row r="69" spans="1:3" x14ac:dyDescent="0.2">
      <c r="A69" t="str">
        <f>"Employer Meals from "&amp;$B$19</f>
        <v>Employer Meals from Trial</v>
      </c>
      <c r="B69" s="2">
        <v>3800</v>
      </c>
      <c r="C69" s="53" t="b">
        <v>0</v>
      </c>
    </row>
    <row r="70" spans="1:3" ht="15" x14ac:dyDescent="0.25">
      <c r="A70" s="142" t="s">
        <v>203</v>
      </c>
      <c r="B70" s="142"/>
      <c r="C70" s="142"/>
    </row>
    <row r="71" spans="1:3" x14ac:dyDescent="0.2">
      <c r="A71" t="str">
        <f>"Base 5: "&amp;TEXT(B103,"$#,##0")</f>
        <v>Base 5: $67,453</v>
      </c>
      <c r="C71" s="53" t="b">
        <v>0</v>
      </c>
    </row>
    <row r="72" spans="1:3" x14ac:dyDescent="0.2">
      <c r="A72" t="str">
        <f>"Loss To "&amp;$B$19</f>
        <v>Loss To Trial</v>
      </c>
      <c r="B72" s="2">
        <v>130000</v>
      </c>
      <c r="C72" s="53" t="b">
        <v>0</v>
      </c>
    </row>
    <row r="73" spans="1:3" x14ac:dyDescent="0.2">
      <c r="A73" t="str">
        <f>"Fringe Benefits Loss To "&amp;$B$19</f>
        <v>Fringe Benefits Loss To Trial</v>
      </c>
      <c r="B73" s="2">
        <v>21000</v>
      </c>
      <c r="C73" s="53" t="b">
        <v>0</v>
      </c>
    </row>
    <row r="74" spans="1:3" x14ac:dyDescent="0.2">
      <c r="A74" t="str">
        <f>"Meal Cost to "&amp;$B$19</f>
        <v>Meal Cost to Trial</v>
      </c>
      <c r="B74" s="2">
        <v>4200</v>
      </c>
      <c r="C74" s="53" t="b">
        <v>0</v>
      </c>
    </row>
    <row r="75" spans="1:3" x14ac:dyDescent="0.2">
      <c r="A75" t="str">
        <f>"Household Service Loss To "&amp;$B$19</f>
        <v>Household Service Loss To Trial</v>
      </c>
      <c r="B75" s="2">
        <v>30000</v>
      </c>
      <c r="C75" s="53" t="b">
        <v>0</v>
      </c>
    </row>
    <row r="76" spans="1:3" x14ac:dyDescent="0.2">
      <c r="A76" t="s">
        <v>172</v>
      </c>
      <c r="C76" s="53" t="b">
        <v>0</v>
      </c>
    </row>
    <row r="77" spans="1:3" x14ac:dyDescent="0.2">
      <c r="A77" t="str">
        <f>"After Credit 1: "&amp;TEXT(B104,"$#,##0")</f>
        <v>After Credit 1: $141,416</v>
      </c>
      <c r="C77" s="53" t="b">
        <v>0</v>
      </c>
    </row>
    <row r="78" spans="1:3" x14ac:dyDescent="0.2">
      <c r="A78" t="str">
        <f>"After Credit 2: "&amp;TEXT(B105,"$#,##0")</f>
        <v>After Credit 2: $250,000</v>
      </c>
      <c r="C78" s="53" t="b">
        <v>0</v>
      </c>
    </row>
    <row r="79" spans="1:3" x14ac:dyDescent="0.2">
      <c r="A79" t="str">
        <f>"After Credit 3: "&amp;TEXT(B106,"$#,##0")</f>
        <v>After Credit 3: $75,000</v>
      </c>
      <c r="C79" s="53" t="b">
        <v>0</v>
      </c>
    </row>
    <row r="80" spans="1:3" x14ac:dyDescent="0.2">
      <c r="A80" t="str">
        <f>"Fringe Benefits Loss From "&amp;$B$19</f>
        <v>Fringe Benefits Loss From Trial</v>
      </c>
      <c r="B80" s="2">
        <v>16000</v>
      </c>
      <c r="C80" s="53" t="b">
        <v>0</v>
      </c>
    </row>
    <row r="81" spans="1:8" x14ac:dyDescent="0.2">
      <c r="A81" t="str">
        <f>"Employer Meals from "&amp;$B$19</f>
        <v>Employer Meals from Trial</v>
      </c>
      <c r="B81" s="2">
        <v>3600</v>
      </c>
      <c r="C81" s="53" t="b">
        <v>0</v>
      </c>
    </row>
    <row r="82" spans="1:8" x14ac:dyDescent="0.2">
      <c r="A82" t="s">
        <v>175</v>
      </c>
      <c r="B82" s="7">
        <v>1500000</v>
      </c>
      <c r="C82" s="53" t="b">
        <v>0</v>
      </c>
    </row>
    <row r="83" spans="1:8" x14ac:dyDescent="0.2">
      <c r="A83" t="s">
        <v>176</v>
      </c>
      <c r="B83" s="7">
        <v>2500000</v>
      </c>
      <c r="C83" s="53" t="b">
        <v>0</v>
      </c>
    </row>
    <row r="84" spans="1:8" x14ac:dyDescent="0.2">
      <c r="A84" t="s">
        <v>177</v>
      </c>
      <c r="B84" s="7">
        <v>2000000</v>
      </c>
      <c r="C84" s="53" t="b">
        <v>0</v>
      </c>
    </row>
    <row r="85" spans="1:8" x14ac:dyDescent="0.2">
      <c r="A85" t="s">
        <v>178</v>
      </c>
      <c r="C85" s="53" t="b">
        <v>0</v>
      </c>
    </row>
    <row r="86" spans="1:8" ht="15" x14ac:dyDescent="0.25">
      <c r="A86" s="141" t="s">
        <v>179</v>
      </c>
      <c r="B86" s="141"/>
      <c r="F86" t="s">
        <v>192</v>
      </c>
      <c r="H86" s="8" t="s">
        <v>222</v>
      </c>
    </row>
    <row r="87" spans="1:8" x14ac:dyDescent="0.2">
      <c r="A87" t="s">
        <v>180</v>
      </c>
      <c r="B87" s="2">
        <v>67453</v>
      </c>
      <c r="F87">
        <f>'Base 1 PV Loss WLE'!$B$3</f>
        <v>75000</v>
      </c>
      <c r="H87" s="64">
        <f>'Base 1 PV Loss WLE'!$E$5</f>
        <v>0.1</v>
      </c>
    </row>
    <row r="88" spans="1:8" x14ac:dyDescent="0.2">
      <c r="A88" t="s">
        <v>181</v>
      </c>
      <c r="B88" s="2">
        <v>141416</v>
      </c>
      <c r="F88">
        <f>'Base 1 PV Loss To Age'!$B$3</f>
        <v>141416</v>
      </c>
      <c r="H88">
        <f>'Base 1 PV Loss To Age'!$E$5</f>
        <v>0.22</v>
      </c>
    </row>
    <row r="89" spans="1:8" x14ac:dyDescent="0.2">
      <c r="A89" t="s">
        <v>182</v>
      </c>
      <c r="B89" s="2">
        <v>250000</v>
      </c>
      <c r="F89">
        <f>'Base 2 PV Loss WLE'!$B$3</f>
        <v>141416</v>
      </c>
      <c r="H89">
        <f>'Base 2 PV Loss WLE'!$E$5</f>
        <v>0</v>
      </c>
    </row>
    <row r="90" spans="1:8" x14ac:dyDescent="0.2">
      <c r="A90" t="s">
        <v>183</v>
      </c>
      <c r="B90" s="2">
        <v>75000</v>
      </c>
      <c r="F90">
        <f>'Base 2 PV Loss To Age'!$B$3</f>
        <v>250000</v>
      </c>
      <c r="H90">
        <f>'Base 2 PV Loss To Age'!$E$5</f>
        <v>0.15</v>
      </c>
    </row>
    <row r="91" spans="1:8" x14ac:dyDescent="0.2">
      <c r="A91" t="s">
        <v>184</v>
      </c>
      <c r="B91" s="2">
        <v>75000</v>
      </c>
      <c r="F91">
        <f>'Credit 1 PV Loss WLE'!$B$3</f>
        <v>67888</v>
      </c>
      <c r="H91">
        <f>'Credit 1 PV Loss WLE'!$E$5</f>
        <v>0</v>
      </c>
    </row>
    <row r="92" spans="1:8" x14ac:dyDescent="0.2">
      <c r="A92" t="s">
        <v>185</v>
      </c>
      <c r="B92" s="2">
        <f>$B$88</f>
        <v>141416</v>
      </c>
      <c r="F92">
        <f>'Credit 1 PV Loss To Age'!$B$3</f>
        <v>67453</v>
      </c>
      <c r="H92">
        <f>'Credit 1 PV Loss To Age'!$E$5</f>
        <v>0</v>
      </c>
    </row>
    <row r="93" spans="1:8" x14ac:dyDescent="0.2">
      <c r="A93" t="s">
        <v>186</v>
      </c>
      <c r="B93" s="2">
        <f>$B$89</f>
        <v>250000</v>
      </c>
      <c r="F93">
        <f>'Credit 2 PV Loss WLE'!$B$3</f>
        <v>78999</v>
      </c>
      <c r="H93">
        <f>'Credit 2 PV Loss WLE'!$E$5</f>
        <v>0</v>
      </c>
    </row>
    <row r="94" spans="1:8" x14ac:dyDescent="0.2">
      <c r="A94" t="s">
        <v>187</v>
      </c>
      <c r="B94" s="2">
        <f>$B$90</f>
        <v>75000</v>
      </c>
      <c r="F94">
        <f>'Credit 2 PV Loss To Age'!$B$3</f>
        <v>65777</v>
      </c>
      <c r="H94">
        <f>'Credit 2 PV Loss To Age'!$E$5</f>
        <v>0</v>
      </c>
    </row>
    <row r="95" spans="1:8" x14ac:dyDescent="0.2">
      <c r="A95" t="s">
        <v>188</v>
      </c>
      <c r="B95" s="2">
        <v>65777</v>
      </c>
      <c r="F95">
        <f>'Base 5 PV Loss WLE'!$B$3</f>
        <v>87666</v>
      </c>
      <c r="H95">
        <f>'Base 5 PV Loss WLE'!$E$5</f>
        <v>0</v>
      </c>
    </row>
    <row r="96" spans="1:8" x14ac:dyDescent="0.2">
      <c r="A96" t="s">
        <v>189</v>
      </c>
      <c r="B96" s="2">
        <f>$B$88</f>
        <v>141416</v>
      </c>
      <c r="F96">
        <f>'Base 5 PV Loss To Age'!$B$3</f>
        <v>32000</v>
      </c>
      <c r="H96">
        <f>'Base 5 PV Loss To Age'!$E$5</f>
        <v>0.35</v>
      </c>
    </row>
    <row r="97" spans="1:2" x14ac:dyDescent="0.2">
      <c r="A97" t="s">
        <v>190</v>
      </c>
      <c r="B97" s="2">
        <f>$B$89</f>
        <v>250000</v>
      </c>
    </row>
    <row r="98" spans="1:2" x14ac:dyDescent="0.2">
      <c r="A98" t="s">
        <v>191</v>
      </c>
      <c r="B98" s="2">
        <f>$B$90</f>
        <v>75000</v>
      </c>
    </row>
    <row r="99" spans="1:2" x14ac:dyDescent="0.2">
      <c r="A99" t="s">
        <v>194</v>
      </c>
      <c r="B99">
        <v>65777</v>
      </c>
    </row>
    <row r="100" spans="1:2" x14ac:dyDescent="0.2">
      <c r="A100" t="s">
        <v>195</v>
      </c>
      <c r="B100">
        <f>$B$88</f>
        <v>141416</v>
      </c>
    </row>
    <row r="101" spans="1:2" x14ac:dyDescent="0.2">
      <c r="A101" t="s">
        <v>196</v>
      </c>
      <c r="B101">
        <f>$B$89</f>
        <v>250000</v>
      </c>
    </row>
    <row r="102" spans="1:2" x14ac:dyDescent="0.2">
      <c r="A102" t="s">
        <v>197</v>
      </c>
      <c r="B102">
        <f>$B$90</f>
        <v>75000</v>
      </c>
    </row>
    <row r="103" spans="1:2" x14ac:dyDescent="0.2">
      <c r="A103" t="s">
        <v>198</v>
      </c>
      <c r="B103">
        <v>67453</v>
      </c>
    </row>
    <row r="104" spans="1:2" x14ac:dyDescent="0.2">
      <c r="A104" t="s">
        <v>199</v>
      </c>
      <c r="B104">
        <f>$B$88</f>
        <v>141416</v>
      </c>
    </row>
    <row r="105" spans="1:2" x14ac:dyDescent="0.2">
      <c r="A105" t="s">
        <v>200</v>
      </c>
      <c r="B105">
        <f>$B$89</f>
        <v>250000</v>
      </c>
    </row>
    <row r="106" spans="1:2" x14ac:dyDescent="0.2">
      <c r="A106" t="s">
        <v>201</v>
      </c>
      <c r="B106">
        <f>$B$90</f>
        <v>75000</v>
      </c>
    </row>
  </sheetData>
  <mergeCells count="7">
    <mergeCell ref="D21:F21"/>
    <mergeCell ref="A21:C21"/>
    <mergeCell ref="A34:C34"/>
    <mergeCell ref="A46:C46"/>
    <mergeCell ref="A86:B86"/>
    <mergeCell ref="A58:C58"/>
    <mergeCell ref="A70:C70"/>
  </mergeCells>
  <dataValidations count="2">
    <dataValidation type="list" allowBlank="1" showInputMessage="1" showErrorMessage="1" sqref="B19" xr:uid="{CC228F1A-5C57-4289-89D2-6481930DD1B1}">
      <formula1>"Trial,Reference"</formula1>
    </dataValidation>
    <dataValidation type="list" allowBlank="1" showInputMessage="1" showErrorMessage="1" sqref="B95 B87:B91 B103 B99" xr:uid="{6D931C95-CC95-4384-A62E-63F79E434546}">
      <formula1>$F$87:$F$96</formula1>
    </dataValidation>
  </dataValidation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C7020-AB5A-4A15-823D-C5AD8FD9D194}">
  <sheetPr>
    <tabColor rgb="FF70AD47"/>
  </sheetPr>
  <dimension ref="A1:I43"/>
  <sheetViews>
    <sheetView showGridLines="0" zoomScaleNormal="100" workbookViewId="0">
      <selection activeCell="B3" sqref="B3:D3"/>
    </sheetView>
  </sheetViews>
  <sheetFormatPr defaultColWidth="8.85546875" defaultRowHeight="12.75" x14ac:dyDescent="0.2"/>
  <cols>
    <col min="1" max="1" width="17.42578125" bestFit="1" customWidth="1"/>
    <col min="2" max="2" width="44.140625" customWidth="1"/>
    <col min="3" max="3" width="23.85546875" customWidth="1"/>
    <col min="4" max="4" width="47.42578125" customWidth="1"/>
    <col min="5" max="5" width="19.140625" customWidth="1"/>
  </cols>
  <sheetData>
    <row r="1" spans="1:9" x14ac:dyDescent="0.2">
      <c r="A1" t="s">
        <v>204</v>
      </c>
    </row>
    <row r="2" spans="1:9" x14ac:dyDescent="0.2">
      <c r="A2" s="61" t="s">
        <v>205</v>
      </c>
      <c r="B2" s="61" t="s">
        <v>206</v>
      </c>
    </row>
    <row r="3" spans="1:9" ht="99.95" customHeight="1" x14ac:dyDescent="0.2">
      <c r="B3" s="144" t="str">
        <f>"Here are the estimates you have requested with respect to the diminution of earning capacity and associated economic impairment sustained by your client. The following records were considered in connection with the opinion below: "&amp;Inputs!B20&amp;"."</f>
        <v>Here are the estimates you have requested with respect to the diminution of earning capacity and associated economic impairment sustained by your client. The following records were considered in connection with the opinion below: Tax Returns 2020-2024, W-2s from ABC, Co. Inc; Schedule C's and the Claimant Information Sheet..</v>
      </c>
      <c r="C3" s="144"/>
      <c r="D3" s="144"/>
    </row>
    <row r="4" spans="1:9" x14ac:dyDescent="0.2">
      <c r="A4" s="61" t="s">
        <v>207</v>
      </c>
      <c r="B4" s="61" t="s">
        <v>208</v>
      </c>
    </row>
    <row r="5" spans="1:9" ht="409.35" customHeight="1" x14ac:dyDescent="0.2">
      <c r="B5" s="48" t="str" cm="1">
        <f t="array" ref="B5">_xlfn.TEXTJOIN(CHAR(10),TRUE,
IF(Inputs!C23=TRUE,REPT(" ",10)&amp;Inputs!A23&amp;REPT(" ",10),""),
IF(Inputs!C24=TRUE,"• "&amp;Inputs!A24&amp;IF(ISNUMBER(Inputs!B24),": "&amp;TEXT(Inputs!B24,"$#,##0"),""),""),
IF(Inputs!C25=TRUE,"• "&amp;Inputs!A25&amp;IF(ISNUMBER(Inputs!B25),": "&amp;TEXT(Inputs!B25,"$#,##0"),""),""),
IF(Inputs!C26=TRUE,"• "&amp;Inputs!A26&amp;IF(ISNUMBER(Inputs!B26),": "&amp;TEXT(Inputs!B26,"$#,##0"),""),""),
IF(Inputs!C27=TRUE,"• "&amp;Inputs!A27&amp;IF(ISNUMBER(Inputs!B27),": "&amp;TEXT(Inputs!B27,"$#,##0"),""),""),
IF(Inputs!C28=TRUE,"• "&amp;Inputs!A28&amp;IF(ISNUMBER(Inputs!B28),": "&amp;TEXT(Inputs!B28,"$#,##0"),""),""),
IF(Inputs!C29=TRUE,"• "&amp;Inputs!A29&amp;IF(ISNUMBER(Inputs!B29),": "&amp;TEXT(Inputs!B29,"$#,##0"),""),""),
IF(Inputs!C30=TRUE,"• "&amp;Inputs!A30&amp;IF(ISNUMBER(Inputs!B30),": "&amp;TEXT(Inputs!B30,"$#,##0"),""),""),
IF(Inputs!C31=TRUE,"• "&amp;Inputs!A31&amp;IF(ISNUMBER(Inputs!B31),": "&amp;TEXT(Inputs!B31,"$#,##0"),""),""),
IF(Inputs!C32=TRUE,"• "&amp;Inputs!A32&amp;IF(ISNUMBER(Inputs!B32),": "&amp;TEXT(Inputs!B32,"$#,##0"),""),""),
IF(Inputs!C33=TRUE,"• "&amp;Inputs!A33&amp;IF(ISNUMBER(Inputs!B33),": "&amp;TEXT(Inputs!B33,"$#,##0"),""),""),
IF(Inputs!C35=TRUE,REPT(" ",10)&amp;Inputs!A35&amp;REPT(" ",10),""),
IF(Inputs!C36=TRUE,"• "&amp;Inputs!A36&amp;IF(ISNUMBER(Inputs!B36),": "&amp;TEXT(Inputs!B36,"$#,##0"),""),""),
IF(Inputs!C37=TRUE,"• "&amp;Inputs!A37&amp;IF(ISNUMBER(Inputs!B37),": "&amp;TEXT(Inputs!B37,"$#,##0"),""),""),
IF(Inputs!C38=TRUE,"• "&amp;Inputs!A38&amp;IF(ISNUMBER(Inputs!B38),": "&amp;TEXT(Inputs!B38,"$#,##0"),""),""),
IF(Inputs!C39=TRUE,"• "&amp;Inputs!A39&amp;IF(ISNUMBER(Inputs!B39),": "&amp;TEXT(Inputs!B39,"$#,##0"),""),""),
IF(Inputs!C40=TRUE,"• "&amp;Inputs!A40&amp;IF(ISNUMBER(Inputs!B40),": "&amp;TEXT(Inputs!B40,"$#,##0"),""),""),
IF(Inputs!C41=TRUE,"• "&amp;Inputs!A41&amp;IF(ISNUMBER(Inputs!B41),": "&amp;TEXT(Inputs!B41,"$#,##0"),""),""),
IF(Inputs!C42=TRUE,"• "&amp;Inputs!A42&amp;IF(ISNUMBER(Inputs!B42),": "&amp;TEXT(Inputs!B42,"$#,##0"),""),""),
IF(Inputs!C43=TRUE,"• "&amp;Inputs!A43&amp;IF(ISNUMBER(Inputs!B43),": "&amp;TEXT(Inputs!B43,"$#,##0"),""),""),
IF(Inputs!C44=TRUE,"• "&amp;Inputs!A44&amp;IF(ISNUMBER(Inputs!B44),": "&amp;TEXT(Inputs!B44,"$#,##0"),""),""),
IF(Inputs!C45=TRUE,"• "&amp;Inputs!A45&amp;IF(ISNUMBER(Inputs!B45),": "&amp;TEXT(Inputs!B45,"$#,##0"),""),""),
IF(Inputs!C47=TRUE,REPT(" ",10)&amp;Inputs!A47&amp;REPT(" ",10),""),
IF(Inputs!C48=TRUE,"• "&amp;Inputs!A48&amp;IF(ISNUMBER(Inputs!B48),": "&amp;TEXT(Inputs!B48,"$#,##0"),""),""),
IF(Inputs!C49=TRUE,"• "&amp;Inputs!A49&amp;IF(ISNUMBER(Inputs!B49),": "&amp;TEXT(Inputs!B49,"$#,##0"),""),""),
IF(Inputs!C50=TRUE,"• "&amp;Inputs!A50&amp;IF(ISNUMBER(Inputs!B50),": "&amp;TEXT(Inputs!B50,"$#,##0"),""),""),
IF(Inputs!C51=TRUE,"• "&amp;Inputs!A51&amp;IF(ISNUMBER(Inputs!B51),": "&amp;TEXT(Inputs!B51,"$#,##0"),""),""),
IF(Inputs!C52=TRUE,"• "&amp;Inputs!A52&amp;IF(ISNUMBER(Inputs!B52),": "&amp;TEXT(Inputs!B52,"$#,##0"),""),""),
IF(Inputs!C53=TRUE,"• "&amp;Inputs!A53&amp;IF(ISNUMBER(Inputs!B53),": "&amp;TEXT(Inputs!B53,"$#,##0"),""),""),
IF(Inputs!C54=TRUE,"• "&amp;Inputs!A54&amp;IF(ISNUMBER(Inputs!B54),": "&amp;TEXT(Inputs!B54,"$#,##0"),""),""),
IF(Inputs!C55=TRUE,"• "&amp;Inputs!A55&amp;IF(ISNUMBER(Inputs!B55),": "&amp;TEXT(Inputs!B55,"$#,##0"),""),""),
IF(Inputs!C56=TRUE,"• "&amp;Inputs!A56&amp;IF(ISNUMBER(Inputs!B56),": "&amp;TEXT(Inputs!B56,"$#,##0"),""),""),
IF(Inputs!C57=TRUE,"• "&amp;Inputs!A57&amp;IF(ISNUMBER(Inputs!B57),": "&amp;TEXT(Inputs!B57,"$#,##0"),""),""),
IF(Inputs!C59=TRUE,REPT(" ",10)&amp;Inputs!A59&amp;REPT(" ",10),""),
IF(Inputs!C60=TRUE,"• "&amp;Inputs!A60&amp;IF(ISNUMBER(Inputs!B60),": "&amp;TEXT(Inputs!B60,"$#,##0"),""),""),
IF(Inputs!C61=TRUE,"• "&amp;Inputs!A61&amp;IF(ISNUMBER(Inputs!B61),": "&amp;TEXT(Inputs!B61,"$#,##0"),""),""),
IF(Inputs!C62=TRUE,"• "&amp;Inputs!A62&amp;IF(ISNUMBER(Inputs!B62),": "&amp;TEXT(Inputs!B62,"$#,##0"),""),""),
IF(Inputs!C63=TRUE,"• "&amp;Inputs!A63&amp;IF(ISNUMBER(Inputs!B63),": "&amp;TEXT(Inputs!B63,"$#,##0"),""),""),
IF(Inputs!C64=TRUE,"• "&amp;Inputs!A64&amp;IF(ISNUMBER(Inputs!B64),": "&amp;TEXT(Inputs!B64,"$#,##0"),""),""),
IF(Inputs!C65=TRUE,"• "&amp;Inputs!A65&amp;IF(ISNUMBER(Inputs!B65),": "&amp;TEXT(Inputs!B65,"$#,##0"),""),""),
IF(Inputs!C66=TRUE,"• "&amp;Inputs!A66&amp;IF(ISNUMBER(Inputs!B66),": "&amp;TEXT(Inputs!B66,"$#,##0"),""),""),
IF(Inputs!C67=TRUE,"• "&amp;Inputs!A67&amp;IF(ISNUMBER(Inputs!B67),": "&amp;TEXT(Inputs!B67,"$#,##0"),""),""),
IF(Inputs!C68=TRUE,"• "&amp;Inputs!A68&amp;IF(ISNUMBER(Inputs!B68),": "&amp;TEXT(Inputs!B68,"$#,##0"),""),""),
IF(Inputs!C69=TRUE,"• "&amp;Inputs!A69&amp;IF(ISNUMBER(Inputs!B69),": "&amp;TEXT(Inputs!B69,"$#,##0"),""),""),
IF(Inputs!C71=TRUE,REPT(" ",10)&amp;Inputs!A71&amp;REPT(" ",10),""),
IF(Inputs!C72=TRUE,"• "&amp;Inputs!A72&amp;IF(ISNUMBER(Inputs!B72),": "&amp;TEXT(Inputs!B72,"$#,##0"),""),""),
IF(Inputs!C73=TRUE,"• "&amp;Inputs!A73&amp;IF(ISNUMBER(Inputs!B73),": "&amp;TEXT(Inputs!B73,"$#,##0"),""),""),
IF(Inputs!C74=TRUE,"• "&amp;Inputs!A74&amp;IF(ISNUMBER(Inputs!B74),": "&amp;TEXT(Inputs!B74,"$#,##0"),""),""),
IF(Inputs!C75=TRUE,"• "&amp;Inputs!A75&amp;IF(ISNUMBER(Inputs!B75),": "&amp;TEXT(Inputs!B75,"$#,##0"),""),""),
IF(Inputs!C76=TRUE,"• "&amp;Inputs!A76&amp;IF(ISNUMBER(Inputs!B76),": "&amp;TEXT(Inputs!B76,"$#,##0"),""),""),
IF(Inputs!C77=TRUE,"• "&amp;Inputs!A77&amp;IF(ISNUMBER(Inputs!B77),": "&amp;TEXT(Inputs!B77,"$#,##0"),""),""),
IF(Inputs!C78=TRUE,"• "&amp;Inputs!A78&amp;IF(ISNUMBER(Inputs!B78),": "&amp;TEXT(Inputs!B78,"$#,##0"),""),""),
IF(Inputs!C79=TRUE,"• "&amp;Inputs!A79&amp;IF(ISNUMBER(Inputs!B79),": "&amp;TEXT(Inputs!B79,"$#,##0"),""),""),
IF(Inputs!C80=TRUE,"• "&amp;Inputs!A80&amp;IF(ISNUMBER(Inputs!B80),": "&amp;TEXT(Inputs!B80,"$#,##0"),""),""),
IF(Inputs!C81=TRUE,"• "&amp;Inputs!A81&amp;IF(ISNUMBER(Inputs!B81),": "&amp;TEXT(Inputs!B81,"$#,##0"),""),""),
IF(OR(Inputs!C82:C84=TRUE),REPT(" ",10)&amp;"Future Medical Care"&amp;REPT(" ",10),""),
IF(Inputs!C82=TRUE,"• "&amp;"Future Medical Low: "&amp;TEXT(Inputs!B82,"$#,##0"),""),
IF(Inputs!C83=TRUE,"• "&amp;"Future Medical High: "&amp;TEXT(Inputs!B83,"$#,##0"),""),
IF(Inputs!C84=TRUE,"• "&amp;"Future Medical Midpoint: "&amp;TEXT(Inputs!B84,"$#,##0"),""))</f>
        <v xml:space="preserve">          Base 1: $67,453          
• Loss To Trial: $225,000
• Fringe Benefits Loss To Trial: $25,000
• Meal Cost to Trial: $5,000
• Household Service Loss To Trial: $35,000
          Base 2: $75,000          </v>
      </c>
    </row>
    <row r="6" spans="1:9" x14ac:dyDescent="0.2">
      <c r="A6" s="61" t="s">
        <v>215</v>
      </c>
      <c r="B6" s="61" t="s">
        <v>216</v>
      </c>
      <c r="C6" s="60"/>
      <c r="D6" s="60"/>
      <c r="E6" s="60"/>
      <c r="F6" s="60"/>
      <c r="G6" s="60"/>
    </row>
    <row r="7" spans="1:9" ht="18" customHeight="1" x14ac:dyDescent="0.2">
      <c r="A7" s="55"/>
      <c r="B7" s="56" t="s">
        <v>217</v>
      </c>
      <c r="C7" s="57" t="str">
        <f>TEXT(Inputs!B15,"mmmm d, yyyy")</f>
        <v>[[claimant_DOB_short]]</v>
      </c>
      <c r="D7" s="8" t="s">
        <v>223</v>
      </c>
      <c r="E7" t="str">
        <f>Inputs!D14</f>
        <v>Rodney</v>
      </c>
      <c r="F7" s="53" t="b">
        <v>0</v>
      </c>
      <c r="G7" s="8" t="s">
        <v>225</v>
      </c>
      <c r="H7" t="str">
        <f>Inputs!D17</f>
        <v>Derrick</v>
      </c>
      <c r="I7" s="53" t="b">
        <v>0</v>
      </c>
    </row>
    <row r="8" spans="1:9" ht="18" customHeight="1" x14ac:dyDescent="0.2">
      <c r="A8" s="55"/>
      <c r="B8" s="58" t="s">
        <v>218</v>
      </c>
      <c r="C8" s="57" t="str">
        <f>TEXT(Inputs!B16,"mmmm d, yyyy")</f>
        <v>[[claimant_DOI_short]]</v>
      </c>
      <c r="D8" s="8" t="s">
        <v>217</v>
      </c>
      <c r="E8" t="str">
        <f>TEXT(Inputs!D15,"MMMM D, YYYY")</f>
        <v>August 11, 1976</v>
      </c>
      <c r="F8" s="53" t="b">
        <v>0</v>
      </c>
      <c r="G8" s="8" t="s">
        <v>226</v>
      </c>
      <c r="H8" s="51">
        <f>Inputs!D18</f>
        <v>45145</v>
      </c>
      <c r="I8" s="53" t="b">
        <v>0</v>
      </c>
    </row>
    <row r="9" spans="1:9" ht="18" customHeight="1" x14ac:dyDescent="0.2">
      <c r="A9" s="55"/>
      <c r="B9" s="56" t="str">
        <f>Inputs!A17&amp;":"</f>
        <v>Date of Trial:</v>
      </c>
      <c r="C9" s="57" t="str">
        <f>TEXT(Inputs!B17,"mmmm d, yyyy")</f>
        <v>[[trial_date]]</v>
      </c>
      <c r="D9" s="8" t="s">
        <v>224</v>
      </c>
      <c r="E9" t="str">
        <f>Inputs!D16</f>
        <v>Full-Time</v>
      </c>
      <c r="F9" s="53" t="b">
        <v>0</v>
      </c>
      <c r="G9" s="8" t="s">
        <v>227</v>
      </c>
      <c r="I9" s="53" t="b">
        <v>0</v>
      </c>
    </row>
    <row r="10" spans="1:9" x14ac:dyDescent="0.2">
      <c r="B10" s="59" t="s">
        <v>219</v>
      </c>
      <c r="C10" s="57" t="str">
        <f>Inputs!B18</f>
        <v>[[court_jurisdiction]]</v>
      </c>
    </row>
    <row r="11" spans="1:9" x14ac:dyDescent="0.2">
      <c r="A11" s="62">
        <v>1</v>
      </c>
      <c r="B11" s="61" t="s">
        <v>220</v>
      </c>
      <c r="C11" s="60"/>
      <c r="D11" s="60"/>
      <c r="E11" s="60"/>
      <c r="F11" s="60"/>
      <c r="G11" s="60"/>
    </row>
    <row r="12" spans="1:9" ht="63" x14ac:dyDescent="0.2">
      <c r="B12" s="63" t="str">
        <f>"1.     An Earnings Base of "&amp;TEXT(Inputs!B87,"$#,##0")&amp;" is employed in the estimate of earning capacity losses below. Losses are presented on an after-tax basis using an effective tax rate of "&amp;TEXT(INDEX(Inputs!$H$87:$H$96,MATCH(Inputs!$B$87,Inputs!$F$87:$F$96,0)),"0.00%")&amp;". "</f>
        <v xml:space="preserve">1.     An Earnings Base of $67,453 is employed in the estimate of earning capacity losses below. Losses are presented on an after-tax basis using an effective tax rate of 0.00%. </v>
      </c>
      <c r="C12" s="66" t="b">
        <v>0</v>
      </c>
      <c r="D12" s="63" t="str">
        <f>LEFT(B12,FIND("below",B12)+4)&amp;"."</f>
        <v>1.     An Earnings Base of $67,453 is employed in the estimate of earning capacity losses below.</v>
      </c>
      <c r="E12" s="67" t="b">
        <v>0</v>
      </c>
    </row>
    <row r="13" spans="1:9" ht="80.45" customHeight="1" x14ac:dyDescent="0.2">
      <c r="B13" s="65" t="str">
        <f>"1. Alternative bases of "&amp;TEXT(Inputs!$F$87,"$#,##0")&amp;" and "&amp;TEXT(Inputs!$F$90,"$#,##0")&amp;" have been employed in the estimate of earning capacity losses below. Losses are presented on an after-tax basis using an effective tax rate of "&amp;TEXT(Inputs!$H$87,"0.00%")&amp;" and "&amp;TEXT(Inputs!$H$90,"0.00%")&amp;" respectively."</f>
        <v>1. Alternative bases of $75,000 and $250,000 have been employed in the estimate of earning capacity losses below. Losses are presented on an after-tax basis using an effective tax rate of 10.00% and 15.00% respectively.</v>
      </c>
      <c r="C13" s="66" t="b">
        <v>0</v>
      </c>
      <c r="D13" s="63" t="str">
        <f>LEFT(B13,FIND("below",B13)+4)&amp;"."</f>
        <v>1. Alternative bases of $75,000 and $250,000 have been employed in the estimate of earning capacity losses below.</v>
      </c>
      <c r="E13" s="67" t="b">
        <v>0</v>
      </c>
    </row>
    <row r="14" spans="1:9" ht="94.5" x14ac:dyDescent="0.2">
      <c r="B14" s="68" t="str">
        <f>"1.     Alternative bases of "&amp;TEXT(Inputs!$B$87,"$#,##0")&amp;", "&amp;TEXT(Inputs!$B$91,"$#,##0")&amp;" and "&amp;TEXT(Inputs!$B$95,"$#,##0")&amp;" have been employed in the estimate of earning capacity losses below. Losses are presented on an after-tax basis using an effective tax rate of "&amp;TEXT(Inputs!$H$87,"0.00%")&amp;", "&amp;TEXT(Inputs!$H$91,"0.00%")&amp;" and "&amp;TEXT(Inputs!$H$95,"0.00%")&amp;" respectively. "</f>
        <v xml:space="preserve">1.     Alternative bases of $67,453, $75,000 and $65,777 have been employed in the estimate of earning capacity losses below. Losses are presented on an after-tax basis using an effective tax rate of 10.00%, 0.00% and 0.00% respectively. </v>
      </c>
      <c r="C14" s="66" t="b">
        <v>0</v>
      </c>
      <c r="D14" s="63" t="str">
        <f>LEFT(B14,FIND("below",B14)+4)&amp;"."</f>
        <v>1.     Alternative bases of $67,453, $75,000 and $65,777 have been employed in the estimate of earning capacity losses below.</v>
      </c>
      <c r="E14" s="67" t="b">
        <v>0</v>
      </c>
    </row>
    <row r="15" spans="1:9" ht="78.75" x14ac:dyDescent="0.2">
      <c r="B15" s="68" t="str">
        <f>"1.     An Earnings Base of "&amp;TEXT(Inputs!B87,"$#,##0")&amp;" grown to "&amp;TEXT(Inputs!B91,"$#,##0")&amp;" as of "&amp;LOWER(Inputs!B19)&amp;" is employed in the estimate of earning capacity losses below. Losses are presented on an after-tax basis using an effective tax rate of "&amp;TEXT(INDEX(Inputs!$H$87:$H$96,MATCH(Inputs!$B$87,Inputs!$F$87:$F$96,0)),"0.00%")&amp;" to "&amp;TEXT(INDEX(Inputs!$H$87:$H$96,MATCH(Inputs!$B$91,Inputs!$F$87:$F$96,0)),"0.00%")&amp;". "</f>
        <v xml:space="preserve">1.     An Earnings Base of $67,453 grown to $75,000 as of trial is employed in the estimate of earning capacity losses below. Losses are presented on an after-tax basis using an effective tax rate of 0.00% to 10.00%. </v>
      </c>
      <c r="C15" s="66" t="b">
        <v>0</v>
      </c>
    </row>
    <row r="16" spans="1:9" x14ac:dyDescent="0.2">
      <c r="A16" s="61">
        <v>2</v>
      </c>
      <c r="B16" s="69" t="s">
        <v>238</v>
      </c>
      <c r="C16" s="61"/>
      <c r="D16" s="61"/>
      <c r="E16" s="61"/>
      <c r="F16" s="61"/>
    </row>
    <row r="17" spans="1:7" ht="94.5" x14ac:dyDescent="0.2">
      <c r="B17" s="68" t="str">
        <f>"2.     Loss to "&amp;LOWER(Inputs!$B$19)&amp;" is "&amp;TEXT(Inputs!$B$24,"$#,##0")&amp;" under the base of "&amp;TEXT(Inputs!$B$87,"$#,##0")&amp;".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Losses are estimated by multiplying the earnings base by the time period from [[claimant_DOI_short]], to trial. Earnings (unknown) since [[claimant_DOI_short]], should be deducted. </v>
      </c>
      <c r="C17" s="70" t="b">
        <v>0</v>
      </c>
      <c r="D17" s="68"/>
      <c r="E17" s="68"/>
    </row>
    <row r="18" spans="1:7" ht="110.25" x14ac:dyDescent="0.2">
      <c r="B18" s="68" t="str">
        <f>"2.     Loss to "&amp;LOWER(Inputs!$B$19)&amp;" is "&amp;TEXT(Inputs!$B$24,"$#,##0")&amp;" under the base of "&amp;TEXT(Inputs!$F$87,"$#,##0")&amp;" and "&amp;TEXT(Inputs!$B$36,"$#,##0")&amp;" under the base of "&amp;TEXT(Inputs!$F$91,"$#,##0")&amp;". Losses are estimated by multiplying the earnings base by the time period from "&amp;TEXT(Inputs!$B$16,"mmmm d, yyyy")&amp;", to "&amp;LOWER(Inputs!$B$19)&amp;". Earnings (unknown) since "&amp;TEXT(Inputs!$B$16,"mmmm d, yyyy")&amp;", should be deducted. "</f>
        <v xml:space="preserve">2.     Loss to trial is $225,000 under the base of $75,000 and $145,000 under the base of $67,888. Losses are estimated by multiplying the earnings base by the time period from [[claimant_DOI_short]], to trial. Earnings (unknown) since [[claimant_DOI_short]], should be deducted. </v>
      </c>
      <c r="C18" s="70" t="b">
        <v>0</v>
      </c>
      <c r="D18" s="68"/>
      <c r="E18" s="68"/>
    </row>
    <row r="19" spans="1:7" ht="126" x14ac:dyDescent="0.2">
      <c r="B19" s="68" t="str">
        <f>"2.     Loss to "&amp;LOWER(Inputs!$B$19)&amp;" is "&amp;TEXT(Inputs!$B$24,"$#,##0")&amp;" under the base of "&amp;TEXT(Inputs!$B$87,"$#,##0")&amp;", "&amp;TEXT(Inputs!$B$36,"$#,##0")&amp;" under the base of "&amp;TEXT(Inputs!$B$91,"$#,##0")&amp;" and "&amp;TEXT(Inputs!$B$48,"$#,##0")&amp;" under the base of "&amp;TEXT(Inputs!$B$95,"$#,##0")&amp;".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$145,000 under the base of $75,000 and $140,000 under the base of $65,777. Losses are estimated by multiplying the earnings base by the time period from [[claimant_DOI_short]], to trial. Earnings (unknown) since [[claimant_DOI_short]], should be deducted. </v>
      </c>
      <c r="C19" s="70" t="b">
        <v>0</v>
      </c>
      <c r="D19" s="68"/>
      <c r="E19" s="68"/>
    </row>
    <row r="20" spans="1:7" ht="94.5" x14ac:dyDescent="0.2">
      <c r="B20" s="68" t="str">
        <f>"2.     Loss to "&amp;LOWER(Inputs!$B$19)&amp;" is "&amp;TEXT(Inputs!$B$24,"$#,##0")&amp;" under the base of "&amp;TEXT(Inputs!$B$87,"$#,##0")&amp;" grown to "&amp;TEXT(Inputs!$B$91,"$#,##0")&amp;".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grown to $75,000. Losses are estimated by multiplying the earnings base by the time period from [[claimant_DOI_short]], to trial. Earnings (unknown) since [[claimant_DOI_short]], should be deducted. </v>
      </c>
      <c r="C20" s="70" t="b">
        <v>0</v>
      </c>
      <c r="D20" s="68"/>
      <c r="E20" s="68"/>
    </row>
    <row r="21" spans="1:7" s="47" customFormat="1" ht="15.75" x14ac:dyDescent="0.2">
      <c r="A21" s="61">
        <v>3</v>
      </c>
      <c r="B21" s="72" t="s">
        <v>240</v>
      </c>
      <c r="C21" s="71"/>
      <c r="D21" s="71"/>
      <c r="E21" s="71"/>
      <c r="F21" s="60"/>
      <c r="G21" s="60"/>
    </row>
    <row r="22" spans="1:7" ht="65.45" customHeight="1" x14ac:dyDescent="0.2">
      <c r="B22" s="143" t="str">
        <f>"1.     Earnings and Employment Background indicates that your client was working as a "&amp;Inputs!$D$20&amp;" at the time of the accident."</f>
        <v>1.     Earnings and Employment Background indicates that your client was working as a Plumber for ABC, Inc at the time of the accident.</v>
      </c>
      <c r="C22" s="143"/>
      <c r="D22" s="143"/>
      <c r="E22" s="70" t="b">
        <v>0</v>
      </c>
    </row>
    <row r="23" spans="1:7" ht="15.75" x14ac:dyDescent="0.2">
      <c r="A23" s="61" t="s">
        <v>242</v>
      </c>
      <c r="B23" s="72" t="s">
        <v>243</v>
      </c>
      <c r="C23" s="71"/>
      <c r="D23" s="71"/>
      <c r="E23" s="71"/>
      <c r="F23" s="60"/>
      <c r="G23" s="60"/>
    </row>
    <row r="24" spans="1:7" ht="69" customHeight="1" x14ac:dyDescent="0.2">
      <c r="A24" s="8" t="s">
        <v>247</v>
      </c>
      <c r="B24" s="143" t="str">
        <f>_xlfn._LONGTEXT("Discount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")&amp;TEXT(Inputs!$E$22,"0.0%")&amp;" to "&amp;TEXT(Inputs!$F$22,"0.0%")&amp;"."</f>
        <v>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2.3% to 3.3%.</v>
      </c>
      <c r="C24" s="143"/>
      <c r="D24" s="143"/>
      <c r="E24" s="70" t="b">
        <v>0</v>
      </c>
    </row>
    <row r="25" spans="1:7" ht="103.7" customHeight="1" x14ac:dyDescent="0.2">
      <c r="A25" s="8" t="s">
        <v>248</v>
      </c>
      <c r="B25" s="143" t="str">
        <f>CONCATENATE(_xlfn._LONGTEXT("Below Market 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of current real rates of interest on AAA-rated municipal bonds adjusted for the forecased int","ermediate long run inflation estimate as reported in the Annual Report of the Board of Trustees of the Social Security Administration (2025). These rates currently range from "),TEXT(Inputs!$E$22,"0.0%")," to ",TEXT(Inputs!$F$22,"0.0%"),".")</f>
        <v>Below Market 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of current real rates of interest on AAA-rated municipal bonds adjusted for the forecased intermediate long run inflation estimate as reported in the Annual Report of the Board of Trustees of the Social Security Administration (2025). These rates currently range from 2.3% to 3.3%.</v>
      </c>
      <c r="C25" s="143"/>
      <c r="D25" s="143"/>
      <c r="E25" s="70" t="b">
        <v>0</v>
      </c>
    </row>
    <row r="26" spans="1:7" ht="103.7" customHeight="1" x14ac:dyDescent="0.2">
      <c r="A26" s="8" t="s">
        <v>250</v>
      </c>
      <c r="B26" s="143" t="str">
        <f>_xlfn._LONGTEXT("Discount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")&amp;TEXT(Inputs!$E$23,"0.0%")&amp;" to "&amp;TEXT(Inputs!$F$23,"0.0%")&amp;"."</f>
        <v>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2.3% to 3.9%.</v>
      </c>
      <c r="C26" s="143"/>
      <c r="D26" s="143"/>
      <c r="E26" s="70" t="b">
        <v>0</v>
      </c>
    </row>
    <row r="27" spans="1:7" ht="15.75" x14ac:dyDescent="0.2">
      <c r="B27" s="68"/>
      <c r="C27" s="68"/>
      <c r="D27" s="68"/>
      <c r="E27" s="68"/>
    </row>
    <row r="28" spans="1:7" ht="15.75" x14ac:dyDescent="0.2">
      <c r="B28" s="68"/>
      <c r="C28" s="68"/>
      <c r="D28" s="68"/>
      <c r="E28" s="68"/>
    </row>
    <row r="29" spans="1:7" ht="15.75" x14ac:dyDescent="0.2">
      <c r="B29" s="68"/>
      <c r="C29" s="68"/>
      <c r="D29" s="68"/>
      <c r="E29" s="68"/>
    </row>
    <row r="30" spans="1:7" ht="15.75" x14ac:dyDescent="0.2">
      <c r="B30" s="68"/>
      <c r="C30" s="68"/>
      <c r="D30" s="68"/>
      <c r="E30" s="68"/>
    </row>
    <row r="31" spans="1:7" ht="15.75" x14ac:dyDescent="0.2">
      <c r="B31" s="68"/>
      <c r="C31" s="68"/>
      <c r="D31" s="68"/>
      <c r="E31" s="68"/>
    </row>
    <row r="32" spans="1:7" ht="15.75" x14ac:dyDescent="0.2">
      <c r="B32" s="68"/>
      <c r="C32" s="68"/>
      <c r="D32" s="68"/>
      <c r="E32" s="68"/>
    </row>
    <row r="33" spans="2:5" ht="15.75" x14ac:dyDescent="0.2">
      <c r="B33" s="68"/>
      <c r="C33" s="68"/>
      <c r="D33" s="68"/>
      <c r="E33" s="68"/>
    </row>
    <row r="34" spans="2:5" ht="15.75" x14ac:dyDescent="0.2">
      <c r="B34" s="68"/>
      <c r="C34" s="68"/>
      <c r="D34" s="68"/>
      <c r="E34" s="68"/>
    </row>
    <row r="35" spans="2:5" ht="15.75" x14ac:dyDescent="0.2">
      <c r="B35" s="68"/>
      <c r="C35" s="68"/>
      <c r="D35" s="68"/>
      <c r="E35" s="68"/>
    </row>
    <row r="36" spans="2:5" ht="15.75" x14ac:dyDescent="0.2">
      <c r="B36" s="68"/>
      <c r="C36" s="68"/>
      <c r="D36" s="68"/>
      <c r="E36" s="68"/>
    </row>
    <row r="37" spans="2:5" ht="15.75" x14ac:dyDescent="0.2">
      <c r="B37" s="68"/>
      <c r="C37" s="68"/>
      <c r="D37" s="68"/>
      <c r="E37" s="68"/>
    </row>
    <row r="38" spans="2:5" ht="15.75" x14ac:dyDescent="0.2">
      <c r="B38" s="68"/>
      <c r="C38" s="68"/>
      <c r="D38" s="68"/>
      <c r="E38" s="68"/>
    </row>
    <row r="39" spans="2:5" ht="15.75" x14ac:dyDescent="0.2">
      <c r="B39" s="68"/>
      <c r="C39" s="68"/>
      <c r="D39" s="68"/>
      <c r="E39" s="68"/>
    </row>
    <row r="40" spans="2:5" ht="15.75" x14ac:dyDescent="0.2">
      <c r="B40" s="68"/>
      <c r="C40" s="68"/>
      <c r="D40" s="68"/>
      <c r="E40" s="68"/>
    </row>
    <row r="41" spans="2:5" ht="15.75" x14ac:dyDescent="0.2">
      <c r="B41" s="68"/>
      <c r="C41" s="68"/>
      <c r="D41" s="68"/>
      <c r="E41" s="68"/>
    </row>
    <row r="42" spans="2:5" ht="15.75" x14ac:dyDescent="0.2">
      <c r="B42" s="68"/>
      <c r="C42" s="68"/>
      <c r="D42" s="68"/>
      <c r="E42" s="68"/>
    </row>
    <row r="43" spans="2:5" ht="15.75" x14ac:dyDescent="0.2">
      <c r="B43" s="68"/>
      <c r="C43" s="68"/>
      <c r="D43" s="68"/>
      <c r="E43" s="68"/>
    </row>
  </sheetData>
  <mergeCells count="5">
    <mergeCell ref="B22:D22"/>
    <mergeCell ref="B24:D24"/>
    <mergeCell ref="B3:D3"/>
    <mergeCell ref="B25:D25"/>
    <mergeCell ref="B26:D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55918-5A98-4EF6-AA0A-D9428659AB74}">
  <sheetPr>
    <tabColor rgb="FF92D050"/>
  </sheetPr>
  <dimension ref="A1:AJ81"/>
  <sheetViews>
    <sheetView zoomScale="130" zoomScaleNormal="130" workbookViewId="0">
      <selection activeCell="E5" sqref="E5"/>
    </sheetView>
  </sheetViews>
  <sheetFormatPr defaultColWidth="8.85546875" defaultRowHeight="12.75" x14ac:dyDescent="0.2"/>
  <cols>
    <col min="1" max="1" width="14.140625" customWidth="1"/>
    <col min="2" max="2" width="16" customWidth="1"/>
    <col min="3" max="3" width="21.42578125" customWidth="1"/>
    <col min="4" max="4" width="17.85546875" customWidth="1"/>
    <col min="5" max="5" width="21.42578125" customWidth="1"/>
    <col min="6" max="6" width="19.42578125" customWidth="1"/>
    <col min="7" max="7" width="23.140625" customWidth="1"/>
    <col min="8" max="8" width="15.85546875" bestFit="1" customWidth="1"/>
    <col min="9" max="9" width="12.42578125" bestFit="1" customWidth="1"/>
    <col min="11" max="11" width="11.140625" customWidth="1"/>
  </cols>
  <sheetData>
    <row r="1" spans="1:36" ht="30" customHeight="1" x14ac:dyDescent="0.25">
      <c r="A1" s="131" t="s">
        <v>142</v>
      </c>
      <c r="B1" s="131"/>
      <c r="C1" s="131"/>
      <c r="D1" s="131"/>
      <c r="E1" s="131"/>
      <c r="F1" s="131"/>
      <c r="G1" s="131"/>
      <c r="AE1" s="3"/>
      <c r="AF1" s="5"/>
      <c r="AG1" s="5"/>
      <c r="AH1" s="1"/>
    </row>
    <row r="2" spans="1:36" x14ac:dyDescent="0.2">
      <c r="AE2" s="1"/>
      <c r="AF2" s="1"/>
      <c r="AG2" s="1"/>
      <c r="AI2" s="8"/>
      <c r="AJ2" s="10"/>
    </row>
    <row r="3" spans="1:36" ht="38.25" x14ac:dyDescent="0.2">
      <c r="A3" t="s">
        <v>98</v>
      </c>
      <c r="B3" s="42">
        <v>75000</v>
      </c>
      <c r="C3" s="93" t="s">
        <v>267</v>
      </c>
      <c r="D3" t="s">
        <v>97</v>
      </c>
      <c r="E3" s="39">
        <v>3.1E-2</v>
      </c>
      <c r="F3" t="s">
        <v>126</v>
      </c>
      <c r="G3" t="s">
        <v>269</v>
      </c>
      <c r="AE3" s="4"/>
      <c r="AF3" s="2"/>
      <c r="AG3" s="2"/>
    </row>
    <row r="4" spans="1:36" x14ac:dyDescent="0.2">
      <c r="A4" t="s">
        <v>93</v>
      </c>
      <c r="B4" s="26">
        <f>'Case Inputs'!B18</f>
        <v>14.292566735112935</v>
      </c>
      <c r="D4" t="s">
        <v>99</v>
      </c>
      <c r="E4" s="27">
        <f>'Case Inputs'!B19</f>
        <v>14</v>
      </c>
      <c r="AE4" s="2"/>
      <c r="AF4" s="2"/>
      <c r="AG4" s="2"/>
    </row>
    <row r="5" spans="1:36" x14ac:dyDescent="0.2">
      <c r="A5" t="s">
        <v>100</v>
      </c>
      <c r="B5" s="26">
        <f>'Case Inputs'!B20</f>
        <v>0.29256673511293485</v>
      </c>
      <c r="D5" s="8" t="s">
        <v>221</v>
      </c>
      <c r="E5" s="64">
        <v>0.1</v>
      </c>
      <c r="F5" s="53" t="b">
        <v>0</v>
      </c>
      <c r="AE5" s="7"/>
      <c r="AF5" s="7"/>
    </row>
    <row r="6" spans="1:36" x14ac:dyDescent="0.2">
      <c r="D6" s="8" t="s">
        <v>249</v>
      </c>
      <c r="E6" s="64">
        <f>E3</f>
        <v>3.1E-2</v>
      </c>
      <c r="F6" s="53" t="b">
        <v>0</v>
      </c>
      <c r="AE6" s="7"/>
      <c r="AF6" s="7"/>
    </row>
    <row r="7" spans="1:36" x14ac:dyDescent="0.2">
      <c r="A7" s="145" t="s">
        <v>115</v>
      </c>
      <c r="B7" s="130"/>
      <c r="C7" s="130"/>
      <c r="D7" s="130"/>
      <c r="E7" s="130"/>
      <c r="F7" s="130"/>
      <c r="G7" s="130"/>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329</v>
      </c>
      <c r="AE8" s="7"/>
      <c r="AF8" s="7"/>
    </row>
    <row r="9" spans="1:36" x14ac:dyDescent="0.2">
      <c r="A9">
        <f>YEAR('Case Inputs'!$B$5)</f>
        <v>2021</v>
      </c>
      <c r="B9">
        <f>YEAR('Case Inputs'!$B$5)</f>
        <v>2021</v>
      </c>
      <c r="C9" s="7">
        <f>$B$3</f>
        <v>75000</v>
      </c>
      <c r="D9" s="38" t="str">
        <f>IF('Case Inputs'!$B$28="CPI Adjustment",IFERROR(INDEX('CPI Data'!$F$2:$F$5,MATCH(B9,'CPI Data'!$E$2:$E$5,0)),""),"")</f>
        <v/>
      </c>
      <c r="E9" s="26">
        <f>1</f>
        <v>1</v>
      </c>
      <c r="F9">
        <f>(DATE(YEAR('Case Inputs'!$B$5),12,31)-'Case Inputs'!$B$5)/365</f>
        <v>0.33150684931506852</v>
      </c>
      <c r="G9" s="7">
        <f>C9*F9*IF($F$5,1-$E$5,1)</f>
        <v>24863.01369863014</v>
      </c>
      <c r="H9" s="7">
        <f>C9*F9</f>
        <v>24863.01369863014</v>
      </c>
      <c r="O9" t="s">
        <v>270</v>
      </c>
      <c r="AE9" s="7"/>
      <c r="AF9" s="7"/>
    </row>
    <row r="10" spans="1:36" x14ac:dyDescent="0.2">
      <c r="A10">
        <f>IF(YEAR('Case Inputs'!$B$6)-YEAR('Case Inputs'!$B$5)&gt;=2,YEAR('Case Inputs'!$B$5)+1,"")</f>
        <v>2022</v>
      </c>
      <c r="B10">
        <f>IF(A10="","",A10)</f>
        <v>2022</v>
      </c>
      <c r="C10" s="7">
        <f>C9*E10</f>
        <v>75000</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75000</v>
      </c>
      <c r="H10" s="7">
        <f t="shared" ref="H10:H15" si="0">C10*F10</f>
        <v>75000</v>
      </c>
      <c r="O10" t="s">
        <v>271</v>
      </c>
      <c r="AE10" s="7"/>
      <c r="AF10" s="7"/>
    </row>
    <row r="11" spans="1:36" x14ac:dyDescent="0.2">
      <c r="A11">
        <f>IF(YEAR('Case Inputs'!$B$6)-YEAR('Case Inputs'!$B$5)&gt;=3,YEAR('Case Inputs'!$B$5)+2,"")</f>
        <v>2023</v>
      </c>
      <c r="B11">
        <f>IF(A11="","",A11)</f>
        <v>2023</v>
      </c>
      <c r="C11" s="7">
        <f>C10*E11</f>
        <v>75000</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75000</v>
      </c>
      <c r="H11" s="7">
        <f t="shared" si="0"/>
        <v>75000</v>
      </c>
      <c r="AE11" s="7"/>
      <c r="AF11" s="7"/>
    </row>
    <row r="12" spans="1:36" x14ac:dyDescent="0.2">
      <c r="A12">
        <f>IF(YEAR('Case Inputs'!$B$6)-YEAR('Case Inputs'!$B$5)&gt;=4,YEAR('Case Inputs'!$B$5)+3,"")</f>
        <v>2024</v>
      </c>
      <c r="B12">
        <f>IF(A12="","",A12)</f>
        <v>2024</v>
      </c>
      <c r="C12" s="7">
        <f>IF(A12="","",C11*E12)</f>
        <v>75000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75000</v>
      </c>
      <c r="H12" s="7">
        <f t="shared" si="0"/>
        <v>75000</v>
      </c>
      <c r="AE12" s="7"/>
      <c r="AF12" s="7"/>
    </row>
    <row r="13" spans="1:36" x14ac:dyDescent="0.2">
      <c r="A13">
        <f>IF(YEAR('Case Inputs'!$B$6)-YEAR('Case Inputs'!$B$5)&gt;=5,YEAR('Case Inputs'!$B$5)+4,"")</f>
        <v>2025</v>
      </c>
      <c r="B13">
        <f>IF(A13="","",A13)</f>
        <v>2025</v>
      </c>
      <c r="C13" s="7">
        <f>IF(A13="","",C12*E13)</f>
        <v>75000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75000</v>
      </c>
      <c r="H13" s="7">
        <f t="shared" si="0"/>
        <v>75000</v>
      </c>
      <c r="AE13" s="7"/>
      <c r="AF13" s="7"/>
    </row>
    <row r="14" spans="1:36" x14ac:dyDescent="0.2">
      <c r="AE14" s="7"/>
      <c r="AF14" s="7"/>
    </row>
    <row r="15" spans="1:36" x14ac:dyDescent="0.2">
      <c r="A15">
        <f>YEAR('Case Inputs'!$B$6)</f>
        <v>2026</v>
      </c>
      <c r="B15">
        <f>YEAR('Case Inputs'!$B$6)</f>
        <v>2026</v>
      </c>
      <c r="C15" s="7">
        <f>IF(A13&lt;&gt;"",C13*E15,IF(A12&lt;&gt;"",C12*E15,IF(A11&lt;&gt;"",C11*E15,IF(A10&lt;&gt;"",C10*E15,C9*E15))))</f>
        <v>75000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31027.397260273974</v>
      </c>
      <c r="H15" s="7">
        <f t="shared" si="0"/>
        <v>31027.397260273974</v>
      </c>
      <c r="AE15" s="7"/>
      <c r="AF15" s="7"/>
    </row>
    <row r="16" spans="1:36" x14ac:dyDescent="0.2">
      <c r="D16" s="38"/>
      <c r="AE16" s="7"/>
      <c r="AF16" s="7"/>
    </row>
    <row r="17" spans="1:32" x14ac:dyDescent="0.2">
      <c r="A17" s="19" t="s">
        <v>117</v>
      </c>
      <c r="C17" s="30"/>
      <c r="D17" s="38"/>
      <c r="G17" s="30">
        <f>SUM(G9:G15)</f>
        <v>355890.41095890413</v>
      </c>
      <c r="H17" s="30">
        <f>SUM(H9:H15)</f>
        <v>355890.41095890413</v>
      </c>
      <c r="AE17" s="7"/>
      <c r="AF17" s="7"/>
    </row>
    <row r="18" spans="1:32" x14ac:dyDescent="0.2">
      <c r="AE18" s="7"/>
      <c r="AF18" s="7"/>
    </row>
    <row r="19" spans="1:32" x14ac:dyDescent="0.2">
      <c r="A19" s="146" t="s">
        <v>118</v>
      </c>
      <c r="B19" s="146"/>
      <c r="C19" s="146"/>
      <c r="D19" s="146"/>
      <c r="E19" s="146"/>
      <c r="F19" s="146"/>
      <c r="G19" s="146"/>
      <c r="AE19" s="7"/>
      <c r="AF19" s="7"/>
    </row>
    <row r="20" spans="1:32" x14ac:dyDescent="0.2">
      <c r="A20">
        <f>IF(1&gt;$E$4+1,"",1)</f>
        <v>1</v>
      </c>
      <c r="B20">
        <f>IF(A20="","",YEAR('Case Inputs'!$B$6)+A20)</f>
        <v>2027</v>
      </c>
      <c r="C20" s="7">
        <f t="shared" ref="C20:C51" si="1">IF(A20="","",$C$15*(1+$E$3)^A20)</f>
        <v>77325</v>
      </c>
      <c r="D20" s="10">
        <f>IF(A20="","",IFERROR(INDEX('Discount Rates'!$C:$C,MATCH(TEXT(B20,"0"),'Discount Rates'!$A:$A,0))/100-IF($F$6=TRUE,$E$6,0),0))</f>
        <v>2.3010000000000003E-2</v>
      </c>
      <c r="E20" s="7">
        <f t="shared" ref="E20:E51" si="2">IF(A20="","",C20/((1+D20)^A20))</f>
        <v>75585.771400084064</v>
      </c>
      <c r="F20" s="26">
        <f t="shared" ref="F20:F51" si="3">IF(A20="","",IF(A20&lt;=$E$4,1,IF(A20=$E$4+1,$B$5,0)))</f>
        <v>1</v>
      </c>
      <c r="G20" s="7">
        <f t="shared" ref="G20:G51" si="4">IF(A20="","",E20*F20*IF($F$5,1-$E$5,1))</f>
        <v>75585.771400084064</v>
      </c>
      <c r="AE20" s="7"/>
      <c r="AF20" s="7"/>
    </row>
    <row r="21" spans="1:32" x14ac:dyDescent="0.2">
      <c r="A21">
        <f>IF(2&gt;$E$4+1,"",2)</f>
        <v>2</v>
      </c>
      <c r="B21">
        <f>IF(A21="","",YEAR('Case Inputs'!$B$6)+A21)</f>
        <v>2028</v>
      </c>
      <c r="C21" s="7">
        <f t="shared" si="1"/>
        <v>79722.074999999983</v>
      </c>
      <c r="D21" s="10">
        <f>IF(A21="","",IFERROR(INDEX('Discount Rates'!$C:$C,MATCH(TEXT(B21,"0"),'Discount Rates'!$A:$A,0))/100-IF($F$6=TRUE,$E$6,0),0))</f>
        <v>2.291E-2</v>
      </c>
      <c r="E21" s="7">
        <f t="shared" si="2"/>
        <v>76191.01257194762</v>
      </c>
      <c r="F21" s="26">
        <f t="shared" si="3"/>
        <v>1</v>
      </c>
      <c r="G21" s="7">
        <f t="shared" si="4"/>
        <v>76191.01257194762</v>
      </c>
      <c r="AE21" s="7"/>
      <c r="AF21" s="7"/>
    </row>
    <row r="22" spans="1:32" x14ac:dyDescent="0.2">
      <c r="A22">
        <f>IF(3&gt;$E$4+1,"",3)</f>
        <v>3</v>
      </c>
      <c r="B22">
        <f>IF(A22="","",YEAR('Case Inputs'!$B$6)+A22)</f>
        <v>2029</v>
      </c>
      <c r="C22" s="7">
        <f t="shared" si="1"/>
        <v>82193.459324999974</v>
      </c>
      <c r="D22" s="10">
        <f>IF(A22="","",IFERROR(INDEX('Discount Rates'!$C:$C,MATCH(TEXT(B22,"0"),'Discount Rates'!$A:$A,0))/100-IF($F$6=TRUE,$E$6,0),0))</f>
        <v>2.2890000000000001E-2</v>
      </c>
      <c r="E22" s="7">
        <f t="shared" si="2"/>
        <v>76798.097347201343</v>
      </c>
      <c r="F22" s="26">
        <f t="shared" si="3"/>
        <v>1</v>
      </c>
      <c r="G22" s="7">
        <f t="shared" si="4"/>
        <v>76798.097347201343</v>
      </c>
      <c r="AE22" s="7"/>
      <c r="AF22" s="7"/>
    </row>
    <row r="23" spans="1:32" x14ac:dyDescent="0.2">
      <c r="A23">
        <f>IF(4&gt;$E$4+1,"",4)</f>
        <v>4</v>
      </c>
      <c r="B23">
        <f>IF(A23="","",YEAR('Case Inputs'!$B$6)+A23)</f>
        <v>2030</v>
      </c>
      <c r="C23" s="7">
        <f t="shared" si="1"/>
        <v>84741.456564074979</v>
      </c>
      <c r="D23" s="10">
        <f>IF(A23="","",IFERROR(INDEX('Discount Rates'!$C:$C,MATCH(TEXT(B23,"0"),'Discount Rates'!$A:$A,0))/100-IF($F$6=TRUE,$E$6,0),0))</f>
        <v>2.3460000000000002E-2</v>
      </c>
      <c r="E23" s="7">
        <f t="shared" si="2"/>
        <v>77234.693873396856</v>
      </c>
      <c r="F23" s="26">
        <f t="shared" si="3"/>
        <v>1</v>
      </c>
      <c r="G23" s="7">
        <f t="shared" si="4"/>
        <v>77234.693873396856</v>
      </c>
      <c r="AE23" s="7"/>
      <c r="AF23" s="7"/>
    </row>
    <row r="24" spans="1:32" x14ac:dyDescent="0.2">
      <c r="A24">
        <f>IF(5&gt;$E$4+1,"",5)</f>
        <v>5</v>
      </c>
      <c r="B24">
        <f>IF(A24="","",YEAR('Case Inputs'!$B$6)+A24)</f>
        <v>2031</v>
      </c>
      <c r="C24" s="7">
        <f t="shared" si="1"/>
        <v>87368.441717561305</v>
      </c>
      <c r="D24" s="10">
        <f>IF(A24="","",IFERROR(INDEX('Discount Rates'!$C:$C,MATCH(TEXT(B24,"0"),'Discount Rates'!$A:$A,0))/100-IF($F$6=TRUE,$E$6,0),0))</f>
        <v>2.3969999999999998E-2</v>
      </c>
      <c r="E24" s="7">
        <f t="shared" si="2"/>
        <v>77610.132502005697</v>
      </c>
      <c r="F24" s="26">
        <f t="shared" si="3"/>
        <v>1</v>
      </c>
      <c r="G24" s="7">
        <f t="shared" si="4"/>
        <v>77610.132502005697</v>
      </c>
      <c r="AE24" s="7"/>
      <c r="AF24" s="7"/>
    </row>
    <row r="25" spans="1:32" x14ac:dyDescent="0.2">
      <c r="A25">
        <f>IF(6&gt;$E$4+1,"",6)</f>
        <v>6</v>
      </c>
      <c r="B25">
        <f>IF(A25="","",YEAR('Case Inputs'!$B$6)+A25)</f>
        <v>2032</v>
      </c>
      <c r="C25" s="7">
        <f t="shared" si="1"/>
        <v>90076.863410805701</v>
      </c>
      <c r="D25" s="10">
        <f>IF(A25="","",IFERROR(INDEX('Discount Rates'!$C:$C,MATCH(TEXT(B25,"0"),'Discount Rates'!$A:$A,0))/100-IF($F$6=TRUE,$E$6,0),0))</f>
        <v>2.4809999999999999E-2</v>
      </c>
      <c r="E25" s="7">
        <f t="shared" si="2"/>
        <v>77759.440617335917</v>
      </c>
      <c r="F25" s="26">
        <f t="shared" si="3"/>
        <v>1</v>
      </c>
      <c r="G25" s="7">
        <f t="shared" si="4"/>
        <v>77759.440617335917</v>
      </c>
      <c r="AE25" s="7"/>
      <c r="AF25" s="7"/>
    </row>
    <row r="26" spans="1:32" x14ac:dyDescent="0.2">
      <c r="A26">
        <f>IF(7&gt;$E$4+1,"",7)</f>
        <v>7</v>
      </c>
      <c r="B26">
        <f>IF(A26="","",YEAR('Case Inputs'!$B$6)+A26)</f>
        <v>2033</v>
      </c>
      <c r="C26" s="7">
        <f t="shared" si="1"/>
        <v>92869.246176540662</v>
      </c>
      <c r="D26" s="10">
        <f>IF(A26="","",IFERROR(INDEX('Discount Rates'!$C:$C,MATCH(TEXT(B26,"0"),'Discount Rates'!$A:$A,0))/100-IF($F$6=TRUE,$E$6,0),0))</f>
        <v>2.581E-2</v>
      </c>
      <c r="E26" s="7">
        <f t="shared" si="2"/>
        <v>77696.851699020815</v>
      </c>
      <c r="F26" s="26">
        <f t="shared" si="3"/>
        <v>1</v>
      </c>
      <c r="G26" s="7">
        <f t="shared" si="4"/>
        <v>77696.851699020815</v>
      </c>
      <c r="AE26" s="7"/>
      <c r="AF26" s="7"/>
    </row>
    <row r="27" spans="1:32" x14ac:dyDescent="0.2">
      <c r="A27">
        <f>IF(8&gt;$E$4+1,"",8)</f>
        <v>8</v>
      </c>
      <c r="B27">
        <f>IF(A27="","",YEAR('Case Inputs'!$B$6)+A27)</f>
        <v>2034</v>
      </c>
      <c r="C27" s="7">
        <f t="shared" si="1"/>
        <v>95748.192808013424</v>
      </c>
      <c r="D27" s="10">
        <f>IF(A27="","",IFERROR(INDEX('Discount Rates'!$C:$C,MATCH(TEXT(B27,"0"),'Discount Rates'!$A:$A,0))/100-IF($F$6=TRUE,$E$6,0),0))</f>
        <v>2.6459999999999997E-2</v>
      </c>
      <c r="E27" s="7">
        <f t="shared" si="2"/>
        <v>77695.227938353099</v>
      </c>
      <c r="F27" s="26">
        <f t="shared" si="3"/>
        <v>1</v>
      </c>
      <c r="G27" s="7">
        <f t="shared" si="4"/>
        <v>77695.227938353099</v>
      </c>
      <c r="AE27" s="7"/>
      <c r="AF27" s="7"/>
    </row>
    <row r="28" spans="1:32" x14ac:dyDescent="0.2">
      <c r="A28">
        <f>IF(9&gt;$E$4+1,"",9)</f>
        <v>9</v>
      </c>
      <c r="B28">
        <f>IF(A28="","",YEAR('Case Inputs'!$B$6)+A28)</f>
        <v>2035</v>
      </c>
      <c r="C28" s="7">
        <f t="shared" si="1"/>
        <v>98716.386785061826</v>
      </c>
      <c r="D28" s="10">
        <f>IF(A28="","",IFERROR(INDEX('Discount Rates'!$C:$C,MATCH(TEXT(B28,"0"),'Discount Rates'!$A:$A,0))/100-IF($F$6=TRUE,$E$6,0),0))</f>
        <v>2.7380000000000002E-2</v>
      </c>
      <c r="E28" s="7">
        <f t="shared" si="2"/>
        <v>77412.178147699873</v>
      </c>
      <c r="F28" s="26">
        <f t="shared" si="3"/>
        <v>1</v>
      </c>
      <c r="G28" s="7">
        <f t="shared" si="4"/>
        <v>77412.178147699873</v>
      </c>
      <c r="AE28" s="7"/>
      <c r="AF28" s="7"/>
    </row>
    <row r="29" spans="1:32" x14ac:dyDescent="0.2">
      <c r="A29">
        <f>IF(10&gt;$E$4+1,"",10)</f>
        <v>10</v>
      </c>
      <c r="B29">
        <f>IF(A29="","",YEAR('Case Inputs'!$B$6)+A29)</f>
        <v>2036</v>
      </c>
      <c r="C29" s="7">
        <f t="shared" si="1"/>
        <v>101776.59477539874</v>
      </c>
      <c r="D29" s="10">
        <f>IF(A29="","",IFERROR(INDEX('Discount Rates'!$C:$C,MATCH(TEXT(B29,"0"),'Discount Rates'!$A:$A,0))/100-IF($F$6=TRUE,$E$6,0),0))</f>
        <v>2.8420000000000001E-2</v>
      </c>
      <c r="E29" s="7">
        <f t="shared" si="2"/>
        <v>76902.910590176718</v>
      </c>
      <c r="F29" s="26">
        <f t="shared" si="3"/>
        <v>1</v>
      </c>
      <c r="G29" s="7">
        <f t="shared" si="4"/>
        <v>76902.910590176718</v>
      </c>
      <c r="I29" s="7"/>
      <c r="AE29" s="7"/>
      <c r="AF29" s="7"/>
    </row>
    <row r="30" spans="1:32" x14ac:dyDescent="0.2">
      <c r="A30">
        <f>IF(11&gt;$E$4+1,"",11)</f>
        <v>11</v>
      </c>
      <c r="B30">
        <f>IF(A30="","",YEAR('Case Inputs'!$B$6)+A30)</f>
        <v>2037</v>
      </c>
      <c r="C30" s="7">
        <f t="shared" si="1"/>
        <v>104931.66921343609</v>
      </c>
      <c r="D30" s="10">
        <f>IF(A30="","",IFERROR(INDEX('Discount Rates'!$C:$C,MATCH(TEXT(B30,"0"),'Discount Rates'!$A:$A,0))/100-IF($F$6=TRUE,$E$6,0),0))</f>
        <v>2.955E-2</v>
      </c>
      <c r="E30" s="7">
        <f t="shared" si="2"/>
        <v>76170.132173532926</v>
      </c>
      <c r="F30" s="26">
        <f t="shared" si="3"/>
        <v>1</v>
      </c>
      <c r="G30" s="7">
        <f t="shared" si="4"/>
        <v>76170.132173532926</v>
      </c>
      <c r="AE30" s="7"/>
      <c r="AF30" s="7"/>
    </row>
    <row r="31" spans="1:32" x14ac:dyDescent="0.2">
      <c r="A31">
        <f>IF(12&gt;$E$4+1,"",12)</f>
        <v>12</v>
      </c>
      <c r="B31">
        <f>IF(A31="","",YEAR('Case Inputs'!$B$6)+A31)</f>
        <v>2038</v>
      </c>
      <c r="C31" s="7">
        <f t="shared" si="1"/>
        <v>108184.55095905262</v>
      </c>
      <c r="D31" s="10">
        <f>IF(A31="","",IFERROR(INDEX('Discount Rates'!$C:$C,MATCH(TEXT(B31,"0"),'Discount Rates'!$A:$A,0))/100-IF($F$6=TRUE,$E$6,0),0))</f>
        <v>3.0630000000000001E-2</v>
      </c>
      <c r="E31" s="7">
        <f t="shared" si="2"/>
        <v>75323.742082781348</v>
      </c>
      <c r="F31" s="26">
        <f t="shared" si="3"/>
        <v>1</v>
      </c>
      <c r="G31" s="7">
        <f t="shared" si="4"/>
        <v>75323.742082781348</v>
      </c>
      <c r="AE31" s="7"/>
      <c r="AF31" s="7"/>
    </row>
    <row r="32" spans="1:32" x14ac:dyDescent="0.2">
      <c r="A32">
        <f>IF(13&gt;$E$4+1,"",13)</f>
        <v>13</v>
      </c>
      <c r="B32">
        <f>IF(A32="","",YEAR('Case Inputs'!$B$6)+A32)</f>
        <v>2039</v>
      </c>
      <c r="C32" s="7">
        <f t="shared" si="1"/>
        <v>111538.27203878324</v>
      </c>
      <c r="D32" s="10">
        <f>IF(A32="","",IFERROR(INDEX('Discount Rates'!$C:$C,MATCH(TEXT(B32,"0"),'Discount Rates'!$A:$A,0))/100-IF($F$6=TRUE,$E$6,0),0))</f>
        <v>3.1370000000000002E-2</v>
      </c>
      <c r="E32" s="7">
        <f t="shared" si="2"/>
        <v>74650.974418011145</v>
      </c>
      <c r="F32" s="26">
        <f t="shared" si="3"/>
        <v>1</v>
      </c>
      <c r="G32" s="7">
        <f t="shared" si="4"/>
        <v>74650.974418011145</v>
      </c>
      <c r="AE32" s="7"/>
      <c r="AF32" s="7"/>
    </row>
    <row r="33" spans="1:32" x14ac:dyDescent="0.2">
      <c r="A33">
        <f>IF(14&gt;$E$4+1,"",14)</f>
        <v>14</v>
      </c>
      <c r="B33">
        <f>IF(A33="","",YEAR('Case Inputs'!$B$6)+A33)</f>
        <v>2040</v>
      </c>
      <c r="C33" s="7">
        <f t="shared" si="1"/>
        <v>114995.9584719855</v>
      </c>
      <c r="D33" s="10">
        <f>IF(A33="","",IFERROR(INDEX('Discount Rates'!$C:$C,MATCH(TEXT(B33,"0"),'Discount Rates'!$A:$A,0))/100-IF($F$6=TRUE,$E$6,0),0))</f>
        <v>3.243E-2</v>
      </c>
      <c r="E33" s="7">
        <f t="shared" si="2"/>
        <v>73558.685278539226</v>
      </c>
      <c r="F33" s="26">
        <f t="shared" si="3"/>
        <v>1</v>
      </c>
      <c r="G33" s="7">
        <f t="shared" si="4"/>
        <v>73558.685278539226</v>
      </c>
      <c r="AE33" s="7"/>
      <c r="AF33" s="7"/>
    </row>
    <row r="34" spans="1:32" x14ac:dyDescent="0.2">
      <c r="A34">
        <f>IF(15&gt;$E$4+1,"",15)</f>
        <v>15</v>
      </c>
      <c r="B34">
        <f>IF(A34="","",YEAR('Case Inputs'!$B$6)+A34)</f>
        <v>2041</v>
      </c>
      <c r="C34" s="7">
        <f t="shared" si="1"/>
        <v>118560.83318461705</v>
      </c>
      <c r="D34" s="10">
        <f>IF(A34="","",IFERROR(INDEX('Discount Rates'!$C:$C,MATCH(TEXT(B34,"0"),'Discount Rates'!$A:$A,0))/100-IF($F$6=TRUE,$E$6,0),0))</f>
        <v>3.2969999999999999E-2</v>
      </c>
      <c r="E34" s="7">
        <f t="shared" si="2"/>
        <v>72882.894469559396</v>
      </c>
      <c r="F34" s="26">
        <f t="shared" si="3"/>
        <v>0.29256673511293485</v>
      </c>
      <c r="G34" s="7">
        <f t="shared" si="4"/>
        <v>21323.11048053957</v>
      </c>
      <c r="AE34" s="7"/>
      <c r="AF34" s="7"/>
    </row>
    <row r="35" spans="1:32" x14ac:dyDescent="0.2">
      <c r="A35" t="str">
        <f>IF(16&gt;$E$4+1,"",16)</f>
        <v/>
      </c>
      <c r="B35" t="str">
        <f>IF(A35="","",YEAR('Case Inputs'!$B$6)+A35)</f>
        <v/>
      </c>
      <c r="C35" s="7" t="str">
        <f t="shared" si="1"/>
        <v/>
      </c>
      <c r="D35" s="10" t="str">
        <f>IF(A35="","",IFERROR(INDEX('Discount Rates'!$C:$C,MATCH(TEXT(B35,"0"),'Discount Rates'!$A:$A,0))/100-IF($F$6=TRUE,$E$6,0),0))</f>
        <v/>
      </c>
      <c r="E35" s="7" t="str">
        <f t="shared" si="2"/>
        <v/>
      </c>
      <c r="F35" s="26" t="str">
        <f t="shared" si="3"/>
        <v/>
      </c>
      <c r="G35" s="7" t="str">
        <f t="shared" si="4"/>
        <v/>
      </c>
      <c r="AE35" s="7"/>
      <c r="AF35" s="7"/>
    </row>
    <row r="36" spans="1:32" x14ac:dyDescent="0.2">
      <c r="A36" t="str">
        <f>IF(17&gt;$E$4+1,"",17)</f>
        <v/>
      </c>
      <c r="B36" t="str">
        <f>IF(A36="","",YEAR('Case Inputs'!$B$6)+A36)</f>
        <v/>
      </c>
      <c r="C36" s="7" t="str">
        <f t="shared" si="1"/>
        <v/>
      </c>
      <c r="D36" s="10" t="str">
        <f>IF(A36="","",IFERROR(INDEX('Discount Rates'!$C:$C,MATCH(TEXT(B36,"0"),'Discount Rates'!$A:$A,0))/100-IF($F$6=TRUE,$E$6,0),0))</f>
        <v/>
      </c>
      <c r="E36" s="7" t="str">
        <f t="shared" si="2"/>
        <v/>
      </c>
      <c r="F36" s="26" t="str">
        <f t="shared" si="3"/>
        <v/>
      </c>
      <c r="G36" s="7" t="str">
        <f t="shared" si="4"/>
        <v/>
      </c>
      <c r="AE36" s="7"/>
      <c r="AF36" s="7"/>
    </row>
    <row r="37" spans="1:32" x14ac:dyDescent="0.2">
      <c r="A37" t="str">
        <f>IF(18&gt;$E$4+1,"",18)</f>
        <v/>
      </c>
      <c r="B37" t="str">
        <f>IF(A37="","",YEAR('Case Inputs'!$B$6)+A37)</f>
        <v/>
      </c>
      <c r="C37" s="7" t="str">
        <f t="shared" si="1"/>
        <v/>
      </c>
      <c r="D37" s="10" t="str">
        <f>IF(A37="","",IFERROR(INDEX('Discount Rates'!$C:$C,MATCH(TEXT(B37,"0"),'Discount Rates'!$A:$A,0))/100-IF($F$6=TRUE,$E$6,0),0))</f>
        <v/>
      </c>
      <c r="E37" s="7" t="str">
        <f t="shared" si="2"/>
        <v/>
      </c>
      <c r="F37" s="26" t="str">
        <f t="shared" si="3"/>
        <v/>
      </c>
      <c r="G37" s="7" t="str">
        <f t="shared" si="4"/>
        <v/>
      </c>
      <c r="AE37" s="7"/>
      <c r="AF37" s="7"/>
    </row>
    <row r="38" spans="1:32" x14ac:dyDescent="0.2">
      <c r="A38" t="str">
        <f>IF(19&gt;$E$4+1,"",19)</f>
        <v/>
      </c>
      <c r="B38" t="str">
        <f>IF(A38="","",YEAR('Case Inputs'!$B$6)+A38)</f>
        <v/>
      </c>
      <c r="C38" s="7" t="str">
        <f t="shared" si="1"/>
        <v/>
      </c>
      <c r="D38" s="10" t="str">
        <f>IF(A38="","",IFERROR(INDEX('Discount Rates'!$C:$C,MATCH(TEXT(B38,"0"),'Discount Rates'!$A:$A,0))/100-IF($F$6=TRUE,$E$6,0),0))</f>
        <v/>
      </c>
      <c r="E38" s="7" t="str">
        <f t="shared" si="2"/>
        <v/>
      </c>
      <c r="F38" s="26" t="str">
        <f t="shared" si="3"/>
        <v/>
      </c>
      <c r="G38" s="7" t="str">
        <f t="shared" si="4"/>
        <v/>
      </c>
      <c r="AE38" s="7"/>
      <c r="AF38" s="7"/>
    </row>
    <row r="39" spans="1:32" x14ac:dyDescent="0.2">
      <c r="A39" t="str">
        <f>IF(20&gt;$E$4+1,"",20)</f>
        <v/>
      </c>
      <c r="B39" t="str">
        <f>IF(A39="","",YEAR('Case Inputs'!$B$6)+A39)</f>
        <v/>
      </c>
      <c r="C39" s="7" t="str">
        <f t="shared" si="1"/>
        <v/>
      </c>
      <c r="D39" s="10" t="str">
        <f>IF(A39="","",IFERROR(INDEX('Discount Rates'!$C:$C,MATCH(TEXT(B39,"0"),'Discount Rates'!$A:$A,0))/100-IF($F$6=TRUE,$E$6,0),0))</f>
        <v/>
      </c>
      <c r="E39" s="7" t="str">
        <f t="shared" si="2"/>
        <v/>
      </c>
      <c r="F39" s="26" t="str">
        <f t="shared" si="3"/>
        <v/>
      </c>
      <c r="G39" s="7" t="str">
        <f t="shared" si="4"/>
        <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326</v>
      </c>
      <c r="E71" s="29">
        <f>SUM(E20:E69)</f>
        <v>1143472.7451096461</v>
      </c>
      <c r="F71" s="29"/>
      <c r="G71" s="29">
        <f>SUM(G20:G70)</f>
        <v>1091912.9611206262</v>
      </c>
      <c r="AE71" s="2"/>
      <c r="AF71" s="2"/>
    </row>
    <row r="72" spans="1:32" x14ac:dyDescent="0.2">
      <c r="AE72" s="2"/>
      <c r="AF72" s="2"/>
    </row>
    <row r="73" spans="1:32" x14ac:dyDescent="0.2">
      <c r="A73" s="28" t="s">
        <v>119</v>
      </c>
      <c r="B73" s="37"/>
      <c r="C73" s="37"/>
      <c r="D73" s="37"/>
      <c r="E73" s="29">
        <f>H17+E71</f>
        <v>1499363.1560685502</v>
      </c>
      <c r="F73" s="37"/>
      <c r="G73" s="29">
        <f>G17+G71</f>
        <v>1447803.3720795303</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phoneticPr fontId="0" type="noConversion"/>
  <dataValidations count="1">
    <dataValidation type="custom" allowBlank="1" showInputMessage="1" showErrorMessage="1" sqref="F5:F6" xr:uid="{0465E75E-1716-4B17-A965-4460A5D21262}">
      <formula1>OR(F5=TRUE,F5=FALSE)</formula1>
    </dataValidation>
  </dataValidations>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C618-288B-4C3D-8542-A895435817E9}">
  <sheetPr>
    <tabColor theme="6" tint="0.79998168889431442"/>
  </sheetPr>
  <dimension ref="A1:AJ81"/>
  <sheetViews>
    <sheetView zoomScale="130" zoomScaleNormal="130" workbookViewId="0">
      <selection activeCell="J14" sqref="J14"/>
    </sheetView>
  </sheetViews>
  <sheetFormatPr defaultColWidth="8.85546875" defaultRowHeight="12.75" x14ac:dyDescent="0.2"/>
  <cols>
    <col min="1" max="1" width="34.140625" bestFit="1" customWidth="1"/>
    <col min="2" max="2" width="16" customWidth="1"/>
    <col min="3" max="3" width="12.42578125" bestFit="1" customWidth="1"/>
    <col min="4" max="4" width="15.5703125" bestFit="1" customWidth="1"/>
    <col min="5" max="5" width="13" customWidth="1"/>
    <col min="6" max="6" width="15" bestFit="1" customWidth="1"/>
    <col min="7" max="7" width="13.42578125" customWidth="1"/>
    <col min="8" max="8" width="15.42578125" bestFit="1" customWidth="1"/>
    <col min="11" max="11" width="11.140625" customWidth="1"/>
  </cols>
  <sheetData>
    <row r="1" spans="1:36" ht="30" customHeight="1" x14ac:dyDescent="0.25">
      <c r="A1" s="131" t="s">
        <v>143</v>
      </c>
      <c r="B1" s="131"/>
      <c r="C1" s="131"/>
      <c r="D1" s="131"/>
      <c r="E1" s="131"/>
      <c r="F1" s="131"/>
      <c r="G1" s="131"/>
      <c r="AE1" s="3"/>
      <c r="AF1" s="5"/>
      <c r="AG1" s="5"/>
      <c r="AH1" s="1"/>
    </row>
    <row r="2" spans="1:36" x14ac:dyDescent="0.2">
      <c r="AE2" s="1"/>
      <c r="AF2" s="1"/>
      <c r="AG2" s="1"/>
      <c r="AI2" s="8"/>
      <c r="AJ2" s="10"/>
    </row>
    <row r="3" spans="1:36" x14ac:dyDescent="0.2">
      <c r="A3" t="s">
        <v>98</v>
      </c>
      <c r="B3" s="42">
        <v>141416</v>
      </c>
      <c r="C3" s="32" t="s">
        <v>126</v>
      </c>
      <c r="D3" t="s">
        <v>97</v>
      </c>
      <c r="E3" s="39">
        <v>3.56E-2</v>
      </c>
      <c r="F3" t="s">
        <v>126</v>
      </c>
      <c r="AE3" s="4"/>
      <c r="AF3" s="2"/>
      <c r="AG3" s="2"/>
    </row>
    <row r="4" spans="1:36" x14ac:dyDescent="0.2">
      <c r="A4" t="s">
        <v>112</v>
      </c>
      <c r="B4" s="26">
        <f>'Case Inputs'!B21</f>
        <v>19.037645448323069</v>
      </c>
      <c r="D4" t="s">
        <v>99</v>
      </c>
      <c r="E4" s="27">
        <f>'Case Inputs'!B22</f>
        <v>19</v>
      </c>
      <c r="AE4" s="2"/>
      <c r="AF4" s="2"/>
      <c r="AG4" s="2"/>
    </row>
    <row r="5" spans="1:36" x14ac:dyDescent="0.2">
      <c r="A5" t="s">
        <v>100</v>
      </c>
      <c r="B5" s="26">
        <f>'Case Inputs'!B23</f>
        <v>3.764544832306882E-2</v>
      </c>
      <c r="D5" t="s">
        <v>221</v>
      </c>
      <c r="E5" s="64">
        <v>0.22</v>
      </c>
      <c r="F5" s="53" t="b">
        <v>0</v>
      </c>
      <c r="AE5" s="7"/>
      <c r="AF5" s="7"/>
    </row>
    <row r="6" spans="1:36" x14ac:dyDescent="0.2">
      <c r="D6" t="s">
        <v>249</v>
      </c>
      <c r="E6" s="64">
        <f>E3</f>
        <v>3.56E-2</v>
      </c>
      <c r="F6" s="53" t="b">
        <v>0</v>
      </c>
      <c r="AE6" s="7"/>
      <c r="AF6" s="7"/>
    </row>
    <row r="7" spans="1:36" x14ac:dyDescent="0.2">
      <c r="A7" s="145" t="s">
        <v>115</v>
      </c>
      <c r="B7" s="130"/>
      <c r="C7" s="130"/>
      <c r="D7" s="130"/>
      <c r="E7" s="130"/>
      <c r="F7" s="130"/>
      <c r="G7" s="130"/>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329</v>
      </c>
      <c r="AE8" s="7"/>
      <c r="AF8" s="7"/>
    </row>
    <row r="9" spans="1:36" x14ac:dyDescent="0.2">
      <c r="A9">
        <f>YEAR('Case Inputs'!$B$5)</f>
        <v>2021</v>
      </c>
      <c r="B9">
        <f>YEAR('Case Inputs'!$B$5)</f>
        <v>2021</v>
      </c>
      <c r="C9" s="7">
        <f>$B$3</f>
        <v>141416</v>
      </c>
      <c r="D9" s="38" t="str">
        <f>IF('Case Inputs'!$B$28="CPI Adjustment",IFERROR(INDEX('CPI Data'!$F$2:$F$5,MATCH(B9,'CPI Data'!$E$2:$E$5,0)),""),"")</f>
        <v/>
      </c>
      <c r="E9" s="26">
        <f>1</f>
        <v>1</v>
      </c>
      <c r="F9">
        <f>(DATE(YEAR('Case Inputs'!$B$5),12,31)-'Case Inputs'!$B$5)/365</f>
        <v>0.33150684931506852</v>
      </c>
      <c r="G9" s="7">
        <f>C9*F9*IF($F$5,1-$E$5,1)</f>
        <v>46880.372602739728</v>
      </c>
      <c r="H9" s="7">
        <f>C9*F9</f>
        <v>46880.372602739728</v>
      </c>
      <c r="AE9" s="7"/>
      <c r="AF9" s="7"/>
    </row>
    <row r="10" spans="1:36" x14ac:dyDescent="0.2">
      <c r="A10">
        <f>IF(YEAR('Case Inputs'!$B$6)-YEAR('Case Inputs'!$B$5)&gt;=2,YEAR('Case Inputs'!$B$5)+1,"")</f>
        <v>2022</v>
      </c>
      <c r="B10">
        <f>IF(A10="","",A10)</f>
        <v>2022</v>
      </c>
      <c r="C10" s="7">
        <f>C9*E10</f>
        <v>141416</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141416</v>
      </c>
      <c r="H10" s="7">
        <f t="shared" ref="H10:H15" si="0">C10*F10</f>
        <v>141416</v>
      </c>
      <c r="AE10" s="7"/>
      <c r="AF10" s="7"/>
    </row>
    <row r="11" spans="1:36" x14ac:dyDescent="0.2">
      <c r="A11">
        <f>IF(YEAR('Case Inputs'!$B$6)-YEAR('Case Inputs'!$B$5)&gt;=3,YEAR('Case Inputs'!$B$5)+2,"")</f>
        <v>2023</v>
      </c>
      <c r="B11">
        <f>IF(A11="","",A11)</f>
        <v>2023</v>
      </c>
      <c r="C11" s="7">
        <f>C10*E11</f>
        <v>141416</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141416</v>
      </c>
      <c r="H11" s="7">
        <f t="shared" si="0"/>
        <v>141416</v>
      </c>
      <c r="AE11" s="7"/>
      <c r="AF11" s="7"/>
    </row>
    <row r="12" spans="1:36" x14ac:dyDescent="0.2">
      <c r="A12">
        <f>IF(YEAR('Case Inputs'!$B$6)-YEAR('Case Inputs'!$B$5)&gt;=4,YEAR('Case Inputs'!$B$5)+3,"")</f>
        <v>2024</v>
      </c>
      <c r="B12">
        <f>IF(A12="","",A12)</f>
        <v>2024</v>
      </c>
      <c r="C12" s="7">
        <f>IF(A12="","",C11*E12)</f>
        <v>141416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141416</v>
      </c>
      <c r="H12" s="7">
        <f t="shared" si="0"/>
        <v>141416</v>
      </c>
      <c r="AE12" s="7"/>
      <c r="AF12" s="7"/>
    </row>
    <row r="13" spans="1:36" x14ac:dyDescent="0.2">
      <c r="A13">
        <f>IF(YEAR('Case Inputs'!$B$6)-YEAR('Case Inputs'!$B$5)&gt;=5,YEAR('Case Inputs'!$B$5)+4,"")</f>
        <v>2025</v>
      </c>
      <c r="B13">
        <f>IF(A13="","",A13)</f>
        <v>2025</v>
      </c>
      <c r="C13" s="7">
        <f>IF(A13="","",C12*E13)</f>
        <v>141416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141416</v>
      </c>
      <c r="H13" s="7">
        <f t="shared" si="0"/>
        <v>141416</v>
      </c>
      <c r="AE13" s="7"/>
      <c r="AF13" s="7"/>
    </row>
    <row r="14" spans="1:36" x14ac:dyDescent="0.2">
      <c r="AE14" s="7"/>
      <c r="AF14" s="7"/>
    </row>
    <row r="15" spans="1:36" x14ac:dyDescent="0.2">
      <c r="A15">
        <f>YEAR('Case Inputs'!$B$6)</f>
        <v>2026</v>
      </c>
      <c r="B15">
        <f>YEAR('Case Inputs'!$B$6)</f>
        <v>2026</v>
      </c>
      <c r="C15" s="7">
        <f>IF(A13&lt;&gt;"",C13*E15,IF(A12&lt;&gt;"",C12*E15,IF(A11&lt;&gt;"",C11*E15,IF(A10&lt;&gt;"",C10*E15,C9*E15))))</f>
        <v>141416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58503.605479452061</v>
      </c>
      <c r="H15" s="7">
        <f t="shared" si="0"/>
        <v>58503.605479452061</v>
      </c>
      <c r="AE15" s="7"/>
      <c r="AF15" s="7"/>
    </row>
    <row r="16" spans="1:36" x14ac:dyDescent="0.2">
      <c r="D16" s="38"/>
      <c r="AE16" s="7"/>
      <c r="AF16" s="7"/>
    </row>
    <row r="17" spans="1:32" x14ac:dyDescent="0.2">
      <c r="A17" s="19" t="s">
        <v>117</v>
      </c>
      <c r="D17" s="38"/>
      <c r="G17" s="30">
        <f>SUM(G9:G15)</f>
        <v>671047.97808219178</v>
      </c>
      <c r="H17" s="100">
        <f>SUM(H9:H15)</f>
        <v>671047.97808219178</v>
      </c>
      <c r="AE17" s="7"/>
      <c r="AF17" s="7"/>
    </row>
    <row r="18" spans="1:32" x14ac:dyDescent="0.2">
      <c r="AE18" s="7"/>
      <c r="AF18" s="7"/>
    </row>
    <row r="19" spans="1:32" x14ac:dyDescent="0.2">
      <c r="A19" s="146" t="s">
        <v>120</v>
      </c>
      <c r="B19" s="146"/>
      <c r="C19" s="146"/>
      <c r="D19" s="146"/>
      <c r="E19" s="146"/>
      <c r="F19" s="146"/>
      <c r="G19" s="146"/>
      <c r="AE19" s="7"/>
      <c r="AF19" s="7"/>
    </row>
    <row r="20" spans="1:32" x14ac:dyDescent="0.2">
      <c r="A20">
        <f>IF(1&gt;$E$4+1,"",1)</f>
        <v>1</v>
      </c>
      <c r="B20">
        <f>IF(A20="","",YEAR('Case Inputs'!$B$6)+A20)</f>
        <v>2027</v>
      </c>
      <c r="C20" s="7">
        <f t="shared" ref="C20:C51" si="1">IF(A20="","",$C$15*(1+$E$3)^A20)</f>
        <v>146450.40960000001</v>
      </c>
      <c r="D20" s="10">
        <f>IF(A20="","",IFERROR(INDEX('Discount Rates'!$C:$C,MATCH(TEXT(B20,"0"),'Discount Rates'!$A:$A,0))/100-IF($F$6=TRUE,$E$6,0),0))</f>
        <v>2.3010000000000003E-2</v>
      </c>
      <c r="E20" s="7">
        <f t="shared" ref="E20:E51" si="2">IF(A20="","",C20/((1+D20)^A20))</f>
        <v>143156.3812670453</v>
      </c>
      <c r="F20" s="26">
        <f t="shared" ref="F20:F51" si="3">IF(A20="","",IF(A20&lt;=$E$4,1,IF(A20=$E$4+1,$B$5,0)))</f>
        <v>1</v>
      </c>
      <c r="G20" s="7">
        <f t="shared" ref="G20:G51" si="4">IF(A20="","",E20*F20*IF($F$5,1-$E$5,1))</f>
        <v>143156.3812670453</v>
      </c>
      <c r="AE20" s="7"/>
      <c r="AF20" s="7"/>
    </row>
    <row r="21" spans="1:32" x14ac:dyDescent="0.2">
      <c r="A21">
        <f>IF(2&gt;$E$4+1,"",2)</f>
        <v>2</v>
      </c>
      <c r="B21">
        <f>IF(A21="","",YEAR('Case Inputs'!$B$6)+A21)</f>
        <v>2028</v>
      </c>
      <c r="C21" s="7">
        <f t="shared" si="1"/>
        <v>151664.04418176002</v>
      </c>
      <c r="D21" s="10">
        <f>IF(A21="","",IFERROR(INDEX('Discount Rates'!$C:$C,MATCH(TEXT(B21,"0"),'Discount Rates'!$A:$A,0))/100-IF($F$6=TRUE,$E$6,0),0))</f>
        <v>2.291E-2</v>
      </c>
      <c r="E21" s="7">
        <f t="shared" si="2"/>
        <v>144946.51697117643</v>
      </c>
      <c r="F21" s="26">
        <f t="shared" si="3"/>
        <v>1</v>
      </c>
      <c r="G21" s="7">
        <f t="shared" si="4"/>
        <v>144946.51697117643</v>
      </c>
      <c r="AE21" s="7"/>
      <c r="AF21" s="7"/>
    </row>
    <row r="22" spans="1:32" x14ac:dyDescent="0.2">
      <c r="A22">
        <f>IF(3&gt;$E$4+1,"",3)</f>
        <v>3</v>
      </c>
      <c r="B22">
        <f>IF(A22="","",YEAR('Case Inputs'!$B$6)+A22)</f>
        <v>2029</v>
      </c>
      <c r="C22" s="7">
        <f t="shared" si="1"/>
        <v>157063.28415463067</v>
      </c>
      <c r="D22" s="10">
        <f>IF(A22="","",IFERROR(INDEX('Discount Rates'!$C:$C,MATCH(TEXT(B22,"0"),'Discount Rates'!$A:$A,0))/100-IF($F$6=TRUE,$E$6,0),0))</f>
        <v>2.2890000000000001E-2</v>
      </c>
      <c r="E22" s="7">
        <f t="shared" si="2"/>
        <v>146753.29990046599</v>
      </c>
      <c r="F22" s="26">
        <f t="shared" si="3"/>
        <v>1</v>
      </c>
      <c r="G22" s="7">
        <f t="shared" si="4"/>
        <v>146753.29990046599</v>
      </c>
      <c r="AE22" s="7"/>
      <c r="AF22" s="7"/>
    </row>
    <row r="23" spans="1:32" x14ac:dyDescent="0.2">
      <c r="A23">
        <f>IF(4&gt;$E$4+1,"",4)</f>
        <v>4</v>
      </c>
      <c r="B23">
        <f>IF(A23="","",YEAR('Case Inputs'!$B$6)+A23)</f>
        <v>2030</v>
      </c>
      <c r="C23" s="7">
        <f t="shared" si="1"/>
        <v>162654.73707053554</v>
      </c>
      <c r="D23" s="10">
        <f>IF(A23="","",IFERROR(INDEX('Discount Rates'!$C:$C,MATCH(TEXT(B23,"0"),'Discount Rates'!$A:$A,0))/100-IF($F$6=TRUE,$E$6,0),0))</f>
        <v>2.3460000000000002E-2</v>
      </c>
      <c r="E23" s="7">
        <f t="shared" si="2"/>
        <v>148246.08089196347</v>
      </c>
      <c r="F23" s="26">
        <f t="shared" si="3"/>
        <v>1</v>
      </c>
      <c r="G23" s="7">
        <f t="shared" si="4"/>
        <v>148246.08089196347</v>
      </c>
      <c r="AE23" s="7"/>
      <c r="AF23" s="7"/>
    </row>
    <row r="24" spans="1:32" x14ac:dyDescent="0.2">
      <c r="A24">
        <f>IF(5&gt;$E$4+1,"",5)</f>
        <v>5</v>
      </c>
      <c r="B24">
        <f>IF(A24="","",YEAR('Case Inputs'!$B$6)+A24)</f>
        <v>2031</v>
      </c>
      <c r="C24" s="7">
        <f t="shared" si="1"/>
        <v>168445.24571024661</v>
      </c>
      <c r="D24" s="10">
        <f>IF(A24="","",IFERROR(INDEX('Discount Rates'!$C:$C,MATCH(TEXT(B24,"0"),'Discount Rates'!$A:$A,0))/100-IF($F$6=TRUE,$E$6,0),0))</f>
        <v>2.3969999999999998E-2</v>
      </c>
      <c r="E24" s="7">
        <f t="shared" si="2"/>
        <v>149631.34951138109</v>
      </c>
      <c r="F24" s="26">
        <f t="shared" si="3"/>
        <v>1</v>
      </c>
      <c r="G24" s="7">
        <f t="shared" si="4"/>
        <v>149631.34951138109</v>
      </c>
      <c r="AE24" s="7"/>
      <c r="AF24" s="7"/>
    </row>
    <row r="25" spans="1:32" x14ac:dyDescent="0.2">
      <c r="A25">
        <f>IF(6&gt;$E$4+1,"",6)</f>
        <v>6</v>
      </c>
      <c r="B25">
        <f>IF(A25="","",YEAR('Case Inputs'!$B$6)+A25)</f>
        <v>2032</v>
      </c>
      <c r="C25" s="7">
        <f t="shared" si="1"/>
        <v>174441.8964575314</v>
      </c>
      <c r="D25" s="10">
        <f>IF(A25="","",IFERROR(INDEX('Discount Rates'!$C:$C,MATCH(TEXT(B25,"0"),'Discount Rates'!$A:$A,0))/100-IF($F$6=TRUE,$E$6,0),0))</f>
        <v>2.4809999999999999E-2</v>
      </c>
      <c r="E25" s="7">
        <f t="shared" si="2"/>
        <v>150588.10636980576</v>
      </c>
      <c r="F25" s="26">
        <f t="shared" si="3"/>
        <v>1</v>
      </c>
      <c r="G25" s="7">
        <f t="shared" si="4"/>
        <v>150588.10636980576</v>
      </c>
      <c r="AE25" s="7"/>
      <c r="AF25" s="7"/>
    </row>
    <row r="26" spans="1:32" x14ac:dyDescent="0.2">
      <c r="A26">
        <f>IF(7&gt;$E$4+1,"",7)</f>
        <v>7</v>
      </c>
      <c r="B26">
        <f>IF(A26="","",YEAR('Case Inputs'!$B$6)+A26)</f>
        <v>2033</v>
      </c>
      <c r="C26" s="7">
        <f t="shared" si="1"/>
        <v>180652.02797141953</v>
      </c>
      <c r="D26" s="10">
        <f>IF(A26="","",IFERROR(INDEX('Discount Rates'!$C:$C,MATCH(TEXT(B26,"0"),'Discount Rates'!$A:$A,0))/100-IF($F$6=TRUE,$E$6,0),0))</f>
        <v>2.581E-2</v>
      </c>
      <c r="E26" s="7">
        <f t="shared" si="2"/>
        <v>151138.23363808403</v>
      </c>
      <c r="F26" s="26">
        <f t="shared" si="3"/>
        <v>1</v>
      </c>
      <c r="G26" s="7">
        <f t="shared" si="4"/>
        <v>151138.23363808403</v>
      </c>
      <c r="AE26" s="7"/>
      <c r="AF26" s="7"/>
    </row>
    <row r="27" spans="1:32" x14ac:dyDescent="0.2">
      <c r="A27">
        <f>IF(8&gt;$E$4+1,"",8)</f>
        <v>8</v>
      </c>
      <c r="B27">
        <f>IF(A27="","",YEAR('Case Inputs'!$B$6)+A27)</f>
        <v>2034</v>
      </c>
      <c r="C27" s="7">
        <f t="shared" si="1"/>
        <v>187083.24016720205</v>
      </c>
      <c r="D27" s="10">
        <f>IF(A27="","",IFERROR(INDEX('Discount Rates'!$C:$C,MATCH(TEXT(B27,"0"),'Discount Rates'!$A:$A,0))/100-IF($F$6=TRUE,$E$6,0),0))</f>
        <v>2.6459999999999997E-2</v>
      </c>
      <c r="E27" s="7">
        <f t="shared" si="2"/>
        <v>151809.39255304573</v>
      </c>
      <c r="F27" s="26">
        <f t="shared" si="3"/>
        <v>1</v>
      </c>
      <c r="G27" s="7">
        <f t="shared" si="4"/>
        <v>151809.39255304573</v>
      </c>
      <c r="AE27" s="7"/>
      <c r="AF27" s="7"/>
    </row>
    <row r="28" spans="1:32" x14ac:dyDescent="0.2">
      <c r="A28">
        <f>IF(9&gt;$E$4+1,"",9)</f>
        <v>9</v>
      </c>
      <c r="B28">
        <f>IF(A28="","",YEAR('Case Inputs'!$B$6)+A28)</f>
        <v>2035</v>
      </c>
      <c r="C28" s="7">
        <f t="shared" si="1"/>
        <v>193743.40351715445</v>
      </c>
      <c r="D28" s="10">
        <f>IF(A28="","",IFERROR(INDEX('Discount Rates'!$C:$C,MATCH(TEXT(B28,"0"),'Discount Rates'!$A:$A,0))/100-IF($F$6=TRUE,$E$6,0),0))</f>
        <v>2.7380000000000002E-2</v>
      </c>
      <c r="E28" s="7">
        <f t="shared" si="2"/>
        <v>151931.19761025571</v>
      </c>
      <c r="F28" s="26">
        <f t="shared" si="3"/>
        <v>1</v>
      </c>
      <c r="G28" s="7">
        <f t="shared" si="4"/>
        <v>151931.19761025571</v>
      </c>
      <c r="AE28" s="7"/>
      <c r="AF28" s="7"/>
    </row>
    <row r="29" spans="1:32" x14ac:dyDescent="0.2">
      <c r="A29">
        <f>IF(10&gt;$E$4+1,"",10)</f>
        <v>10</v>
      </c>
      <c r="B29">
        <f>IF(A29="","",YEAR('Case Inputs'!$B$6)+A29)</f>
        <v>2036</v>
      </c>
      <c r="C29" s="7">
        <f t="shared" si="1"/>
        <v>200640.66868236515</v>
      </c>
      <c r="D29" s="10">
        <f>IF(A29="","",IFERROR(INDEX('Discount Rates'!$C:$C,MATCH(TEXT(B29,"0"),'Discount Rates'!$A:$A,0))/100-IF($F$6=TRUE,$E$6,0),0))</f>
        <v>2.8420000000000001E-2</v>
      </c>
      <c r="E29" s="7">
        <f t="shared" si="2"/>
        <v>151605.10565797467</v>
      </c>
      <c r="F29" s="26">
        <f t="shared" si="3"/>
        <v>1</v>
      </c>
      <c r="G29" s="7">
        <f t="shared" si="4"/>
        <v>151605.10565797467</v>
      </c>
      <c r="AE29" s="7"/>
      <c r="AF29" s="7"/>
    </row>
    <row r="30" spans="1:32" x14ac:dyDescent="0.2">
      <c r="A30">
        <f>IF(11&gt;$E$4+1,"",11)</f>
        <v>11</v>
      </c>
      <c r="B30">
        <f>IF(A30="","",YEAR('Case Inputs'!$B$6)+A30)</f>
        <v>2037</v>
      </c>
      <c r="C30" s="7">
        <f t="shared" si="1"/>
        <v>207783.4764874574</v>
      </c>
      <c r="D30" s="10">
        <f>IF(A30="","",IFERROR(INDEX('Discount Rates'!$C:$C,MATCH(TEXT(B30,"0"),'Discount Rates'!$A:$A,0))/100-IF($F$6=TRUE,$E$6,0),0))</f>
        <v>2.955E-2</v>
      </c>
      <c r="E30" s="7">
        <f t="shared" si="2"/>
        <v>150830.48793718443</v>
      </c>
      <c r="F30" s="26">
        <f t="shared" si="3"/>
        <v>1</v>
      </c>
      <c r="G30" s="7">
        <f t="shared" si="4"/>
        <v>150830.48793718443</v>
      </c>
      <c r="AE30" s="7"/>
      <c r="AF30" s="7"/>
    </row>
    <row r="31" spans="1:32" x14ac:dyDescent="0.2">
      <c r="A31">
        <f>IF(12&gt;$E$4+1,"",12)</f>
        <v>12</v>
      </c>
      <c r="B31">
        <f>IF(A31="","",YEAR('Case Inputs'!$B$6)+A31)</f>
        <v>2038</v>
      </c>
      <c r="C31" s="7">
        <f t="shared" si="1"/>
        <v>215180.56825041087</v>
      </c>
      <c r="D31" s="10">
        <f>IF(A31="","",IFERROR(INDEX('Discount Rates'!$C:$C,MATCH(TEXT(B31,"0"),'Discount Rates'!$A:$A,0))/100-IF($F$6=TRUE,$E$6,0),0))</f>
        <v>3.0630000000000001E-2</v>
      </c>
      <c r="E31" s="7">
        <f t="shared" si="2"/>
        <v>149819.96486961443</v>
      </c>
      <c r="F31" s="26">
        <f t="shared" si="3"/>
        <v>1</v>
      </c>
      <c r="G31" s="7">
        <f t="shared" si="4"/>
        <v>149819.96486961443</v>
      </c>
      <c r="AE31" s="7"/>
      <c r="AF31" s="7"/>
    </row>
    <row r="32" spans="1:32" x14ac:dyDescent="0.2">
      <c r="A32">
        <f>IF(13&gt;$E$4+1,"",13)</f>
        <v>13</v>
      </c>
      <c r="B32">
        <f>IF(A32="","",YEAR('Case Inputs'!$B$6)+A32)</f>
        <v>2039</v>
      </c>
      <c r="C32" s="7">
        <f t="shared" si="1"/>
        <v>222840.99648012553</v>
      </c>
      <c r="D32" s="10">
        <f>IF(A32="","",IFERROR(INDEX('Discount Rates'!$C:$C,MATCH(TEXT(B32,"0"),'Discount Rates'!$A:$A,0))/100-IF($F$6=TRUE,$E$6,0),0))</f>
        <v>3.1370000000000002E-2</v>
      </c>
      <c r="E32" s="7">
        <f t="shared" si="2"/>
        <v>149144.30018906572</v>
      </c>
      <c r="F32" s="26">
        <f t="shared" si="3"/>
        <v>1</v>
      </c>
      <c r="G32" s="7">
        <f t="shared" si="4"/>
        <v>149144.30018906572</v>
      </c>
      <c r="AE32" s="7"/>
      <c r="AF32" s="7"/>
    </row>
    <row r="33" spans="1:32" x14ac:dyDescent="0.2">
      <c r="A33">
        <f>IF(14&gt;$E$4+1,"",14)</f>
        <v>14</v>
      </c>
      <c r="B33">
        <f>IF(A33="","",YEAR('Case Inputs'!$B$6)+A33)</f>
        <v>2040</v>
      </c>
      <c r="C33" s="7">
        <f t="shared" si="1"/>
        <v>230774.13595481799</v>
      </c>
      <c r="D33" s="10">
        <f>IF(A33="","",IFERROR(INDEX('Discount Rates'!$C:$C,MATCH(TEXT(B33,"0"),'Discount Rates'!$A:$A,0))/100-IF($F$6=TRUE,$E$6,0),0))</f>
        <v>3.243E-2</v>
      </c>
      <c r="E33" s="7">
        <f t="shared" si="2"/>
        <v>147617.72728963092</v>
      </c>
      <c r="F33" s="26">
        <f t="shared" si="3"/>
        <v>1</v>
      </c>
      <c r="G33" s="7">
        <f t="shared" si="4"/>
        <v>147617.72728963092</v>
      </c>
      <c r="AE33" s="7"/>
      <c r="AF33" s="7"/>
    </row>
    <row r="34" spans="1:32" x14ac:dyDescent="0.2">
      <c r="A34">
        <f>IF(15&gt;$E$4+1,"",15)</f>
        <v>15</v>
      </c>
      <c r="B34">
        <f>IF(A34="","",YEAR('Case Inputs'!$B$6)+A34)</f>
        <v>2041</v>
      </c>
      <c r="C34" s="7">
        <f t="shared" si="1"/>
        <v>238989.69519480952</v>
      </c>
      <c r="D34" s="10">
        <f>IF(A34="","",IFERROR(INDEX('Discount Rates'!$C:$C,MATCH(TEXT(B34,"0"),'Discount Rates'!$A:$A,0))/100-IF($F$6=TRUE,$E$6,0),0))</f>
        <v>3.2969999999999999E-2</v>
      </c>
      <c r="E34" s="7">
        <f t="shared" si="2"/>
        <v>146914.12219643075</v>
      </c>
      <c r="F34" s="26">
        <f t="shared" si="3"/>
        <v>1</v>
      </c>
      <c r="G34" s="7">
        <f t="shared" si="4"/>
        <v>146914.12219643075</v>
      </c>
      <c r="AE34" s="7"/>
      <c r="AF34" s="7"/>
    </row>
    <row r="35" spans="1:32" x14ac:dyDescent="0.2">
      <c r="A35">
        <f>IF(16&gt;$E$4+1,"",16)</f>
        <v>16</v>
      </c>
      <c r="B35">
        <f>IF(A35="","",YEAR('Case Inputs'!$B$6)+A35)</f>
        <v>2042</v>
      </c>
      <c r="C35" s="7">
        <f t="shared" si="1"/>
        <v>247497.72834374473</v>
      </c>
      <c r="D35" s="10">
        <f>IF(A35="","",IFERROR(INDEX('Discount Rates'!$C:$C,MATCH(TEXT(B35,"0"),'Discount Rates'!$A:$A,0))/100-IF($F$6=TRUE,$E$6,0),0))</f>
        <v>3.4040000000000001E-2</v>
      </c>
      <c r="E35" s="7">
        <f t="shared" si="2"/>
        <v>144868.44324741652</v>
      </c>
      <c r="F35" s="26">
        <f t="shared" si="3"/>
        <v>1</v>
      </c>
      <c r="G35" s="7">
        <f t="shared" si="4"/>
        <v>144868.44324741652</v>
      </c>
      <c r="AE35" s="7"/>
      <c r="AF35" s="7"/>
    </row>
    <row r="36" spans="1:32" x14ac:dyDescent="0.2">
      <c r="A36">
        <f>IF(17&gt;$E$4+1,"",17)</f>
        <v>17</v>
      </c>
      <c r="B36">
        <f>IF(A36="","",YEAR('Case Inputs'!$B$6)+A36)</f>
        <v>2043</v>
      </c>
      <c r="C36" s="7">
        <f t="shared" si="1"/>
        <v>256308.64747278206</v>
      </c>
      <c r="D36" s="10">
        <f>IF(A36="","",IFERROR(INDEX('Discount Rates'!$C:$C,MATCH(TEXT(B36,"0"),'Discount Rates'!$A:$A,0))/100-IF($F$6=TRUE,$E$6,0),0))</f>
        <v>3.5360000000000003E-2</v>
      </c>
      <c r="E36" s="7">
        <f t="shared" si="2"/>
        <v>141974.30675669826</v>
      </c>
      <c r="F36" s="26">
        <f t="shared" si="3"/>
        <v>1</v>
      </c>
      <c r="G36" s="7">
        <f t="shared" si="4"/>
        <v>141974.30675669826</v>
      </c>
      <c r="AE36" s="7"/>
      <c r="AF36" s="7"/>
    </row>
    <row r="37" spans="1:32" x14ac:dyDescent="0.2">
      <c r="A37">
        <f>IF(18&gt;$E$4+1,"",18)</f>
        <v>18</v>
      </c>
      <c r="B37">
        <f>IF(A37="","",YEAR('Case Inputs'!$B$6)+A37)</f>
        <v>2044</v>
      </c>
      <c r="C37" s="7">
        <f t="shared" si="1"/>
        <v>265433.2353228131</v>
      </c>
      <c r="D37" s="10">
        <f>IF(A37="","",IFERROR(INDEX('Discount Rates'!$C:$C,MATCH(TEXT(B37,"0"),'Discount Rates'!$A:$A,0))/100-IF($F$6=TRUE,$E$6,0),0))</f>
        <v>3.6680000000000004E-2</v>
      </c>
      <c r="E37" s="7">
        <f t="shared" si="2"/>
        <v>138787.49580692549</v>
      </c>
      <c r="F37" s="26">
        <f t="shared" si="3"/>
        <v>1</v>
      </c>
      <c r="G37" s="7">
        <f t="shared" si="4"/>
        <v>138787.49580692549</v>
      </c>
      <c r="AE37" s="7"/>
      <c r="AF37" s="7"/>
    </row>
    <row r="38" spans="1:32" x14ac:dyDescent="0.2">
      <c r="A38">
        <f>IF(19&gt;$E$4+1,"",19)</f>
        <v>19</v>
      </c>
      <c r="B38">
        <f>IF(A38="","",YEAR('Case Inputs'!$B$6)+A38)</f>
        <v>2045</v>
      </c>
      <c r="C38" s="7">
        <f t="shared" si="1"/>
        <v>274882.65850030532</v>
      </c>
      <c r="D38" s="10">
        <f>IF(A38="","",IFERROR(INDEX('Discount Rates'!$C:$C,MATCH(TEXT(B38,"0"),'Discount Rates'!$A:$A,0))/100-IF($F$6=TRUE,$E$6,0),0))</f>
        <v>3.8039999999999997E-2</v>
      </c>
      <c r="E38" s="7">
        <f t="shared" si="2"/>
        <v>135232.05611622627</v>
      </c>
      <c r="F38" s="26">
        <f t="shared" si="3"/>
        <v>1</v>
      </c>
      <c r="G38" s="7">
        <f t="shared" si="4"/>
        <v>135232.05611622627</v>
      </c>
      <c r="AE38" s="7"/>
      <c r="AF38" s="7"/>
    </row>
    <row r="39" spans="1:32" x14ac:dyDescent="0.2">
      <c r="A39">
        <f>IF(20&gt;$E$4+1,"",20)</f>
        <v>20</v>
      </c>
      <c r="B39">
        <f>IF(A39="","",YEAR('Case Inputs'!$B$6)+A39)</f>
        <v>2046</v>
      </c>
      <c r="C39" s="7">
        <f t="shared" si="1"/>
        <v>284668.48114291619</v>
      </c>
      <c r="D39" s="10">
        <f>IF(A39="","",IFERROR(INDEX('Discount Rates'!$C:$C,MATCH(TEXT(B39,"0"),'Discount Rates'!$A:$A,0))/100-IF($F$6=TRUE,$E$6,0),0))</f>
        <v>3.9269999999999999E-2</v>
      </c>
      <c r="E39" s="7">
        <f t="shared" si="2"/>
        <v>131756.35306658922</v>
      </c>
      <c r="F39" s="26">
        <f t="shared" si="3"/>
        <v>3.764544832306882E-2</v>
      </c>
      <c r="G39" s="7">
        <f t="shared" si="4"/>
        <v>4960.0269806042943</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103</v>
      </c>
      <c r="E71" s="29">
        <f>SUM(E20:E69)</f>
        <v>2926750.9218469802</v>
      </c>
      <c r="F71" s="29"/>
      <c r="G71" s="29">
        <f>SUM(G20:G70)</f>
        <v>2799954.5957609955</v>
      </c>
      <c r="AE71" s="2"/>
      <c r="AF71" s="2"/>
    </row>
    <row r="72" spans="1:32" x14ac:dyDescent="0.2">
      <c r="AE72" s="2"/>
      <c r="AF72" s="2"/>
    </row>
    <row r="73" spans="1:32" x14ac:dyDescent="0.2">
      <c r="A73" s="28" t="s">
        <v>119</v>
      </c>
      <c r="B73" s="37"/>
      <c r="C73" s="37"/>
      <c r="D73" s="37"/>
      <c r="E73" s="29">
        <f>E71+H17</f>
        <v>3597798.8999291719</v>
      </c>
      <c r="F73" s="37"/>
      <c r="G73" s="29">
        <f>G17+G71</f>
        <v>3471002.5738431872</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F6" xr:uid="{3A081477-9080-48BD-BBAF-D7AF08E647C2}">
      <formula1>OR(F5=TRUE,F5=FALSE)</formula1>
    </dataValidation>
  </dataValidations>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2C8DC-AAAD-4807-8282-CF5B6F44558B}">
  <sheetPr>
    <tabColor rgb="FF92D050"/>
  </sheetPr>
  <dimension ref="A1:AJ81"/>
  <sheetViews>
    <sheetView zoomScale="130" zoomScaleNormal="130" workbookViewId="0">
      <selection activeCell="C4" sqref="C4"/>
    </sheetView>
  </sheetViews>
  <sheetFormatPr defaultColWidth="8.85546875" defaultRowHeight="12.75" x14ac:dyDescent="0.2"/>
  <cols>
    <col min="2" max="2" width="16" customWidth="1"/>
    <col min="3" max="3" width="21.42578125" customWidth="1"/>
    <col min="4" max="4" width="17.85546875" customWidth="1"/>
    <col min="5" max="5" width="21.42578125" customWidth="1"/>
    <col min="6" max="6" width="19.42578125" customWidth="1"/>
    <col min="7" max="7" width="23.140625" customWidth="1"/>
    <col min="8" max="8" width="15.42578125" bestFit="1" customWidth="1"/>
    <col min="11" max="11" width="11.140625" customWidth="1"/>
  </cols>
  <sheetData>
    <row r="1" spans="1:36" ht="30" customHeight="1" x14ac:dyDescent="0.25">
      <c r="A1" s="131" t="s">
        <v>131</v>
      </c>
      <c r="B1" s="131"/>
      <c r="C1" s="131"/>
      <c r="D1" s="131"/>
      <c r="E1" s="131"/>
      <c r="F1" s="131"/>
      <c r="G1" s="131"/>
      <c r="AE1" s="3"/>
      <c r="AF1" s="5"/>
      <c r="AG1" s="5"/>
      <c r="AH1" s="1"/>
    </row>
    <row r="2" spans="1:36" x14ac:dyDescent="0.2">
      <c r="AE2" s="1"/>
      <c r="AF2" s="1"/>
      <c r="AG2" s="1"/>
      <c r="AI2" s="8"/>
      <c r="AJ2" s="10"/>
    </row>
    <row r="3" spans="1:36" ht="51" x14ac:dyDescent="0.2">
      <c r="A3" t="s">
        <v>98</v>
      </c>
      <c r="B3" s="42">
        <v>141416</v>
      </c>
      <c r="C3" s="93" t="s">
        <v>268</v>
      </c>
      <c r="D3" t="s">
        <v>97</v>
      </c>
      <c r="E3" s="39">
        <v>3.1E-2</v>
      </c>
      <c r="F3" t="s">
        <v>126</v>
      </c>
      <c r="AE3" s="4"/>
      <c r="AF3" s="2"/>
      <c r="AG3" s="2"/>
    </row>
    <row r="4" spans="1:36" x14ac:dyDescent="0.2">
      <c r="A4" t="s">
        <v>93</v>
      </c>
      <c r="B4" s="26">
        <f>'Case Inputs'!B18</f>
        <v>14.292566735112935</v>
      </c>
      <c r="D4" t="s">
        <v>99</v>
      </c>
      <c r="E4" s="27">
        <f>'Case Inputs'!B19</f>
        <v>14</v>
      </c>
      <c r="AE4" s="2"/>
      <c r="AF4" s="2"/>
      <c r="AG4" s="2"/>
    </row>
    <row r="5" spans="1:36" x14ac:dyDescent="0.2">
      <c r="A5" t="s">
        <v>100</v>
      </c>
      <c r="B5" s="26">
        <f>'Case Inputs'!B20</f>
        <v>0.29256673511293485</v>
      </c>
      <c r="D5" t="s">
        <v>221</v>
      </c>
      <c r="F5" s="53" t="b">
        <v>0</v>
      </c>
      <c r="AE5" s="7"/>
      <c r="AF5" s="7"/>
    </row>
    <row r="6" spans="1:36" x14ac:dyDescent="0.2">
      <c r="D6" t="s">
        <v>249</v>
      </c>
      <c r="E6">
        <f>E3</f>
        <v>3.1E-2</v>
      </c>
      <c r="F6" s="53" t="b">
        <v>0</v>
      </c>
      <c r="AE6" s="7"/>
      <c r="AF6" s="7"/>
    </row>
    <row r="7" spans="1:36" x14ac:dyDescent="0.2">
      <c r="A7" s="145" t="s">
        <v>115</v>
      </c>
      <c r="B7" s="130"/>
      <c r="C7" s="130"/>
      <c r="D7" s="130"/>
      <c r="E7" s="130"/>
      <c r="F7" s="130"/>
      <c r="G7" s="130"/>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329</v>
      </c>
      <c r="AE8" s="7"/>
      <c r="AF8" s="7"/>
    </row>
    <row r="9" spans="1:36" x14ac:dyDescent="0.2">
      <c r="A9">
        <f>YEAR('Case Inputs'!$B$5)</f>
        <v>2021</v>
      </c>
      <c r="B9">
        <f>YEAR('Case Inputs'!$B$5)</f>
        <v>2021</v>
      </c>
      <c r="C9" s="7">
        <f>$B$3</f>
        <v>141416</v>
      </c>
      <c r="D9" s="38" t="str">
        <f>IF('Case Inputs'!$B$28="CPI Adjustment",IFERROR(INDEX('CPI Data'!$F$2:$F$5,MATCH(B9,'CPI Data'!$E$2:$E$5,0)),""),"")</f>
        <v/>
      </c>
      <c r="E9" s="26">
        <f>1</f>
        <v>1</v>
      </c>
      <c r="F9">
        <f>(DATE(YEAR('Case Inputs'!$B$5),12,31)-'Case Inputs'!$B$5)/365</f>
        <v>0.33150684931506852</v>
      </c>
      <c r="G9" s="7">
        <f>C9*F9*IF($F$5,1-$E$5,1)</f>
        <v>46880.372602739728</v>
      </c>
      <c r="H9" s="7">
        <f>C9*F9</f>
        <v>46880.372602739728</v>
      </c>
      <c r="AE9" s="7"/>
      <c r="AF9" s="7"/>
    </row>
    <row r="10" spans="1:36" x14ac:dyDescent="0.2">
      <c r="A10">
        <f>IF(YEAR('Case Inputs'!$B$6)-YEAR('Case Inputs'!$B$5)&gt;=2,YEAR('Case Inputs'!$B$5)+1,"")</f>
        <v>2022</v>
      </c>
      <c r="B10">
        <f>IF(A10="","",A10)</f>
        <v>2022</v>
      </c>
      <c r="C10" s="7">
        <f>C9*E10</f>
        <v>141416</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141416</v>
      </c>
      <c r="H10" s="7">
        <f t="shared" ref="H10:H15" si="0">C10*F10</f>
        <v>141416</v>
      </c>
      <c r="AE10" s="7"/>
      <c r="AF10" s="7"/>
    </row>
    <row r="11" spans="1:36" x14ac:dyDescent="0.2">
      <c r="A11">
        <f>IF(YEAR('Case Inputs'!$B$6)-YEAR('Case Inputs'!$B$5)&gt;=3,YEAR('Case Inputs'!$B$5)+2,"")</f>
        <v>2023</v>
      </c>
      <c r="B11">
        <f>IF(A11="","",A11)</f>
        <v>2023</v>
      </c>
      <c r="C11" s="7">
        <f>C10*E11</f>
        <v>141416</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141416</v>
      </c>
      <c r="H11" s="7">
        <f t="shared" si="0"/>
        <v>141416</v>
      </c>
      <c r="AE11" s="7"/>
      <c r="AF11" s="7"/>
    </row>
    <row r="12" spans="1:36" x14ac:dyDescent="0.2">
      <c r="A12">
        <f>IF(YEAR('Case Inputs'!$B$6)-YEAR('Case Inputs'!$B$5)&gt;=4,YEAR('Case Inputs'!$B$5)+3,"")</f>
        <v>2024</v>
      </c>
      <c r="B12">
        <f>IF(A12="","",A12)</f>
        <v>2024</v>
      </c>
      <c r="C12" s="7">
        <f>IF(A12="","",C11*E12)</f>
        <v>141416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141416</v>
      </c>
      <c r="H12" s="7">
        <f t="shared" si="0"/>
        <v>141416</v>
      </c>
      <c r="AE12" s="7"/>
      <c r="AF12" s="7"/>
    </row>
    <row r="13" spans="1:36" x14ac:dyDescent="0.2">
      <c r="A13">
        <f>IF(YEAR('Case Inputs'!$B$6)-YEAR('Case Inputs'!$B$5)&gt;=5,YEAR('Case Inputs'!$B$5)+4,"")</f>
        <v>2025</v>
      </c>
      <c r="B13">
        <f>IF(A13="","",A13)</f>
        <v>2025</v>
      </c>
      <c r="C13" s="7">
        <f>IF(A13="","",C12*E13)</f>
        <v>141416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141416</v>
      </c>
      <c r="H13" s="7">
        <f t="shared" si="0"/>
        <v>141416</v>
      </c>
      <c r="AE13" s="7"/>
      <c r="AF13" s="7"/>
    </row>
    <row r="14" spans="1:36" x14ac:dyDescent="0.2">
      <c r="AE14" s="7"/>
      <c r="AF14" s="7"/>
    </row>
    <row r="15" spans="1:36" x14ac:dyDescent="0.2">
      <c r="A15">
        <f>YEAR('Case Inputs'!$B$6)</f>
        <v>2026</v>
      </c>
      <c r="B15">
        <f>YEAR('Case Inputs'!$B$6)</f>
        <v>2026</v>
      </c>
      <c r="C15" s="7">
        <f>IF(A13&lt;&gt;"",C13*E15,IF(A12&lt;&gt;"",C12*E15,IF(A11&lt;&gt;"",C11*E15,IF(A10&lt;&gt;"",C10*E15,C9*E15))))</f>
        <v>141416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58503.605479452061</v>
      </c>
      <c r="H15" s="7">
        <f t="shared" si="0"/>
        <v>58503.605479452061</v>
      </c>
      <c r="AE15" s="7"/>
      <c r="AF15" s="7"/>
    </row>
    <row r="16" spans="1:36" x14ac:dyDescent="0.2">
      <c r="D16" s="38"/>
      <c r="AE16" s="7"/>
      <c r="AF16" s="7"/>
    </row>
    <row r="17" spans="1:32" x14ac:dyDescent="0.2">
      <c r="A17" s="19" t="s">
        <v>117</v>
      </c>
      <c r="D17" s="38"/>
      <c r="G17" s="30">
        <f>SUM(G9:G15)</f>
        <v>671047.97808219178</v>
      </c>
      <c r="H17" s="100">
        <f>SUM(H9:H15)</f>
        <v>671047.97808219178</v>
      </c>
      <c r="AE17" s="7"/>
      <c r="AF17" s="7"/>
    </row>
    <row r="18" spans="1:32" x14ac:dyDescent="0.2">
      <c r="AE18" s="7"/>
      <c r="AF18" s="7"/>
    </row>
    <row r="19" spans="1:32" x14ac:dyDescent="0.2">
      <c r="A19" s="146" t="s">
        <v>118</v>
      </c>
      <c r="B19" s="146"/>
      <c r="C19" s="146"/>
      <c r="D19" s="146"/>
      <c r="E19" s="146"/>
      <c r="F19" s="146"/>
      <c r="G19" s="146"/>
      <c r="AE19" s="7"/>
      <c r="AF19" s="7"/>
    </row>
    <row r="20" spans="1:32" x14ac:dyDescent="0.2">
      <c r="A20">
        <f>IF(1&gt;$E$4+1,"",1)</f>
        <v>1</v>
      </c>
      <c r="B20">
        <f>IF(A20="","",YEAR('Case Inputs'!$B$6)+A20)</f>
        <v>2027</v>
      </c>
      <c r="C20" s="7">
        <f t="shared" ref="C20:C51" si="1">IF(A20="","",$C$15*(1+$E$3)^A20)</f>
        <v>145799.89599999998</v>
      </c>
      <c r="D20" s="10">
        <f>IF(A20="","",IFERROR(INDEX('Discount Rates'!$C:$C,MATCH(TEXT(B20,"0"),'Discount Rates'!$A:$A,0))/100-IF($F$6=TRUE,$E$6,0),0))</f>
        <v>2.3010000000000003E-2</v>
      </c>
      <c r="E20" s="7">
        <f t="shared" ref="E20:E51" si="2">IF(A20="","",C20/((1+D20)^A20))</f>
        <v>142520.49931085715</v>
      </c>
      <c r="F20" s="26">
        <f t="shared" ref="F20:F51" si="3">IF(A20="","",IF(A20&lt;=$E$4,1,IF(A20=$E$4+1,$B$5,0)))</f>
        <v>1</v>
      </c>
      <c r="G20" s="7">
        <f t="shared" ref="G20:G51" si="4">IF(A20="","",E20*F20*IF($F$5,1-$E$5,1))</f>
        <v>142520.49931085715</v>
      </c>
      <c r="AE20" s="7"/>
      <c r="AF20" s="7"/>
    </row>
    <row r="21" spans="1:32" x14ac:dyDescent="0.2">
      <c r="A21">
        <f>IF(2&gt;$E$4+1,"",2)</f>
        <v>2</v>
      </c>
      <c r="B21">
        <f>IF(A21="","",YEAR('Case Inputs'!$B$6)+A21)</f>
        <v>2028</v>
      </c>
      <c r="C21" s="7">
        <f t="shared" si="1"/>
        <v>150319.69277599998</v>
      </c>
      <c r="D21" s="10">
        <f>IF(A21="","",IFERROR(INDEX('Discount Rates'!$C:$C,MATCH(TEXT(B21,"0"),'Discount Rates'!$A:$A,0))/100-IF($F$6=TRUE,$E$6,0),0))</f>
        <v>2.291E-2</v>
      </c>
      <c r="E21" s="7">
        <f t="shared" si="2"/>
        <v>143661.70978499396</v>
      </c>
      <c r="F21" s="26">
        <f t="shared" si="3"/>
        <v>1</v>
      </c>
      <c r="G21" s="7">
        <f t="shared" si="4"/>
        <v>143661.70978499396</v>
      </c>
      <c r="AE21" s="7"/>
      <c r="AF21" s="7"/>
    </row>
    <row r="22" spans="1:32" x14ac:dyDescent="0.2">
      <c r="A22">
        <f>IF(3&gt;$E$4+1,"",3)</f>
        <v>3</v>
      </c>
      <c r="B22">
        <f>IF(A22="","",YEAR('Case Inputs'!$B$6)+A22)</f>
        <v>2029</v>
      </c>
      <c r="C22" s="7">
        <f t="shared" si="1"/>
        <v>154979.60325205597</v>
      </c>
      <c r="D22" s="10">
        <f>IF(A22="","",IFERROR(INDEX('Discount Rates'!$C:$C,MATCH(TEXT(B22,"0"),'Discount Rates'!$A:$A,0))/100-IF($F$6=TRUE,$E$6,0),0))</f>
        <v>2.2890000000000001E-2</v>
      </c>
      <c r="E22" s="7">
        <f t="shared" si="2"/>
        <v>144806.3964593577</v>
      </c>
      <c r="F22" s="26">
        <f t="shared" si="3"/>
        <v>1</v>
      </c>
      <c r="G22" s="7">
        <f t="shared" si="4"/>
        <v>144806.3964593577</v>
      </c>
      <c r="AE22" s="7"/>
      <c r="AF22" s="7"/>
    </row>
    <row r="23" spans="1:32" x14ac:dyDescent="0.2">
      <c r="A23">
        <f>IF(4&gt;$E$4+1,"",4)</f>
        <v>4</v>
      </c>
      <c r="B23">
        <f>IF(A23="","",YEAR('Case Inputs'!$B$6)+A23)</f>
        <v>2030</v>
      </c>
      <c r="C23" s="7">
        <f t="shared" si="1"/>
        <v>159783.97095286968</v>
      </c>
      <c r="D23" s="10">
        <f>IF(A23="","",IFERROR(INDEX('Discount Rates'!$C:$C,MATCH(TEXT(B23,"0"),'Discount Rates'!$A:$A,0))/100-IF($F$6=TRUE,$E$6,0),0))</f>
        <v>2.3460000000000002E-2</v>
      </c>
      <c r="E23" s="7">
        <f t="shared" si="2"/>
        <v>145629.61958400384</v>
      </c>
      <c r="F23" s="26">
        <f t="shared" si="3"/>
        <v>1</v>
      </c>
      <c r="G23" s="7">
        <f t="shared" si="4"/>
        <v>145629.61958400384</v>
      </c>
      <c r="AE23" s="7"/>
      <c r="AF23" s="7"/>
    </row>
    <row r="24" spans="1:32" x14ac:dyDescent="0.2">
      <c r="A24">
        <f>IF(5&gt;$E$4+1,"",5)</f>
        <v>5</v>
      </c>
      <c r="B24">
        <f>IF(A24="","",YEAR('Case Inputs'!$B$6)+A24)</f>
        <v>2031</v>
      </c>
      <c r="C24" s="7">
        <f t="shared" si="1"/>
        <v>164737.27405240864</v>
      </c>
      <c r="D24" s="10">
        <f>IF(A24="","",IFERROR(INDEX('Discount Rates'!$C:$C,MATCH(TEXT(B24,"0"),'Discount Rates'!$A:$A,0))/100-IF($F$6=TRUE,$E$6,0),0))</f>
        <v>2.3969999999999998E-2</v>
      </c>
      <c r="E24" s="7">
        <f t="shared" si="2"/>
        <v>146337.52663871515</v>
      </c>
      <c r="F24" s="26">
        <f t="shared" si="3"/>
        <v>1</v>
      </c>
      <c r="G24" s="7">
        <f t="shared" si="4"/>
        <v>146337.52663871515</v>
      </c>
      <c r="AE24" s="7"/>
      <c r="AF24" s="7"/>
    </row>
    <row r="25" spans="1:32" x14ac:dyDescent="0.2">
      <c r="A25">
        <f>IF(6&gt;$E$4+1,"",6)</f>
        <v>6</v>
      </c>
      <c r="B25">
        <f>IF(A25="","",YEAR('Case Inputs'!$B$6)+A25)</f>
        <v>2032</v>
      </c>
      <c r="C25" s="7">
        <f t="shared" si="1"/>
        <v>169844.12954803332</v>
      </c>
      <c r="D25" s="10">
        <f>IF(A25="","",IFERROR(INDEX('Discount Rates'!$C:$C,MATCH(TEXT(B25,"0"),'Discount Rates'!$A:$A,0))/100-IF($F$6=TRUE,$E$6,0),0))</f>
        <v>2.4809999999999999E-2</v>
      </c>
      <c r="E25" s="7">
        <f t="shared" si="2"/>
        <v>146619.05405788234</v>
      </c>
      <c r="F25" s="26">
        <f t="shared" si="3"/>
        <v>1</v>
      </c>
      <c r="G25" s="7">
        <f t="shared" si="4"/>
        <v>146619.05405788234</v>
      </c>
      <c r="AE25" s="7"/>
      <c r="AF25" s="7"/>
    </row>
    <row r="26" spans="1:32" x14ac:dyDescent="0.2">
      <c r="A26">
        <f>IF(7&gt;$E$4+1,"",7)</f>
        <v>7</v>
      </c>
      <c r="B26">
        <f>IF(A26="","",YEAR('Case Inputs'!$B$6)+A26)</f>
        <v>2033</v>
      </c>
      <c r="C26" s="7">
        <f t="shared" si="1"/>
        <v>175109.29756402233</v>
      </c>
      <c r="D26" s="10">
        <f>IF(A26="","",IFERROR(INDEX('Discount Rates'!$C:$C,MATCH(TEXT(B26,"0"),'Discount Rates'!$A:$A,0))/100-IF($F$6=TRUE,$E$6,0),0))</f>
        <v>2.581E-2</v>
      </c>
      <c r="E26" s="7">
        <f t="shared" si="2"/>
        <v>146501.03973158303</v>
      </c>
      <c r="F26" s="26">
        <f t="shared" si="3"/>
        <v>1</v>
      </c>
      <c r="G26" s="7">
        <f t="shared" si="4"/>
        <v>146501.03973158303</v>
      </c>
      <c r="AE26" s="7"/>
      <c r="AF26" s="7"/>
    </row>
    <row r="27" spans="1:32" x14ac:dyDescent="0.2">
      <c r="A27">
        <f>IF(8&gt;$E$4+1,"",8)</f>
        <v>8</v>
      </c>
      <c r="B27">
        <f>IF(A27="","",YEAR('Case Inputs'!$B$6)+A27)</f>
        <v>2034</v>
      </c>
      <c r="C27" s="7">
        <f t="shared" si="1"/>
        <v>180537.68578850702</v>
      </c>
      <c r="D27" s="10">
        <f>IF(A27="","",IFERROR(INDEX('Discount Rates'!$C:$C,MATCH(TEXT(B27,"0"),'Discount Rates'!$A:$A,0))/100-IF($F$6=TRUE,$E$6,0),0))</f>
        <v>2.6459999999999997E-2</v>
      </c>
      <c r="E27" s="7">
        <f t="shared" si="2"/>
        <v>146497.97805506855</v>
      </c>
      <c r="F27" s="26">
        <f t="shared" si="3"/>
        <v>1</v>
      </c>
      <c r="G27" s="7">
        <f t="shared" si="4"/>
        <v>146497.97805506855</v>
      </c>
      <c r="AE27" s="7"/>
      <c r="AF27" s="7"/>
    </row>
    <row r="28" spans="1:32" x14ac:dyDescent="0.2">
      <c r="A28">
        <f>IF(9&gt;$E$4+1,"",9)</f>
        <v>9</v>
      </c>
      <c r="B28">
        <f>IF(A28="","",YEAR('Case Inputs'!$B$6)+A28)</f>
        <v>2035</v>
      </c>
      <c r="C28" s="7">
        <f t="shared" si="1"/>
        <v>186134.35404795071</v>
      </c>
      <c r="D28" s="10">
        <f>IF(A28="","",IFERROR(INDEX('Discount Rates'!$C:$C,MATCH(TEXT(B28,"0"),'Discount Rates'!$A:$A,0))/100-IF($F$6=TRUE,$E$6,0),0))</f>
        <v>2.7380000000000002E-2</v>
      </c>
      <c r="E28" s="7">
        <f t="shared" si="2"/>
        <v>145964.27446580166</v>
      </c>
      <c r="F28" s="26">
        <f t="shared" si="3"/>
        <v>1</v>
      </c>
      <c r="G28" s="7">
        <f t="shared" si="4"/>
        <v>145964.27446580166</v>
      </c>
      <c r="AE28" s="7"/>
      <c r="AF28" s="7"/>
    </row>
    <row r="29" spans="1:32" x14ac:dyDescent="0.2">
      <c r="A29">
        <f>IF(10&gt;$E$4+1,"",10)</f>
        <v>10</v>
      </c>
      <c r="B29">
        <f>IF(A29="","",YEAR('Case Inputs'!$B$6)+A29)</f>
        <v>2036</v>
      </c>
      <c r="C29" s="7">
        <f t="shared" si="1"/>
        <v>191904.51902343717</v>
      </c>
      <c r="D29" s="10">
        <f>IF(A29="","",IFERROR(INDEX('Discount Rates'!$C:$C,MATCH(TEXT(B29,"0"),'Discount Rates'!$A:$A,0))/100-IF($F$6=TRUE,$E$6,0),0))</f>
        <v>2.8420000000000001E-2</v>
      </c>
      <c r="E29" s="7">
        <f t="shared" si="2"/>
        <v>145004.02672027241</v>
      </c>
      <c r="F29" s="26">
        <f t="shared" si="3"/>
        <v>1</v>
      </c>
      <c r="G29" s="7">
        <f t="shared" si="4"/>
        <v>145004.02672027241</v>
      </c>
      <c r="AE29" s="7"/>
      <c r="AF29" s="7"/>
    </row>
    <row r="30" spans="1:32" x14ac:dyDescent="0.2">
      <c r="A30">
        <f>IF(11&gt;$E$4+1,"",11)</f>
        <v>11</v>
      </c>
      <c r="B30">
        <f>IF(A30="","",YEAR('Case Inputs'!$B$6)+A30)</f>
        <v>2037</v>
      </c>
      <c r="C30" s="7">
        <f t="shared" si="1"/>
        <v>197853.5591131637</v>
      </c>
      <c r="D30" s="10">
        <f>IF(A30="","",IFERROR(INDEX('Discount Rates'!$C:$C,MATCH(TEXT(B30,"0"),'Discount Rates'!$A:$A,0))/100-IF($F$6=TRUE,$E$6,0),0))</f>
        <v>2.955E-2</v>
      </c>
      <c r="E30" s="7">
        <f t="shared" si="2"/>
        <v>143622.33881936441</v>
      </c>
      <c r="F30" s="26">
        <f t="shared" si="3"/>
        <v>1</v>
      </c>
      <c r="G30" s="7">
        <f t="shared" si="4"/>
        <v>143622.33881936441</v>
      </c>
      <c r="AE30" s="7"/>
      <c r="AF30" s="7"/>
    </row>
    <row r="31" spans="1:32" x14ac:dyDescent="0.2">
      <c r="A31">
        <f>IF(12&gt;$E$4+1,"",12)</f>
        <v>12</v>
      </c>
      <c r="B31">
        <f>IF(A31="","",YEAR('Case Inputs'!$B$6)+A31)</f>
        <v>2038</v>
      </c>
      <c r="C31" s="7">
        <f t="shared" si="1"/>
        <v>203987.01944567179</v>
      </c>
      <c r="D31" s="10">
        <f>IF(A31="","",IFERROR(INDEX('Discount Rates'!$C:$C,MATCH(TEXT(B31,"0"),'Discount Rates'!$A:$A,0))/100-IF($F$6=TRUE,$E$6,0),0))</f>
        <v>3.0630000000000001E-2</v>
      </c>
      <c r="E31" s="7">
        <f t="shared" si="2"/>
        <v>142026.43080504809</v>
      </c>
      <c r="F31" s="26">
        <f t="shared" si="3"/>
        <v>1</v>
      </c>
      <c r="G31" s="7">
        <f t="shared" si="4"/>
        <v>142026.43080504809</v>
      </c>
      <c r="AE31" s="7"/>
      <c r="AF31" s="7"/>
    </row>
    <row r="32" spans="1:32" x14ac:dyDescent="0.2">
      <c r="A32">
        <f>IF(13&gt;$E$4+1,"",13)</f>
        <v>13</v>
      </c>
      <c r="B32">
        <f>IF(A32="","",YEAR('Case Inputs'!$B$6)+A32)</f>
        <v>2039</v>
      </c>
      <c r="C32" s="7">
        <f t="shared" si="1"/>
        <v>210310.61704848762</v>
      </c>
      <c r="D32" s="10">
        <f>IF(A32="","",IFERROR(INDEX('Discount Rates'!$C:$C,MATCH(TEXT(B32,"0"),'Discount Rates'!$A:$A,0))/100-IF($F$6=TRUE,$E$6,0),0))</f>
        <v>3.1370000000000002E-2</v>
      </c>
      <c r="E32" s="7">
        <f t="shared" si="2"/>
        <v>140757.89597729951</v>
      </c>
      <c r="F32" s="26">
        <f t="shared" si="3"/>
        <v>1</v>
      </c>
      <c r="G32" s="7">
        <f t="shared" si="4"/>
        <v>140757.89597729951</v>
      </c>
      <c r="AE32" s="7"/>
      <c r="AF32" s="7"/>
    </row>
    <row r="33" spans="1:32" x14ac:dyDescent="0.2">
      <c r="A33">
        <f>IF(14&gt;$E$4+1,"",14)</f>
        <v>14</v>
      </c>
      <c r="B33">
        <f>IF(A33="","",YEAR('Case Inputs'!$B$6)+A33)</f>
        <v>2040</v>
      </c>
      <c r="C33" s="7">
        <f t="shared" si="1"/>
        <v>216830.24617699068</v>
      </c>
      <c r="D33" s="10">
        <f>IF(A33="","",IFERROR(INDEX('Discount Rates'!$C:$C,MATCH(TEXT(B33,"0"),'Discount Rates'!$A:$A,0))/100-IF($F$6=TRUE,$E$6,0),0))</f>
        <v>3.243E-2</v>
      </c>
      <c r="E33" s="7">
        <f t="shared" si="2"/>
        <v>138698.33383133201</v>
      </c>
      <c r="F33" s="26">
        <f t="shared" si="3"/>
        <v>1</v>
      </c>
      <c r="G33" s="7">
        <f t="shared" si="4"/>
        <v>138698.33383133201</v>
      </c>
      <c r="AE33" s="7"/>
      <c r="AF33" s="7"/>
    </row>
    <row r="34" spans="1:32" x14ac:dyDescent="0.2">
      <c r="A34">
        <f>IF(15&gt;$E$4+1,"",15)</f>
        <v>15</v>
      </c>
      <c r="B34">
        <f>IF(A34="","",YEAR('Case Inputs'!$B$6)+A34)</f>
        <v>2041</v>
      </c>
      <c r="C34" s="7">
        <f t="shared" si="1"/>
        <v>223551.98380847738</v>
      </c>
      <c r="D34" s="10">
        <f>IF(A34="","",IFERROR(INDEX('Discount Rates'!$C:$C,MATCH(TEXT(B34,"0"),'Discount Rates'!$A:$A,0))/100-IF($F$6=TRUE,$E$6,0),0))</f>
        <v>3.2969999999999999E-2</v>
      </c>
      <c r="E34" s="7">
        <f t="shared" si="2"/>
        <v>137424.09872409617</v>
      </c>
      <c r="F34" s="26">
        <f t="shared" si="3"/>
        <v>0.29256673511293485</v>
      </c>
      <c r="G34" s="7">
        <f t="shared" si="4"/>
        <v>40205.719889546453</v>
      </c>
      <c r="AE34" s="7"/>
      <c r="AF34" s="7"/>
    </row>
    <row r="35" spans="1:32" x14ac:dyDescent="0.2">
      <c r="A35" t="str">
        <f>IF(16&gt;$E$4+1,"",16)</f>
        <v/>
      </c>
      <c r="B35" t="str">
        <f>IF(A35="","",YEAR('Case Inputs'!$B$6)+A35)</f>
        <v/>
      </c>
      <c r="C35" s="7" t="str">
        <f t="shared" si="1"/>
        <v/>
      </c>
      <c r="D35" s="10" t="str">
        <f>IF(A35="","",IFERROR(INDEX('Discount Rates'!$C:$C,MATCH(TEXT(B35,"0"),'Discount Rates'!$A:$A,0))/100-IF($F$6=TRUE,$E$6,0),0))</f>
        <v/>
      </c>
      <c r="E35" s="7" t="str">
        <f t="shared" si="2"/>
        <v/>
      </c>
      <c r="F35" s="26" t="str">
        <f t="shared" si="3"/>
        <v/>
      </c>
      <c r="G35" s="7" t="str">
        <f t="shared" si="4"/>
        <v/>
      </c>
      <c r="AE35" s="7"/>
      <c r="AF35" s="7"/>
    </row>
    <row r="36" spans="1:32" x14ac:dyDescent="0.2">
      <c r="A36" t="str">
        <f>IF(17&gt;$E$4+1,"",17)</f>
        <v/>
      </c>
      <c r="B36" t="str">
        <f>IF(A36="","",YEAR('Case Inputs'!$B$6)+A36)</f>
        <v/>
      </c>
      <c r="C36" s="7" t="str">
        <f t="shared" si="1"/>
        <v/>
      </c>
      <c r="D36" s="10" t="str">
        <f>IF(A36="","",IFERROR(INDEX('Discount Rates'!$C:$C,MATCH(TEXT(B36,"0"),'Discount Rates'!$A:$A,0))/100-IF($F$6=TRUE,$E$6,0),0))</f>
        <v/>
      </c>
      <c r="E36" s="7" t="str">
        <f t="shared" si="2"/>
        <v/>
      </c>
      <c r="F36" s="26" t="str">
        <f t="shared" si="3"/>
        <v/>
      </c>
      <c r="G36" s="7" t="str">
        <f t="shared" si="4"/>
        <v/>
      </c>
      <c r="AE36" s="7"/>
      <c r="AF36" s="7"/>
    </row>
    <row r="37" spans="1:32" x14ac:dyDescent="0.2">
      <c r="A37" t="str">
        <f>IF(18&gt;$E$4+1,"",18)</f>
        <v/>
      </c>
      <c r="B37" t="str">
        <f>IF(A37="","",YEAR('Case Inputs'!$B$6)+A37)</f>
        <v/>
      </c>
      <c r="C37" s="7" t="str">
        <f t="shared" si="1"/>
        <v/>
      </c>
      <c r="D37" s="10" t="str">
        <f>IF(A37="","",IFERROR(INDEX('Discount Rates'!$C:$C,MATCH(TEXT(B37,"0"),'Discount Rates'!$A:$A,0))/100-IF($F$6=TRUE,$E$6,0),0))</f>
        <v/>
      </c>
      <c r="E37" s="7" t="str">
        <f t="shared" si="2"/>
        <v/>
      </c>
      <c r="F37" s="26" t="str">
        <f t="shared" si="3"/>
        <v/>
      </c>
      <c r="G37" s="7" t="str">
        <f t="shared" si="4"/>
        <v/>
      </c>
      <c r="AE37" s="7"/>
      <c r="AF37" s="7"/>
    </row>
    <row r="38" spans="1:32" x14ac:dyDescent="0.2">
      <c r="A38" t="str">
        <f>IF(19&gt;$E$4+1,"",19)</f>
        <v/>
      </c>
      <c r="B38" t="str">
        <f>IF(A38="","",YEAR('Case Inputs'!$B$6)+A38)</f>
        <v/>
      </c>
      <c r="C38" s="7" t="str">
        <f t="shared" si="1"/>
        <v/>
      </c>
      <c r="D38" s="10" t="str">
        <f>IF(A38="","",IFERROR(INDEX('Discount Rates'!$C:$C,MATCH(TEXT(B38,"0"),'Discount Rates'!$A:$A,0))/100-IF($F$6=TRUE,$E$6,0),0))</f>
        <v/>
      </c>
      <c r="E38" s="7" t="str">
        <f t="shared" si="2"/>
        <v/>
      </c>
      <c r="F38" s="26" t="str">
        <f t="shared" si="3"/>
        <v/>
      </c>
      <c r="G38" s="7" t="str">
        <f t="shared" si="4"/>
        <v/>
      </c>
      <c r="AE38" s="7"/>
      <c r="AF38" s="7"/>
    </row>
    <row r="39" spans="1:32" x14ac:dyDescent="0.2">
      <c r="A39" t="str">
        <f>IF(20&gt;$E$4+1,"",20)</f>
        <v/>
      </c>
      <c r="B39" t="str">
        <f>IF(A39="","",YEAR('Case Inputs'!$B$6)+A39)</f>
        <v/>
      </c>
      <c r="C39" s="7" t="str">
        <f t="shared" si="1"/>
        <v/>
      </c>
      <c r="D39" s="10" t="str">
        <f>IF(A39="","",IFERROR(INDEX('Discount Rates'!$C:$C,MATCH(TEXT(B39,"0"),'Discount Rates'!$A:$A,0))/100-IF($F$6=TRUE,$E$6,0),0))</f>
        <v/>
      </c>
      <c r="E39" s="7" t="str">
        <f t="shared" si="2"/>
        <v/>
      </c>
      <c r="F39" s="26" t="str">
        <f t="shared" si="3"/>
        <v/>
      </c>
      <c r="G39" s="7" t="str">
        <f t="shared" si="4"/>
        <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103</v>
      </c>
      <c r="E71" s="29">
        <f>SUM(E20:E69)</f>
        <v>2156071.2229656759</v>
      </c>
      <c r="F71" s="29"/>
      <c r="G71" s="29">
        <f>SUM(G20:G70)</f>
        <v>2058852.8441311263</v>
      </c>
      <c r="AE71" s="2"/>
      <c r="AF71" s="2"/>
    </row>
    <row r="72" spans="1:32" x14ac:dyDescent="0.2">
      <c r="AE72" s="2"/>
      <c r="AF72" s="2"/>
    </row>
    <row r="73" spans="1:32" x14ac:dyDescent="0.2">
      <c r="A73" s="28" t="s">
        <v>119</v>
      </c>
      <c r="B73" s="37"/>
      <c r="C73" s="37"/>
      <c r="D73" s="37"/>
      <c r="E73" s="29">
        <f>E71+H17</f>
        <v>2827119.2010478675</v>
      </c>
      <c r="F73" s="37"/>
      <c r="G73" s="29">
        <f>G17+G71</f>
        <v>2729900.8222133182</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F6" xr:uid="{D46C2A2D-CA93-4C7A-B4A2-570723D62FF2}">
      <formula1>OR(F5=TRUE,F5=FALSE)</formula1>
    </dataValidation>
  </dataValidations>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3128-0E71-4D94-900F-3B2DC6A0D3F8}">
  <sheetPr>
    <tabColor theme="6" tint="0.79998168889431442"/>
  </sheetPr>
  <dimension ref="A1:AJ81"/>
  <sheetViews>
    <sheetView topLeftCell="C1" zoomScale="130" zoomScaleNormal="130" workbookViewId="0">
      <selection activeCell="E6" sqref="E6"/>
    </sheetView>
  </sheetViews>
  <sheetFormatPr defaultColWidth="8.85546875" defaultRowHeight="12.75" x14ac:dyDescent="0.2"/>
  <cols>
    <col min="2" max="2" width="16" customWidth="1"/>
    <col min="3" max="3" width="21.42578125" customWidth="1"/>
    <col min="4" max="4" width="17.85546875" customWidth="1"/>
    <col min="5" max="5" width="21.42578125" customWidth="1"/>
    <col min="6" max="6" width="19.42578125" customWidth="1"/>
    <col min="7" max="7" width="23.140625" customWidth="1"/>
    <col min="8" max="8" width="15.42578125" bestFit="1" customWidth="1"/>
    <col min="11" max="11" width="11.140625" customWidth="1"/>
  </cols>
  <sheetData>
    <row r="1" spans="1:36" ht="30" customHeight="1" x14ac:dyDescent="0.25">
      <c r="A1" s="131" t="s">
        <v>132</v>
      </c>
      <c r="B1" s="131"/>
      <c r="C1" s="131"/>
      <c r="D1" s="131"/>
      <c r="E1" s="131"/>
      <c r="F1" s="131"/>
      <c r="G1" s="131"/>
      <c r="AE1" s="3"/>
      <c r="AF1" s="5"/>
      <c r="AG1" s="5"/>
      <c r="AH1" s="1"/>
    </row>
    <row r="2" spans="1:36" x14ac:dyDescent="0.2">
      <c r="AE2" s="1"/>
      <c r="AF2" s="1"/>
      <c r="AG2" s="1"/>
      <c r="AI2" s="8"/>
      <c r="AJ2" s="10"/>
    </row>
    <row r="3" spans="1:36" x14ac:dyDescent="0.2">
      <c r="A3" t="s">
        <v>98</v>
      </c>
      <c r="B3" s="42">
        <v>250000</v>
      </c>
      <c r="C3" s="32" t="s">
        <v>126</v>
      </c>
      <c r="D3" t="s">
        <v>97</v>
      </c>
      <c r="E3" s="39">
        <v>3.1E-2</v>
      </c>
      <c r="F3" t="s">
        <v>126</v>
      </c>
      <c r="AE3" s="4"/>
      <c r="AF3" s="2"/>
      <c r="AG3" s="2"/>
    </row>
    <row r="4" spans="1:36" x14ac:dyDescent="0.2">
      <c r="A4" t="s">
        <v>112</v>
      </c>
      <c r="B4" s="26">
        <f>'Case Inputs'!B21</f>
        <v>19.037645448323069</v>
      </c>
      <c r="D4" t="s">
        <v>99</v>
      </c>
      <c r="E4" s="27">
        <f>'Case Inputs'!B22</f>
        <v>19</v>
      </c>
      <c r="AE4" s="2"/>
      <c r="AF4" s="2"/>
      <c r="AG4" s="2"/>
    </row>
    <row r="5" spans="1:36" x14ac:dyDescent="0.2">
      <c r="A5" t="s">
        <v>100</v>
      </c>
      <c r="B5" s="26">
        <f>'Case Inputs'!B23</f>
        <v>3.764544832306882E-2</v>
      </c>
      <c r="D5" t="s">
        <v>221</v>
      </c>
      <c r="E5" s="64">
        <v>0.15</v>
      </c>
      <c r="F5" s="53" t="b">
        <v>0</v>
      </c>
      <c r="AE5" s="7"/>
      <c r="AF5" s="7"/>
    </row>
    <row r="6" spans="1:36" x14ac:dyDescent="0.2">
      <c r="D6" t="s">
        <v>249</v>
      </c>
      <c r="E6" s="73">
        <f>E3</f>
        <v>3.1E-2</v>
      </c>
      <c r="F6" s="53" t="b">
        <v>0</v>
      </c>
      <c r="AE6" s="7"/>
      <c r="AF6" s="7"/>
    </row>
    <row r="7" spans="1:36" x14ac:dyDescent="0.2">
      <c r="A7" s="145" t="s">
        <v>115</v>
      </c>
      <c r="B7" s="130"/>
      <c r="C7" s="130"/>
      <c r="D7" s="130"/>
      <c r="E7" s="130"/>
      <c r="F7" s="130"/>
      <c r="G7" s="130"/>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329</v>
      </c>
      <c r="AE8" s="7"/>
      <c r="AF8" s="7"/>
    </row>
    <row r="9" spans="1:36" x14ac:dyDescent="0.2">
      <c r="A9">
        <f>YEAR('Case Inputs'!$B$5)</f>
        <v>2021</v>
      </c>
      <c r="B9">
        <f>YEAR('Case Inputs'!$B$5)</f>
        <v>2021</v>
      </c>
      <c r="C9" s="7">
        <f>$B$3</f>
        <v>250000</v>
      </c>
      <c r="D9" s="38" t="str">
        <f>IF('Case Inputs'!$B$28="CPI Adjustment",IFERROR(INDEX('CPI Data'!$F$2:$F$5,MATCH(B9,'CPI Data'!$E$2:$E$5,0)),""),"")</f>
        <v/>
      </c>
      <c r="E9" s="26">
        <f>1</f>
        <v>1</v>
      </c>
      <c r="F9">
        <f>(DATE(YEAR('Case Inputs'!$B$5),12,31)-'Case Inputs'!$B$5)/365</f>
        <v>0.33150684931506852</v>
      </c>
      <c r="G9" s="7">
        <f>C9*F9*IF($F$5,1-$E$5,1)</f>
        <v>82876.712328767127</v>
      </c>
      <c r="H9" s="7">
        <f>C9*F9</f>
        <v>82876.712328767127</v>
      </c>
      <c r="AE9" s="7"/>
      <c r="AF9" s="7"/>
    </row>
    <row r="10" spans="1:36" x14ac:dyDescent="0.2">
      <c r="A10">
        <f>IF(YEAR('Case Inputs'!$B$6)-YEAR('Case Inputs'!$B$5)&gt;=2,YEAR('Case Inputs'!$B$5)+1,"")</f>
        <v>2022</v>
      </c>
      <c r="B10">
        <f>IF(A10="","",A10)</f>
        <v>2022</v>
      </c>
      <c r="C10" s="7">
        <f>C9*E10</f>
        <v>250000</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250000</v>
      </c>
      <c r="H10" s="7">
        <f t="shared" ref="H10:H15" si="0">C10*F10</f>
        <v>250000</v>
      </c>
      <c r="AE10" s="7"/>
      <c r="AF10" s="7"/>
    </row>
    <row r="11" spans="1:36" x14ac:dyDescent="0.2">
      <c r="A11">
        <f>IF(YEAR('Case Inputs'!$B$6)-YEAR('Case Inputs'!$B$5)&gt;=3,YEAR('Case Inputs'!$B$5)+2,"")</f>
        <v>2023</v>
      </c>
      <c r="B11">
        <f>IF(A11="","",A11)</f>
        <v>2023</v>
      </c>
      <c r="C11" s="7">
        <f>C10*E11</f>
        <v>250000</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250000</v>
      </c>
      <c r="H11" s="7">
        <f t="shared" si="0"/>
        <v>250000</v>
      </c>
      <c r="AE11" s="7"/>
      <c r="AF11" s="7"/>
    </row>
    <row r="12" spans="1:36" x14ac:dyDescent="0.2">
      <c r="A12">
        <f>IF(YEAR('Case Inputs'!$B$6)-YEAR('Case Inputs'!$B$5)&gt;=4,YEAR('Case Inputs'!$B$5)+3,"")</f>
        <v>2024</v>
      </c>
      <c r="B12">
        <f>IF(A12="","",A12)</f>
        <v>2024</v>
      </c>
      <c r="C12" s="7">
        <f>IF(A12="","",C11*E12)</f>
        <v>250000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250000</v>
      </c>
      <c r="H12" s="7">
        <f t="shared" si="0"/>
        <v>250000</v>
      </c>
      <c r="AE12" s="7"/>
      <c r="AF12" s="7"/>
    </row>
    <row r="13" spans="1:36" x14ac:dyDescent="0.2">
      <c r="A13">
        <f>IF(YEAR('Case Inputs'!$B$6)-YEAR('Case Inputs'!$B$5)&gt;=5,YEAR('Case Inputs'!$B$5)+4,"")</f>
        <v>2025</v>
      </c>
      <c r="B13">
        <f>IF(A13="","",A13)</f>
        <v>2025</v>
      </c>
      <c r="C13" s="7">
        <f>IF(A13="","",C12*E13)</f>
        <v>250000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250000</v>
      </c>
      <c r="H13" s="7">
        <f t="shared" si="0"/>
        <v>250000</v>
      </c>
      <c r="AE13" s="7"/>
      <c r="AF13" s="7"/>
    </row>
    <row r="14" spans="1:36" x14ac:dyDescent="0.2">
      <c r="AE14" s="7"/>
      <c r="AF14" s="7"/>
    </row>
    <row r="15" spans="1:36" x14ac:dyDescent="0.2">
      <c r="A15">
        <f>YEAR('Case Inputs'!$B$6)</f>
        <v>2026</v>
      </c>
      <c r="B15">
        <f>YEAR('Case Inputs'!$B$6)</f>
        <v>2026</v>
      </c>
      <c r="C15" s="7">
        <f>IF(A13&lt;&gt;"",C13*E15,IF(A12&lt;&gt;"",C12*E15,IF(A11&lt;&gt;"",C11*E15,IF(A10&lt;&gt;"",C10*E15,C9*E15))))</f>
        <v>250000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103424.65753424658</v>
      </c>
      <c r="H15" s="7">
        <f t="shared" si="0"/>
        <v>103424.65753424658</v>
      </c>
      <c r="AE15" s="7"/>
      <c r="AF15" s="7"/>
    </row>
    <row r="16" spans="1:36" x14ac:dyDescent="0.2">
      <c r="D16" s="38"/>
      <c r="AE16" s="7"/>
      <c r="AF16" s="7"/>
    </row>
    <row r="17" spans="1:32" x14ac:dyDescent="0.2">
      <c r="A17" s="19" t="s">
        <v>117</v>
      </c>
      <c r="D17" s="38"/>
      <c r="G17" s="30">
        <f>SUM(G9:G15)</f>
        <v>1186301.3698630137</v>
      </c>
      <c r="H17" s="100">
        <f>SUM(H9:H15)</f>
        <v>1186301.3698630137</v>
      </c>
      <c r="AE17" s="7"/>
      <c r="AF17" s="7"/>
    </row>
    <row r="18" spans="1:32" x14ac:dyDescent="0.2">
      <c r="AE18" s="7"/>
      <c r="AF18" s="7"/>
    </row>
    <row r="19" spans="1:32" x14ac:dyDescent="0.2">
      <c r="A19" s="147" t="s">
        <v>149</v>
      </c>
      <c r="B19" s="146"/>
      <c r="C19" s="146"/>
      <c r="D19" s="146"/>
      <c r="E19" s="146"/>
      <c r="F19" s="146"/>
      <c r="G19" s="146"/>
      <c r="AE19" s="7"/>
      <c r="AF19" s="7"/>
    </row>
    <row r="20" spans="1:32" x14ac:dyDescent="0.2">
      <c r="A20">
        <f>IF(1&gt;$E$4+1,"",1)</f>
        <v>1</v>
      </c>
      <c r="B20">
        <f>IF(A20="","",YEAR('Case Inputs'!$B$6)+A20)</f>
        <v>2027</v>
      </c>
      <c r="C20" s="7">
        <f t="shared" ref="C20:C51" si="1">IF(A20="","",$C$15*(1+$E$3)^A20)</f>
        <v>257749.99999999997</v>
      </c>
      <c r="D20" s="10">
        <f>IF(A20="","",IFERROR(INDEX('Discount Rates'!$C:$C,MATCH(TEXT(B20,"0"),'Discount Rates'!$A:$A,0))/100-IF($F$6=TRUE,$E$6,0),0))</f>
        <v>2.3010000000000003E-2</v>
      </c>
      <c r="E20" s="7">
        <f t="shared" ref="E20:E51" si="2">IF(A20="","",C20/((1+D20)^A20))</f>
        <v>251952.57133361354</v>
      </c>
      <c r="F20" s="26">
        <f t="shared" ref="F20:F51" si="3">IF(A20="","",IF(A20&lt;=$E$4,1,IF(A20=$E$4+1,$B$5,0)))</f>
        <v>1</v>
      </c>
      <c r="G20" s="7">
        <f t="shared" ref="G20:G51" si="4">IF(A20="","",E20*F20*IF($F$5,1-$E$5,1))</f>
        <v>251952.57133361354</v>
      </c>
      <c r="AE20" s="7"/>
      <c r="AF20" s="7"/>
    </row>
    <row r="21" spans="1:32" x14ac:dyDescent="0.2">
      <c r="A21">
        <f>IF(2&gt;$E$4+1,"",2)</f>
        <v>2</v>
      </c>
      <c r="B21">
        <f>IF(A21="","",YEAR('Case Inputs'!$B$6)+A21)</f>
        <v>2028</v>
      </c>
      <c r="C21" s="7">
        <f t="shared" si="1"/>
        <v>265740.24999999994</v>
      </c>
      <c r="D21" s="10">
        <f>IF(A21="","",IFERROR(INDEX('Discount Rates'!$C:$C,MATCH(TEXT(B21,"0"),'Discount Rates'!$A:$A,0))/100-IF($F$6=TRUE,$E$6,0),0))</f>
        <v>2.291E-2</v>
      </c>
      <c r="E21" s="7">
        <f t="shared" si="2"/>
        <v>253970.04190649209</v>
      </c>
      <c r="F21" s="26">
        <f t="shared" si="3"/>
        <v>1</v>
      </c>
      <c r="G21" s="7">
        <f t="shared" si="4"/>
        <v>253970.04190649209</v>
      </c>
      <c r="AE21" s="7"/>
      <c r="AF21" s="7"/>
    </row>
    <row r="22" spans="1:32" x14ac:dyDescent="0.2">
      <c r="A22">
        <f>IF(3&gt;$E$4+1,"",3)</f>
        <v>3</v>
      </c>
      <c r="B22">
        <f>IF(A22="","",YEAR('Case Inputs'!$B$6)+A22)</f>
        <v>2029</v>
      </c>
      <c r="C22" s="7">
        <f t="shared" si="1"/>
        <v>273978.19774999993</v>
      </c>
      <c r="D22" s="10">
        <f>IF(A22="","",IFERROR(INDEX('Discount Rates'!$C:$C,MATCH(TEXT(B22,"0"),'Discount Rates'!$A:$A,0))/100-IF($F$6=TRUE,$E$6,0),0))</f>
        <v>2.2890000000000001E-2</v>
      </c>
      <c r="E22" s="7">
        <f t="shared" si="2"/>
        <v>255993.65782400451</v>
      </c>
      <c r="F22" s="26">
        <f t="shared" si="3"/>
        <v>1</v>
      </c>
      <c r="G22" s="7">
        <f t="shared" si="4"/>
        <v>255993.65782400451</v>
      </c>
      <c r="AE22" s="7"/>
      <c r="AF22" s="7"/>
    </row>
    <row r="23" spans="1:32" x14ac:dyDescent="0.2">
      <c r="A23">
        <f>IF(4&gt;$E$4+1,"",4)</f>
        <v>4</v>
      </c>
      <c r="B23">
        <f>IF(A23="","",YEAR('Case Inputs'!$B$6)+A23)</f>
        <v>2030</v>
      </c>
      <c r="C23" s="7">
        <f t="shared" si="1"/>
        <v>282471.52188024996</v>
      </c>
      <c r="D23" s="10">
        <f>IF(A23="","",IFERROR(INDEX('Discount Rates'!$C:$C,MATCH(TEXT(B23,"0"),'Discount Rates'!$A:$A,0))/100-IF($F$6=TRUE,$E$6,0),0))</f>
        <v>2.3460000000000002E-2</v>
      </c>
      <c r="E23" s="7">
        <f t="shared" si="2"/>
        <v>257448.97957798955</v>
      </c>
      <c r="F23" s="26">
        <f t="shared" si="3"/>
        <v>1</v>
      </c>
      <c r="G23" s="7">
        <f t="shared" si="4"/>
        <v>257448.97957798955</v>
      </c>
      <c r="AE23" s="7"/>
      <c r="AF23" s="7"/>
    </row>
    <row r="24" spans="1:32" x14ac:dyDescent="0.2">
      <c r="A24">
        <f>IF(5&gt;$E$4+1,"",5)</f>
        <v>5</v>
      </c>
      <c r="B24">
        <f>IF(A24="","",YEAR('Case Inputs'!$B$6)+A24)</f>
        <v>2031</v>
      </c>
      <c r="C24" s="7">
        <f t="shared" si="1"/>
        <v>291228.13905853766</v>
      </c>
      <c r="D24" s="10">
        <f>IF(A24="","",IFERROR(INDEX('Discount Rates'!$C:$C,MATCH(TEXT(B24,"0"),'Discount Rates'!$A:$A,0))/100-IF($F$6=TRUE,$E$6,0),0))</f>
        <v>2.3969999999999998E-2</v>
      </c>
      <c r="E24" s="7">
        <f t="shared" si="2"/>
        <v>258700.4416733523</v>
      </c>
      <c r="F24" s="26">
        <f t="shared" si="3"/>
        <v>1</v>
      </c>
      <c r="G24" s="7">
        <f t="shared" si="4"/>
        <v>258700.4416733523</v>
      </c>
      <c r="AE24" s="7"/>
      <c r="AF24" s="7"/>
    </row>
    <row r="25" spans="1:32" x14ac:dyDescent="0.2">
      <c r="A25">
        <f>IF(6&gt;$E$4+1,"",6)</f>
        <v>6</v>
      </c>
      <c r="B25">
        <f>IF(A25="","",YEAR('Case Inputs'!$B$6)+A25)</f>
        <v>2032</v>
      </c>
      <c r="C25" s="7">
        <f t="shared" si="1"/>
        <v>300256.2113693523</v>
      </c>
      <c r="D25" s="10">
        <f>IF(A25="","",IFERROR(INDEX('Discount Rates'!$C:$C,MATCH(TEXT(B25,"0"),'Discount Rates'!$A:$A,0))/100-IF($F$6=TRUE,$E$6,0),0))</f>
        <v>2.4809999999999999E-2</v>
      </c>
      <c r="E25" s="7">
        <f t="shared" si="2"/>
        <v>259198.13539111969</v>
      </c>
      <c r="F25" s="26">
        <f t="shared" si="3"/>
        <v>1</v>
      </c>
      <c r="G25" s="7">
        <f t="shared" si="4"/>
        <v>259198.13539111969</v>
      </c>
      <c r="AE25" s="7"/>
      <c r="AF25" s="7"/>
    </row>
    <row r="26" spans="1:32" x14ac:dyDescent="0.2">
      <c r="A26">
        <f>IF(7&gt;$E$4+1,"",7)</f>
        <v>7</v>
      </c>
      <c r="B26">
        <f>IF(A26="","",YEAR('Case Inputs'!$B$6)+A26)</f>
        <v>2033</v>
      </c>
      <c r="C26" s="7">
        <f t="shared" si="1"/>
        <v>309564.15392180218</v>
      </c>
      <c r="D26" s="10">
        <f>IF(A26="","",IFERROR(INDEX('Discount Rates'!$C:$C,MATCH(TEXT(B26,"0"),'Discount Rates'!$A:$A,0))/100-IF($F$6=TRUE,$E$6,0),0))</f>
        <v>2.581E-2</v>
      </c>
      <c r="E26" s="7">
        <f t="shared" si="2"/>
        <v>258989.5056634027</v>
      </c>
      <c r="F26" s="26">
        <f t="shared" si="3"/>
        <v>1</v>
      </c>
      <c r="G26" s="7">
        <f t="shared" si="4"/>
        <v>258989.5056634027</v>
      </c>
      <c r="AE26" s="7"/>
      <c r="AF26" s="7"/>
    </row>
    <row r="27" spans="1:32" x14ac:dyDescent="0.2">
      <c r="A27">
        <f>IF(8&gt;$E$4+1,"",8)</f>
        <v>8</v>
      </c>
      <c r="B27">
        <f>IF(A27="","",YEAR('Case Inputs'!$B$6)+A27)</f>
        <v>2034</v>
      </c>
      <c r="C27" s="7">
        <f t="shared" si="1"/>
        <v>319160.64269337809</v>
      </c>
      <c r="D27" s="10">
        <f>IF(A27="","",IFERROR(INDEX('Discount Rates'!$C:$C,MATCH(TEXT(B27,"0"),'Discount Rates'!$A:$A,0))/100-IF($F$6=TRUE,$E$6,0),0))</f>
        <v>2.6459999999999997E-2</v>
      </c>
      <c r="E27" s="7">
        <f t="shared" si="2"/>
        <v>258984.09312784369</v>
      </c>
      <c r="F27" s="26">
        <f t="shared" si="3"/>
        <v>1</v>
      </c>
      <c r="G27" s="7">
        <f t="shared" si="4"/>
        <v>258984.09312784369</v>
      </c>
      <c r="AE27" s="7"/>
      <c r="AF27" s="7"/>
    </row>
    <row r="28" spans="1:32" x14ac:dyDescent="0.2">
      <c r="A28">
        <f>IF(9&gt;$E$4+1,"",9)</f>
        <v>9</v>
      </c>
      <c r="B28">
        <f>IF(A28="","",YEAR('Case Inputs'!$B$6)+A28)</f>
        <v>2035</v>
      </c>
      <c r="C28" s="7">
        <f t="shared" si="1"/>
        <v>329054.62261687272</v>
      </c>
      <c r="D28" s="10">
        <f>IF(A28="","",IFERROR(INDEX('Discount Rates'!$C:$C,MATCH(TEXT(B28,"0"),'Discount Rates'!$A:$A,0))/100-IF($F$6=TRUE,$E$6,0),0))</f>
        <v>2.7380000000000002E-2</v>
      </c>
      <c r="E28" s="7">
        <f t="shared" si="2"/>
        <v>258040.59382566623</v>
      </c>
      <c r="F28" s="26">
        <f t="shared" si="3"/>
        <v>1</v>
      </c>
      <c r="G28" s="7">
        <f t="shared" si="4"/>
        <v>258040.59382566623</v>
      </c>
      <c r="AE28" s="7"/>
      <c r="AF28" s="7"/>
    </row>
    <row r="29" spans="1:32" x14ac:dyDescent="0.2">
      <c r="A29">
        <f>IF(10&gt;$E$4+1,"",10)</f>
        <v>10</v>
      </c>
      <c r="B29">
        <f>IF(A29="","",YEAR('Case Inputs'!$B$6)+A29)</f>
        <v>2036</v>
      </c>
      <c r="C29" s="7">
        <f t="shared" si="1"/>
        <v>339255.31591799582</v>
      </c>
      <c r="D29" s="10">
        <f>IF(A29="","",IFERROR(INDEX('Discount Rates'!$C:$C,MATCH(TEXT(B29,"0"),'Discount Rates'!$A:$A,0))/100-IF($F$6=TRUE,$E$6,0),0))</f>
        <v>2.8420000000000001E-2</v>
      </c>
      <c r="E29" s="7">
        <f t="shared" si="2"/>
        <v>256343.03530058905</v>
      </c>
      <c r="F29" s="26">
        <f t="shared" si="3"/>
        <v>1</v>
      </c>
      <c r="G29" s="7">
        <f t="shared" si="4"/>
        <v>256343.03530058905</v>
      </c>
      <c r="AE29" s="7"/>
      <c r="AF29" s="7"/>
    </row>
    <row r="30" spans="1:32" x14ac:dyDescent="0.2">
      <c r="A30">
        <f>IF(11&gt;$E$4+1,"",11)</f>
        <v>11</v>
      </c>
      <c r="B30">
        <f>IF(A30="","",YEAR('Case Inputs'!$B$6)+A30)</f>
        <v>2037</v>
      </c>
      <c r="C30" s="7">
        <f t="shared" si="1"/>
        <v>349772.23071145365</v>
      </c>
      <c r="D30" s="10">
        <f>IF(A30="","",IFERROR(INDEX('Discount Rates'!$C:$C,MATCH(TEXT(B30,"0"),'Discount Rates'!$A:$A,0))/100-IF($F$6=TRUE,$E$6,0),0))</f>
        <v>2.955E-2</v>
      </c>
      <c r="E30" s="7">
        <f t="shared" si="2"/>
        <v>253900.44057844309</v>
      </c>
      <c r="F30" s="26">
        <f t="shared" si="3"/>
        <v>1</v>
      </c>
      <c r="G30" s="7">
        <f t="shared" si="4"/>
        <v>253900.44057844309</v>
      </c>
      <c r="AE30" s="7"/>
      <c r="AF30" s="7"/>
    </row>
    <row r="31" spans="1:32" x14ac:dyDescent="0.2">
      <c r="A31">
        <f>IF(12&gt;$E$4+1,"",12)</f>
        <v>12</v>
      </c>
      <c r="B31">
        <f>IF(A31="","",YEAR('Case Inputs'!$B$6)+A31)</f>
        <v>2038</v>
      </c>
      <c r="C31" s="7">
        <f t="shared" si="1"/>
        <v>360615.16986350872</v>
      </c>
      <c r="D31" s="10">
        <f>IF(A31="","",IFERROR(INDEX('Discount Rates'!$C:$C,MATCH(TEXT(B31,"0"),'Discount Rates'!$A:$A,0))/100-IF($F$6=TRUE,$E$6,0),0))</f>
        <v>3.0630000000000001E-2</v>
      </c>
      <c r="E31" s="7">
        <f t="shared" si="2"/>
        <v>251079.14027593783</v>
      </c>
      <c r="F31" s="26">
        <f t="shared" si="3"/>
        <v>1</v>
      </c>
      <c r="G31" s="7">
        <f t="shared" si="4"/>
        <v>251079.14027593783</v>
      </c>
      <c r="AE31" s="7"/>
      <c r="AF31" s="7"/>
    </row>
    <row r="32" spans="1:32" x14ac:dyDescent="0.2">
      <c r="A32">
        <f>IF(13&gt;$E$4+1,"",13)</f>
        <v>13</v>
      </c>
      <c r="B32">
        <f>IF(A32="","",YEAR('Case Inputs'!$B$6)+A32)</f>
        <v>2039</v>
      </c>
      <c r="C32" s="7">
        <f t="shared" si="1"/>
        <v>371794.24012927746</v>
      </c>
      <c r="D32" s="10">
        <f>IF(A32="","",IFERROR(INDEX('Discount Rates'!$C:$C,MATCH(TEXT(B32,"0"),'Discount Rates'!$A:$A,0))/100-IF($F$6=TRUE,$E$6,0),0))</f>
        <v>3.1370000000000002E-2</v>
      </c>
      <c r="E32" s="7">
        <f t="shared" si="2"/>
        <v>248836.58139337046</v>
      </c>
      <c r="F32" s="26">
        <f t="shared" si="3"/>
        <v>1</v>
      </c>
      <c r="G32" s="7">
        <f t="shared" si="4"/>
        <v>248836.58139337046</v>
      </c>
      <c r="AE32" s="7"/>
      <c r="AF32" s="7"/>
    </row>
    <row r="33" spans="1:32" x14ac:dyDescent="0.2">
      <c r="A33">
        <f>IF(14&gt;$E$4+1,"",14)</f>
        <v>14</v>
      </c>
      <c r="B33">
        <f>IF(A33="","",YEAR('Case Inputs'!$B$6)+A33)</f>
        <v>2040</v>
      </c>
      <c r="C33" s="7">
        <f t="shared" si="1"/>
        <v>383319.86157328502</v>
      </c>
      <c r="D33" s="10">
        <f>IF(A33="","",IFERROR(INDEX('Discount Rates'!$C:$C,MATCH(TEXT(B33,"0"),'Discount Rates'!$A:$A,0))/100-IF($F$6=TRUE,$E$6,0),0))</f>
        <v>3.243E-2</v>
      </c>
      <c r="E33" s="7">
        <f t="shared" si="2"/>
        <v>245195.61759513072</v>
      </c>
      <c r="F33" s="26">
        <f t="shared" si="3"/>
        <v>1</v>
      </c>
      <c r="G33" s="7">
        <f t="shared" si="4"/>
        <v>245195.61759513072</v>
      </c>
      <c r="AE33" s="7"/>
      <c r="AF33" s="7"/>
    </row>
    <row r="34" spans="1:32" x14ac:dyDescent="0.2">
      <c r="A34">
        <f>IF(15&gt;$E$4+1,"",15)</f>
        <v>15</v>
      </c>
      <c r="B34">
        <f>IF(A34="","",YEAR('Case Inputs'!$B$6)+A34)</f>
        <v>2041</v>
      </c>
      <c r="C34" s="7">
        <f t="shared" si="1"/>
        <v>395202.77728205681</v>
      </c>
      <c r="D34" s="10">
        <f>IF(A34="","",IFERROR(INDEX('Discount Rates'!$C:$C,MATCH(TEXT(B34,"0"),'Discount Rates'!$A:$A,0))/100-IF($F$6=TRUE,$E$6,0),0))</f>
        <v>3.2969999999999999E-2</v>
      </c>
      <c r="E34" s="7">
        <f t="shared" si="2"/>
        <v>242942.98156519799</v>
      </c>
      <c r="F34" s="26">
        <f t="shared" si="3"/>
        <v>1</v>
      </c>
      <c r="G34" s="7">
        <f t="shared" si="4"/>
        <v>242942.98156519799</v>
      </c>
      <c r="AE34" s="7"/>
      <c r="AF34" s="7"/>
    </row>
    <row r="35" spans="1:32" x14ac:dyDescent="0.2">
      <c r="A35">
        <f>IF(16&gt;$E$4+1,"",16)</f>
        <v>16</v>
      </c>
      <c r="B35">
        <f>IF(A35="","",YEAR('Case Inputs'!$B$6)+A35)</f>
        <v>2042</v>
      </c>
      <c r="C35" s="7">
        <f t="shared" si="1"/>
        <v>407454.06337780063</v>
      </c>
      <c r="D35" s="10">
        <f>IF(A35="","",IFERROR(INDEX('Discount Rates'!$C:$C,MATCH(TEXT(B35,"0"),'Discount Rates'!$A:$A,0))/100-IF($F$6=TRUE,$E$6,0),0))</f>
        <v>3.4040000000000001E-2</v>
      </c>
      <c r="E35" s="7">
        <f t="shared" si="2"/>
        <v>238496.07126249818</v>
      </c>
      <c r="F35" s="26">
        <f t="shared" si="3"/>
        <v>1</v>
      </c>
      <c r="G35" s="7">
        <f t="shared" si="4"/>
        <v>238496.07126249818</v>
      </c>
      <c r="AE35" s="7"/>
      <c r="AF35" s="7"/>
    </row>
    <row r="36" spans="1:32" x14ac:dyDescent="0.2">
      <c r="A36">
        <f>IF(17&gt;$E$4+1,"",17)</f>
        <v>17</v>
      </c>
      <c r="B36">
        <f>IF(A36="","",YEAR('Case Inputs'!$B$6)+A36)</f>
        <v>2043</v>
      </c>
      <c r="C36" s="7">
        <f t="shared" si="1"/>
        <v>420085.13934251241</v>
      </c>
      <c r="D36" s="10">
        <f>IF(A36="","",IFERROR(INDEX('Discount Rates'!$C:$C,MATCH(TEXT(B36,"0"),'Discount Rates'!$A:$A,0))/100-IF($F$6=TRUE,$E$6,0),0))</f>
        <v>3.5360000000000003E-2</v>
      </c>
      <c r="E36" s="7">
        <f t="shared" si="2"/>
        <v>232693.2665948293</v>
      </c>
      <c r="F36" s="26">
        <f t="shared" si="3"/>
        <v>1</v>
      </c>
      <c r="G36" s="7">
        <f t="shared" si="4"/>
        <v>232693.2665948293</v>
      </c>
      <c r="AE36" s="7"/>
      <c r="AF36" s="7"/>
    </row>
    <row r="37" spans="1:32" x14ac:dyDescent="0.2">
      <c r="A37">
        <f>IF(18&gt;$E$4+1,"",18)</f>
        <v>18</v>
      </c>
      <c r="B37">
        <f>IF(A37="","",YEAR('Case Inputs'!$B$6)+A37)</f>
        <v>2044</v>
      </c>
      <c r="C37" s="7">
        <f t="shared" si="1"/>
        <v>433107.77866213024</v>
      </c>
      <c r="D37" s="10">
        <f>IF(A37="","",IFERROR(INDEX('Discount Rates'!$C:$C,MATCH(TEXT(B37,"0"),'Discount Rates'!$A:$A,0))/100-IF($F$6=TRUE,$E$6,0),0))</f>
        <v>3.6680000000000004E-2</v>
      </c>
      <c r="E37" s="7">
        <f t="shared" si="2"/>
        <v>226459.74963125112</v>
      </c>
      <c r="F37" s="26">
        <f t="shared" si="3"/>
        <v>1</v>
      </c>
      <c r="G37" s="7">
        <f t="shared" si="4"/>
        <v>226459.74963125112</v>
      </c>
      <c r="AE37" s="7"/>
      <c r="AF37" s="7"/>
    </row>
    <row r="38" spans="1:32" x14ac:dyDescent="0.2">
      <c r="A38">
        <f>IF(19&gt;$E$4+1,"",19)</f>
        <v>19</v>
      </c>
      <c r="B38">
        <f>IF(A38="","",YEAR('Case Inputs'!$B$6)+A38)</f>
        <v>2045</v>
      </c>
      <c r="C38" s="7">
        <f t="shared" si="1"/>
        <v>446534.11980065622</v>
      </c>
      <c r="D38" s="10">
        <f>IF(A38="","",IFERROR(INDEX('Discount Rates'!$C:$C,MATCH(TEXT(B38,"0"),'Discount Rates'!$A:$A,0))/100-IF($F$6=TRUE,$E$6,0),0))</f>
        <v>3.8039999999999997E-2</v>
      </c>
      <c r="E38" s="7">
        <f t="shared" si="2"/>
        <v>219678.19823972264</v>
      </c>
      <c r="F38" s="26">
        <f t="shared" si="3"/>
        <v>1</v>
      </c>
      <c r="G38" s="7">
        <f t="shared" si="4"/>
        <v>219678.19823972264</v>
      </c>
      <c r="AE38" s="7"/>
      <c r="AF38" s="7"/>
    </row>
    <row r="39" spans="1:32" x14ac:dyDescent="0.2">
      <c r="A39">
        <f>IF(20&gt;$E$4+1,"",20)</f>
        <v>20</v>
      </c>
      <c r="B39">
        <f>IF(A39="","",YEAR('Case Inputs'!$B$6)+A39)</f>
        <v>2046</v>
      </c>
      <c r="C39" s="7">
        <f t="shared" si="1"/>
        <v>460376.67751447659</v>
      </c>
      <c r="D39" s="10">
        <f>IF(A39="","",IFERROR(INDEX('Discount Rates'!$C:$C,MATCH(TEXT(B39,"0"),'Discount Rates'!$A:$A,0))/100-IF($F$6=TRUE,$E$6,0),0))</f>
        <v>3.9269999999999999E-2</v>
      </c>
      <c r="E39" s="7">
        <f t="shared" si="2"/>
        <v>213081.37740675226</v>
      </c>
      <c r="F39" s="26">
        <f t="shared" si="3"/>
        <v>3.764544832306882E-2</v>
      </c>
      <c r="G39" s="7">
        <f t="shared" si="4"/>
        <v>8021.5439817742163</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103</v>
      </c>
      <c r="E71" s="29">
        <f>SUM(E20:E69)</f>
        <v>4941984.4801672073</v>
      </c>
      <c r="F71" s="29"/>
      <c r="G71" s="29">
        <f>SUM(G20:G70)</f>
        <v>4736924.6467422284</v>
      </c>
      <c r="AE71" s="2"/>
      <c r="AF71" s="2"/>
    </row>
    <row r="72" spans="1:32" x14ac:dyDescent="0.2">
      <c r="AE72" s="2"/>
      <c r="AF72" s="2"/>
    </row>
    <row r="73" spans="1:32" x14ac:dyDescent="0.2">
      <c r="A73" s="28" t="s">
        <v>119</v>
      </c>
      <c r="B73" s="37"/>
      <c r="C73" s="37"/>
      <c r="D73" s="37"/>
      <c r="E73" s="29">
        <f>E71+H17</f>
        <v>6128285.850030221</v>
      </c>
      <c r="F73" s="37"/>
      <c r="G73" s="29">
        <f>G17+G71</f>
        <v>5923226.0166052422</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F6" xr:uid="{1FC94FE0-F961-40F8-A0E9-FC4285FF21B4}">
      <formula1>OR(F5=TRUE,F5=FALSE)</formula1>
    </dataValidation>
  </dataValidation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F030-A350-451A-8A4A-19BD843F0232}">
  <sheetPr>
    <tabColor theme="6" tint="0.79998168889431442"/>
  </sheetPr>
  <dimension ref="A1:AJ81"/>
  <sheetViews>
    <sheetView zoomScale="130" zoomScaleNormal="130" workbookViewId="0">
      <selection activeCell="A2" sqref="A2"/>
    </sheetView>
  </sheetViews>
  <sheetFormatPr defaultColWidth="8.85546875" defaultRowHeight="12.75" x14ac:dyDescent="0.2"/>
  <cols>
    <col min="2" max="2" width="16" customWidth="1"/>
    <col min="3" max="3" width="21.42578125" customWidth="1"/>
    <col min="4" max="4" width="17.85546875" customWidth="1"/>
    <col min="5" max="5" width="21.42578125" customWidth="1"/>
    <col min="6" max="6" width="19.42578125" customWidth="1"/>
    <col min="7" max="7" width="23.140625" customWidth="1"/>
    <col min="8" max="8" width="15.42578125" bestFit="1" customWidth="1"/>
    <col min="11" max="11" width="11.140625" customWidth="1"/>
  </cols>
  <sheetData>
    <row r="1" spans="1:36" ht="30" customHeight="1" x14ac:dyDescent="0.25">
      <c r="A1" s="131" t="s">
        <v>456</v>
      </c>
      <c r="B1" s="131"/>
      <c r="C1" s="131"/>
      <c r="D1" s="131"/>
      <c r="E1" s="131"/>
      <c r="F1" s="131"/>
      <c r="G1" s="131"/>
      <c r="AE1" s="3"/>
      <c r="AF1" s="5"/>
      <c r="AG1" s="5"/>
      <c r="AH1" s="1"/>
    </row>
    <row r="2" spans="1:36" x14ac:dyDescent="0.2">
      <c r="AE2" s="1"/>
      <c r="AF2" s="1"/>
      <c r="AG2" s="1"/>
      <c r="AI2" s="8"/>
      <c r="AJ2" s="10"/>
    </row>
    <row r="3" spans="1:36" x14ac:dyDescent="0.2">
      <c r="A3" t="s">
        <v>98</v>
      </c>
      <c r="B3" s="42">
        <v>67888</v>
      </c>
      <c r="C3" s="32" t="s">
        <v>126</v>
      </c>
      <c r="D3" t="s">
        <v>97</v>
      </c>
      <c r="E3" s="39">
        <v>3.1E-2</v>
      </c>
      <c r="F3" t="s">
        <v>126</v>
      </c>
      <c r="AE3" s="4"/>
      <c r="AF3" s="2"/>
      <c r="AG3" s="2"/>
    </row>
    <row r="4" spans="1:36" x14ac:dyDescent="0.2">
      <c r="A4" t="s">
        <v>93</v>
      </c>
      <c r="B4" s="26">
        <f>'Case Inputs'!B18</f>
        <v>14.292566735112935</v>
      </c>
      <c r="D4" t="s">
        <v>99</v>
      </c>
      <c r="E4" s="27">
        <f>'Case Inputs'!B19</f>
        <v>14</v>
      </c>
      <c r="AE4" s="2"/>
      <c r="AF4" s="2"/>
      <c r="AG4" s="2"/>
    </row>
    <row r="5" spans="1:36" x14ac:dyDescent="0.2">
      <c r="A5" t="s">
        <v>100</v>
      </c>
      <c r="B5" s="26">
        <f>'Case Inputs'!B20</f>
        <v>0.29256673511293485</v>
      </c>
      <c r="D5" t="s">
        <v>221</v>
      </c>
      <c r="F5" s="53" t="b">
        <v>0</v>
      </c>
      <c r="AE5" s="7"/>
      <c r="AF5" s="7"/>
    </row>
    <row r="6" spans="1:36" x14ac:dyDescent="0.2">
      <c r="D6" t="s">
        <v>249</v>
      </c>
      <c r="E6">
        <f>E3</f>
        <v>3.1E-2</v>
      </c>
      <c r="F6" t="b">
        <v>1</v>
      </c>
      <c r="AE6" s="7"/>
      <c r="AF6" s="7"/>
    </row>
    <row r="7" spans="1:36" x14ac:dyDescent="0.2">
      <c r="A7" s="145" t="s">
        <v>115</v>
      </c>
      <c r="B7" s="130"/>
      <c r="C7" s="130"/>
      <c r="D7" s="130"/>
      <c r="E7" s="130"/>
      <c r="F7" s="130"/>
      <c r="G7" s="130"/>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329</v>
      </c>
      <c r="AE8" s="7"/>
      <c r="AF8" s="7"/>
    </row>
    <row r="9" spans="1:36" x14ac:dyDescent="0.2">
      <c r="A9">
        <f>YEAR('Case Inputs'!$B$5)</f>
        <v>2021</v>
      </c>
      <c r="B9">
        <f>YEAR('Case Inputs'!$B$5)</f>
        <v>2021</v>
      </c>
      <c r="C9" s="7">
        <f>$B$3</f>
        <v>67888</v>
      </c>
      <c r="D9" s="38" t="str">
        <f>IF('Case Inputs'!$B$28="CPI Adjustment",IFERROR(INDEX('CPI Data'!$F$2:$F$5,MATCH(B9,'CPI Data'!$E$2:$E$5,0)),""),"")</f>
        <v/>
      </c>
      <c r="E9" s="26">
        <f>1</f>
        <v>1</v>
      </c>
      <c r="F9">
        <f>(DATE(YEAR('Case Inputs'!$B$5),12,31)-'Case Inputs'!$B$5)/365</f>
        <v>0.33150684931506852</v>
      </c>
      <c r="G9" s="7">
        <f>C9*F9*IF($F$5,1-$E$5,1)</f>
        <v>22505.336986301372</v>
      </c>
      <c r="H9" s="7">
        <f>C9*F9</f>
        <v>22505.336986301372</v>
      </c>
      <c r="AE9" s="7"/>
      <c r="AF9" s="7"/>
    </row>
    <row r="10" spans="1:36" x14ac:dyDescent="0.2">
      <c r="A10">
        <f>IF(YEAR('Case Inputs'!$B$6)-YEAR('Case Inputs'!$B$5)&gt;=2,YEAR('Case Inputs'!$B$5)+1,"")</f>
        <v>2022</v>
      </c>
      <c r="B10">
        <f>IF(A10="","",A10)</f>
        <v>2022</v>
      </c>
      <c r="C10" s="7">
        <f>C9*E10</f>
        <v>67888</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67888</v>
      </c>
      <c r="H10" s="7">
        <f t="shared" ref="H10:H15" si="0">C10*F10</f>
        <v>67888</v>
      </c>
      <c r="AE10" s="7"/>
      <c r="AF10" s="7"/>
    </row>
    <row r="11" spans="1:36" x14ac:dyDescent="0.2">
      <c r="A11">
        <f>IF(YEAR('Case Inputs'!$B$6)-YEAR('Case Inputs'!$B$5)&gt;=3,YEAR('Case Inputs'!$B$5)+2,"")</f>
        <v>2023</v>
      </c>
      <c r="B11">
        <f>IF(A11="","",A11)</f>
        <v>2023</v>
      </c>
      <c r="C11" s="7">
        <f>C10*E11</f>
        <v>67888</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67888</v>
      </c>
      <c r="H11" s="7">
        <f t="shared" si="0"/>
        <v>67888</v>
      </c>
      <c r="AE11" s="7"/>
      <c r="AF11" s="7"/>
    </row>
    <row r="12" spans="1:36" x14ac:dyDescent="0.2">
      <c r="A12">
        <f>IF(YEAR('Case Inputs'!$B$6)-YEAR('Case Inputs'!$B$5)&gt;=4,YEAR('Case Inputs'!$B$5)+3,"")</f>
        <v>2024</v>
      </c>
      <c r="B12">
        <f>IF(A12="","",A12)</f>
        <v>2024</v>
      </c>
      <c r="C12" s="7">
        <f>IF(A12="","",C11*E12)</f>
        <v>67888</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67888</v>
      </c>
      <c r="H12" s="7">
        <f t="shared" si="0"/>
        <v>67888</v>
      </c>
      <c r="AE12" s="7"/>
      <c r="AF12" s="7"/>
    </row>
    <row r="13" spans="1:36" x14ac:dyDescent="0.2">
      <c r="A13">
        <f>IF(YEAR('Case Inputs'!$B$6)-YEAR('Case Inputs'!$B$5)&gt;=5,YEAR('Case Inputs'!$B$5)+4,"")</f>
        <v>2025</v>
      </c>
      <c r="B13">
        <f>IF(A13="","",A13)</f>
        <v>2025</v>
      </c>
      <c r="C13" s="7">
        <f>IF(A13="","",C12*E13)</f>
        <v>67888</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67888</v>
      </c>
      <c r="H13" s="7">
        <f t="shared" si="0"/>
        <v>67888</v>
      </c>
      <c r="AE13" s="7"/>
      <c r="AF13" s="7"/>
    </row>
    <row r="14" spans="1:36" x14ac:dyDescent="0.2">
      <c r="AE14" s="7"/>
      <c r="AF14" s="7"/>
    </row>
    <row r="15" spans="1:36" x14ac:dyDescent="0.2">
      <c r="A15">
        <f>YEAR('Case Inputs'!$B$6)</f>
        <v>2026</v>
      </c>
      <c r="B15">
        <f>YEAR('Case Inputs'!$B$6)</f>
        <v>2026</v>
      </c>
      <c r="C15" s="7">
        <f>IF(A13&lt;&gt;"",C13*E15,IF(A12&lt;&gt;"",C12*E15,IF(A11&lt;&gt;"",C11*E15,IF(A10&lt;&gt;"",C10*E15,C9*E15))))</f>
        <v>67888</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28085.172602739727</v>
      </c>
      <c r="H15" s="7">
        <f t="shared" si="0"/>
        <v>28085.172602739727</v>
      </c>
      <c r="AE15" s="7"/>
      <c r="AF15" s="7"/>
    </row>
    <row r="16" spans="1:36" x14ac:dyDescent="0.2">
      <c r="D16" s="38"/>
      <c r="AE16" s="7"/>
      <c r="AF16" s="7"/>
    </row>
    <row r="17" spans="1:32" x14ac:dyDescent="0.2">
      <c r="A17" s="19" t="s">
        <v>117</v>
      </c>
      <c r="D17" s="38"/>
      <c r="G17" s="30">
        <f>SUM(G9:G15)</f>
        <v>322142.50958904106</v>
      </c>
      <c r="H17" s="100">
        <f>SUM(H9:H15)</f>
        <v>322142.50958904106</v>
      </c>
      <c r="AE17" s="7"/>
      <c r="AF17" s="7"/>
    </row>
    <row r="18" spans="1:32" x14ac:dyDescent="0.2">
      <c r="AE18" s="7"/>
      <c r="AF18" s="7"/>
    </row>
    <row r="19" spans="1:32" x14ac:dyDescent="0.2">
      <c r="A19" s="146" t="s">
        <v>118</v>
      </c>
      <c r="B19" s="146"/>
      <c r="C19" s="146"/>
      <c r="D19" s="146"/>
      <c r="E19" s="146"/>
      <c r="F19" s="146"/>
      <c r="G19" s="146"/>
      <c r="AE19" s="7"/>
      <c r="AF19" s="7"/>
    </row>
    <row r="20" spans="1:32" x14ac:dyDescent="0.2">
      <c r="A20">
        <f>IF(1&gt;$E$4+1,"",1)</f>
        <v>1</v>
      </c>
      <c r="B20">
        <f>IF(A20="","",YEAR('Case Inputs'!$B$6)+A20)</f>
        <v>2027</v>
      </c>
      <c r="C20" s="7">
        <f t="shared" ref="C20:C51" si="1">IF(A20="","",$C$15*(1+$E$3)^A20)</f>
        <v>69992.527999999991</v>
      </c>
      <c r="D20" s="10">
        <f>IF(A20="","",IFERROR(INDEX('Discount Rates'!$C:$C,MATCH(TEXT(B20,"0"),'Discount Rates'!$A:$A,0))/100-IF($F$6=TRUE,$E$6,0),0))</f>
        <v>-7.9899999999999971E-3</v>
      </c>
      <c r="E20" s="7">
        <f t="shared" ref="E20:E51" si="2">IF(A20="","",C20/((1+D20)^A20))</f>
        <v>70556.272618219562</v>
      </c>
      <c r="F20" s="26">
        <f t="shared" ref="F20:F51" si="3">IF(A20="","",IF(A20&lt;=$E$4,1,IF(A20=$E$4+1,$B$5,0)))</f>
        <v>1</v>
      </c>
      <c r="G20" s="7">
        <f t="shared" ref="G20:G51" si="4">IF(A20="","",E20*F20*IF($F$5,1-$E$5,1))</f>
        <v>70556.272618219562</v>
      </c>
      <c r="AE20" s="7"/>
      <c r="AF20" s="7"/>
    </row>
    <row r="21" spans="1:32" x14ac:dyDescent="0.2">
      <c r="A21">
        <f>IF(2&gt;$E$4+1,"",2)</f>
        <v>2</v>
      </c>
      <c r="B21">
        <f>IF(A21="","",YEAR('Case Inputs'!$B$6)+A21)</f>
        <v>2028</v>
      </c>
      <c r="C21" s="7">
        <f t="shared" si="1"/>
        <v>72162.296367999981</v>
      </c>
      <c r="D21" s="10">
        <f>IF(A21="","",IFERROR(INDEX('Discount Rates'!$C:$C,MATCH(TEXT(B21,"0"),'Discount Rates'!$A:$A,0))/100-IF($F$6=TRUE,$E$6,0),0))</f>
        <v>-8.09E-3</v>
      </c>
      <c r="E21" s="7">
        <f t="shared" si="2"/>
        <v>73344.205372031851</v>
      </c>
      <c r="F21" s="26">
        <f t="shared" si="3"/>
        <v>1</v>
      </c>
      <c r="G21" s="7">
        <f t="shared" si="4"/>
        <v>73344.205372031851</v>
      </c>
      <c r="AE21" s="7"/>
      <c r="AF21" s="7"/>
    </row>
    <row r="22" spans="1:32" x14ac:dyDescent="0.2">
      <c r="A22">
        <f>IF(3&gt;$E$4+1,"",3)</f>
        <v>3</v>
      </c>
      <c r="B22">
        <f>IF(A22="","",YEAR('Case Inputs'!$B$6)+A22)</f>
        <v>2029</v>
      </c>
      <c r="C22" s="7">
        <f t="shared" si="1"/>
        <v>74399.327555407974</v>
      </c>
      <c r="D22" s="10">
        <f>IF(A22="","",IFERROR(INDEX('Discount Rates'!$C:$C,MATCH(TEXT(B22,"0"),'Discount Rates'!$A:$A,0))/100-IF($F$6=TRUE,$E$6,0),0))</f>
        <v>-8.1099999999999992E-3</v>
      </c>
      <c r="E22" s="7">
        <f t="shared" si="2"/>
        <v>76239.225332794464</v>
      </c>
      <c r="F22" s="26">
        <f t="shared" si="3"/>
        <v>1</v>
      </c>
      <c r="G22" s="7">
        <f t="shared" si="4"/>
        <v>76239.225332794464</v>
      </c>
      <c r="AE22" s="7"/>
      <c r="AF22" s="7"/>
    </row>
    <row r="23" spans="1:32" x14ac:dyDescent="0.2">
      <c r="A23">
        <f>IF(4&gt;$E$4+1,"",4)</f>
        <v>4</v>
      </c>
      <c r="B23">
        <f>IF(A23="","",YEAR('Case Inputs'!$B$6)+A23)</f>
        <v>2030</v>
      </c>
      <c r="C23" s="7">
        <f t="shared" si="1"/>
        <v>76705.706709625636</v>
      </c>
      <c r="D23" s="10">
        <f>IF(A23="","",IFERROR(INDEX('Discount Rates'!$C:$C,MATCH(TEXT(B23,"0"),'Discount Rates'!$A:$A,0))/100-IF($F$6=TRUE,$E$6,0),0))</f>
        <v>-7.5399999999999981E-3</v>
      </c>
      <c r="E23" s="7">
        <f t="shared" si="2"/>
        <v>79063.425643649563</v>
      </c>
      <c r="F23" s="26">
        <f t="shared" si="3"/>
        <v>1</v>
      </c>
      <c r="G23" s="7">
        <f t="shared" si="4"/>
        <v>79063.425643649563</v>
      </c>
      <c r="AE23" s="7"/>
      <c r="AF23" s="7"/>
    </row>
    <row r="24" spans="1:32" x14ac:dyDescent="0.2">
      <c r="A24">
        <f>IF(5&gt;$E$4+1,"",5)</f>
        <v>5</v>
      </c>
      <c r="B24">
        <f>IF(A24="","",YEAR('Case Inputs'!$B$6)+A24)</f>
        <v>2031</v>
      </c>
      <c r="C24" s="7">
        <f t="shared" si="1"/>
        <v>79083.583617624026</v>
      </c>
      <c r="D24" s="10">
        <f>IF(A24="","",IFERROR(INDEX('Discount Rates'!$C:$C,MATCH(TEXT(B24,"0"),'Discount Rates'!$A:$A,0))/100-IF($F$6=TRUE,$E$6,0),0))</f>
        <v>-7.0300000000000015E-3</v>
      </c>
      <c r="E24" s="7">
        <f t="shared" si="2"/>
        <v>81922.972661331631</v>
      </c>
      <c r="F24" s="26">
        <f t="shared" si="3"/>
        <v>1</v>
      </c>
      <c r="G24" s="7">
        <f t="shared" si="4"/>
        <v>81922.972661331631</v>
      </c>
      <c r="AE24" s="7"/>
      <c r="AF24" s="7"/>
    </row>
    <row r="25" spans="1:32" x14ac:dyDescent="0.2">
      <c r="A25">
        <f>IF(6&gt;$E$4+1,"",6)</f>
        <v>6</v>
      </c>
      <c r="B25">
        <f>IF(A25="","",YEAR('Case Inputs'!$B$6)+A25)</f>
        <v>2032</v>
      </c>
      <c r="C25" s="7">
        <f t="shared" si="1"/>
        <v>81535.174709770363</v>
      </c>
      <c r="D25" s="10">
        <f>IF(A25="","",IFERROR(INDEX('Discount Rates'!$C:$C,MATCH(TEXT(B25,"0"),'Discount Rates'!$A:$A,0))/100-IF($F$6=TRUE,$E$6,0),0))</f>
        <v>-6.1900000000000011E-3</v>
      </c>
      <c r="E25" s="7">
        <f t="shared" si="2"/>
        <v>84630.095619543572</v>
      </c>
      <c r="F25" s="26">
        <f t="shared" si="3"/>
        <v>1</v>
      </c>
      <c r="G25" s="7">
        <f t="shared" si="4"/>
        <v>84630.095619543572</v>
      </c>
      <c r="AE25" s="7"/>
      <c r="AF25" s="7"/>
    </row>
    <row r="26" spans="1:32" x14ac:dyDescent="0.2">
      <c r="A26">
        <f>IF(7&gt;$E$4+1,"",7)</f>
        <v>7</v>
      </c>
      <c r="B26">
        <f>IF(A26="","",YEAR('Case Inputs'!$B$6)+A26)</f>
        <v>2033</v>
      </c>
      <c r="C26" s="7">
        <f t="shared" si="1"/>
        <v>84062.765125773236</v>
      </c>
      <c r="D26" s="10">
        <f>IF(A26="","",IFERROR(INDEX('Discount Rates'!$C:$C,MATCH(TEXT(B26,"0"),'Discount Rates'!$A:$A,0))/100-IF($F$6=TRUE,$E$6,0),0))</f>
        <v>-5.1900000000000002E-3</v>
      </c>
      <c r="E26" s="7">
        <f t="shared" si="2"/>
        <v>87181.166538509191</v>
      </c>
      <c r="F26" s="26">
        <f t="shared" si="3"/>
        <v>1</v>
      </c>
      <c r="G26" s="7">
        <f t="shared" si="4"/>
        <v>87181.166538509191</v>
      </c>
      <c r="AE26" s="7"/>
      <c r="AF26" s="7"/>
    </row>
    <row r="27" spans="1:32" x14ac:dyDescent="0.2">
      <c r="A27">
        <f>IF(8&gt;$E$4+1,"",8)</f>
        <v>8</v>
      </c>
      <c r="B27">
        <f>IF(A27="","",YEAR('Case Inputs'!$B$6)+A27)</f>
        <v>2034</v>
      </c>
      <c r="C27" s="7">
        <f t="shared" si="1"/>
        <v>86668.710844672198</v>
      </c>
      <c r="D27" s="10">
        <f>IF(A27="","",IFERROR(INDEX('Discount Rates'!$C:$C,MATCH(TEXT(B27,"0"),'Discount Rates'!$A:$A,0))/100-IF($F$6=TRUE,$E$6,0),0))</f>
        <v>-4.5400000000000024E-3</v>
      </c>
      <c r="E27" s="7">
        <f t="shared" si="2"/>
        <v>89881.813635989543</v>
      </c>
      <c r="F27" s="26">
        <f t="shared" si="3"/>
        <v>1</v>
      </c>
      <c r="G27" s="7">
        <f t="shared" si="4"/>
        <v>89881.813635989543</v>
      </c>
      <c r="AE27" s="7"/>
      <c r="AF27" s="7"/>
    </row>
    <row r="28" spans="1:32" x14ac:dyDescent="0.2">
      <c r="A28">
        <f>IF(9&gt;$E$4+1,"",9)</f>
        <v>9</v>
      </c>
      <c r="B28">
        <f>IF(A28="","",YEAR('Case Inputs'!$B$6)+A28)</f>
        <v>2035</v>
      </c>
      <c r="C28" s="7">
        <f t="shared" si="1"/>
        <v>89355.44088085703</v>
      </c>
      <c r="D28" s="10">
        <f>IF(A28="","",IFERROR(INDEX('Discount Rates'!$C:$C,MATCH(TEXT(B28,"0"),'Discount Rates'!$A:$A,0))/100-IF($F$6=TRUE,$E$6,0),0))</f>
        <v>-3.6199999999999982E-3</v>
      </c>
      <c r="E28" s="7">
        <f t="shared" si="2"/>
        <v>92320.040945302142</v>
      </c>
      <c r="F28" s="26">
        <f t="shared" si="3"/>
        <v>1</v>
      </c>
      <c r="G28" s="7">
        <f t="shared" si="4"/>
        <v>92320.040945302142</v>
      </c>
      <c r="AE28" s="7"/>
      <c r="AF28" s="7"/>
    </row>
    <row r="29" spans="1:32" x14ac:dyDescent="0.2">
      <c r="A29">
        <f>IF(10&gt;$E$4+1,"",10)</f>
        <v>10</v>
      </c>
      <c r="B29">
        <f>IF(A29="","",YEAR('Case Inputs'!$B$6)+A29)</f>
        <v>2036</v>
      </c>
      <c r="C29" s="7">
        <f t="shared" si="1"/>
        <v>92125.459548163592</v>
      </c>
      <c r="D29" s="10">
        <f>IF(A29="","",IFERROR(INDEX('Discount Rates'!$C:$C,MATCH(TEXT(B29,"0"),'Discount Rates'!$A:$A,0))/100-IF($F$6=TRUE,$E$6,0),0))</f>
        <v>-2.579999999999999E-3</v>
      </c>
      <c r="E29" s="7">
        <f t="shared" si="2"/>
        <v>94536.374725141242</v>
      </c>
      <c r="F29" s="26">
        <f t="shared" si="3"/>
        <v>1</v>
      </c>
      <c r="G29" s="7">
        <f t="shared" si="4"/>
        <v>94536.374725141242</v>
      </c>
      <c r="AE29" s="7"/>
      <c r="AF29" s="7"/>
    </row>
    <row r="30" spans="1:32" x14ac:dyDescent="0.2">
      <c r="A30">
        <f>IF(11&gt;$E$4+1,"",11)</f>
        <v>11</v>
      </c>
      <c r="B30">
        <f>IF(A30="","",YEAR('Case Inputs'!$B$6)+A30)</f>
        <v>2037</v>
      </c>
      <c r="C30" s="7">
        <f t="shared" si="1"/>
        <v>94981.348794156656</v>
      </c>
      <c r="D30" s="10">
        <f>IF(A30="","",IFERROR(INDEX('Discount Rates'!$C:$C,MATCH(TEXT(B30,"0"),'Discount Rates'!$A:$A,0))/100-IF($F$6=TRUE,$E$6,0),0))</f>
        <v>-1.4499999999999999E-3</v>
      </c>
      <c r="E30" s="7">
        <f t="shared" si="2"/>
        <v>96509.564631288828</v>
      </c>
      <c r="F30" s="26">
        <f t="shared" si="3"/>
        <v>1</v>
      </c>
      <c r="G30" s="7">
        <f t="shared" si="4"/>
        <v>96509.564631288828</v>
      </c>
      <c r="AE30" s="7"/>
      <c r="AF30" s="7"/>
    </row>
    <row r="31" spans="1:32" x14ac:dyDescent="0.2">
      <c r="A31">
        <f>IF(12&gt;$E$4+1,"",12)</f>
        <v>12</v>
      </c>
      <c r="B31">
        <f>IF(A31="","",YEAR('Case Inputs'!$B$6)+A31)</f>
        <v>2038</v>
      </c>
      <c r="C31" s="7">
        <f t="shared" si="1"/>
        <v>97925.770606775521</v>
      </c>
      <c r="D31" s="10">
        <f>IF(A31="","",IFERROR(INDEX('Discount Rates'!$C:$C,MATCH(TEXT(B31,"0"),'Discount Rates'!$A:$A,0))/100-IF($F$6=TRUE,$E$6,0),0))</f>
        <v>-3.699999999999988E-4</v>
      </c>
      <c r="E31" s="7">
        <f t="shared" si="2"/>
        <v>98361.608507266617</v>
      </c>
      <c r="F31" s="26">
        <f t="shared" si="3"/>
        <v>1</v>
      </c>
      <c r="G31" s="7">
        <f t="shared" si="4"/>
        <v>98361.608507266617</v>
      </c>
      <c r="AE31" s="7"/>
      <c r="AF31" s="7"/>
    </row>
    <row r="32" spans="1:32" x14ac:dyDescent="0.2">
      <c r="A32">
        <f>IF(13&gt;$E$4+1,"",13)</f>
        <v>13</v>
      </c>
      <c r="B32">
        <f>IF(A32="","",YEAR('Case Inputs'!$B$6)+A32)</f>
        <v>2039</v>
      </c>
      <c r="C32" s="7">
        <f t="shared" si="1"/>
        <v>100961.46949558555</v>
      </c>
      <c r="D32" s="10">
        <f>IF(A32="","",IFERROR(INDEX('Discount Rates'!$C:$C,MATCH(TEXT(B32,"0"),'Discount Rates'!$A:$A,0))/100-IF($F$6=TRUE,$E$6,0),0))</f>
        <v>3.7000000000000227E-4</v>
      </c>
      <c r="E32" s="7">
        <f t="shared" si="2"/>
        <v>100477.10027177144</v>
      </c>
      <c r="F32" s="26">
        <f t="shared" si="3"/>
        <v>1</v>
      </c>
      <c r="G32" s="7">
        <f t="shared" si="4"/>
        <v>100477.10027177144</v>
      </c>
      <c r="AE32" s="7"/>
      <c r="AF32" s="7"/>
    </row>
    <row r="33" spans="1:32" x14ac:dyDescent="0.2">
      <c r="A33">
        <f>IF(14&gt;$E$4+1,"",14)</f>
        <v>14</v>
      </c>
      <c r="B33">
        <f>IF(A33="","",YEAR('Case Inputs'!$B$6)+A33)</f>
        <v>2040</v>
      </c>
      <c r="C33" s="7">
        <f t="shared" si="1"/>
        <v>104091.27504994869</v>
      </c>
      <c r="D33" s="10">
        <f>IF(A33="","",IFERROR(INDEX('Discount Rates'!$C:$C,MATCH(TEXT(B33,"0"),'Discount Rates'!$A:$A,0))/100-IF($F$6=TRUE,$E$6,0),0))</f>
        <v>1.4300000000000007E-3</v>
      </c>
      <c r="E33" s="7">
        <f t="shared" si="2"/>
        <v>102029.54820487468</v>
      </c>
      <c r="F33" s="26">
        <f t="shared" si="3"/>
        <v>1</v>
      </c>
      <c r="G33" s="7">
        <f t="shared" si="4"/>
        <v>102029.54820487468</v>
      </c>
      <c r="AE33" s="7"/>
      <c r="AF33" s="7"/>
    </row>
    <row r="34" spans="1:32" x14ac:dyDescent="0.2">
      <c r="A34">
        <f>IF(15&gt;$E$4+1,"",15)</f>
        <v>15</v>
      </c>
      <c r="B34">
        <f>IF(A34="","",YEAR('Case Inputs'!$B$6)+A34)</f>
        <v>2041</v>
      </c>
      <c r="C34" s="7">
        <f t="shared" si="1"/>
        <v>107318.10457649709</v>
      </c>
      <c r="D34" s="10">
        <f>IF(A34="","",IFERROR(INDEX('Discount Rates'!$C:$C,MATCH(TEXT(B34,"0"),'Discount Rates'!$A:$A,0))/100-IF($F$6=TRUE,$E$6,0),0))</f>
        <v>1.9699999999999995E-3</v>
      </c>
      <c r="E34" s="7">
        <f t="shared" si="2"/>
        <v>104196.28046426389</v>
      </c>
      <c r="F34" s="26">
        <f t="shared" si="3"/>
        <v>0.29256673511293485</v>
      </c>
      <c r="G34" s="7">
        <f t="shared" si="4"/>
        <v>30484.365586341362</v>
      </c>
      <c r="AE34" s="7"/>
      <c r="AF34" s="7"/>
    </row>
    <row r="35" spans="1:32" x14ac:dyDescent="0.2">
      <c r="A35" t="str">
        <f>IF(16&gt;$E$4+1,"",16)</f>
        <v/>
      </c>
      <c r="B35" t="str">
        <f>IF(A35="","",YEAR('Case Inputs'!$B$6)+A35)</f>
        <v/>
      </c>
      <c r="C35" s="7" t="str">
        <f t="shared" si="1"/>
        <v/>
      </c>
      <c r="D35" s="10" t="str">
        <f>IF(A35="","",IFERROR(INDEX('Discount Rates'!$C:$C,MATCH(TEXT(B35,"0"),'Discount Rates'!$A:$A,0))/100-IF($F$6=TRUE,$E$6,0),0))</f>
        <v/>
      </c>
      <c r="E35" s="7" t="str">
        <f t="shared" si="2"/>
        <v/>
      </c>
      <c r="F35" s="26" t="str">
        <f t="shared" si="3"/>
        <v/>
      </c>
      <c r="G35" s="7" t="str">
        <f t="shared" si="4"/>
        <v/>
      </c>
      <c r="AE35" s="7"/>
      <c r="AF35" s="7"/>
    </row>
    <row r="36" spans="1:32" x14ac:dyDescent="0.2">
      <c r="A36" t="str">
        <f>IF(17&gt;$E$4+1,"",17)</f>
        <v/>
      </c>
      <c r="B36" t="str">
        <f>IF(A36="","",YEAR('Case Inputs'!$B$6)+A36)</f>
        <v/>
      </c>
      <c r="C36" s="7" t="str">
        <f t="shared" si="1"/>
        <v/>
      </c>
      <c r="D36" s="10" t="str">
        <f>IF(A36="","",IFERROR(INDEX('Discount Rates'!$C:$C,MATCH(TEXT(B36,"0"),'Discount Rates'!$A:$A,0))/100-IF($F$6=TRUE,$E$6,0),0))</f>
        <v/>
      </c>
      <c r="E36" s="7" t="str">
        <f t="shared" si="2"/>
        <v/>
      </c>
      <c r="F36" s="26" t="str">
        <f t="shared" si="3"/>
        <v/>
      </c>
      <c r="G36" s="7" t="str">
        <f t="shared" si="4"/>
        <v/>
      </c>
      <c r="AE36" s="7"/>
      <c r="AF36" s="7"/>
    </row>
    <row r="37" spans="1:32" x14ac:dyDescent="0.2">
      <c r="A37" t="str">
        <f>IF(18&gt;$E$4+1,"",18)</f>
        <v/>
      </c>
      <c r="B37" t="str">
        <f>IF(A37="","",YEAR('Case Inputs'!$B$6)+A37)</f>
        <v/>
      </c>
      <c r="C37" s="7" t="str">
        <f t="shared" si="1"/>
        <v/>
      </c>
      <c r="D37" s="10" t="str">
        <f>IF(A37="","",IFERROR(INDEX('Discount Rates'!$C:$C,MATCH(TEXT(B37,"0"),'Discount Rates'!$A:$A,0))/100-IF($F$6=TRUE,$E$6,0),0))</f>
        <v/>
      </c>
      <c r="E37" s="7" t="str">
        <f t="shared" si="2"/>
        <v/>
      </c>
      <c r="F37" s="26" t="str">
        <f t="shared" si="3"/>
        <v/>
      </c>
      <c r="G37" s="7" t="str">
        <f t="shared" si="4"/>
        <v/>
      </c>
      <c r="AE37" s="7"/>
      <c r="AF37" s="7"/>
    </row>
    <row r="38" spans="1:32" x14ac:dyDescent="0.2">
      <c r="A38" t="str">
        <f>IF(19&gt;$E$4+1,"",19)</f>
        <v/>
      </c>
      <c r="B38" t="str">
        <f>IF(A38="","",YEAR('Case Inputs'!$B$6)+A38)</f>
        <v/>
      </c>
      <c r="C38" s="7" t="str">
        <f t="shared" si="1"/>
        <v/>
      </c>
      <c r="D38" s="10" t="str">
        <f>IF(A38="","",IFERROR(INDEX('Discount Rates'!$C:$C,MATCH(TEXT(B38,"0"),'Discount Rates'!$A:$A,0))/100-IF($F$6=TRUE,$E$6,0),0))</f>
        <v/>
      </c>
      <c r="E38" s="7" t="str">
        <f t="shared" si="2"/>
        <v/>
      </c>
      <c r="F38" s="26" t="str">
        <f t="shared" si="3"/>
        <v/>
      </c>
      <c r="G38" s="7" t="str">
        <f t="shared" si="4"/>
        <v/>
      </c>
      <c r="AE38" s="7"/>
      <c r="AF38" s="7"/>
    </row>
    <row r="39" spans="1:32" x14ac:dyDescent="0.2">
      <c r="A39" t="str">
        <f>IF(20&gt;$E$4+1,"",20)</f>
        <v/>
      </c>
      <c r="B39" t="str">
        <f>IF(A39="","",YEAR('Case Inputs'!$B$6)+A39)</f>
        <v/>
      </c>
      <c r="C39" s="7" t="str">
        <f t="shared" si="1"/>
        <v/>
      </c>
      <c r="D39" s="10" t="str">
        <f>IF(A39="","",IFERROR(INDEX('Discount Rates'!$C:$C,MATCH(TEXT(B39,"0"),'Discount Rates'!$A:$A,0))/100-IF($F$6=TRUE,$E$6,0),0))</f>
        <v/>
      </c>
      <c r="E39" s="7" t="str">
        <f t="shared" si="2"/>
        <v/>
      </c>
      <c r="F39" s="26" t="str">
        <f t="shared" si="3"/>
        <v/>
      </c>
      <c r="G39" s="7" t="str">
        <f t="shared" si="4"/>
        <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103</v>
      </c>
      <c r="E71" s="29">
        <f>SUM(E20:E69)</f>
        <v>1331249.6951719781</v>
      </c>
      <c r="F71" s="29"/>
      <c r="G71" s="29">
        <f>SUM(G20:G70)</f>
        <v>1257537.7802940556</v>
      </c>
      <c r="AE71" s="2"/>
      <c r="AF71" s="2"/>
    </row>
    <row r="72" spans="1:32" x14ac:dyDescent="0.2">
      <c r="AE72" s="2"/>
      <c r="AF72" s="2"/>
    </row>
    <row r="73" spans="1:32" x14ac:dyDescent="0.2">
      <c r="A73" s="28" t="s">
        <v>119</v>
      </c>
      <c r="B73" s="37"/>
      <c r="C73" s="37"/>
      <c r="D73" s="37"/>
      <c r="E73" s="29">
        <f>E71+H17</f>
        <v>1653392.2047610192</v>
      </c>
      <c r="F73" s="37"/>
      <c r="G73" s="29">
        <f>G17+G71</f>
        <v>1579680.2898830967</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 xr:uid="{26A18D84-564D-41B0-B79B-372880864761}">
      <formula1>OR(F5=TRUE,F5=FALSE)</formula1>
    </dataValidation>
  </dataValidations>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BB08-9652-4A2C-B6D8-632E8A1C494F}">
  <sheetPr>
    <tabColor rgb="FFED7D31"/>
  </sheetPr>
  <dimension ref="A1:AJ81"/>
  <sheetViews>
    <sheetView zoomScale="130" zoomScaleNormal="130" workbookViewId="0">
      <selection activeCell="F5" sqref="F5"/>
    </sheetView>
  </sheetViews>
  <sheetFormatPr defaultColWidth="8.85546875" defaultRowHeight="12.75" x14ac:dyDescent="0.2"/>
  <cols>
    <col min="2" max="2" width="16" customWidth="1"/>
    <col min="3" max="3" width="21.42578125" customWidth="1"/>
    <col min="4" max="4" width="17.85546875" customWidth="1"/>
    <col min="5" max="5" width="21.42578125" customWidth="1"/>
    <col min="6" max="6" width="19.42578125" customWidth="1"/>
    <col min="7" max="7" width="23.140625" customWidth="1"/>
    <col min="8" max="8" width="15.42578125" bestFit="1" customWidth="1"/>
    <col min="11" max="11" width="11.140625" customWidth="1"/>
  </cols>
  <sheetData>
    <row r="1" spans="1:36" ht="30" customHeight="1" x14ac:dyDescent="0.25">
      <c r="A1" s="131" t="s">
        <v>133</v>
      </c>
      <c r="B1" s="131"/>
      <c r="C1" s="131"/>
      <c r="D1" s="131"/>
      <c r="E1" s="131"/>
      <c r="F1" s="131"/>
      <c r="G1" s="131"/>
      <c r="AE1" s="3"/>
      <c r="AF1" s="5"/>
      <c r="AG1" s="5"/>
      <c r="AH1" s="1"/>
    </row>
    <row r="2" spans="1:36" x14ac:dyDescent="0.2">
      <c r="AE2" s="1"/>
      <c r="AF2" s="1"/>
      <c r="AG2" s="1"/>
      <c r="AI2" s="8"/>
      <c r="AJ2" s="10"/>
    </row>
    <row r="3" spans="1:36" x14ac:dyDescent="0.2">
      <c r="A3" t="s">
        <v>98</v>
      </c>
      <c r="B3" s="42">
        <v>67453</v>
      </c>
      <c r="C3" s="32" t="s">
        <v>126</v>
      </c>
      <c r="D3" t="s">
        <v>97</v>
      </c>
      <c r="E3" s="39">
        <v>3.1E-2</v>
      </c>
      <c r="F3" t="s">
        <v>126</v>
      </c>
      <c r="AE3" s="4"/>
      <c r="AF3" s="2"/>
      <c r="AG3" s="2"/>
    </row>
    <row r="4" spans="1:36" x14ac:dyDescent="0.2">
      <c r="A4" t="s">
        <v>112</v>
      </c>
      <c r="B4" s="26">
        <f>'Case Inputs'!B21</f>
        <v>19.037645448323069</v>
      </c>
      <c r="D4" t="s">
        <v>99</v>
      </c>
      <c r="E4" s="27">
        <f>'Case Inputs'!B22</f>
        <v>19</v>
      </c>
      <c r="AE4" s="2"/>
      <c r="AF4" s="2"/>
      <c r="AG4" s="2"/>
    </row>
    <row r="5" spans="1:36" x14ac:dyDescent="0.2">
      <c r="A5" t="s">
        <v>100</v>
      </c>
      <c r="B5" s="26">
        <f>'Case Inputs'!B23</f>
        <v>3.764544832306882E-2</v>
      </c>
      <c r="D5" t="s">
        <v>221</v>
      </c>
      <c r="F5" s="53" t="b">
        <v>0</v>
      </c>
      <c r="AE5" s="7"/>
      <c r="AF5" s="7"/>
    </row>
    <row r="6" spans="1:36" x14ac:dyDescent="0.2">
      <c r="D6" t="s">
        <v>249</v>
      </c>
      <c r="E6">
        <f>E3</f>
        <v>3.1E-2</v>
      </c>
      <c r="F6" t="b">
        <v>1</v>
      </c>
      <c r="AE6" s="7"/>
      <c r="AF6" s="7"/>
    </row>
    <row r="7" spans="1:36" x14ac:dyDescent="0.2">
      <c r="A7" s="145" t="s">
        <v>115</v>
      </c>
      <c r="B7" s="130"/>
      <c r="C7" s="130"/>
      <c r="D7" s="130"/>
      <c r="E7" s="130"/>
      <c r="F7" s="130"/>
      <c r="G7" s="130"/>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329</v>
      </c>
      <c r="AE8" s="7"/>
      <c r="AF8" s="7"/>
    </row>
    <row r="9" spans="1:36" x14ac:dyDescent="0.2">
      <c r="A9">
        <f>YEAR('Case Inputs'!$B$5)</f>
        <v>2021</v>
      </c>
      <c r="B9">
        <f>YEAR('Case Inputs'!$B$5)</f>
        <v>2021</v>
      </c>
      <c r="C9" s="7">
        <f>$B$3</f>
        <v>67453</v>
      </c>
      <c r="D9" s="38" t="str">
        <f>IF('Case Inputs'!$B$28="CPI Adjustment",IFERROR(INDEX('CPI Data'!$F$2:$F$5,MATCH(B9,'CPI Data'!$E$2:$E$5,0)),""),"")</f>
        <v/>
      </c>
      <c r="E9" s="26">
        <f>1</f>
        <v>1</v>
      </c>
      <c r="F9">
        <f>(DATE(YEAR('Case Inputs'!$B$5),12,31)-'Case Inputs'!$B$5)/365</f>
        <v>0.33150684931506852</v>
      </c>
      <c r="G9" s="7">
        <f>C9*F9*IF($F$5,1-$E$5,1)</f>
        <v>22361.131506849317</v>
      </c>
      <c r="H9" s="7">
        <f>C9*F9</f>
        <v>22361.131506849317</v>
      </c>
      <c r="AE9" s="7"/>
      <c r="AF9" s="7"/>
    </row>
    <row r="10" spans="1:36" x14ac:dyDescent="0.2">
      <c r="A10">
        <f>IF(YEAR('Case Inputs'!$B$6)-YEAR('Case Inputs'!$B$5)&gt;=2,YEAR('Case Inputs'!$B$5)+1,"")</f>
        <v>2022</v>
      </c>
      <c r="B10">
        <f>IF(A10="","",A10)</f>
        <v>2022</v>
      </c>
      <c r="C10" s="7">
        <f>C9*E10</f>
        <v>67453</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67453</v>
      </c>
      <c r="H10" s="7">
        <f t="shared" ref="H10:H15" si="0">C10*F10</f>
        <v>67453</v>
      </c>
      <c r="AE10" s="7"/>
      <c r="AF10" s="7"/>
    </row>
    <row r="11" spans="1:36" x14ac:dyDescent="0.2">
      <c r="A11">
        <f>IF(YEAR('Case Inputs'!$B$6)-YEAR('Case Inputs'!$B$5)&gt;=3,YEAR('Case Inputs'!$B$5)+2,"")</f>
        <v>2023</v>
      </c>
      <c r="B11">
        <f>IF(A11="","",A11)</f>
        <v>2023</v>
      </c>
      <c r="C11" s="7">
        <f>C10*E11</f>
        <v>67453</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67453</v>
      </c>
      <c r="H11" s="7">
        <f t="shared" si="0"/>
        <v>67453</v>
      </c>
      <c r="AE11" s="7"/>
      <c r="AF11" s="7"/>
    </row>
    <row r="12" spans="1:36" x14ac:dyDescent="0.2">
      <c r="A12">
        <f>IF(YEAR('Case Inputs'!$B$6)-YEAR('Case Inputs'!$B$5)&gt;=4,YEAR('Case Inputs'!$B$5)+3,"")</f>
        <v>2024</v>
      </c>
      <c r="B12">
        <f>IF(A12="","",A12)</f>
        <v>2024</v>
      </c>
      <c r="C12" s="7">
        <f>IF(A12="","",C11*E12)</f>
        <v>67453</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67453</v>
      </c>
      <c r="H12" s="7">
        <f t="shared" si="0"/>
        <v>67453</v>
      </c>
      <c r="AE12" s="7"/>
      <c r="AF12" s="7"/>
    </row>
    <row r="13" spans="1:36" x14ac:dyDescent="0.2">
      <c r="A13">
        <f>IF(YEAR('Case Inputs'!$B$6)-YEAR('Case Inputs'!$B$5)&gt;=5,YEAR('Case Inputs'!$B$5)+4,"")</f>
        <v>2025</v>
      </c>
      <c r="B13">
        <f>IF(A13="","",A13)</f>
        <v>2025</v>
      </c>
      <c r="C13" s="7">
        <f>IF(A13="","",C12*E13)</f>
        <v>67453</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67453</v>
      </c>
      <c r="H13" s="7">
        <f t="shared" si="0"/>
        <v>67453</v>
      </c>
      <c r="AE13" s="7"/>
      <c r="AF13" s="7"/>
    </row>
    <row r="14" spans="1:36" x14ac:dyDescent="0.2">
      <c r="AE14" s="7"/>
      <c r="AF14" s="7"/>
    </row>
    <row r="15" spans="1:36" x14ac:dyDescent="0.2">
      <c r="A15">
        <f>YEAR('Case Inputs'!$B$6)</f>
        <v>2026</v>
      </c>
      <c r="B15">
        <f>YEAR('Case Inputs'!$B$6)</f>
        <v>2026</v>
      </c>
      <c r="C15" s="7">
        <f>IF(A13&lt;&gt;"",C13*E15,IF(A12&lt;&gt;"",C12*E15,IF(A11&lt;&gt;"",C11*E15,IF(A10&lt;&gt;"",C10*E15,C9*E15))))</f>
        <v>67453</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27905.213698630138</v>
      </c>
      <c r="H15" s="7">
        <f t="shared" si="0"/>
        <v>27905.213698630138</v>
      </c>
      <c r="AE15" s="7"/>
      <c r="AF15" s="7"/>
    </row>
    <row r="16" spans="1:36" x14ac:dyDescent="0.2">
      <c r="D16" s="38"/>
      <c r="AE16" s="7"/>
      <c r="AF16" s="7"/>
    </row>
    <row r="17" spans="1:32" x14ac:dyDescent="0.2">
      <c r="A17" s="19" t="s">
        <v>117</v>
      </c>
      <c r="D17" s="38"/>
      <c r="G17" s="30">
        <f>SUM(G9:G15)</f>
        <v>320078.34520547948</v>
      </c>
      <c r="H17" s="100">
        <f>SUM(H9:H15)</f>
        <v>320078.34520547948</v>
      </c>
      <c r="AE17" s="7"/>
      <c r="AF17" s="7"/>
    </row>
    <row r="18" spans="1:32" x14ac:dyDescent="0.2">
      <c r="AE18" s="7"/>
      <c r="AF18" s="7"/>
    </row>
    <row r="19" spans="1:32" x14ac:dyDescent="0.2">
      <c r="A19" s="146" t="s">
        <v>120</v>
      </c>
      <c r="B19" s="146"/>
      <c r="C19" s="146"/>
      <c r="D19" s="146"/>
      <c r="E19" s="146"/>
      <c r="F19" s="146"/>
      <c r="G19" s="146"/>
      <c r="AE19" s="7"/>
      <c r="AF19" s="7"/>
    </row>
    <row r="20" spans="1:32" x14ac:dyDescent="0.2">
      <c r="A20">
        <f>IF(1&gt;$E$4+1,"",1)</f>
        <v>1</v>
      </c>
      <c r="B20">
        <f>IF(A20="","",YEAR('Case Inputs'!$B$6)+A20)</f>
        <v>2027</v>
      </c>
      <c r="C20" s="7">
        <f t="shared" ref="C20:C51" si="1">IF(A20="","",$C$15*(1+$E$3)^A20)</f>
        <v>69544.042999999991</v>
      </c>
      <c r="D20" s="10">
        <f>IF(A20="","",IFERROR(INDEX('Discount Rates'!$C:$C,MATCH(TEXT(B20,"0"),'Discount Rates'!$A:$A,0))/100-IF($F$6=TRUE,$E$6,0),0))</f>
        <v>-7.9899999999999971E-3</v>
      </c>
      <c r="E20" s="7">
        <f t="shared" ref="E20:E51" si="2">IF(A20="","",C20/((1+D20)^A20))</f>
        <v>70104.175361135465</v>
      </c>
      <c r="F20" s="26">
        <f t="shared" ref="F20:F51" si="3">IF(A20="","",IF(A20&lt;=$E$4,1,IF(A20=$E$4+1,$B$5,0)))</f>
        <v>1</v>
      </c>
      <c r="G20" s="7">
        <f t="shared" ref="G20:G51" si="4">IF(A20="","",E20*F20*IF($F$5,1-$E$5,1))</f>
        <v>70104.175361135465</v>
      </c>
      <c r="AE20" s="7"/>
      <c r="AF20" s="7"/>
    </row>
    <row r="21" spans="1:32" x14ac:dyDescent="0.2">
      <c r="A21">
        <f>IF(2&gt;$E$4+1,"",2)</f>
        <v>2</v>
      </c>
      <c r="B21">
        <f>IF(A21="","",YEAR('Case Inputs'!$B$6)+A21)</f>
        <v>2028</v>
      </c>
      <c r="C21" s="7">
        <f t="shared" si="1"/>
        <v>71699.908332999985</v>
      </c>
      <c r="D21" s="10">
        <f>IF(A21="","",IFERROR(INDEX('Discount Rates'!$C:$C,MATCH(TEXT(B21,"0"),'Discount Rates'!$A:$A,0))/100-IF($F$6=TRUE,$E$6,0),0))</f>
        <v>-8.09E-3</v>
      </c>
      <c r="E21" s="7">
        <f t="shared" si="2"/>
        <v>72874.244122078497</v>
      </c>
      <c r="F21" s="26">
        <f t="shared" si="3"/>
        <v>1</v>
      </c>
      <c r="G21" s="7">
        <f t="shared" si="4"/>
        <v>72874.244122078497</v>
      </c>
      <c r="AE21" s="7"/>
      <c r="AF21" s="7"/>
    </row>
    <row r="22" spans="1:32" x14ac:dyDescent="0.2">
      <c r="A22">
        <f>IF(3&gt;$E$4+1,"",3)</f>
        <v>3</v>
      </c>
      <c r="B22">
        <f>IF(A22="","",YEAR('Case Inputs'!$B$6)+A22)</f>
        <v>2029</v>
      </c>
      <c r="C22" s="7">
        <f t="shared" si="1"/>
        <v>73922.605491322975</v>
      </c>
      <c r="D22" s="10">
        <f>IF(A22="","",IFERROR(INDEX('Discount Rates'!$C:$C,MATCH(TEXT(B22,"0"),'Discount Rates'!$A:$A,0))/100-IF($F$6=TRUE,$E$6,0),0))</f>
        <v>-8.1099999999999992E-3</v>
      </c>
      <c r="E22" s="7">
        <f t="shared" si="2"/>
        <v>75750.713916641893</v>
      </c>
      <c r="F22" s="26">
        <f t="shared" si="3"/>
        <v>1</v>
      </c>
      <c r="G22" s="7">
        <f t="shared" si="4"/>
        <v>75750.713916641893</v>
      </c>
      <c r="AE22" s="7"/>
      <c r="AF22" s="7"/>
    </row>
    <row r="23" spans="1:32" x14ac:dyDescent="0.2">
      <c r="A23">
        <f>IF(4&gt;$E$4+1,"",4)</f>
        <v>4</v>
      </c>
      <c r="B23">
        <f>IF(A23="","",YEAR('Case Inputs'!$B$6)+A23)</f>
        <v>2030</v>
      </c>
      <c r="C23" s="7">
        <f t="shared" si="1"/>
        <v>76214.206261553991</v>
      </c>
      <c r="D23" s="10">
        <f>IF(A23="","",IFERROR(INDEX('Discount Rates'!$C:$C,MATCH(TEXT(B23,"0"),'Discount Rates'!$A:$A,0))/100-IF($F$6=TRUE,$E$6,0),0))</f>
        <v>-7.5399999999999981E-3</v>
      </c>
      <c r="E23" s="7">
        <f t="shared" si="2"/>
        <v>78556.817846174483</v>
      </c>
      <c r="F23" s="26">
        <f t="shared" si="3"/>
        <v>1</v>
      </c>
      <c r="G23" s="7">
        <f t="shared" si="4"/>
        <v>78556.817846174483</v>
      </c>
      <c r="AE23" s="7"/>
      <c r="AF23" s="7"/>
    </row>
    <row r="24" spans="1:32" x14ac:dyDescent="0.2">
      <c r="A24">
        <f>IF(5&gt;$E$4+1,"",5)</f>
        <v>5</v>
      </c>
      <c r="B24">
        <f>IF(A24="","",YEAR('Case Inputs'!$B$6)+A24)</f>
        <v>2031</v>
      </c>
      <c r="C24" s="7">
        <f t="shared" si="1"/>
        <v>78576.846655662172</v>
      </c>
      <c r="D24" s="10">
        <f>IF(A24="","",IFERROR(INDEX('Discount Rates'!$C:$C,MATCH(TEXT(B24,"0"),'Discount Rates'!$A:$A,0))/100-IF($F$6=TRUE,$E$6,0),0))</f>
        <v>-7.0300000000000015E-3</v>
      </c>
      <c r="E24" s="7">
        <f t="shared" si="2"/>
        <v>81398.041994532206</v>
      </c>
      <c r="F24" s="26">
        <f t="shared" si="3"/>
        <v>1</v>
      </c>
      <c r="G24" s="7">
        <f t="shared" si="4"/>
        <v>81398.041994532206</v>
      </c>
      <c r="AE24" s="7"/>
      <c r="AF24" s="7"/>
    </row>
    <row r="25" spans="1:32" x14ac:dyDescent="0.2">
      <c r="A25">
        <f>IF(6&gt;$E$4+1,"",6)</f>
        <v>6</v>
      </c>
      <c r="B25">
        <f>IF(A25="","",YEAR('Case Inputs'!$B$6)+A25)</f>
        <v>2032</v>
      </c>
      <c r="C25" s="7">
        <f t="shared" si="1"/>
        <v>81012.728901987692</v>
      </c>
      <c r="D25" s="10">
        <f>IF(A25="","",IFERROR(INDEX('Discount Rates'!$C:$C,MATCH(TEXT(B25,"0"),'Discount Rates'!$A:$A,0))/100-IF($F$6=TRUE,$E$6,0),0))</f>
        <v>-6.1900000000000011E-3</v>
      </c>
      <c r="E25" s="7">
        <f t="shared" si="2"/>
        <v>84087.818757734392</v>
      </c>
      <c r="F25" s="26">
        <f t="shared" si="3"/>
        <v>1</v>
      </c>
      <c r="G25" s="7">
        <f t="shared" si="4"/>
        <v>84087.818757734392</v>
      </c>
      <c r="AE25" s="7"/>
      <c r="AF25" s="7"/>
    </row>
    <row r="26" spans="1:32" x14ac:dyDescent="0.2">
      <c r="A26">
        <f>IF(7&gt;$E$4+1,"",7)</f>
        <v>7</v>
      </c>
      <c r="B26">
        <f>IF(A26="","",YEAR('Case Inputs'!$B$6)+A26)</f>
        <v>2033</v>
      </c>
      <c r="C26" s="7">
        <f t="shared" si="1"/>
        <v>83524.123497949302</v>
      </c>
      <c r="D26" s="10">
        <f>IF(A26="","",IFERROR(INDEX('Discount Rates'!$C:$C,MATCH(TEXT(B26,"0"),'Discount Rates'!$A:$A,0))/100-IF($F$6=TRUE,$E$6,0),0))</f>
        <v>-5.1900000000000002E-3</v>
      </c>
      <c r="E26" s="7">
        <f t="shared" si="2"/>
        <v>86622.543402693555</v>
      </c>
      <c r="F26" s="26">
        <f t="shared" si="3"/>
        <v>1</v>
      </c>
      <c r="G26" s="7">
        <f t="shared" si="4"/>
        <v>86622.543402693555</v>
      </c>
      <c r="AE26" s="7"/>
      <c r="AF26" s="7"/>
    </row>
    <row r="27" spans="1:32" x14ac:dyDescent="0.2">
      <c r="A27">
        <f>IF(8&gt;$E$4+1,"",8)</f>
        <v>8</v>
      </c>
      <c r="B27">
        <f>IF(A27="","",YEAR('Case Inputs'!$B$6)+A27)</f>
        <v>2034</v>
      </c>
      <c r="C27" s="7">
        <f t="shared" si="1"/>
        <v>86113.371326385721</v>
      </c>
      <c r="D27" s="10">
        <f>IF(A27="","",IFERROR(INDEX('Discount Rates'!$C:$C,MATCH(TEXT(B27,"0"),'Discount Rates'!$A:$A,0))/100-IF($F$6=TRUE,$E$6,0),0))</f>
        <v>-4.5400000000000024E-3</v>
      </c>
      <c r="E27" s="7">
        <f t="shared" si="2"/>
        <v>89305.88579997058</v>
      </c>
      <c r="F27" s="26">
        <f t="shared" si="3"/>
        <v>1</v>
      </c>
      <c r="G27" s="7">
        <f t="shared" si="4"/>
        <v>89305.88579997058</v>
      </c>
      <c r="AE27" s="7"/>
      <c r="AF27" s="7"/>
    </row>
    <row r="28" spans="1:32" x14ac:dyDescent="0.2">
      <c r="A28">
        <f>IF(9&gt;$E$4+1,"",9)</f>
        <v>9</v>
      </c>
      <c r="B28">
        <f>IF(A28="","",YEAR('Case Inputs'!$B$6)+A28)</f>
        <v>2035</v>
      </c>
      <c r="C28" s="7">
        <f t="shared" si="1"/>
        <v>88782.885837503665</v>
      </c>
      <c r="D28" s="10">
        <f>IF(A28="","",IFERROR(INDEX('Discount Rates'!$C:$C,MATCH(TEXT(B28,"0"),'Discount Rates'!$A:$A,0))/100-IF($F$6=TRUE,$E$6,0),0))</f>
        <v>-3.6199999999999982E-3</v>
      </c>
      <c r="E28" s="7">
        <f t="shared" si="2"/>
        <v>91728.489893404796</v>
      </c>
      <c r="F28" s="26">
        <f t="shared" si="3"/>
        <v>1</v>
      </c>
      <c r="G28" s="7">
        <f t="shared" si="4"/>
        <v>91728.489893404796</v>
      </c>
      <c r="AE28" s="7"/>
      <c r="AF28" s="7"/>
    </row>
    <row r="29" spans="1:32" x14ac:dyDescent="0.2">
      <c r="A29">
        <f>IF(10&gt;$E$4+1,"",10)</f>
        <v>10</v>
      </c>
      <c r="B29">
        <f>IF(A29="","",YEAR('Case Inputs'!$B$6)+A29)</f>
        <v>2036</v>
      </c>
      <c r="C29" s="7">
        <f t="shared" si="1"/>
        <v>91535.155298466285</v>
      </c>
      <c r="D29" s="10">
        <f>IF(A29="","",IFERROR(INDEX('Discount Rates'!$C:$C,MATCH(TEXT(B29,"0"),'Discount Rates'!$A:$A,0))/100-IF($F$6=TRUE,$E$6,0),0))</f>
        <v>-2.579999999999999E-3</v>
      </c>
      <c r="E29" s="7">
        <f t="shared" si="2"/>
        <v>93930.622265127153</v>
      </c>
      <c r="F29" s="26">
        <f t="shared" si="3"/>
        <v>1</v>
      </c>
      <c r="G29" s="7">
        <f t="shared" si="4"/>
        <v>93930.622265127153</v>
      </c>
      <c r="AE29" s="7"/>
      <c r="AF29" s="7"/>
    </row>
    <row r="30" spans="1:32" x14ac:dyDescent="0.2">
      <c r="A30">
        <f>IF(11&gt;$E$4+1,"",11)</f>
        <v>11</v>
      </c>
      <c r="B30">
        <f>IF(A30="","",YEAR('Case Inputs'!$B$6)+A30)</f>
        <v>2037</v>
      </c>
      <c r="C30" s="7">
        <f t="shared" si="1"/>
        <v>94372.745112718723</v>
      </c>
      <c r="D30" s="10">
        <f>IF(A30="","",IFERROR(INDEX('Discount Rates'!$C:$C,MATCH(TEXT(B30,"0"),'Discount Rates'!$A:$A,0))/100-IF($F$6=TRUE,$E$6,0),0))</f>
        <v>-1.4499999999999999E-3</v>
      </c>
      <c r="E30" s="7">
        <f t="shared" si="2"/>
        <v>95891.16873489166</v>
      </c>
      <c r="F30" s="26">
        <f t="shared" si="3"/>
        <v>1</v>
      </c>
      <c r="G30" s="7">
        <f t="shared" si="4"/>
        <v>95891.16873489166</v>
      </c>
      <c r="AE30" s="7"/>
      <c r="AF30" s="7"/>
    </row>
    <row r="31" spans="1:32" x14ac:dyDescent="0.2">
      <c r="A31">
        <f>IF(12&gt;$E$4+1,"",12)</f>
        <v>12</v>
      </c>
      <c r="B31">
        <f>IF(A31="","",YEAR('Case Inputs'!$B$6)+A31)</f>
        <v>2038</v>
      </c>
      <c r="C31" s="7">
        <f t="shared" si="1"/>
        <v>97298.30021121302</v>
      </c>
      <c r="D31" s="10">
        <f>IF(A31="","",IFERROR(INDEX('Discount Rates'!$C:$C,MATCH(TEXT(B31,"0"),'Discount Rates'!$A:$A,0))/100-IF($F$6=TRUE,$E$6,0),0))</f>
        <v>-3.699999999999988E-4</v>
      </c>
      <c r="E31" s="7">
        <f t="shared" si="2"/>
        <v>97731.345431308262</v>
      </c>
      <c r="F31" s="26">
        <f t="shared" si="3"/>
        <v>1</v>
      </c>
      <c r="G31" s="7">
        <f t="shared" si="4"/>
        <v>97731.345431308262</v>
      </c>
      <c r="AE31" s="7"/>
      <c r="AF31" s="7"/>
    </row>
    <row r="32" spans="1:32" x14ac:dyDescent="0.2">
      <c r="A32">
        <f>IF(13&gt;$E$4+1,"",13)</f>
        <v>13</v>
      </c>
      <c r="B32">
        <f>IF(A32="","",YEAR('Case Inputs'!$B$6)+A32)</f>
        <v>2039</v>
      </c>
      <c r="C32" s="7">
        <f t="shared" si="1"/>
        <v>100314.54751776061</v>
      </c>
      <c r="D32" s="10">
        <f>IF(A32="","",IFERROR(INDEX('Discount Rates'!$C:$C,MATCH(TEXT(B32,"0"),'Discount Rates'!$A:$A,0))/100-IF($F$6=TRUE,$E$6,0),0))</f>
        <v>3.7000000000000227E-4</v>
      </c>
      <c r="E32" s="7">
        <f t="shared" si="2"/>
        <v>99833.281944258182</v>
      </c>
      <c r="F32" s="26">
        <f t="shared" si="3"/>
        <v>1</v>
      </c>
      <c r="G32" s="7">
        <f t="shared" si="4"/>
        <v>99833.281944258182</v>
      </c>
      <c r="AE32" s="7"/>
      <c r="AF32" s="7"/>
    </row>
    <row r="33" spans="1:32" x14ac:dyDescent="0.2">
      <c r="A33">
        <f>IF(14&gt;$E$4+1,"",14)</f>
        <v>14</v>
      </c>
      <c r="B33">
        <f>IF(A33="","",YEAR('Case Inputs'!$B$6)+A33)</f>
        <v>2040</v>
      </c>
      <c r="C33" s="7">
        <f t="shared" si="1"/>
        <v>103424.29849081118</v>
      </c>
      <c r="D33" s="10">
        <f>IF(A33="","",IFERROR(INDEX('Discount Rates'!$C:$C,MATCH(TEXT(B33,"0"),'Discount Rates'!$A:$A,0))/100-IF($F$6=TRUE,$E$6,0),0))</f>
        <v>1.4300000000000007E-3</v>
      </c>
      <c r="E33" s="7">
        <f t="shared" si="2"/>
        <v>101375.78239252021</v>
      </c>
      <c r="F33" s="26">
        <f t="shared" si="3"/>
        <v>1</v>
      </c>
      <c r="G33" s="7">
        <f t="shared" si="4"/>
        <v>101375.78239252021</v>
      </c>
      <c r="AE33" s="7"/>
      <c r="AF33" s="7"/>
    </row>
    <row r="34" spans="1:32" x14ac:dyDescent="0.2">
      <c r="A34">
        <f>IF(15&gt;$E$4+1,"",15)</f>
        <v>15</v>
      </c>
      <c r="B34">
        <f>IF(A34="","",YEAR('Case Inputs'!$B$6)+A34)</f>
        <v>2041</v>
      </c>
      <c r="C34" s="7">
        <f t="shared" si="1"/>
        <v>106630.45174402632</v>
      </c>
      <c r="D34" s="10">
        <f>IF(A34="","",IFERROR(INDEX('Discount Rates'!$C:$C,MATCH(TEXT(B34,"0"),'Discount Rates'!$A:$A,0))/100-IF($F$6=TRUE,$E$6,0),0))</f>
        <v>1.9699999999999995E-3</v>
      </c>
      <c r="E34" s="7">
        <f t="shared" si="2"/>
        <v>103528.63107111704</v>
      </c>
      <c r="F34" s="26">
        <f t="shared" si="3"/>
        <v>1</v>
      </c>
      <c r="G34" s="7">
        <f t="shared" si="4"/>
        <v>103528.63107111704</v>
      </c>
      <c r="AE34" s="7"/>
      <c r="AF34" s="7"/>
    </row>
    <row r="35" spans="1:32" x14ac:dyDescent="0.2">
      <c r="A35">
        <f>IF(16&gt;$E$4+1,"",16)</f>
        <v>16</v>
      </c>
      <c r="B35">
        <f>IF(A35="","",YEAR('Case Inputs'!$B$6)+A35)</f>
        <v>2042</v>
      </c>
      <c r="C35" s="7">
        <f t="shared" si="1"/>
        <v>109935.99574809114</v>
      </c>
      <c r="D35" s="10">
        <f>IF(A35="","",IFERROR(INDEX('Discount Rates'!$C:$C,MATCH(TEXT(B35,"0"),'Discount Rates'!$A:$A,0))/100-IF($F$6=TRUE,$E$6,0),0))</f>
        <v>3.040000000000001E-3</v>
      </c>
      <c r="E35" s="7">
        <f t="shared" si="2"/>
        <v>104724.39847002624</v>
      </c>
      <c r="F35" s="26">
        <f t="shared" si="3"/>
        <v>1</v>
      </c>
      <c r="G35" s="7">
        <f t="shared" si="4"/>
        <v>104724.39847002624</v>
      </c>
      <c r="AE35" s="7"/>
      <c r="AF35" s="7"/>
    </row>
    <row r="36" spans="1:32" x14ac:dyDescent="0.2">
      <c r="A36">
        <f>IF(17&gt;$E$4+1,"",17)</f>
        <v>17</v>
      </c>
      <c r="B36">
        <f>IF(A36="","",YEAR('Case Inputs'!$B$6)+A36)</f>
        <v>2043</v>
      </c>
      <c r="C36" s="7">
        <f t="shared" si="1"/>
        <v>113344.01161628196</v>
      </c>
      <c r="D36" s="10">
        <f>IF(A36="","",IFERROR(INDEX('Discount Rates'!$C:$C,MATCH(TEXT(B36,"0"),'Discount Rates'!$A:$A,0))/100-IF($F$6=TRUE,$E$6,0),0))</f>
        <v>4.3600000000000028E-3</v>
      </c>
      <c r="E36" s="7">
        <f t="shared" si="2"/>
        <v>105263.7029212316</v>
      </c>
      <c r="F36" s="26">
        <f t="shared" si="3"/>
        <v>1</v>
      </c>
      <c r="G36" s="7">
        <f t="shared" si="4"/>
        <v>105263.7029212316</v>
      </c>
      <c r="AE36" s="7"/>
      <c r="AF36" s="7"/>
    </row>
    <row r="37" spans="1:32" x14ac:dyDescent="0.2">
      <c r="A37">
        <f>IF(18&gt;$E$4+1,"",18)</f>
        <v>18</v>
      </c>
      <c r="B37">
        <f>IF(A37="","",YEAR('Case Inputs'!$B$6)+A37)</f>
        <v>2044</v>
      </c>
      <c r="C37" s="7">
        <f t="shared" si="1"/>
        <v>116857.67597638669</v>
      </c>
      <c r="D37" s="10">
        <f>IF(A37="","",IFERROR(INDEX('Discount Rates'!$C:$C,MATCH(TEXT(B37,"0"),'Discount Rates'!$A:$A,0))/100-IF($F$6=TRUE,$E$6,0),0))</f>
        <v>5.6800000000000045E-3</v>
      </c>
      <c r="E37" s="7">
        <f t="shared" si="2"/>
        <v>105531.1337950047</v>
      </c>
      <c r="F37" s="26">
        <f t="shared" si="3"/>
        <v>1</v>
      </c>
      <c r="G37" s="7">
        <f t="shared" si="4"/>
        <v>105531.1337950047</v>
      </c>
      <c r="AE37" s="7"/>
      <c r="AF37" s="7"/>
    </row>
    <row r="38" spans="1:32" x14ac:dyDescent="0.2">
      <c r="A38">
        <f>IF(19&gt;$E$4+1,"",19)</f>
        <v>19</v>
      </c>
      <c r="B38">
        <f>IF(A38="","",YEAR('Case Inputs'!$B$6)+A38)</f>
        <v>2045</v>
      </c>
      <c r="C38" s="7">
        <f t="shared" si="1"/>
        <v>120480.26393165466</v>
      </c>
      <c r="D38" s="10">
        <f>IF(A38="","",IFERROR(INDEX('Discount Rates'!$C:$C,MATCH(TEXT(B38,"0"),'Discount Rates'!$A:$A,0))/100-IF($F$6=TRUE,$E$6,0),0))</f>
        <v>7.0399999999999976E-3</v>
      </c>
      <c r="E38" s="7">
        <f t="shared" si="2"/>
        <v>105445.53795740941</v>
      </c>
      <c r="F38" s="26">
        <f t="shared" si="3"/>
        <v>1</v>
      </c>
      <c r="G38" s="7">
        <f t="shared" si="4"/>
        <v>105445.53795740941</v>
      </c>
      <c r="AE38" s="7"/>
      <c r="AF38" s="7"/>
    </row>
    <row r="39" spans="1:32" x14ac:dyDescent="0.2">
      <c r="A39">
        <f>IF(20&gt;$E$4+1,"",20)</f>
        <v>20</v>
      </c>
      <c r="B39">
        <f>IF(A39="","",YEAR('Case Inputs'!$B$6)+A39)</f>
        <v>2046</v>
      </c>
      <c r="C39" s="7">
        <f t="shared" si="1"/>
        <v>124215.15211353595</v>
      </c>
      <c r="D39" s="10">
        <f>IF(A39="","",IFERROR(INDEX('Discount Rates'!$C:$C,MATCH(TEXT(B39,"0"),'Discount Rates'!$A:$A,0))/100-IF($F$6=TRUE,$E$6,0),0))</f>
        <v>8.2699999999999996E-3</v>
      </c>
      <c r="E39" s="7">
        <f t="shared" si="2"/>
        <v>105350.75862885125</v>
      </c>
      <c r="F39" s="26">
        <f t="shared" si="3"/>
        <v>3.764544832306882E-2</v>
      </c>
      <c r="G39" s="7">
        <f t="shared" si="4"/>
        <v>3965.9765397585165</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103</v>
      </c>
      <c r="E71" s="29">
        <f>SUM(E20:E69)</f>
        <v>1849035.0947061116</v>
      </c>
      <c r="F71" s="29"/>
      <c r="G71" s="29">
        <f>SUM(G20:G70)</f>
        <v>1747650.3126170188</v>
      </c>
      <c r="AE71" s="2"/>
      <c r="AF71" s="2"/>
    </row>
    <row r="72" spans="1:32" x14ac:dyDescent="0.2">
      <c r="AE72" s="2"/>
      <c r="AF72" s="2"/>
    </row>
    <row r="73" spans="1:32" x14ac:dyDescent="0.2">
      <c r="A73" s="28" t="s">
        <v>119</v>
      </c>
      <c r="B73" s="37"/>
      <c r="C73" s="37"/>
      <c r="D73" s="37"/>
      <c r="E73" s="29">
        <f>E71+H17</f>
        <v>2169113.4399115909</v>
      </c>
      <c r="F73" s="37"/>
      <c r="G73" s="29">
        <f>G17+G71</f>
        <v>2067728.6578224984</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 xr:uid="{14143607-B969-41A7-8308-B8A5F68F1636}">
      <formula1>OR(F5=TRUE,F5=FALSE)</formula1>
    </dataValidation>
  </dataValidations>
  <pageMargins left="0.75" right="0.75" top="1" bottom="1" header="0.5" footer="0.5"/>
  <pageSetup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74CE8-0F34-4A7F-895B-FD5075848C35}">
  <sheetPr>
    <tabColor theme="6" tint="0.79998168889431442"/>
  </sheetPr>
  <dimension ref="A1:AF73"/>
  <sheetViews>
    <sheetView workbookViewId="0">
      <selection activeCell="A2" sqref="A2"/>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42578125" bestFit="1" customWidth="1"/>
    <col min="6" max="6" width="15.140625" bestFit="1" customWidth="1"/>
    <col min="7" max="7" width="13.42578125" bestFit="1" customWidth="1"/>
    <col min="8" max="8" width="15.42578125" bestFit="1" customWidth="1"/>
  </cols>
  <sheetData>
    <row r="1" spans="1:32" ht="18" x14ac:dyDescent="0.25">
      <c r="A1" s="148" t="s">
        <v>457</v>
      </c>
      <c r="B1" s="130"/>
      <c r="C1" s="130"/>
      <c r="D1" s="130"/>
      <c r="E1" s="130"/>
      <c r="F1" s="130"/>
      <c r="G1" s="130"/>
    </row>
    <row r="3" spans="1:32" x14ac:dyDescent="0.2">
      <c r="A3" t="s">
        <v>98</v>
      </c>
      <c r="B3" s="42">
        <v>78999</v>
      </c>
      <c r="C3" t="s">
        <v>126</v>
      </c>
      <c r="D3" t="s">
        <v>97</v>
      </c>
      <c r="E3" s="39">
        <v>3.1E-2</v>
      </c>
      <c r="F3" t="s">
        <v>126</v>
      </c>
    </row>
    <row r="4" spans="1:32" x14ac:dyDescent="0.2">
      <c r="A4" t="s">
        <v>93</v>
      </c>
      <c r="B4">
        <f>'Case Inputs'!B18</f>
        <v>14.292566735112935</v>
      </c>
      <c r="D4" t="s">
        <v>99</v>
      </c>
      <c r="E4">
        <f>'Case Inputs'!B19</f>
        <v>14</v>
      </c>
    </row>
    <row r="5" spans="1:32" x14ac:dyDescent="0.2">
      <c r="A5" t="s">
        <v>100</v>
      </c>
      <c r="B5">
        <f>'Case Inputs'!B20</f>
        <v>0.29256673511293485</v>
      </c>
      <c r="D5" t="s">
        <v>221</v>
      </c>
      <c r="F5" s="53" t="b">
        <v>0</v>
      </c>
    </row>
    <row r="6" spans="1:32" x14ac:dyDescent="0.2">
      <c r="D6" t="s">
        <v>249</v>
      </c>
      <c r="E6">
        <f>E3</f>
        <v>3.1E-2</v>
      </c>
      <c r="F6" t="b">
        <v>1</v>
      </c>
    </row>
    <row r="7" spans="1:32" x14ac:dyDescent="0.2">
      <c r="A7" s="145" t="s">
        <v>115</v>
      </c>
      <c r="B7" s="130"/>
      <c r="C7" s="130"/>
      <c r="D7" s="130"/>
      <c r="E7" s="130"/>
      <c r="F7" s="130"/>
      <c r="G7" s="130"/>
      <c r="AE7" s="7"/>
      <c r="AF7" s="7"/>
    </row>
    <row r="8" spans="1:32" x14ac:dyDescent="0.2">
      <c r="A8" s="36" t="s">
        <v>0</v>
      </c>
      <c r="B8" s="36" t="s">
        <v>101</v>
      </c>
      <c r="C8" s="36" t="s">
        <v>116</v>
      </c>
      <c r="D8" s="36" t="str">
        <f>IF('Case Inputs'!$B$28="CPI Adjustment","CPI Index",IF('Case Inputs'!$B$28="Custom Rate","",""))</f>
        <v/>
      </c>
      <c r="E8" s="36" t="s">
        <v>129</v>
      </c>
      <c r="F8" s="36" t="s">
        <v>102</v>
      </c>
      <c r="G8" s="36" t="s">
        <v>125</v>
      </c>
      <c r="H8" s="19" t="s">
        <v>329</v>
      </c>
      <c r="AE8" s="7"/>
      <c r="AF8" s="7"/>
    </row>
    <row r="9" spans="1:32" x14ac:dyDescent="0.2">
      <c r="A9">
        <f>YEAR('Case Inputs'!$B$5)</f>
        <v>2021</v>
      </c>
      <c r="B9">
        <f>YEAR('Case Inputs'!$B$5)</f>
        <v>2021</v>
      </c>
      <c r="C9" s="7">
        <f>$B$3</f>
        <v>78999</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26188.709589041096</v>
      </c>
      <c r="H9" s="7">
        <f>C9*F9</f>
        <v>26188.709589041096</v>
      </c>
    </row>
    <row r="10" spans="1:32" x14ac:dyDescent="0.2">
      <c r="A10">
        <f>IF(YEAR('Case Inputs'!$B$6)-YEAR('Case Inputs'!$B$5)&gt;=2,YEAR('Case Inputs'!$B$5)+1,"")</f>
        <v>2022</v>
      </c>
      <c r="B10">
        <f>IF(A10="","",A10)</f>
        <v>2022</v>
      </c>
      <c r="C10" s="7">
        <f>C9*E10</f>
        <v>78999</v>
      </c>
      <c r="D10" s="38" t="str">
        <f>IF('Case Inputs'!$B$28="CPI Adjustment",IFERROR(INDEX('CPI Data'!$F$2:$F$5,MATCH(B10,'CPI Data'!$E$2:$E$5,0)),""),"")</f>
        <v/>
      </c>
      <c r="E10" s="26">
        <f>IF('Case Inputs'!$B$28="CPI Adjustment",D10/D9,IF('Case Inputs'!$B$28="No Adjustment",1,1+'Case Inputs'!$B$29))</f>
        <v>1</v>
      </c>
      <c r="F10">
        <v>1</v>
      </c>
      <c r="G10" s="7">
        <f>C10*F10*IF($F$5,1-$E$5,1)</f>
        <v>78999</v>
      </c>
      <c r="H10" s="7">
        <f t="shared" ref="H10:H15" si="0">C10*F10</f>
        <v>78999</v>
      </c>
    </row>
    <row r="11" spans="1:32" x14ac:dyDescent="0.2">
      <c r="A11">
        <f>IF(YEAR('Case Inputs'!$B$6)-YEAR('Case Inputs'!$B$5)&gt;=3,YEAR('Case Inputs'!$B$5)+2,"")</f>
        <v>2023</v>
      </c>
      <c r="B11">
        <f>IF(A11="","",A11)</f>
        <v>2023</v>
      </c>
      <c r="C11" s="7">
        <f>C10*E11</f>
        <v>78999</v>
      </c>
      <c r="D11" s="38" t="str">
        <f>IF('Case Inputs'!$B$28="CPI Adjustment",IFERROR(INDEX('CPI Data'!$F$2:$F$5,MATCH(B11,'CPI Data'!$E$2:$E$5,0)),""),"")</f>
        <v/>
      </c>
      <c r="E11" s="26">
        <f>IF('Case Inputs'!$B$28="CPI Adjustment",D11/D10,IF('Case Inputs'!$B$28="No Adjustment",1,1+'Case Inputs'!$B$29))</f>
        <v>1</v>
      </c>
      <c r="F11">
        <v>1</v>
      </c>
      <c r="G11" s="7">
        <f>C11*F11*IF($F$5,1-$E$5,1)</f>
        <v>78999</v>
      </c>
      <c r="H11" s="7">
        <f t="shared" si="0"/>
        <v>78999</v>
      </c>
    </row>
    <row r="12" spans="1:32" x14ac:dyDescent="0.2">
      <c r="A12">
        <f>IF(YEAR('Case Inputs'!$B$6)-YEAR('Case Inputs'!$B$5)&gt;=4,YEAR('Case Inputs'!$B$5)+3,"")</f>
        <v>2024</v>
      </c>
      <c r="B12">
        <f>IF(A12="","",A12)</f>
        <v>2024</v>
      </c>
      <c r="C12" s="7">
        <f>IF(A12="","",C11*E12)</f>
        <v>78999</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78999</v>
      </c>
      <c r="H12" s="7">
        <f t="shared" si="0"/>
        <v>78999</v>
      </c>
    </row>
    <row r="13" spans="1:32" x14ac:dyDescent="0.2">
      <c r="A13">
        <f>IF(YEAR('Case Inputs'!$B$6)-YEAR('Case Inputs'!$B$5)&gt;=5,YEAR('Case Inputs'!$B$5)+4,"")</f>
        <v>2025</v>
      </c>
      <c r="B13">
        <f>IF(A13="","",A13)</f>
        <v>2025</v>
      </c>
      <c r="C13" s="7">
        <f>IF(A13="","",C12*E13)</f>
        <v>78999</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78999</v>
      </c>
      <c r="H13" s="7">
        <f t="shared" si="0"/>
        <v>78999</v>
      </c>
    </row>
    <row r="15" spans="1:32" x14ac:dyDescent="0.2">
      <c r="A15">
        <v>2026</v>
      </c>
      <c r="B15">
        <v>2026</v>
      </c>
      <c r="C15" s="7">
        <f>IF(A13&lt;&gt;"",C13*E15,IF(A12&lt;&gt;"",C12*E15,IF(A11&lt;&gt;"",C11*E15,IF(A10&lt;&gt;"",C10*E15,C9*E15))))</f>
        <v>78999</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32681.778082191784</v>
      </c>
      <c r="H15" s="7">
        <f t="shared" si="0"/>
        <v>32681.778082191784</v>
      </c>
    </row>
    <row r="17" spans="1:8" x14ac:dyDescent="0.2">
      <c r="A17" s="19" t="s">
        <v>117</v>
      </c>
      <c r="G17" s="30">
        <f>SUM(G9:G15)</f>
        <v>374866.48767123284</v>
      </c>
      <c r="H17" s="100">
        <f>SUM(H9:H15)</f>
        <v>374866.48767123284</v>
      </c>
    </row>
    <row r="19" spans="1:8" s="46" customFormat="1" x14ac:dyDescent="0.2">
      <c r="A19" s="149" t="s">
        <v>118</v>
      </c>
      <c r="B19" s="149"/>
      <c r="C19" s="149"/>
      <c r="D19" s="149"/>
      <c r="E19" s="149"/>
      <c r="F19" s="149"/>
      <c r="G19" s="149"/>
    </row>
    <row r="20" spans="1:8" x14ac:dyDescent="0.2">
      <c r="A20">
        <f>IF(1&gt;$E$4+1,"",1)</f>
        <v>1</v>
      </c>
      <c r="B20">
        <f>IF(A20="","",YEAR('Case Inputs'!$B$6)+A20)</f>
        <v>2027</v>
      </c>
      <c r="C20" s="7">
        <f t="shared" ref="C20:C51" si="1">IF(A20="","",$C$15*(1+$E$3)^A20)</f>
        <v>81447.968999999997</v>
      </c>
      <c r="D20" s="10">
        <f>IF(A20="","",IFERROR(INDEX('Discount Rates'!$C:$C,MATCH(TEXT(B20,"0"),'Discount Rates'!$A:$A,0))/100-IF($F$6=TRUE,$E$6,0),0))</f>
        <v>-7.9899999999999971E-3</v>
      </c>
      <c r="E20" s="7">
        <f t="shared" ref="E20:E51" si="2">IF(A20="","",C20/((1+D20)^A20))</f>
        <v>82103.979798590735</v>
      </c>
      <c r="F20" s="26">
        <f t="shared" ref="F20:F51" si="3">IF(A20="","",IF(A20&lt;=$E$4,1,IF(A20=$E$4+1,$B$5,0)))</f>
        <v>1</v>
      </c>
      <c r="G20" s="7">
        <f t="shared" ref="G20:G51" si="4">IF(A20="","",E20*F20*IF($F$5,1-$E$5,1))</f>
        <v>82103.979798590735</v>
      </c>
    </row>
    <row r="21" spans="1:8" x14ac:dyDescent="0.2">
      <c r="A21">
        <f>IF(2&gt;$E$4+1,"",2)</f>
        <v>2</v>
      </c>
      <c r="B21">
        <f>IF(A21="","",YEAR('Case Inputs'!$B$6)+A21)</f>
        <v>2028</v>
      </c>
      <c r="C21" s="7">
        <f t="shared" si="1"/>
        <v>83972.856038999991</v>
      </c>
      <c r="D21" s="10">
        <f>IF(A21="","",IFERROR(INDEX('Discount Rates'!$C:$C,MATCH(TEXT(B21,"0"),'Discount Rates'!$A:$A,0))/100-IF($F$6=TRUE,$E$6,0),0))</f>
        <v>-8.09E-3</v>
      </c>
      <c r="E21" s="7">
        <f t="shared" si="2"/>
        <v>85348.204103599244</v>
      </c>
      <c r="F21" s="26">
        <f t="shared" si="3"/>
        <v>1</v>
      </c>
      <c r="G21" s="7">
        <f t="shared" si="4"/>
        <v>85348.204103599244</v>
      </c>
    </row>
    <row r="22" spans="1:8" x14ac:dyDescent="0.2">
      <c r="A22">
        <f>IF(3&gt;$E$4+1,"",3)</f>
        <v>3</v>
      </c>
      <c r="B22">
        <f>IF(A22="","",YEAR('Case Inputs'!$B$6)+A22)</f>
        <v>2029</v>
      </c>
      <c r="C22" s="7">
        <f t="shared" si="1"/>
        <v>86576.014576208981</v>
      </c>
      <c r="D22" s="10">
        <f>IF(A22="","",IFERROR(INDEX('Discount Rates'!$C:$C,MATCH(TEXT(B22,"0"),'Discount Rates'!$A:$A,0))/100-IF($F$6=TRUE,$E$6,0),0))</f>
        <v>-8.1099999999999992E-3</v>
      </c>
      <c r="E22" s="7">
        <f t="shared" si="2"/>
        <v>88717.042217555849</v>
      </c>
      <c r="F22" s="26">
        <f t="shared" si="3"/>
        <v>1</v>
      </c>
      <c r="G22" s="7">
        <f t="shared" si="4"/>
        <v>88717.042217555849</v>
      </c>
    </row>
    <row r="23" spans="1:8" x14ac:dyDescent="0.2">
      <c r="A23">
        <f>IF(4&gt;$E$4+1,"",4)</f>
        <v>4</v>
      </c>
      <c r="B23">
        <f>IF(A23="","",YEAR('Case Inputs'!$B$6)+A23)</f>
        <v>2030</v>
      </c>
      <c r="C23" s="7">
        <f t="shared" si="1"/>
        <v>89259.871028071459</v>
      </c>
      <c r="D23" s="10">
        <f>IF(A23="","",IFERROR(INDEX('Discount Rates'!$C:$C,MATCH(TEXT(B23,"0"),'Discount Rates'!$A:$A,0))/100-IF($F$6=TRUE,$E$6,0),0))</f>
        <v>-7.5399999999999981E-3</v>
      </c>
      <c r="E23" s="7">
        <f t="shared" si="2"/>
        <v>92003.469868351865</v>
      </c>
      <c r="F23" s="26">
        <f t="shared" si="3"/>
        <v>1</v>
      </c>
      <c r="G23" s="7">
        <f t="shared" si="4"/>
        <v>92003.469868351865</v>
      </c>
    </row>
    <row r="24" spans="1:8" x14ac:dyDescent="0.2">
      <c r="A24">
        <f>IF(5&gt;$E$4+1,"",5)</f>
        <v>5</v>
      </c>
      <c r="B24">
        <f>IF(A24="","",YEAR('Case Inputs'!$B$6)+A24)</f>
        <v>2031</v>
      </c>
      <c r="C24" s="7">
        <f t="shared" si="1"/>
        <v>92026.927029941668</v>
      </c>
      <c r="D24" s="10">
        <f>IF(A24="","",IFERROR(INDEX('Discount Rates'!$C:$C,MATCH(TEXT(B24,"0"),'Discount Rates'!$A:$A,0))/100-IF($F$6=TRUE,$E$6,0),0))</f>
        <v>-7.0300000000000015E-3</v>
      </c>
      <c r="E24" s="7">
        <f t="shared" si="2"/>
        <v>95331.029302270457</v>
      </c>
      <c r="F24" s="26">
        <f t="shared" si="3"/>
        <v>1</v>
      </c>
      <c r="G24" s="7">
        <f t="shared" si="4"/>
        <v>95331.029302270457</v>
      </c>
    </row>
    <row r="25" spans="1:8" x14ac:dyDescent="0.2">
      <c r="A25">
        <f>IF(6&gt;$E$4+1,"",6)</f>
        <v>6</v>
      </c>
      <c r="B25">
        <f>IF(A25="","",YEAR('Case Inputs'!$B$6)+A25)</f>
        <v>2032</v>
      </c>
      <c r="C25" s="7">
        <f t="shared" si="1"/>
        <v>94879.761767869859</v>
      </c>
      <c r="D25" s="10">
        <f>IF(A25="","",IFERROR(INDEX('Discount Rates'!$C:$C,MATCH(TEXT(B25,"0"),'Discount Rates'!$A:$A,0))/100-IF($F$6=TRUE,$E$6,0),0))</f>
        <v>-6.1900000000000011E-3</v>
      </c>
      <c r="E25" s="7">
        <f t="shared" si="2"/>
        <v>98481.21794497293</v>
      </c>
      <c r="F25" s="26">
        <f t="shared" si="3"/>
        <v>1</v>
      </c>
      <c r="G25" s="7">
        <f t="shared" si="4"/>
        <v>98481.21794497293</v>
      </c>
    </row>
    <row r="26" spans="1:8" x14ac:dyDescent="0.2">
      <c r="A26">
        <f>IF(7&gt;$E$4+1,"",7)</f>
        <v>7</v>
      </c>
      <c r="B26">
        <f>IF(A26="","",YEAR('Case Inputs'!$B$6)+A26)</f>
        <v>2033</v>
      </c>
      <c r="C26" s="7">
        <f t="shared" si="1"/>
        <v>97821.03438267381</v>
      </c>
      <c r="D26" s="10">
        <f>IF(A26="","",IFERROR(INDEX('Discount Rates'!$C:$C,MATCH(TEXT(B26,"0"),'Discount Rates'!$A:$A,0))/100-IF($F$6=TRUE,$E$6,0),0))</f>
        <v>-5.1900000000000002E-3</v>
      </c>
      <c r="E26" s="7">
        <f t="shared" si="2"/>
        <v>101449.81403746887</v>
      </c>
      <c r="F26" s="26">
        <f t="shared" si="3"/>
        <v>1</v>
      </c>
      <c r="G26" s="7">
        <f t="shared" si="4"/>
        <v>101449.81403746887</v>
      </c>
    </row>
    <row r="27" spans="1:8" x14ac:dyDescent="0.2">
      <c r="A27">
        <f>IF(8&gt;$E$4+1,"",8)</f>
        <v>8</v>
      </c>
      <c r="B27">
        <f>IF(A27="","",YEAR('Case Inputs'!$B$6)+A27)</f>
        <v>2034</v>
      </c>
      <c r="C27" s="7">
        <f t="shared" si="1"/>
        <v>100853.4864485367</v>
      </c>
      <c r="D27" s="10">
        <f>IF(A27="","",IFERROR(INDEX('Discount Rates'!$C:$C,MATCH(TEXT(B27,"0"),'Discount Rates'!$A:$A,0))/100-IF($F$6=TRUE,$E$6,0),0))</f>
        <v>-4.5400000000000024E-3</v>
      </c>
      <c r="E27" s="7">
        <f t="shared" si="2"/>
        <v>104592.46693715442</v>
      </c>
      <c r="F27" s="26">
        <f t="shared" si="3"/>
        <v>1</v>
      </c>
      <c r="G27" s="7">
        <f t="shared" si="4"/>
        <v>104592.46693715442</v>
      </c>
    </row>
    <row r="28" spans="1:8" x14ac:dyDescent="0.2">
      <c r="A28">
        <f>IF(9&gt;$E$4+1,"",9)</f>
        <v>9</v>
      </c>
      <c r="B28">
        <f>IF(A28="","",YEAR('Case Inputs'!$B$6)+A28)</f>
        <v>2035</v>
      </c>
      <c r="C28" s="7">
        <f t="shared" si="1"/>
        <v>103979.94452844132</v>
      </c>
      <c r="D28" s="10">
        <f>IF(A28="","",IFERROR(INDEX('Discount Rates'!$C:$C,MATCH(TEXT(B28,"0"),'Discount Rates'!$A:$A,0))/100-IF($F$6=TRUE,$E$6,0),0))</f>
        <v>-3.6199999999999982E-3</v>
      </c>
      <c r="E28" s="7">
        <f t="shared" si="2"/>
        <v>107429.75068698332</v>
      </c>
      <c r="F28" s="26">
        <f t="shared" si="3"/>
        <v>1</v>
      </c>
      <c r="G28" s="7">
        <f t="shared" si="4"/>
        <v>107429.75068698332</v>
      </c>
    </row>
    <row r="29" spans="1:8" x14ac:dyDescent="0.2">
      <c r="A29">
        <f>IF(10&gt;$E$4+1,"",10)</f>
        <v>10</v>
      </c>
      <c r="B29">
        <f>IF(A29="","",YEAR('Case Inputs'!$B$6)+A29)</f>
        <v>2036</v>
      </c>
      <c r="C29" s="7">
        <f t="shared" si="1"/>
        <v>107203.322808823</v>
      </c>
      <c r="D29" s="10">
        <f>IF(A29="","",IFERROR(INDEX('Discount Rates'!$C:$C,MATCH(TEXT(B29,"0"),'Discount Rates'!$A:$A,0))/100-IF($F$6=TRUE,$E$6,0),0))</f>
        <v>-2.579999999999999E-3</v>
      </c>
      <c r="E29" s="7">
        <f t="shared" si="2"/>
        <v>110008.82434173097</v>
      </c>
      <c r="F29" s="26">
        <f t="shared" si="3"/>
        <v>1</v>
      </c>
      <c r="G29" s="7">
        <f t="shared" si="4"/>
        <v>110008.82434173097</v>
      </c>
    </row>
    <row r="30" spans="1:8" x14ac:dyDescent="0.2">
      <c r="A30">
        <f>IF(11&gt;$E$4+1,"",11)</f>
        <v>11</v>
      </c>
      <c r="B30">
        <f>IF(A30="","",YEAR('Case Inputs'!$B$6)+A30)</f>
        <v>2037</v>
      </c>
      <c r="C30" s="7">
        <f t="shared" si="1"/>
        <v>110526.62581589651</v>
      </c>
      <c r="D30" s="10">
        <f>IF(A30="","",IFERROR(INDEX('Discount Rates'!$C:$C,MATCH(TEXT(B30,"0"),'Discount Rates'!$A:$A,0))/100-IF($F$6=TRUE,$E$6,0),0))</f>
        <v>-1.4499999999999999E-3</v>
      </c>
      <c r="E30" s="7">
        <f t="shared" si="2"/>
        <v>112304.95958501041</v>
      </c>
      <c r="F30" s="26">
        <f t="shared" si="3"/>
        <v>1</v>
      </c>
      <c r="G30" s="7">
        <f t="shared" si="4"/>
        <v>112304.95958501041</v>
      </c>
    </row>
    <row r="31" spans="1:8" x14ac:dyDescent="0.2">
      <c r="A31">
        <f>IF(12&gt;$E$4+1,"",12)</f>
        <v>12</v>
      </c>
      <c r="B31">
        <f>IF(A31="","",YEAR('Case Inputs'!$B$6)+A31)</f>
        <v>2038</v>
      </c>
      <c r="C31" s="7">
        <f t="shared" si="1"/>
        <v>113952.95121618931</v>
      </c>
      <c r="D31" s="10">
        <f>IF(A31="","",IFERROR(INDEX('Discount Rates'!$C:$C,MATCH(TEXT(B31,"0"),'Discount Rates'!$A:$A,0))/100-IF($F$6=TRUE,$E$6,0),0))</f>
        <v>-3.699999999999988E-4</v>
      </c>
      <c r="E31" s="7">
        <f t="shared" si="2"/>
        <v>114460.1212359409</v>
      </c>
      <c r="F31" s="26">
        <f t="shared" si="3"/>
        <v>1</v>
      </c>
      <c r="G31" s="7">
        <f t="shared" si="4"/>
        <v>114460.1212359409</v>
      </c>
    </row>
    <row r="32" spans="1:8" x14ac:dyDescent="0.2">
      <c r="A32">
        <f>IF(13&gt;$E$4+1,"",13)</f>
        <v>13</v>
      </c>
      <c r="B32">
        <f>IF(A32="","",YEAR('Case Inputs'!$B$6)+A32)</f>
        <v>2039</v>
      </c>
      <c r="C32" s="7">
        <f t="shared" si="1"/>
        <v>117485.49270389117</v>
      </c>
      <c r="D32" s="10">
        <f>IF(A32="","",IFERROR(INDEX('Discount Rates'!$C:$C,MATCH(TEXT(B32,"0"),'Discount Rates'!$A:$A,0))/100-IF($F$6=TRUE,$E$6,0),0))</f>
        <v>3.7000000000000227E-4</v>
      </c>
      <c r="E32" s="7">
        <f t="shared" si="2"/>
        <v>116921.8484028057</v>
      </c>
      <c r="F32" s="26">
        <f t="shared" si="3"/>
        <v>1</v>
      </c>
      <c r="G32" s="7">
        <f t="shared" si="4"/>
        <v>116921.8484028057</v>
      </c>
    </row>
    <row r="33" spans="1:7" x14ac:dyDescent="0.2">
      <c r="A33">
        <f>IF(14&gt;$E$4+1,"",14)</f>
        <v>14</v>
      </c>
      <c r="B33">
        <f>IF(A33="","",YEAR('Case Inputs'!$B$6)+A33)</f>
        <v>2040</v>
      </c>
      <c r="C33" s="7">
        <f t="shared" si="1"/>
        <v>121127.54297771177</v>
      </c>
      <c r="D33" s="10">
        <f>IF(A33="","",IFERROR(INDEX('Discount Rates'!$C:$C,MATCH(TEXT(B33,"0"),'Discount Rates'!$A:$A,0))/100-IF($F$6=TRUE,$E$6,0),0))</f>
        <v>1.4300000000000007E-3</v>
      </c>
      <c r="E33" s="7">
        <f t="shared" si="2"/>
        <v>118728.38025331273</v>
      </c>
      <c r="F33" s="26">
        <f t="shared" si="3"/>
        <v>1</v>
      </c>
      <c r="G33" s="7">
        <f t="shared" si="4"/>
        <v>118728.38025331273</v>
      </c>
    </row>
    <row r="34" spans="1:7" x14ac:dyDescent="0.2">
      <c r="A34">
        <f>IF(15&gt;$E$4+1,"",15)</f>
        <v>15</v>
      </c>
      <c r="B34">
        <f>IF(A34="","",YEAR('Case Inputs'!$B$6)+A34)</f>
        <v>2041</v>
      </c>
      <c r="C34" s="7">
        <f t="shared" si="1"/>
        <v>124882.49681002084</v>
      </c>
      <c r="D34" s="10">
        <f>IF(A34="","",IFERROR(INDEX('Discount Rates'!$C:$C,MATCH(TEXT(B34,"0"),'Discount Rates'!$A:$A,0))/100-IF($F$6=TRUE,$E$6,0),0))</f>
        <v>1.9699999999999995E-3</v>
      </c>
      <c r="E34" s="7">
        <f t="shared" si="2"/>
        <v>121249.73427404526</v>
      </c>
      <c r="F34" s="26">
        <f t="shared" si="3"/>
        <v>0.29256673511293485</v>
      </c>
      <c r="G34" s="7">
        <f t="shared" si="4"/>
        <v>35473.638889868336</v>
      </c>
    </row>
    <row r="35" spans="1:7" x14ac:dyDescent="0.2">
      <c r="A35" t="str">
        <f>IF(16&gt;$E$4+1,"",16)</f>
        <v/>
      </c>
      <c r="B35" t="str">
        <f>IF(A35="","",YEAR('Case Inputs'!$B$6)+A35)</f>
        <v/>
      </c>
      <c r="C35" s="7" t="str">
        <f t="shared" si="1"/>
        <v/>
      </c>
      <c r="D35" s="10" t="str">
        <f>IF(A35="","",IFERROR(INDEX('Discount Rates'!$C:$C,MATCH(TEXT(B35,"0"),'Discount Rates'!$A:$A,0))/100-IF($F$6=TRUE,$E$6,0),0))</f>
        <v/>
      </c>
      <c r="E35" s="7" t="str">
        <f t="shared" si="2"/>
        <v/>
      </c>
      <c r="F35" s="26" t="str">
        <f t="shared" si="3"/>
        <v/>
      </c>
      <c r="G35" s="7" t="str">
        <f t="shared" si="4"/>
        <v/>
      </c>
    </row>
    <row r="36" spans="1:7" x14ac:dyDescent="0.2">
      <c r="A36" t="str">
        <f>IF(17&gt;$E$4+1,"",17)</f>
        <v/>
      </c>
      <c r="B36" t="str">
        <f>IF(A36="","",YEAR('Case Inputs'!$B$6)+A36)</f>
        <v/>
      </c>
      <c r="C36" s="7" t="str">
        <f t="shared" si="1"/>
        <v/>
      </c>
      <c r="D36" s="10" t="str">
        <f>IF(A36="","",IFERROR(INDEX('Discount Rates'!$C:$C,MATCH(TEXT(B36,"0"),'Discount Rates'!$A:$A,0))/100-IF($F$6=TRUE,$E$6,0),0))</f>
        <v/>
      </c>
      <c r="E36" s="7" t="str">
        <f t="shared" si="2"/>
        <v/>
      </c>
      <c r="F36" s="26" t="str">
        <f t="shared" si="3"/>
        <v/>
      </c>
      <c r="G36" s="7" t="str">
        <f t="shared" si="4"/>
        <v/>
      </c>
    </row>
    <row r="37" spans="1:7" x14ac:dyDescent="0.2">
      <c r="A37" t="str">
        <f>IF(18&gt;$E$4+1,"",18)</f>
        <v/>
      </c>
      <c r="B37" t="str">
        <f>IF(A37="","",YEAR('Case Inputs'!$B$6)+A37)</f>
        <v/>
      </c>
      <c r="C37" s="7" t="str">
        <f t="shared" si="1"/>
        <v/>
      </c>
      <c r="D37" s="10" t="str">
        <f>IF(A37="","",IFERROR(INDEX('Discount Rates'!$C:$C,MATCH(TEXT(B37,"0"),'Discount Rates'!$A:$A,0))/100-IF($F$6=TRUE,$E$6,0),0))</f>
        <v/>
      </c>
      <c r="E37" s="7" t="str">
        <f t="shared" si="2"/>
        <v/>
      </c>
      <c r="F37" s="26" t="str">
        <f t="shared" si="3"/>
        <v/>
      </c>
      <c r="G37" s="7" t="str">
        <f t="shared" si="4"/>
        <v/>
      </c>
    </row>
    <row r="38" spans="1:7" x14ac:dyDescent="0.2">
      <c r="A38" t="str">
        <f>IF(19&gt;$E$4+1,"",19)</f>
        <v/>
      </c>
      <c r="B38" t="str">
        <f>IF(A38="","",YEAR('Case Inputs'!$B$6)+A38)</f>
        <v/>
      </c>
      <c r="C38" s="7" t="str">
        <f t="shared" si="1"/>
        <v/>
      </c>
      <c r="D38" s="10" t="str">
        <f>IF(A38="","",IFERROR(INDEX('Discount Rates'!$C:$C,MATCH(TEXT(B38,"0"),'Discount Rates'!$A:$A,0))/100-IF($F$6=TRUE,$E$6,0),0))</f>
        <v/>
      </c>
      <c r="E38" s="7" t="str">
        <f t="shared" si="2"/>
        <v/>
      </c>
      <c r="F38" s="26" t="str">
        <f t="shared" si="3"/>
        <v/>
      </c>
      <c r="G38" s="7" t="str">
        <f t="shared" si="4"/>
        <v/>
      </c>
    </row>
    <row r="39" spans="1:7" x14ac:dyDescent="0.2">
      <c r="A39" t="str">
        <f>IF(20&gt;$E$4+1,"",20)</f>
        <v/>
      </c>
      <c r="B39" t="str">
        <f>IF(A39="","",YEAR('Case Inputs'!$B$6)+A39)</f>
        <v/>
      </c>
      <c r="C39" s="7" t="str">
        <f t="shared" si="1"/>
        <v/>
      </c>
      <c r="D39" s="10" t="str">
        <f>IF(A39="","",IFERROR(INDEX('Discount Rates'!$C:$C,MATCH(TEXT(B39,"0"),'Discount Rates'!$A:$A,0))/100-IF($F$6=TRUE,$E$6,0),0))</f>
        <v/>
      </c>
      <c r="E39" s="7" t="str">
        <f t="shared" si="2"/>
        <v/>
      </c>
      <c r="F39" s="26" t="str">
        <f t="shared" si="3"/>
        <v/>
      </c>
      <c r="G39" s="7" t="str">
        <f t="shared" si="4"/>
        <v/>
      </c>
    </row>
    <row r="40" spans="1:7"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row>
    <row r="41" spans="1:7"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row>
    <row r="42" spans="1:7"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row>
    <row r="43" spans="1:7"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row>
    <row r="44" spans="1:7"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row>
    <row r="45" spans="1:7"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row>
    <row r="46" spans="1:7"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row>
    <row r="47" spans="1:7"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row>
    <row r="48" spans="1:7"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row>
    <row r="49" spans="1:7"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row>
    <row r="50" spans="1:7"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row>
    <row r="51" spans="1:7"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row>
    <row r="52" spans="1:7"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row>
    <row r="53" spans="1:7"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row>
    <row r="54" spans="1:7"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row>
    <row r="55" spans="1:7"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row>
    <row r="56" spans="1:7"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row>
    <row r="57" spans="1:7"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row>
    <row r="58" spans="1:7"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row>
    <row r="59" spans="1:7"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row>
    <row r="60" spans="1:7"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row>
    <row r="61" spans="1:7"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row>
    <row r="62" spans="1:7"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row>
    <row r="63" spans="1:7"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row>
    <row r="64" spans="1:7"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row>
    <row r="65" spans="1:7"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row>
    <row r="66" spans="1:7"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row>
    <row r="67" spans="1:7"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row>
    <row r="68" spans="1:7"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row>
    <row r="69" spans="1:7"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row>
    <row r="70" spans="1:7" x14ac:dyDescent="0.2">
      <c r="D70" t="str">
        <f>IF(A70="","",IFERROR(INDEX('Discount Rates'!$C:$C,MATCH(TEXT(B70,"0"),'Discount Rates'!$A:$A,0))/100-IF($F$6=TRUE,$E$6,0),0))</f>
        <v/>
      </c>
      <c r="G70" s="7" t="str">
        <f t="shared" si="8"/>
        <v/>
      </c>
    </row>
    <row r="71" spans="1:7" x14ac:dyDescent="0.2">
      <c r="A71" s="19" t="s">
        <v>103</v>
      </c>
      <c r="E71" s="30">
        <f>SUM(E20:E69)</f>
        <v>1549130.8429897935</v>
      </c>
      <c r="G71" s="30">
        <f>SUM(G20:G70)</f>
        <v>1463354.7476056165</v>
      </c>
    </row>
    <row r="73" spans="1:7" x14ac:dyDescent="0.2">
      <c r="A73" s="19" t="s">
        <v>119</v>
      </c>
      <c r="E73" s="29">
        <f>E71+H17</f>
        <v>1923997.3306610263</v>
      </c>
      <c r="G73" s="30">
        <f>G17+G71</f>
        <v>1838221.2352768492</v>
      </c>
    </row>
  </sheetData>
  <mergeCells count="3">
    <mergeCell ref="A1:G1"/>
    <mergeCell ref="A7:G7"/>
    <mergeCell ref="A19:G19"/>
  </mergeCells>
  <dataValidations count="1">
    <dataValidation type="custom" allowBlank="1" showInputMessage="1" showErrorMessage="1" sqref="F5" xr:uid="{52BCA492-62C3-45FC-B6B0-6DBFF2F134CE}">
      <formula1>OR(F5=TRUE,F5=FALSE)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69F1-1E0D-46B8-9FB0-BCED903B8835}">
  <sheetPr>
    <tabColor rgb="FF9933FF"/>
  </sheetPr>
  <dimension ref="A1:AF73"/>
  <sheetViews>
    <sheetView workbookViewId="0">
      <selection activeCell="A2" sqref="A2"/>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42578125" bestFit="1" customWidth="1"/>
    <col min="6" max="6" width="15.140625" bestFit="1" customWidth="1"/>
    <col min="7" max="7" width="13.42578125" bestFit="1" customWidth="1"/>
    <col min="8" max="8" width="15.42578125" bestFit="1" customWidth="1"/>
  </cols>
  <sheetData>
    <row r="1" spans="1:32" ht="18" x14ac:dyDescent="0.25">
      <c r="A1" s="148" t="s">
        <v>458</v>
      </c>
      <c r="B1" s="130"/>
      <c r="C1" s="130"/>
      <c r="D1" s="130"/>
      <c r="E1" s="130"/>
      <c r="F1" s="130"/>
      <c r="G1" s="130"/>
    </row>
    <row r="3" spans="1:32" x14ac:dyDescent="0.2">
      <c r="A3" t="s">
        <v>98</v>
      </c>
      <c r="B3" s="42">
        <v>65777</v>
      </c>
      <c r="C3" t="s">
        <v>126</v>
      </c>
      <c r="D3" t="s">
        <v>97</v>
      </c>
      <c r="E3" s="39">
        <v>3.1E-2</v>
      </c>
      <c r="F3" t="s">
        <v>126</v>
      </c>
    </row>
    <row r="4" spans="1:32" x14ac:dyDescent="0.2">
      <c r="A4" t="s">
        <v>112</v>
      </c>
      <c r="B4">
        <f>'Case Inputs'!B21</f>
        <v>19.037645448323069</v>
      </c>
      <c r="D4" t="s">
        <v>99</v>
      </c>
      <c r="E4">
        <f>'Case Inputs'!B22</f>
        <v>19</v>
      </c>
    </row>
    <row r="5" spans="1:32" x14ac:dyDescent="0.2">
      <c r="A5" t="s">
        <v>100</v>
      </c>
      <c r="B5">
        <f>'Case Inputs'!B23</f>
        <v>3.764544832306882E-2</v>
      </c>
      <c r="D5" t="s">
        <v>221</v>
      </c>
      <c r="F5" s="53" t="b">
        <v>0</v>
      </c>
    </row>
    <row r="6" spans="1:32" x14ac:dyDescent="0.2">
      <c r="D6" t="s">
        <v>249</v>
      </c>
      <c r="E6">
        <f>E3</f>
        <v>3.1E-2</v>
      </c>
      <c r="F6" t="b">
        <v>1</v>
      </c>
    </row>
    <row r="7" spans="1:32" x14ac:dyDescent="0.2">
      <c r="A7" s="145" t="s">
        <v>115</v>
      </c>
      <c r="B7" s="130"/>
      <c r="C7" s="130"/>
      <c r="D7" s="130"/>
      <c r="E7" s="130"/>
      <c r="F7" s="130"/>
      <c r="G7" s="130"/>
      <c r="AE7" s="7"/>
      <c r="AF7" s="7"/>
    </row>
    <row r="8" spans="1:32" x14ac:dyDescent="0.2">
      <c r="A8" s="36" t="s">
        <v>0</v>
      </c>
      <c r="B8" s="36" t="s">
        <v>101</v>
      </c>
      <c r="C8" s="36" t="s">
        <v>116</v>
      </c>
      <c r="D8" s="36" t="str">
        <f>IF('Case Inputs'!$B$28="CPI Adjustment","CPI Index",IF('Case Inputs'!$B$28="Custom Rate","",""))</f>
        <v/>
      </c>
      <c r="E8" s="36" t="s">
        <v>129</v>
      </c>
      <c r="F8" s="36" t="s">
        <v>102</v>
      </c>
      <c r="G8" s="36" t="s">
        <v>125</v>
      </c>
      <c r="H8" s="19" t="s">
        <v>329</v>
      </c>
      <c r="AE8" s="7"/>
      <c r="AF8" s="7"/>
    </row>
    <row r="9" spans="1:32" x14ac:dyDescent="0.2">
      <c r="A9">
        <f>YEAR('Case Inputs'!$B$5)</f>
        <v>2021</v>
      </c>
      <c r="B9">
        <f>YEAR('Case Inputs'!$B$5)</f>
        <v>2021</v>
      </c>
      <c r="C9" s="7">
        <f>$B$3</f>
        <v>65777</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21805.526027397264</v>
      </c>
      <c r="H9" s="7">
        <f>C9*F9</f>
        <v>21805.526027397264</v>
      </c>
    </row>
    <row r="10" spans="1:32" x14ac:dyDescent="0.2">
      <c r="A10">
        <f>IF(YEAR('Case Inputs'!$B$6)-YEAR('Case Inputs'!$B$5)&gt;=2,YEAR('Case Inputs'!$B$5)+1,"")</f>
        <v>2022</v>
      </c>
      <c r="B10">
        <f>IF(A10="","",A10)</f>
        <v>2022</v>
      </c>
      <c r="C10" s="7">
        <f>C9*E10</f>
        <v>65777</v>
      </c>
      <c r="D10" s="38" t="str">
        <f>IF('Case Inputs'!$B$28="CPI Adjustment",IFERROR(INDEX('CPI Data'!$F$2:$F$5,MATCH(B10,'CPI Data'!$E$2:$E$5,0)),""),"")</f>
        <v/>
      </c>
      <c r="E10" s="26">
        <f>IF('Case Inputs'!$B$28="CPI Adjustment",D10/D9,IF('Case Inputs'!$B$28="No Adjustment",1,1+'Case Inputs'!$B$29))</f>
        <v>1</v>
      </c>
      <c r="F10">
        <v>1</v>
      </c>
      <c r="G10" s="7">
        <f>C10*F10*IF($F$5,1-$E$5,1)</f>
        <v>65777</v>
      </c>
      <c r="H10" s="7">
        <f t="shared" ref="H10:H15" si="0">C10*F10</f>
        <v>65777</v>
      </c>
    </row>
    <row r="11" spans="1:32" x14ac:dyDescent="0.2">
      <c r="A11">
        <f>IF(YEAR('Case Inputs'!$B$6)-YEAR('Case Inputs'!$B$5)&gt;=3,YEAR('Case Inputs'!$B$5)+2,"")</f>
        <v>2023</v>
      </c>
      <c r="B11">
        <f>IF(A11="","",A11)</f>
        <v>2023</v>
      </c>
      <c r="C11" s="7">
        <f>C10*E11</f>
        <v>65777</v>
      </c>
      <c r="D11" s="38" t="str">
        <f>IF('Case Inputs'!$B$28="CPI Adjustment",IFERROR(INDEX('CPI Data'!$F$2:$F$5,MATCH(B11,'CPI Data'!$E$2:$E$5,0)),""),"")</f>
        <v/>
      </c>
      <c r="E11" s="26">
        <f>IF('Case Inputs'!$B$28="CPI Adjustment",D11/D10,IF('Case Inputs'!$B$28="No Adjustment",1,1+'Case Inputs'!$B$29))</f>
        <v>1</v>
      </c>
      <c r="F11">
        <v>1</v>
      </c>
      <c r="G11" s="7">
        <f>C11*F11*IF($F$5,1-$E$5,1)</f>
        <v>65777</v>
      </c>
      <c r="H11" s="7">
        <f t="shared" si="0"/>
        <v>65777</v>
      </c>
    </row>
    <row r="12" spans="1:32" x14ac:dyDescent="0.2">
      <c r="A12">
        <f>IF(YEAR('Case Inputs'!$B$6)-YEAR('Case Inputs'!$B$5)&gt;=4,YEAR('Case Inputs'!$B$5)+3,"")</f>
        <v>2024</v>
      </c>
      <c r="B12">
        <f>IF(A12="","",A12)</f>
        <v>2024</v>
      </c>
      <c r="C12" s="7">
        <f>IF(A12="","",C11*E12)</f>
        <v>65777</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65777</v>
      </c>
      <c r="H12" s="7">
        <f t="shared" si="0"/>
        <v>65777</v>
      </c>
    </row>
    <row r="13" spans="1:32" x14ac:dyDescent="0.2">
      <c r="A13">
        <f>IF(YEAR('Case Inputs'!$B$6)-YEAR('Case Inputs'!$B$5)&gt;=5,YEAR('Case Inputs'!$B$5)+4,"")</f>
        <v>2025</v>
      </c>
      <c r="B13">
        <f>IF(A13="","",A13)</f>
        <v>2025</v>
      </c>
      <c r="C13" s="7">
        <f>IF(A13="","",C12*E13)</f>
        <v>65777</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65777</v>
      </c>
      <c r="H13" s="7">
        <f t="shared" si="0"/>
        <v>65777</v>
      </c>
    </row>
    <row r="15" spans="1:32" x14ac:dyDescent="0.2">
      <c r="A15">
        <v>2026</v>
      </c>
      <c r="B15">
        <v>2026</v>
      </c>
      <c r="C15" s="7">
        <f>IF(A13&lt;&gt;"",C13*E15,IF(A12&lt;&gt;"",C12*E15,IF(A11&lt;&gt;"",C11*E15,IF(A10&lt;&gt;"",C10*E15,C9*E15))))</f>
        <v>65777</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27211.85479452055</v>
      </c>
      <c r="H15" s="7">
        <f t="shared" si="0"/>
        <v>27211.85479452055</v>
      </c>
    </row>
    <row r="17" spans="1:8" x14ac:dyDescent="0.2">
      <c r="A17" s="19" t="s">
        <v>117</v>
      </c>
      <c r="G17" s="30">
        <f>SUM(G9:G15)</f>
        <v>312125.38082191779</v>
      </c>
      <c r="H17" s="100">
        <f>SUM(H9:H15)</f>
        <v>312125.38082191779</v>
      </c>
    </row>
    <row r="19" spans="1:8" s="46" customFormat="1" x14ac:dyDescent="0.2">
      <c r="A19" s="149" t="s">
        <v>148</v>
      </c>
      <c r="B19" s="149"/>
      <c r="C19" s="149"/>
      <c r="D19" s="149"/>
      <c r="E19" s="149"/>
      <c r="F19" s="149"/>
      <c r="G19" s="149"/>
    </row>
    <row r="20" spans="1:8" x14ac:dyDescent="0.2">
      <c r="A20">
        <f>IF(1&gt;$E$4+1,"",1)</f>
        <v>1</v>
      </c>
      <c r="B20">
        <f>IF(A20="","",YEAR('Case Inputs'!$B$6)+A20)</f>
        <v>2027</v>
      </c>
      <c r="C20" s="7">
        <f t="shared" ref="C20:C51" si="1">IF(A20="","",$C$15*(1+$E$3)^A20)</f>
        <v>67816.087</v>
      </c>
      <c r="D20" s="10">
        <f>IF(A20="","",IFERROR(INDEX('Discount Rates'!$C:$C,MATCH(TEXT(B20,"0"),'Discount Rates'!$A:$A,0))/100-IF($F$6=TRUE,$E$6,0),0))</f>
        <v>-7.9899999999999971E-3</v>
      </c>
      <c r="E20" s="7">
        <f t="shared" ref="E20:E51" si="2">IF(A20="","",C20/((1+D20)^A20))</f>
        <v>68362.30179131258</v>
      </c>
      <c r="F20" s="26">
        <f t="shared" ref="F20:F51" si="3">IF(A20="","",IF(A20&lt;=$E$4,1,IF(A20=$E$4+1,$B$5,0)))</f>
        <v>1</v>
      </c>
      <c r="G20" s="7">
        <f t="shared" ref="G20:G51" si="4">IF(A20="","",E20*F20*IF($F$5,1-$E$5,1))</f>
        <v>68362.30179131258</v>
      </c>
    </row>
    <row r="21" spans="1:8" x14ac:dyDescent="0.2">
      <c r="A21">
        <f>IF(2&gt;$E$4+1,"",2)</f>
        <v>2</v>
      </c>
      <c r="B21">
        <f>IF(A21="","",YEAR('Case Inputs'!$B$6)+A21)</f>
        <v>2028</v>
      </c>
      <c r="C21" s="7">
        <f t="shared" si="1"/>
        <v>69918.385696999991</v>
      </c>
      <c r="D21" s="10">
        <f>IF(A21="","",IFERROR(INDEX('Discount Rates'!$C:$C,MATCH(TEXT(B21,"0"),'Discount Rates'!$A:$A,0))/100-IF($F$6=TRUE,$E$6,0),0))</f>
        <v>-8.09E-3</v>
      </c>
      <c r="E21" s="7">
        <f t="shared" si="2"/>
        <v>71063.542846396129</v>
      </c>
      <c r="F21" s="26">
        <f t="shared" si="3"/>
        <v>1</v>
      </c>
      <c r="G21" s="7">
        <f t="shared" si="4"/>
        <v>71063.542846396129</v>
      </c>
    </row>
    <row r="22" spans="1:8" x14ac:dyDescent="0.2">
      <c r="A22">
        <f>IF(3&gt;$E$4+1,"",3)</f>
        <v>3</v>
      </c>
      <c r="B22">
        <f>IF(A22="","",YEAR('Case Inputs'!$B$6)+A22)</f>
        <v>2029</v>
      </c>
      <c r="C22" s="7">
        <f t="shared" si="1"/>
        <v>72085.855653606981</v>
      </c>
      <c r="D22" s="10">
        <f>IF(A22="","",IFERROR(INDEX('Discount Rates'!$C:$C,MATCH(TEXT(B22,"0"),'Discount Rates'!$A:$A,0))/100-IF($F$6=TRUE,$E$6,0),0))</f>
        <v>-8.1099999999999992E-3</v>
      </c>
      <c r="E22" s="7">
        <f t="shared" si="2"/>
        <v>73868.541196017293</v>
      </c>
      <c r="F22" s="26">
        <f t="shared" si="3"/>
        <v>1</v>
      </c>
      <c r="G22" s="7">
        <f t="shared" si="4"/>
        <v>73868.541196017293</v>
      </c>
    </row>
    <row r="23" spans="1:8" x14ac:dyDescent="0.2">
      <c r="A23">
        <f>IF(4&gt;$E$4+1,"",4)</f>
        <v>4</v>
      </c>
      <c r="B23">
        <f>IF(A23="","",YEAR('Case Inputs'!$B$6)+A23)</f>
        <v>2030</v>
      </c>
      <c r="C23" s="7">
        <f t="shared" si="1"/>
        <v>74320.517178868802</v>
      </c>
      <c r="D23" s="10">
        <f>IF(A23="","",IFERROR(INDEX('Discount Rates'!$C:$C,MATCH(TEXT(B23,"0"),'Discount Rates'!$A:$A,0))/100-IF($F$6=TRUE,$E$6,0),0))</f>
        <v>-7.5399999999999981E-3</v>
      </c>
      <c r="E23" s="7">
        <f t="shared" si="2"/>
        <v>76604.922056362484</v>
      </c>
      <c r="F23" s="26">
        <f t="shared" si="3"/>
        <v>1</v>
      </c>
      <c r="G23" s="7">
        <f t="shared" si="4"/>
        <v>76604.922056362484</v>
      </c>
    </row>
    <row r="24" spans="1:8" x14ac:dyDescent="0.2">
      <c r="A24">
        <f>IF(5&gt;$E$4+1,"",5)</f>
        <v>5</v>
      </c>
      <c r="B24">
        <f>IF(A24="","",YEAR('Case Inputs'!$B$6)+A24)</f>
        <v>2031</v>
      </c>
      <c r="C24" s="7">
        <f t="shared" si="1"/>
        <v>76624.453211413726</v>
      </c>
      <c r="D24" s="10">
        <f>IF(A24="","",IFERROR(INDEX('Discount Rates'!$C:$C,MATCH(TEXT(B24,"0"),'Discount Rates'!$A:$A,0))/100-IF($F$6=TRUE,$E$6,0),0))</f>
        <v>-7.0300000000000015E-3</v>
      </c>
      <c r="E24" s="7">
        <f t="shared" si="2"/>
        <v>79375.550505898093</v>
      </c>
      <c r="F24" s="26">
        <f t="shared" si="3"/>
        <v>1</v>
      </c>
      <c r="G24" s="7">
        <f t="shared" si="4"/>
        <v>79375.550505898093</v>
      </c>
    </row>
    <row r="25" spans="1:8" x14ac:dyDescent="0.2">
      <c r="A25">
        <f>IF(6&gt;$E$4+1,"",6)</f>
        <v>6</v>
      </c>
      <c r="B25">
        <f>IF(A25="","",YEAR('Case Inputs'!$B$6)+A25)</f>
        <v>2032</v>
      </c>
      <c r="C25" s="7">
        <f t="shared" si="1"/>
        <v>78999.811260967545</v>
      </c>
      <c r="D25" s="10">
        <f>IF(A25="","",IFERROR(INDEX('Discount Rates'!$C:$C,MATCH(TEXT(B25,"0"),'Discount Rates'!$A:$A,0))/100-IF($F$6=TRUE,$E$6,0),0))</f>
        <v>-6.1900000000000011E-3</v>
      </c>
      <c r="E25" s="7">
        <f t="shared" si="2"/>
        <v>81998.49457292477</v>
      </c>
      <c r="F25" s="26">
        <f t="shared" si="3"/>
        <v>1</v>
      </c>
      <c r="G25" s="7">
        <f t="shared" si="4"/>
        <v>81998.49457292477</v>
      </c>
    </row>
    <row r="26" spans="1:8" x14ac:dyDescent="0.2">
      <c r="A26">
        <f>IF(7&gt;$E$4+1,"",7)</f>
        <v>7</v>
      </c>
      <c r="B26">
        <f>IF(A26="","",YEAR('Case Inputs'!$B$6)+A26)</f>
        <v>2033</v>
      </c>
      <c r="C26" s="7">
        <f t="shared" si="1"/>
        <v>81448.805410057539</v>
      </c>
      <c r="D26" s="10">
        <f>IF(A26="","",IFERROR(INDEX('Discount Rates'!$C:$C,MATCH(TEXT(B26,"0"),'Discount Rates'!$A:$A,0))/100-IF($F$6=TRUE,$E$6,0),0))</f>
        <v>-5.1900000000000002E-3</v>
      </c>
      <c r="E26" s="7">
        <f t="shared" si="2"/>
        <v>84470.239090907358</v>
      </c>
      <c r="F26" s="26">
        <f t="shared" si="3"/>
        <v>1</v>
      </c>
      <c r="G26" s="7">
        <f t="shared" si="4"/>
        <v>84470.239090907358</v>
      </c>
    </row>
    <row r="27" spans="1:8" x14ac:dyDescent="0.2">
      <c r="A27">
        <f>IF(8&gt;$E$4+1,"",8)</f>
        <v>8</v>
      </c>
      <c r="B27">
        <f>IF(A27="","",YEAR('Case Inputs'!$B$6)+A27)</f>
        <v>2034</v>
      </c>
      <c r="C27" s="7">
        <f t="shared" si="1"/>
        <v>83973.718377769314</v>
      </c>
      <c r="D27" s="10">
        <f>IF(A27="","",IFERROR(INDEX('Discount Rates'!$C:$C,MATCH(TEXT(B27,"0"),'Discount Rates'!$A:$A,0))/100-IF($F$6=TRUE,$E$6,0),0))</f>
        <v>-4.5400000000000024E-3</v>
      </c>
      <c r="E27" s="7">
        <f t="shared" si="2"/>
        <v>87086.908666251533</v>
      </c>
      <c r="F27" s="26">
        <f t="shared" si="3"/>
        <v>1</v>
      </c>
      <c r="G27" s="7">
        <f t="shared" si="4"/>
        <v>87086.908666251533</v>
      </c>
    </row>
    <row r="28" spans="1:8" x14ac:dyDescent="0.2">
      <c r="A28">
        <f>IF(9&gt;$E$4+1,"",9)</f>
        <v>9</v>
      </c>
      <c r="B28">
        <f>IF(A28="","",YEAR('Case Inputs'!$B$6)+A28)</f>
        <v>2035</v>
      </c>
      <c r="C28" s="7">
        <f t="shared" si="1"/>
        <v>86576.903647480154</v>
      </c>
      <c r="D28" s="10">
        <f>IF(A28="","",IFERROR(INDEX('Discount Rates'!$C:$C,MATCH(TEXT(B28,"0"),'Discount Rates'!$A:$A,0))/100-IF($F$6=TRUE,$E$6,0),0))</f>
        <v>-3.6199999999999982E-3</v>
      </c>
      <c r="E28" s="7">
        <f t="shared" si="2"/>
        <v>89449.31848425552</v>
      </c>
      <c r="F28" s="26">
        <f t="shared" si="3"/>
        <v>1</v>
      </c>
      <c r="G28" s="7">
        <f t="shared" si="4"/>
        <v>89449.31848425552</v>
      </c>
    </row>
    <row r="29" spans="1:8" x14ac:dyDescent="0.2">
      <c r="A29">
        <f>IF(10&gt;$E$4+1,"",10)</f>
        <v>10</v>
      </c>
      <c r="B29">
        <f>IF(A29="","",YEAR('Case Inputs'!$B$6)+A29)</f>
        <v>2036</v>
      </c>
      <c r="C29" s="7">
        <f t="shared" si="1"/>
        <v>89260.787660552043</v>
      </c>
      <c r="D29" s="10">
        <f>IF(A29="","",IFERROR(INDEX('Discount Rates'!$C:$C,MATCH(TEXT(B29,"0"),'Discount Rates'!$A:$A,0))/100-IF($F$6=TRUE,$E$6,0),0))</f>
        <v>-2.579999999999999E-3</v>
      </c>
      <c r="E29" s="7">
        <f t="shared" si="2"/>
        <v>91596.734626084362</v>
      </c>
      <c r="F29" s="26">
        <f t="shared" si="3"/>
        <v>1</v>
      </c>
      <c r="G29" s="7">
        <f t="shared" si="4"/>
        <v>91596.734626084362</v>
      </c>
    </row>
    <row r="30" spans="1:8" x14ac:dyDescent="0.2">
      <c r="A30">
        <f>IF(11&gt;$E$4+1,"",11)</f>
        <v>11</v>
      </c>
      <c r="B30">
        <f>IF(A30="","",YEAR('Case Inputs'!$B$6)+A30)</f>
        <v>2037</v>
      </c>
      <c r="C30" s="7">
        <f t="shared" si="1"/>
        <v>92027.872078029148</v>
      </c>
      <c r="D30" s="10">
        <f>IF(A30="","",IFERROR(INDEX('Discount Rates'!$C:$C,MATCH(TEXT(B30,"0"),'Discount Rates'!$A:$A,0))/100-IF($F$6=TRUE,$E$6,0),0))</f>
        <v>-1.4499999999999999E-3</v>
      </c>
      <c r="E30" s="7">
        <f t="shared" si="2"/>
        <v>93508.567534060305</v>
      </c>
      <c r="F30" s="26">
        <f t="shared" si="3"/>
        <v>1</v>
      </c>
      <c r="G30" s="7">
        <f t="shared" si="4"/>
        <v>93508.567534060305</v>
      </c>
    </row>
    <row r="31" spans="1:8" x14ac:dyDescent="0.2">
      <c r="A31">
        <f>IF(12&gt;$E$4+1,"",12)</f>
        <v>12</v>
      </c>
      <c r="B31">
        <f>IF(A31="","",YEAR('Case Inputs'!$B$6)+A31)</f>
        <v>2038</v>
      </c>
      <c r="C31" s="7">
        <f t="shared" si="1"/>
        <v>94880.736112448052</v>
      </c>
      <c r="D31" s="10">
        <f>IF(A31="","",IFERROR(INDEX('Discount Rates'!$C:$C,MATCH(TEXT(B31,"0"),'Discount Rates'!$A:$A,0))/100-IF($F$6=TRUE,$E$6,0),0))</f>
        <v>-3.699999999999988E-4</v>
      </c>
      <c r="E31" s="7">
        <f t="shared" si="2"/>
        <v>95303.021488075596</v>
      </c>
      <c r="F31" s="26">
        <f t="shared" si="3"/>
        <v>1</v>
      </c>
      <c r="G31" s="7">
        <f t="shared" si="4"/>
        <v>95303.021488075596</v>
      </c>
    </row>
    <row r="32" spans="1:8" x14ac:dyDescent="0.2">
      <c r="A32">
        <f>IF(13&gt;$E$4+1,"",13)</f>
        <v>13</v>
      </c>
      <c r="B32">
        <f>IF(A32="","",YEAR('Case Inputs'!$B$6)+A32)</f>
        <v>2039</v>
      </c>
      <c r="C32" s="7">
        <f t="shared" si="1"/>
        <v>97822.038931933945</v>
      </c>
      <c r="D32" s="10">
        <f>IF(A32="","",IFERROR(INDEX('Discount Rates'!$C:$C,MATCH(TEXT(B32,"0"),'Discount Rates'!$A:$A,0))/100-IF($F$6=TRUE,$E$6,0),0))</f>
        <v>3.7000000000000227E-4</v>
      </c>
      <c r="E32" s="7">
        <f t="shared" si="2"/>
        <v>97352.731330666851</v>
      </c>
      <c r="F32" s="26">
        <f t="shared" si="3"/>
        <v>1</v>
      </c>
      <c r="G32" s="7">
        <f t="shared" si="4"/>
        <v>97352.731330666851</v>
      </c>
    </row>
    <row r="33" spans="1:7" x14ac:dyDescent="0.2">
      <c r="A33">
        <f>IF(14&gt;$E$4+1,"",14)</f>
        <v>14</v>
      </c>
      <c r="B33">
        <f>IF(A33="","",YEAR('Case Inputs'!$B$6)+A33)</f>
        <v>2040</v>
      </c>
      <c r="C33" s="7">
        <f t="shared" si="1"/>
        <v>100854.52213882387</v>
      </c>
      <c r="D33" s="10">
        <f>IF(A33="","",IFERROR(INDEX('Discount Rates'!$C:$C,MATCH(TEXT(B33,"0"),'Discount Rates'!$A:$A,0))/100-IF($F$6=TRUE,$E$6,0),0))</f>
        <v>1.4300000000000007E-3</v>
      </c>
      <c r="E33" s="7">
        <f t="shared" si="2"/>
        <v>98856.905377563657</v>
      </c>
      <c r="F33" s="26">
        <f t="shared" si="3"/>
        <v>1</v>
      </c>
      <c r="G33" s="7">
        <f t="shared" si="4"/>
        <v>98856.905377563657</v>
      </c>
    </row>
    <row r="34" spans="1:7" x14ac:dyDescent="0.2">
      <c r="A34">
        <f>IF(15&gt;$E$4+1,"",15)</f>
        <v>15</v>
      </c>
      <c r="B34">
        <f>IF(A34="","",YEAR('Case Inputs'!$B$6)+A34)</f>
        <v>2041</v>
      </c>
      <c r="C34" s="7">
        <f t="shared" si="1"/>
        <v>103981.01232512741</v>
      </c>
      <c r="D34" s="10">
        <f>IF(A34="","",IFERROR(INDEX('Discount Rates'!$C:$C,MATCH(TEXT(B34,"0"),'Discount Rates'!$A:$A,0))/100-IF($F$6=TRUE,$E$6,0),0))</f>
        <v>1.9699999999999995E-3</v>
      </c>
      <c r="E34" s="7">
        <f t="shared" si="2"/>
        <v>100956.26237476265</v>
      </c>
      <c r="F34" s="26">
        <f t="shared" si="3"/>
        <v>1</v>
      </c>
      <c r="G34" s="7">
        <f t="shared" si="4"/>
        <v>100956.26237476265</v>
      </c>
    </row>
    <row r="35" spans="1:7" x14ac:dyDescent="0.2">
      <c r="A35">
        <f>IF(16&gt;$E$4+1,"",16)</f>
        <v>16</v>
      </c>
      <c r="B35">
        <f>IF(A35="","",YEAR('Case Inputs'!$B$6)+A35)</f>
        <v>2042</v>
      </c>
      <c r="C35" s="7">
        <f t="shared" si="1"/>
        <v>107204.42370720636</v>
      </c>
      <c r="D35" s="10">
        <f>IF(A35="","",IFERROR(INDEX('Discount Rates'!$C:$C,MATCH(TEXT(B35,"0"),'Discount Rates'!$A:$A,0))/100-IF($F$6=TRUE,$E$6,0),0))</f>
        <v>3.040000000000001E-3</v>
      </c>
      <c r="E35" s="7">
        <f t="shared" si="2"/>
        <v>102122.31862427045</v>
      </c>
      <c r="F35" s="26">
        <f t="shared" si="3"/>
        <v>1</v>
      </c>
      <c r="G35" s="7">
        <f t="shared" si="4"/>
        <v>102122.31862427045</v>
      </c>
    </row>
    <row r="36" spans="1:7" x14ac:dyDescent="0.2">
      <c r="A36">
        <f>IF(17&gt;$E$4+1,"",17)</f>
        <v>17</v>
      </c>
      <c r="B36">
        <f>IF(A36="","",YEAR('Case Inputs'!$B$6)+A36)</f>
        <v>2043</v>
      </c>
      <c r="C36" s="7">
        <f t="shared" si="1"/>
        <v>110527.76084212975</v>
      </c>
      <c r="D36" s="10">
        <f>IF(A36="","",IFERROR(INDEX('Discount Rates'!$C:$C,MATCH(TEXT(B36,"0"),'Discount Rates'!$A:$A,0))/100-IF($F$6=TRUE,$E$6,0),0))</f>
        <v>4.3600000000000028E-3</v>
      </c>
      <c r="E36" s="7">
        <f t="shared" si="2"/>
        <v>102648.22301528249</v>
      </c>
      <c r="F36" s="26">
        <f t="shared" si="3"/>
        <v>1</v>
      </c>
      <c r="G36" s="7">
        <f t="shared" si="4"/>
        <v>102648.22301528249</v>
      </c>
    </row>
    <row r="37" spans="1:7" x14ac:dyDescent="0.2">
      <c r="A37">
        <f>IF(18&gt;$E$4+1,"",18)</f>
        <v>18</v>
      </c>
      <c r="B37">
        <f>IF(A37="","",YEAR('Case Inputs'!$B$6)+A37)</f>
        <v>2044</v>
      </c>
      <c r="C37" s="7">
        <f t="shared" si="1"/>
        <v>113954.12142823577</v>
      </c>
      <c r="D37" s="10">
        <f>IF(A37="","",IFERROR(INDEX('Discount Rates'!$C:$C,MATCH(TEXT(B37,"0"),'Discount Rates'!$A:$A,0))/100-IF($F$6=TRUE,$E$6,0),0))</f>
        <v>5.6800000000000045E-3</v>
      </c>
      <c r="E37" s="7">
        <f t="shared" si="2"/>
        <v>102909.00905273338</v>
      </c>
      <c r="F37" s="26">
        <f t="shared" si="3"/>
        <v>1</v>
      </c>
      <c r="G37" s="7">
        <f t="shared" si="4"/>
        <v>102909.00905273338</v>
      </c>
    </row>
    <row r="38" spans="1:7" x14ac:dyDescent="0.2">
      <c r="A38">
        <f>IF(19&gt;$E$4+1,"",19)</f>
        <v>19</v>
      </c>
      <c r="B38">
        <f>IF(A38="","",YEAR('Case Inputs'!$B$6)+A38)</f>
        <v>2045</v>
      </c>
      <c r="C38" s="7">
        <f t="shared" si="1"/>
        <v>117486.69919251105</v>
      </c>
      <c r="D38" s="10">
        <f>IF(A38="","",IFERROR(INDEX('Discount Rates'!$C:$C,MATCH(TEXT(B38,"0"),'Discount Rates'!$A:$A,0))/100-IF($F$6=TRUE,$E$6,0),0))</f>
        <v>7.0399999999999976E-3</v>
      </c>
      <c r="E38" s="7">
        <f t="shared" si="2"/>
        <v>102825.54000896207</v>
      </c>
      <c r="F38" s="26">
        <f t="shared" si="3"/>
        <v>1</v>
      </c>
      <c r="G38" s="7">
        <f t="shared" si="4"/>
        <v>102825.54000896207</v>
      </c>
    </row>
    <row r="39" spans="1:7" x14ac:dyDescent="0.2">
      <c r="A39">
        <f>IF(20&gt;$E$4+1,"",20)</f>
        <v>20</v>
      </c>
      <c r="B39">
        <f>IF(A39="","",YEAR('Case Inputs'!$B$6)+A39)</f>
        <v>2046</v>
      </c>
      <c r="C39" s="7">
        <f t="shared" si="1"/>
        <v>121128.78686747891</v>
      </c>
      <c r="D39" s="10">
        <f>IF(A39="","",IFERROR(INDEX('Discount Rates'!$C:$C,MATCH(TEXT(B39,"0"),'Discount Rates'!$A:$A,0))/100-IF($F$6=TRUE,$E$6,0),0))</f>
        <v>8.2699999999999996E-3</v>
      </c>
      <c r="E39" s="7">
        <f t="shared" si="2"/>
        <v>102733.11565578921</v>
      </c>
      <c r="F39" s="26">
        <f t="shared" si="3"/>
        <v>3.764544832306882E-2</v>
      </c>
      <c r="G39" s="7">
        <f t="shared" si="4"/>
        <v>3867.4341964878649</v>
      </c>
    </row>
    <row r="40" spans="1:7"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row>
    <row r="41" spans="1:7"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row>
    <row r="42" spans="1:7"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row>
    <row r="43" spans="1:7"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row>
    <row r="44" spans="1:7"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row>
    <row r="45" spans="1:7"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row>
    <row r="46" spans="1:7"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row>
    <row r="47" spans="1:7"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row>
    <row r="48" spans="1:7"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row>
    <row r="49" spans="1:7"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row>
    <row r="50" spans="1:7"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row>
    <row r="51" spans="1:7"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row>
    <row r="52" spans="1:7"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row>
    <row r="53" spans="1:7"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row>
    <row r="54" spans="1:7"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row>
    <row r="55" spans="1:7"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row>
    <row r="56" spans="1:7"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row>
    <row r="57" spans="1:7"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row>
    <row r="58" spans="1:7"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row>
    <row r="59" spans="1:7"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row>
    <row r="60" spans="1:7"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row>
    <row r="61" spans="1:7"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row>
    <row r="62" spans="1:7"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row>
    <row r="63" spans="1:7"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row>
    <row r="64" spans="1:7"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row>
    <row r="65" spans="1:7"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row>
    <row r="66" spans="1:7"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row>
    <row r="67" spans="1:7"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row>
    <row r="68" spans="1:7"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row>
    <row r="69" spans="1:7"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row>
    <row r="70" spans="1:7" x14ac:dyDescent="0.2">
      <c r="D70" t="str">
        <f>IF(A70="","",IFERROR(INDEX('Discount Rates'!$C:$C,MATCH(TEXT(B70,"0"),'Discount Rates'!$A:$A,0))/100-IF($F$6=TRUE,$E$6,0),0))</f>
        <v/>
      </c>
      <c r="G70" s="7" t="str">
        <f t="shared" si="8"/>
        <v/>
      </c>
    </row>
    <row r="71" spans="1:7" x14ac:dyDescent="0.2">
      <c r="A71" s="19" t="s">
        <v>103</v>
      </c>
      <c r="E71" s="30">
        <f>SUM(E20:E69)</f>
        <v>1803092.2482985768</v>
      </c>
      <c r="G71" s="30">
        <f>SUM(G20:G70)</f>
        <v>1704226.5668392754</v>
      </c>
    </row>
    <row r="73" spans="1:7" x14ac:dyDescent="0.2">
      <c r="A73" s="19" t="s">
        <v>119</v>
      </c>
      <c r="E73" s="29">
        <f>E71+H17</f>
        <v>2115217.6291204947</v>
      </c>
      <c r="G73" s="30">
        <f>G17+G71</f>
        <v>2016351.9476611931</v>
      </c>
    </row>
  </sheetData>
  <mergeCells count="3">
    <mergeCell ref="A1:G1"/>
    <mergeCell ref="A7:G7"/>
    <mergeCell ref="A19:G19"/>
  </mergeCells>
  <dataValidations count="1">
    <dataValidation type="custom" allowBlank="1" showInputMessage="1" showErrorMessage="1" sqref="F5" xr:uid="{366385A1-C44B-4593-AA6B-ABDDE01E2448}">
      <formula1>OR(F5=TRUE,F5=FALSE)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59882-B387-428E-97DE-3645F2D902E7}">
  <sheetPr>
    <tabColor theme="6" tint="0.79998168889431442"/>
  </sheetPr>
  <dimension ref="A1:AF73"/>
  <sheetViews>
    <sheetView topLeftCell="B1" workbookViewId="0">
      <selection activeCell="F5" sqref="F5"/>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42578125" bestFit="1" customWidth="1"/>
    <col min="6" max="6" width="15.140625" bestFit="1" customWidth="1"/>
    <col min="7" max="7" width="13.42578125" bestFit="1" customWidth="1"/>
    <col min="8" max="8" width="15.42578125" bestFit="1" customWidth="1"/>
  </cols>
  <sheetData>
    <row r="1" spans="1:32" ht="18" x14ac:dyDescent="0.25">
      <c r="A1" s="148" t="s">
        <v>144</v>
      </c>
      <c r="B1" s="130"/>
      <c r="C1" s="130"/>
      <c r="D1" s="130"/>
      <c r="E1" s="130"/>
      <c r="F1" s="130"/>
      <c r="G1" s="130"/>
    </row>
    <row r="3" spans="1:32" x14ac:dyDescent="0.2">
      <c r="A3" t="s">
        <v>98</v>
      </c>
      <c r="B3" s="42">
        <v>87666</v>
      </c>
      <c r="C3" t="s">
        <v>126</v>
      </c>
      <c r="D3" t="s">
        <v>97</v>
      </c>
      <c r="E3" s="39">
        <v>3.1E-2</v>
      </c>
      <c r="F3" t="s">
        <v>126</v>
      </c>
    </row>
    <row r="4" spans="1:32" x14ac:dyDescent="0.2">
      <c r="A4" t="s">
        <v>93</v>
      </c>
      <c r="B4">
        <f>'Case Inputs'!B18</f>
        <v>14.292566735112935</v>
      </c>
      <c r="D4" t="s">
        <v>99</v>
      </c>
      <c r="E4">
        <f>'Case Inputs'!B19</f>
        <v>14</v>
      </c>
    </row>
    <row r="5" spans="1:32" x14ac:dyDescent="0.2">
      <c r="A5" t="s">
        <v>100</v>
      </c>
      <c r="B5">
        <f>'Case Inputs'!B20</f>
        <v>0.29256673511293485</v>
      </c>
      <c r="D5" t="s">
        <v>221</v>
      </c>
      <c r="F5" s="53" t="b">
        <v>0</v>
      </c>
    </row>
    <row r="6" spans="1:32" x14ac:dyDescent="0.2">
      <c r="D6" t="s">
        <v>249</v>
      </c>
      <c r="E6">
        <f>E3</f>
        <v>3.1E-2</v>
      </c>
      <c r="F6" t="b">
        <v>1</v>
      </c>
    </row>
    <row r="7" spans="1:32" x14ac:dyDescent="0.2">
      <c r="A7" s="145" t="s">
        <v>115</v>
      </c>
      <c r="B7" s="130"/>
      <c r="C7" s="130"/>
      <c r="D7" s="130"/>
      <c r="E7" s="130"/>
      <c r="F7" s="130"/>
      <c r="G7" s="130"/>
      <c r="AE7" s="7"/>
      <c r="AF7" s="7"/>
    </row>
    <row r="8" spans="1:32" x14ac:dyDescent="0.2">
      <c r="A8" s="36" t="s">
        <v>0</v>
      </c>
      <c r="B8" s="36" t="s">
        <v>101</v>
      </c>
      <c r="C8" s="36" t="s">
        <v>116</v>
      </c>
      <c r="D8" s="36" t="str">
        <f>IF('Case Inputs'!$B$28="CPI Adjustment","CPI Index",IF('Case Inputs'!$B$28="Custom Rate","",""))</f>
        <v/>
      </c>
      <c r="E8" s="36" t="s">
        <v>129</v>
      </c>
      <c r="F8" s="36" t="s">
        <v>102</v>
      </c>
      <c r="G8" s="36" t="s">
        <v>125</v>
      </c>
      <c r="H8" s="19" t="s">
        <v>329</v>
      </c>
      <c r="AE8" s="7"/>
      <c r="AF8" s="7"/>
    </row>
    <row r="9" spans="1:32" x14ac:dyDescent="0.2">
      <c r="A9">
        <f>YEAR('Case Inputs'!$B$5)</f>
        <v>2021</v>
      </c>
      <c r="B9">
        <f>YEAR('Case Inputs'!$B$5)</f>
        <v>2021</v>
      </c>
      <c r="C9" s="7">
        <f>$B$3</f>
        <v>87666</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29061.879452054796</v>
      </c>
      <c r="H9" s="7">
        <f>C9*F9</f>
        <v>29061.879452054796</v>
      </c>
    </row>
    <row r="10" spans="1:32" x14ac:dyDescent="0.2">
      <c r="A10">
        <f>IF(YEAR('Case Inputs'!$B$6)-YEAR('Case Inputs'!$B$5)&gt;=2,YEAR('Case Inputs'!$B$5)+1,"")</f>
        <v>2022</v>
      </c>
      <c r="B10">
        <f>IF(A10="","",A10)</f>
        <v>2022</v>
      </c>
      <c r="C10" s="7">
        <f>C9*E10</f>
        <v>87666</v>
      </c>
      <c r="D10" s="38" t="str">
        <f>IF('Case Inputs'!$B$28="CPI Adjustment",IFERROR(INDEX('CPI Data'!$F$2:$F$5,MATCH(B10,'CPI Data'!$E$2:$E$5,0)),""),"")</f>
        <v/>
      </c>
      <c r="E10" s="26">
        <f>IF('Case Inputs'!$B$28="CPI Adjustment",D10/D9,IF('Case Inputs'!$B$28="No Adjustment",1,1+'Case Inputs'!$B$29))</f>
        <v>1</v>
      </c>
      <c r="F10">
        <v>1</v>
      </c>
      <c r="G10" s="7">
        <f>C10*F10*IF($F$5,1-$E$5,1)</f>
        <v>87666</v>
      </c>
      <c r="H10" s="7">
        <f t="shared" ref="H10:H15" si="0">C10*F10</f>
        <v>87666</v>
      </c>
    </row>
    <row r="11" spans="1:32" x14ac:dyDescent="0.2">
      <c r="A11">
        <f>IF(YEAR('Case Inputs'!$B$6)-YEAR('Case Inputs'!$B$5)&gt;=3,YEAR('Case Inputs'!$B$5)+2,"")</f>
        <v>2023</v>
      </c>
      <c r="B11">
        <f>IF(A11="","",A11)</f>
        <v>2023</v>
      </c>
      <c r="C11" s="7">
        <f>C10*E11</f>
        <v>87666</v>
      </c>
      <c r="D11" s="38" t="str">
        <f>IF('Case Inputs'!$B$28="CPI Adjustment",IFERROR(INDEX('CPI Data'!$F$2:$F$5,MATCH(B11,'CPI Data'!$E$2:$E$5,0)),""),"")</f>
        <v/>
      </c>
      <c r="E11" s="26">
        <f>IF('Case Inputs'!$B$28="CPI Adjustment",D11/D10,IF('Case Inputs'!$B$28="No Adjustment",1,1+'Case Inputs'!$B$29))</f>
        <v>1</v>
      </c>
      <c r="F11">
        <v>1</v>
      </c>
      <c r="G11" s="7">
        <f>C11*F11*IF($F$5,1-$E$5,1)</f>
        <v>87666</v>
      </c>
      <c r="H11" s="7">
        <f t="shared" si="0"/>
        <v>87666</v>
      </c>
    </row>
    <row r="12" spans="1:32" x14ac:dyDescent="0.2">
      <c r="A12">
        <f>IF(YEAR('Case Inputs'!$B$6)-YEAR('Case Inputs'!$B$5)&gt;=4,YEAR('Case Inputs'!$B$5)+3,"")</f>
        <v>2024</v>
      </c>
      <c r="B12">
        <f>IF(A12="","",A12)</f>
        <v>2024</v>
      </c>
      <c r="C12" s="7">
        <f>IF(A12="","",C11*E12)</f>
        <v>87666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87666</v>
      </c>
      <c r="H12" s="7">
        <f t="shared" si="0"/>
        <v>87666</v>
      </c>
    </row>
    <row r="13" spans="1:32" x14ac:dyDescent="0.2">
      <c r="A13">
        <f>IF(YEAR('Case Inputs'!$B$6)-YEAR('Case Inputs'!$B$5)&gt;=5,YEAR('Case Inputs'!$B$5)+4,"")</f>
        <v>2025</v>
      </c>
      <c r="B13">
        <f>IF(A13="","",A13)</f>
        <v>2025</v>
      </c>
      <c r="C13" s="7">
        <f>IF(A13="","",C12*E13)</f>
        <v>87666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87666</v>
      </c>
      <c r="H13" s="7">
        <f t="shared" si="0"/>
        <v>87666</v>
      </c>
    </row>
    <row r="15" spans="1:32" x14ac:dyDescent="0.2">
      <c r="A15">
        <v>2026</v>
      </c>
      <c r="B15">
        <v>2026</v>
      </c>
      <c r="C15" s="7">
        <f>IF(A13&lt;&gt;"",C13*E15,IF(A12&lt;&gt;"",C12*E15,IF(A11&lt;&gt;"",C11*E15,IF(A10&lt;&gt;"",C10*E15,C9*E15))))</f>
        <v>87666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36267.304109589044</v>
      </c>
      <c r="H15" s="7">
        <f t="shared" si="0"/>
        <v>36267.304109589044</v>
      </c>
    </row>
    <row r="17" spans="1:8" x14ac:dyDescent="0.2">
      <c r="A17" s="19" t="s">
        <v>117</v>
      </c>
      <c r="G17" s="30">
        <f>SUM(G9:G15)</f>
        <v>415993.18356164382</v>
      </c>
      <c r="H17" s="100">
        <f>SUM(H9:H15)</f>
        <v>415993.18356164382</v>
      </c>
    </row>
    <row r="19" spans="1:8" s="46" customFormat="1" x14ac:dyDescent="0.2">
      <c r="A19" s="149" t="s">
        <v>118</v>
      </c>
      <c r="B19" s="149"/>
      <c r="C19" s="149"/>
      <c r="D19" s="149"/>
      <c r="E19" s="149"/>
      <c r="F19" s="149"/>
      <c r="G19" s="149"/>
    </row>
    <row r="20" spans="1:8" x14ac:dyDescent="0.2">
      <c r="A20">
        <f>IF(1&gt;$E$4+1,"",1)</f>
        <v>1</v>
      </c>
      <c r="B20">
        <f>IF(A20="","",YEAR('Case Inputs'!$B$6)+A20)</f>
        <v>2027</v>
      </c>
      <c r="C20" s="7">
        <f t="shared" ref="C20:C51" si="1">IF(A20="","",$C$15*(1+$E$3)^A20)</f>
        <v>90383.645999999993</v>
      </c>
      <c r="D20" s="10">
        <f>IF(A20="","",IFERROR(INDEX('Discount Rates'!$C:$C,MATCH(TEXT(B20,"0"),'Discount Rates'!$A:$A,0))/100-IF($F$6=TRUE,$E$6,0),0))</f>
        <v>-7.9899999999999971E-3</v>
      </c>
      <c r="E20" s="7">
        <f t="shared" ref="E20:E51" si="2">IF(A20="","",C20/((1+D20)^A20))</f>
        <v>91111.627906976733</v>
      </c>
      <c r="F20" s="26">
        <f t="shared" ref="F20:F51" si="3">IF(A20="","",IF(A20&lt;=$E$4,1,IF(A20=$E$4+1,$B$5,0)))</f>
        <v>1</v>
      </c>
      <c r="G20" s="7">
        <f t="shared" ref="G20:G51" si="4">IF(A20="","",E20*F20*IF($F$5,1-$E$5,1))</f>
        <v>91111.627906976733</v>
      </c>
    </row>
    <row r="21" spans="1:8" x14ac:dyDescent="0.2">
      <c r="A21">
        <f>IF(2&gt;$E$4+1,"",2)</f>
        <v>2</v>
      </c>
      <c r="B21">
        <f>IF(A21="","",YEAR('Case Inputs'!$B$6)+A21)</f>
        <v>2028</v>
      </c>
      <c r="C21" s="7">
        <f t="shared" si="1"/>
        <v>93185.539025999984</v>
      </c>
      <c r="D21" s="10">
        <f>IF(A21="","",IFERROR(INDEX('Discount Rates'!$C:$C,MATCH(TEXT(B21,"0"),'Discount Rates'!$A:$A,0))/100-IF($F$6=TRUE,$E$6,0),0))</f>
        <v>-8.09E-3</v>
      </c>
      <c r="E21" s="7">
        <f t="shared" si="2"/>
        <v>94711.776869911395</v>
      </c>
      <c r="F21" s="26">
        <f t="shared" si="3"/>
        <v>1</v>
      </c>
      <c r="G21" s="7">
        <f t="shared" si="4"/>
        <v>94711.776869911395</v>
      </c>
    </row>
    <row r="22" spans="1:8" x14ac:dyDescent="0.2">
      <c r="A22">
        <f>IF(3&gt;$E$4+1,"",3)</f>
        <v>3</v>
      </c>
      <c r="B22">
        <f>IF(A22="","",YEAR('Case Inputs'!$B$6)+A22)</f>
        <v>2029</v>
      </c>
      <c r="C22" s="7">
        <f t="shared" si="1"/>
        <v>96074.290735805975</v>
      </c>
      <c r="D22" s="10">
        <f>IF(A22="","",IFERROR(INDEX('Discount Rates'!$C:$C,MATCH(TEXT(B22,"0"),'Discount Rates'!$A:$A,0))/100-IF($F$6=TRUE,$E$6,0),0))</f>
        <v>-8.1099999999999992E-3</v>
      </c>
      <c r="E22" s="7">
        <f t="shared" si="2"/>
        <v>98450.211053864608</v>
      </c>
      <c r="F22" s="26">
        <f t="shared" si="3"/>
        <v>1</v>
      </c>
      <c r="G22" s="7">
        <f t="shared" si="4"/>
        <v>98450.211053864608</v>
      </c>
    </row>
    <row r="23" spans="1:8" x14ac:dyDescent="0.2">
      <c r="A23">
        <f>IF(4&gt;$E$4+1,"",4)</f>
        <v>4</v>
      </c>
      <c r="B23">
        <f>IF(A23="","",YEAR('Case Inputs'!$B$6)+A23)</f>
        <v>2030</v>
      </c>
      <c r="C23" s="7">
        <f t="shared" si="1"/>
        <v>99052.593748615967</v>
      </c>
      <c r="D23" s="10">
        <f>IF(A23="","",IFERROR(INDEX('Discount Rates'!$C:$C,MATCH(TEXT(B23,"0"),'Discount Rates'!$A:$A,0))/100-IF($F$6=TRUE,$E$6,0),0))</f>
        <v>-7.5399999999999981E-3</v>
      </c>
      <c r="E23" s="7">
        <f t="shared" si="2"/>
        <v>102097.19350218274</v>
      </c>
      <c r="F23" s="26">
        <f t="shared" si="3"/>
        <v>1</v>
      </c>
      <c r="G23" s="7">
        <f t="shared" si="4"/>
        <v>102097.19350218274</v>
      </c>
    </row>
    <row r="24" spans="1:8" x14ac:dyDescent="0.2">
      <c r="A24">
        <f>IF(5&gt;$E$4+1,"",5)</f>
        <v>5</v>
      </c>
      <c r="B24">
        <f>IF(A24="","",YEAR('Case Inputs'!$B$6)+A24)</f>
        <v>2031</v>
      </c>
      <c r="C24" s="7">
        <f t="shared" si="1"/>
        <v>102123.22415482305</v>
      </c>
      <c r="D24" s="10">
        <f>IF(A24="","",IFERROR(INDEX('Discount Rates'!$C:$C,MATCH(TEXT(B24,"0"),'Discount Rates'!$A:$A,0))/100-IF($F$6=TRUE,$E$6,0),0))</f>
        <v>-7.0300000000000015E-3</v>
      </c>
      <c r="E24" s="7">
        <f t="shared" si="2"/>
        <v>105789.82031181207</v>
      </c>
      <c r="F24" s="26">
        <f t="shared" si="3"/>
        <v>1</v>
      </c>
      <c r="G24" s="7">
        <f t="shared" si="4"/>
        <v>105789.82031181207</v>
      </c>
    </row>
    <row r="25" spans="1:8" x14ac:dyDescent="0.2">
      <c r="A25">
        <f>IF(6&gt;$E$4+1,"",6)</f>
        <v>6</v>
      </c>
      <c r="B25">
        <f>IF(A25="","",YEAR('Case Inputs'!$B$6)+A25)</f>
        <v>2032</v>
      </c>
      <c r="C25" s="7">
        <f t="shared" si="1"/>
        <v>105289.04410362257</v>
      </c>
      <c r="D25" s="10">
        <f>IF(A25="","",IFERROR(INDEX('Discount Rates'!$C:$C,MATCH(TEXT(B25,"0"),'Discount Rates'!$A:$A,0))/100-IF($F$6=TRUE,$E$6,0),0))</f>
        <v>-6.1900000000000011E-3</v>
      </c>
      <c r="E25" s="7">
        <f t="shared" si="2"/>
        <v>109285.61693646752</v>
      </c>
      <c r="F25" s="26">
        <f t="shared" si="3"/>
        <v>1</v>
      </c>
      <c r="G25" s="7">
        <f t="shared" si="4"/>
        <v>109285.61693646752</v>
      </c>
    </row>
    <row r="26" spans="1:8" x14ac:dyDescent="0.2">
      <c r="A26">
        <f>IF(7&gt;$E$4+1,"",7)</f>
        <v>7</v>
      </c>
      <c r="B26">
        <f>IF(A26="","",YEAR('Case Inputs'!$B$6)+A26)</f>
        <v>2033</v>
      </c>
      <c r="C26" s="7">
        <f t="shared" si="1"/>
        <v>108553.00447083484</v>
      </c>
      <c r="D26" s="10">
        <f>IF(A26="","",IFERROR(INDEX('Discount Rates'!$C:$C,MATCH(TEXT(B26,"0"),'Discount Rates'!$A:$A,0))/100-IF($F$6=TRUE,$E$6,0),0))</f>
        <v>-5.1900000000000002E-3</v>
      </c>
      <c r="E26" s="7">
        <f t="shared" si="2"/>
        <v>112579.89844692648</v>
      </c>
      <c r="F26" s="26">
        <f t="shared" si="3"/>
        <v>1</v>
      </c>
      <c r="G26" s="7">
        <f t="shared" si="4"/>
        <v>112579.89844692648</v>
      </c>
    </row>
    <row r="27" spans="1:8" x14ac:dyDescent="0.2">
      <c r="A27">
        <f>IF(8&gt;$E$4+1,"",8)</f>
        <v>8</v>
      </c>
      <c r="B27">
        <f>IF(A27="","",YEAR('Case Inputs'!$B$6)+A27)</f>
        <v>2034</v>
      </c>
      <c r="C27" s="7">
        <f t="shared" si="1"/>
        <v>111918.14760943073</v>
      </c>
      <c r="D27" s="10">
        <f>IF(A27="","",IFERROR(INDEX('Discount Rates'!$C:$C,MATCH(TEXT(B27,"0"),'Discount Rates'!$A:$A,0))/100-IF($F$6=TRUE,$E$6,0),0))</f>
        <v>-4.5400000000000024E-3</v>
      </c>
      <c r="E27" s="7">
        <f t="shared" si="2"/>
        <v>116067.33258031847</v>
      </c>
      <c r="F27" s="26">
        <f t="shared" si="3"/>
        <v>1</v>
      </c>
      <c r="G27" s="7">
        <f t="shared" si="4"/>
        <v>116067.33258031847</v>
      </c>
    </row>
    <row r="28" spans="1:8" x14ac:dyDescent="0.2">
      <c r="A28">
        <f>IF(9&gt;$E$4+1,"",9)</f>
        <v>9</v>
      </c>
      <c r="B28">
        <f>IF(A28="","",YEAR('Case Inputs'!$B$6)+A28)</f>
        <v>2035</v>
      </c>
      <c r="C28" s="7">
        <f t="shared" si="1"/>
        <v>115387.61018532306</v>
      </c>
      <c r="D28" s="10">
        <f>IF(A28="","",IFERROR(INDEX('Discount Rates'!$C:$C,MATCH(TEXT(B28,"0"),'Discount Rates'!$A:$A,0))/100-IF($F$6=TRUE,$E$6,0),0))</f>
        <v>-3.6199999999999982E-3</v>
      </c>
      <c r="E28" s="7">
        <f t="shared" si="2"/>
        <v>119215.89543823439</v>
      </c>
      <c r="F28" s="26">
        <f t="shared" si="3"/>
        <v>1</v>
      </c>
      <c r="G28" s="7">
        <f t="shared" si="4"/>
        <v>119215.89543823439</v>
      </c>
    </row>
    <row r="29" spans="1:8" x14ac:dyDescent="0.2">
      <c r="A29">
        <f>IF(10&gt;$E$4+1,"",10)</f>
        <v>10</v>
      </c>
      <c r="B29">
        <f>IF(A29="","",YEAR('Case Inputs'!$B$6)+A29)</f>
        <v>2036</v>
      </c>
      <c r="C29" s="7">
        <f t="shared" si="1"/>
        <v>118964.62610106808</v>
      </c>
      <c r="D29" s="10">
        <f>IF(A29="","",IFERROR(INDEX('Discount Rates'!$C:$C,MATCH(TEXT(B29,"0"),'Discount Rates'!$A:$A,0))/100-IF($F$6=TRUE,$E$6,0),0))</f>
        <v>-2.579999999999999E-3</v>
      </c>
      <c r="E29" s="7">
        <f t="shared" si="2"/>
        <v>122077.91990711512</v>
      </c>
      <c r="F29" s="26">
        <f t="shared" si="3"/>
        <v>1</v>
      </c>
      <c r="G29" s="7">
        <f t="shared" si="4"/>
        <v>122077.91990711512</v>
      </c>
    </row>
    <row r="30" spans="1:8" x14ac:dyDescent="0.2">
      <c r="A30">
        <f>IF(11&gt;$E$4+1,"",11)</f>
        <v>11</v>
      </c>
      <c r="B30">
        <f>IF(A30="","",YEAR('Case Inputs'!$B$6)+A30)</f>
        <v>2037</v>
      </c>
      <c r="C30" s="7">
        <f t="shared" si="1"/>
        <v>122652.52951020117</v>
      </c>
      <c r="D30" s="10">
        <f>IF(A30="","",IFERROR(INDEX('Discount Rates'!$C:$C,MATCH(TEXT(B30,"0"),'Discount Rates'!$A:$A,0))/100-IF($F$6=TRUE,$E$6,0),0))</f>
        <v>-1.4499999999999999E-3</v>
      </c>
      <c r="E30" s="7">
        <f t="shared" si="2"/>
        <v>124625.96472081319</v>
      </c>
      <c r="F30" s="26">
        <f t="shared" si="3"/>
        <v>1</v>
      </c>
      <c r="G30" s="7">
        <f t="shared" si="4"/>
        <v>124625.96472081319</v>
      </c>
    </row>
    <row r="31" spans="1:8" x14ac:dyDescent="0.2">
      <c r="A31">
        <f>IF(12&gt;$E$4+1,"",12)</f>
        <v>12</v>
      </c>
      <c r="B31">
        <f>IF(A31="","",YEAR('Case Inputs'!$B$6)+A31)</f>
        <v>2038</v>
      </c>
      <c r="C31" s="7">
        <f t="shared" si="1"/>
        <v>126454.75792501742</v>
      </c>
      <c r="D31" s="10">
        <f>IF(A31="","",IFERROR(INDEX('Discount Rates'!$C:$C,MATCH(TEXT(B31,"0"),'Discount Rates'!$A:$A,0))/100-IF($F$6=TRUE,$E$6,0),0))</f>
        <v>-3.699999999999988E-4</v>
      </c>
      <c r="E31" s="7">
        <f t="shared" si="2"/>
        <v>127017.56969417326</v>
      </c>
      <c r="F31" s="26">
        <f t="shared" si="3"/>
        <v>1</v>
      </c>
      <c r="G31" s="7">
        <f t="shared" si="4"/>
        <v>127017.56969417326</v>
      </c>
    </row>
    <row r="32" spans="1:8" x14ac:dyDescent="0.2">
      <c r="A32">
        <f>IF(13&gt;$E$4+1,"",13)</f>
        <v>13</v>
      </c>
      <c r="B32">
        <f>IF(A32="","",YEAR('Case Inputs'!$B$6)+A32)</f>
        <v>2039</v>
      </c>
      <c r="C32" s="7">
        <f t="shared" si="1"/>
        <v>130374.85542069295</v>
      </c>
      <c r="D32" s="10">
        <f>IF(A32="","",IFERROR(INDEX('Discount Rates'!$C:$C,MATCH(TEXT(B32,"0"),'Discount Rates'!$A:$A,0))/100-IF($F$6=TRUE,$E$6,0),0))</f>
        <v>3.7000000000000227E-4</v>
      </c>
      <c r="E32" s="7">
        <f t="shared" si="2"/>
        <v>129749.37356270793</v>
      </c>
      <c r="F32" s="26">
        <f t="shared" si="3"/>
        <v>1</v>
      </c>
      <c r="G32" s="7">
        <f t="shared" si="4"/>
        <v>129749.37356270793</v>
      </c>
    </row>
    <row r="33" spans="1:7" x14ac:dyDescent="0.2">
      <c r="A33">
        <f>IF(14&gt;$E$4+1,"",14)</f>
        <v>14</v>
      </c>
      <c r="B33">
        <f>IF(A33="","",YEAR('Case Inputs'!$B$6)+A33)</f>
        <v>2040</v>
      </c>
      <c r="C33" s="7">
        <f t="shared" si="1"/>
        <v>134416.47593873442</v>
      </c>
      <c r="D33" s="10">
        <f>IF(A33="","",IFERROR(INDEX('Discount Rates'!$C:$C,MATCH(TEXT(B33,"0"),'Discount Rates'!$A:$A,0))/100-IF($F$6=TRUE,$E$6,0),0))</f>
        <v>1.4300000000000007E-3</v>
      </c>
      <c r="E33" s="7">
        <f t="shared" si="2"/>
        <v>131754.10047325806</v>
      </c>
      <c r="F33" s="26">
        <f t="shared" si="3"/>
        <v>1</v>
      </c>
      <c r="G33" s="7">
        <f t="shared" si="4"/>
        <v>131754.10047325806</v>
      </c>
    </row>
    <row r="34" spans="1:7" x14ac:dyDescent="0.2">
      <c r="A34">
        <f>IF(15&gt;$E$4+1,"",15)</f>
        <v>15</v>
      </c>
      <c r="B34">
        <f>IF(A34="","",YEAR('Case Inputs'!$B$6)+A34)</f>
        <v>2041</v>
      </c>
      <c r="C34" s="7">
        <f t="shared" si="1"/>
        <v>138583.38669283516</v>
      </c>
      <c r="D34" s="10">
        <f>IF(A34="","",IFERROR(INDEX('Discount Rates'!$C:$C,MATCH(TEXT(B34,"0"),'Discount Rates'!$A:$A,0))/100-IF($F$6=TRUE,$E$6,0),0))</f>
        <v>1.9699999999999995E-3</v>
      </c>
      <c r="E34" s="7">
        <f t="shared" si="2"/>
        <v>134552.07287267497</v>
      </c>
      <c r="F34" s="26">
        <f t="shared" si="3"/>
        <v>0.29256673511293485</v>
      </c>
      <c r="G34" s="7">
        <f t="shared" si="4"/>
        <v>39365.460663036203</v>
      </c>
    </row>
    <row r="35" spans="1:7" x14ac:dyDescent="0.2">
      <c r="A35" t="str">
        <f>IF(16&gt;$E$4+1,"",16)</f>
        <v/>
      </c>
      <c r="B35" t="str">
        <f>IF(A35="","",YEAR('Case Inputs'!$B$6)+A35)</f>
        <v/>
      </c>
      <c r="C35" s="7" t="str">
        <f t="shared" si="1"/>
        <v/>
      </c>
      <c r="D35" s="10" t="str">
        <f>IF(A35="","",IFERROR(INDEX('Discount Rates'!$C:$C,MATCH(TEXT(B35,"0"),'Discount Rates'!$A:$A,0))/100-IF($F$6=TRUE,$E$6,0),0))</f>
        <v/>
      </c>
      <c r="E35" s="7" t="str">
        <f t="shared" si="2"/>
        <v/>
      </c>
      <c r="F35" s="26" t="str">
        <f t="shared" si="3"/>
        <v/>
      </c>
      <c r="G35" s="7" t="str">
        <f t="shared" si="4"/>
        <v/>
      </c>
    </row>
    <row r="36" spans="1:7" x14ac:dyDescent="0.2">
      <c r="A36" t="str">
        <f>IF(17&gt;$E$4+1,"",17)</f>
        <v/>
      </c>
      <c r="B36" t="str">
        <f>IF(A36="","",YEAR('Case Inputs'!$B$6)+A36)</f>
        <v/>
      </c>
      <c r="C36" s="7" t="str">
        <f t="shared" si="1"/>
        <v/>
      </c>
      <c r="D36" s="10" t="str">
        <f>IF(A36="","",IFERROR(INDEX('Discount Rates'!$C:$C,MATCH(TEXT(B36,"0"),'Discount Rates'!$A:$A,0))/100-IF($F$6=TRUE,$E$6,0),0))</f>
        <v/>
      </c>
      <c r="E36" s="7" t="str">
        <f t="shared" si="2"/>
        <v/>
      </c>
      <c r="F36" s="26" t="str">
        <f t="shared" si="3"/>
        <v/>
      </c>
      <c r="G36" s="7" t="str">
        <f t="shared" si="4"/>
        <v/>
      </c>
    </row>
    <row r="37" spans="1:7" x14ac:dyDescent="0.2">
      <c r="A37" t="str">
        <f>IF(18&gt;$E$4+1,"",18)</f>
        <v/>
      </c>
      <c r="B37" t="str">
        <f>IF(A37="","",YEAR('Case Inputs'!$B$6)+A37)</f>
        <v/>
      </c>
      <c r="C37" s="7" t="str">
        <f t="shared" si="1"/>
        <v/>
      </c>
      <c r="D37" s="10" t="str">
        <f>IF(A37="","",IFERROR(INDEX('Discount Rates'!$C:$C,MATCH(TEXT(B37,"0"),'Discount Rates'!$A:$A,0))/100-IF($F$6=TRUE,$E$6,0),0))</f>
        <v/>
      </c>
      <c r="E37" s="7" t="str">
        <f t="shared" si="2"/>
        <v/>
      </c>
      <c r="F37" s="26" t="str">
        <f t="shared" si="3"/>
        <v/>
      </c>
      <c r="G37" s="7" t="str">
        <f t="shared" si="4"/>
        <v/>
      </c>
    </row>
    <row r="38" spans="1:7" x14ac:dyDescent="0.2">
      <c r="A38" t="str">
        <f>IF(19&gt;$E$4+1,"",19)</f>
        <v/>
      </c>
      <c r="B38" t="str">
        <f>IF(A38="","",YEAR('Case Inputs'!$B$6)+A38)</f>
        <v/>
      </c>
      <c r="C38" s="7" t="str">
        <f t="shared" si="1"/>
        <v/>
      </c>
      <c r="D38" s="10" t="str">
        <f>IF(A38="","",IFERROR(INDEX('Discount Rates'!$C:$C,MATCH(TEXT(B38,"0"),'Discount Rates'!$A:$A,0))/100-IF($F$6=TRUE,$E$6,0),0))</f>
        <v/>
      </c>
      <c r="E38" s="7" t="str">
        <f t="shared" si="2"/>
        <v/>
      </c>
      <c r="F38" s="26" t="str">
        <f t="shared" si="3"/>
        <v/>
      </c>
      <c r="G38" s="7" t="str">
        <f t="shared" si="4"/>
        <v/>
      </c>
    </row>
    <row r="39" spans="1:7" x14ac:dyDescent="0.2">
      <c r="A39" t="str">
        <f>IF(20&gt;$E$4+1,"",20)</f>
        <v/>
      </c>
      <c r="B39" t="str">
        <f>IF(A39="","",YEAR('Case Inputs'!$B$6)+A39)</f>
        <v/>
      </c>
      <c r="C39" s="7" t="str">
        <f t="shared" si="1"/>
        <v/>
      </c>
      <c r="D39" s="10" t="str">
        <f>IF(A39="","",IFERROR(INDEX('Discount Rates'!$C:$C,MATCH(TEXT(B39,"0"),'Discount Rates'!$A:$A,0))/100-IF($F$6=TRUE,$E$6,0),0))</f>
        <v/>
      </c>
      <c r="E39" s="7" t="str">
        <f t="shared" si="2"/>
        <v/>
      </c>
      <c r="F39" s="26" t="str">
        <f t="shared" si="3"/>
        <v/>
      </c>
      <c r="G39" s="7" t="str">
        <f t="shared" si="4"/>
        <v/>
      </c>
    </row>
    <row r="40" spans="1:7"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row>
    <row r="41" spans="1:7"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row>
    <row r="42" spans="1:7"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row>
    <row r="43" spans="1:7"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row>
    <row r="44" spans="1:7"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row>
    <row r="45" spans="1:7"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row>
    <row r="46" spans="1:7"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row>
    <row r="47" spans="1:7"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row>
    <row r="48" spans="1:7"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row>
    <row r="49" spans="1:7"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row>
    <row r="50" spans="1:7"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row>
    <row r="51" spans="1:7"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row>
    <row r="52" spans="1:7"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row>
    <row r="53" spans="1:7"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row>
    <row r="54" spans="1:7"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row>
    <row r="55" spans="1:7"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row>
    <row r="56" spans="1:7"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row>
    <row r="57" spans="1:7"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row>
    <row r="58" spans="1:7"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row>
    <row r="59" spans="1:7"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row>
    <row r="60" spans="1:7"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row>
    <row r="61" spans="1:7"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row>
    <row r="62" spans="1:7"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row>
    <row r="63" spans="1:7"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row>
    <row r="64" spans="1:7"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row>
    <row r="65" spans="1:7"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row>
    <row r="66" spans="1:7"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row>
    <row r="67" spans="1:7"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row>
    <row r="68" spans="1:7"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row>
    <row r="69" spans="1:7"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row>
    <row r="70" spans="1:7" x14ac:dyDescent="0.2">
      <c r="D70" t="str">
        <f>IF(A70="","",IFERROR(INDEX('Discount Rates'!$C:$C,MATCH(TEXT(B70,"0"),'Discount Rates'!$A:$A,0))/100-IF($F$6=TRUE,$E$6,0),0))</f>
        <v/>
      </c>
      <c r="G70" s="7" t="str">
        <f t="shared" si="8"/>
        <v/>
      </c>
    </row>
    <row r="71" spans="1:7" x14ac:dyDescent="0.2">
      <c r="A71" s="19" t="s">
        <v>103</v>
      </c>
      <c r="E71" s="30">
        <f>SUM(E20:E69)</f>
        <v>1719086.3742774371</v>
      </c>
      <c r="F71" s="30"/>
      <c r="G71" s="30">
        <f>SUM(G20:G70)</f>
        <v>1623899.7620677983</v>
      </c>
    </row>
    <row r="73" spans="1:7" x14ac:dyDescent="0.2">
      <c r="A73" s="19" t="s">
        <v>119</v>
      </c>
      <c r="E73" s="29">
        <f>E71+H17</f>
        <v>2135079.5578390807</v>
      </c>
      <c r="G73" s="30">
        <f>G17+G71</f>
        <v>2039892.9456294421</v>
      </c>
    </row>
  </sheetData>
  <mergeCells count="3">
    <mergeCell ref="A1:G1"/>
    <mergeCell ref="A7:G7"/>
    <mergeCell ref="A19:G19"/>
  </mergeCells>
  <dataValidations count="1">
    <dataValidation type="custom" allowBlank="1" showInputMessage="1" showErrorMessage="1" sqref="F5" xr:uid="{30A43CB8-200D-4AEE-A856-07513BF74509}">
      <formula1>OR(F5=TRUE,F5=FALSE)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43C0-9BDA-4174-9772-0BBC9604BF8E}">
  <sheetPr>
    <tabColor rgb="FFCC0000"/>
  </sheetPr>
  <dimension ref="A1:AF73"/>
  <sheetViews>
    <sheetView workbookViewId="0">
      <selection activeCell="F5" sqref="F5"/>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42578125" bestFit="1" customWidth="1"/>
    <col min="6" max="6" width="15.140625" bestFit="1" customWidth="1"/>
    <col min="7" max="7" width="13.42578125" bestFit="1" customWidth="1"/>
    <col min="8" max="8" width="15.42578125" bestFit="1" customWidth="1"/>
  </cols>
  <sheetData>
    <row r="1" spans="1:32" ht="18" x14ac:dyDescent="0.25">
      <c r="A1" s="148" t="s">
        <v>145</v>
      </c>
      <c r="B1" s="130"/>
      <c r="C1" s="130"/>
      <c r="D1" s="130"/>
      <c r="E1" s="130"/>
      <c r="F1" s="130"/>
      <c r="G1" s="130"/>
    </row>
    <row r="3" spans="1:32" x14ac:dyDescent="0.2">
      <c r="A3" t="s">
        <v>98</v>
      </c>
      <c r="B3" s="42">
        <v>32000</v>
      </c>
      <c r="C3" t="s">
        <v>126</v>
      </c>
      <c r="D3" t="s">
        <v>97</v>
      </c>
      <c r="E3" s="39">
        <v>3.1E-2</v>
      </c>
      <c r="F3" t="s">
        <v>126</v>
      </c>
    </row>
    <row r="4" spans="1:32" x14ac:dyDescent="0.2">
      <c r="A4" t="s">
        <v>112</v>
      </c>
      <c r="B4">
        <f>'Case Inputs'!B21</f>
        <v>19.037645448323069</v>
      </c>
      <c r="D4" t="s">
        <v>99</v>
      </c>
      <c r="E4">
        <f>'Case Inputs'!B22</f>
        <v>19</v>
      </c>
    </row>
    <row r="5" spans="1:32" x14ac:dyDescent="0.2">
      <c r="A5" t="s">
        <v>100</v>
      </c>
      <c r="B5">
        <f>'Case Inputs'!B23</f>
        <v>3.764544832306882E-2</v>
      </c>
      <c r="D5" t="s">
        <v>221</v>
      </c>
      <c r="E5" s="64">
        <v>0.35</v>
      </c>
      <c r="F5" s="53" t="b">
        <v>1</v>
      </c>
    </row>
    <row r="6" spans="1:32" x14ac:dyDescent="0.2">
      <c r="D6" t="s">
        <v>249</v>
      </c>
      <c r="E6">
        <f>E3</f>
        <v>3.1E-2</v>
      </c>
      <c r="F6" t="b">
        <v>1</v>
      </c>
    </row>
    <row r="7" spans="1:32" x14ac:dyDescent="0.2">
      <c r="A7" s="145" t="s">
        <v>115</v>
      </c>
      <c r="B7" s="130"/>
      <c r="C7" s="130"/>
      <c r="D7" s="130"/>
      <c r="E7" s="130"/>
      <c r="F7" s="130"/>
      <c r="G7" s="130"/>
      <c r="AE7" s="7"/>
      <c r="AF7" s="7"/>
    </row>
    <row r="8" spans="1:32" x14ac:dyDescent="0.2">
      <c r="A8" s="36" t="s">
        <v>0</v>
      </c>
      <c r="B8" s="36" t="s">
        <v>101</v>
      </c>
      <c r="C8" s="36" t="s">
        <v>116</v>
      </c>
      <c r="D8" s="36" t="str">
        <f>IF('Case Inputs'!$B$28="CPI Adjustment","CPI Index",IF('Case Inputs'!$B$28="Custom Rate","",""))</f>
        <v/>
      </c>
      <c r="E8" s="36" t="s">
        <v>129</v>
      </c>
      <c r="F8" s="36" t="s">
        <v>102</v>
      </c>
      <c r="G8" s="36" t="s">
        <v>125</v>
      </c>
      <c r="H8" s="19" t="s">
        <v>329</v>
      </c>
      <c r="AE8" s="7"/>
      <c r="AF8" s="7"/>
    </row>
    <row r="9" spans="1:32" x14ac:dyDescent="0.2">
      <c r="A9">
        <f>YEAR('Case Inputs'!$B$5)</f>
        <v>2021</v>
      </c>
      <c r="B9">
        <f>YEAR('Case Inputs'!$B$5)</f>
        <v>2021</v>
      </c>
      <c r="C9" s="7">
        <f>$B$3</f>
        <v>32000</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6895.3424657534251</v>
      </c>
      <c r="H9" s="7">
        <f>C9*F9</f>
        <v>10608.219178082192</v>
      </c>
    </row>
    <row r="10" spans="1:32" x14ac:dyDescent="0.2">
      <c r="A10">
        <f>IF(YEAR('Case Inputs'!$B$6)-YEAR('Case Inputs'!$B$5)&gt;=2,YEAR('Case Inputs'!$B$5)+1,"")</f>
        <v>2022</v>
      </c>
      <c r="B10">
        <f>IF(A10="","",A10)</f>
        <v>2022</v>
      </c>
      <c r="C10" s="7">
        <f>C9*E10</f>
        <v>32000</v>
      </c>
      <c r="D10" s="38" t="str">
        <f>IF('Case Inputs'!$B$28="CPI Adjustment",IFERROR(INDEX('CPI Data'!$F$2:$F$5,MATCH(B10,'CPI Data'!$E$2:$E$5,0)),""),"")</f>
        <v/>
      </c>
      <c r="E10" s="26">
        <f>IF('Case Inputs'!$B$28="CPI Adjustment",D10/D9,IF('Case Inputs'!$B$28="No Adjustment",1,1+'Case Inputs'!$B$29))</f>
        <v>1</v>
      </c>
      <c r="F10">
        <v>1</v>
      </c>
      <c r="G10" s="7">
        <f>C10*F10*IF($F$5,1-$E$5,1)</f>
        <v>20800</v>
      </c>
      <c r="H10" s="7">
        <f t="shared" ref="H10:H15" si="0">C10*F10</f>
        <v>32000</v>
      </c>
    </row>
    <row r="11" spans="1:32" x14ac:dyDescent="0.2">
      <c r="A11">
        <f>IF(YEAR('Case Inputs'!$B$6)-YEAR('Case Inputs'!$B$5)&gt;=3,YEAR('Case Inputs'!$B$5)+2,"")</f>
        <v>2023</v>
      </c>
      <c r="B11">
        <f>IF(A11="","",A11)</f>
        <v>2023</v>
      </c>
      <c r="C11" s="7">
        <f>C10*E11</f>
        <v>32000</v>
      </c>
      <c r="D11" s="38" t="str">
        <f>IF('Case Inputs'!$B$28="CPI Adjustment",IFERROR(INDEX('CPI Data'!$F$2:$F$5,MATCH(B11,'CPI Data'!$E$2:$E$5,0)),""),"")</f>
        <v/>
      </c>
      <c r="E11" s="26">
        <f>IF('Case Inputs'!$B$28="CPI Adjustment",D11/D10,IF('Case Inputs'!$B$28="No Adjustment",1,1+'Case Inputs'!$B$29))</f>
        <v>1</v>
      </c>
      <c r="F11">
        <v>1</v>
      </c>
      <c r="G11" s="7">
        <f>C11*F11*IF($F$5,1-$E$5,1)</f>
        <v>20800</v>
      </c>
      <c r="H11" s="7">
        <f t="shared" si="0"/>
        <v>32000</v>
      </c>
    </row>
    <row r="12" spans="1:32" x14ac:dyDescent="0.2">
      <c r="A12">
        <f>IF(YEAR('Case Inputs'!$B$6)-YEAR('Case Inputs'!$B$5)&gt;=4,YEAR('Case Inputs'!$B$5)+3,"")</f>
        <v>2024</v>
      </c>
      <c r="B12">
        <f>IF(A12="","",A12)</f>
        <v>2024</v>
      </c>
      <c r="C12" s="7">
        <f>IF(A12="","",C11*E12)</f>
        <v>32000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20800</v>
      </c>
      <c r="H12" s="7">
        <f t="shared" si="0"/>
        <v>32000</v>
      </c>
    </row>
    <row r="13" spans="1:32" x14ac:dyDescent="0.2">
      <c r="A13">
        <f>IF(YEAR('Case Inputs'!$B$6)-YEAR('Case Inputs'!$B$5)&gt;=5,YEAR('Case Inputs'!$B$5)+4,"")</f>
        <v>2025</v>
      </c>
      <c r="B13">
        <f>IF(A13="","",A13)</f>
        <v>2025</v>
      </c>
      <c r="C13" s="7">
        <f>IF(A13="","",C12*E13)</f>
        <v>32000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20800</v>
      </c>
      <c r="H13" s="7">
        <f t="shared" si="0"/>
        <v>32000</v>
      </c>
    </row>
    <row r="15" spans="1:32" x14ac:dyDescent="0.2">
      <c r="A15">
        <v>2026</v>
      </c>
      <c r="B15">
        <v>2026</v>
      </c>
      <c r="C15" s="7">
        <f>IF(A13&lt;&gt;"",C13*E15,IF(A12&lt;&gt;"",C12*E15,IF(A11&lt;&gt;"",C11*E15,IF(A10&lt;&gt;"",C10*E15,C9*E15))))</f>
        <v>32000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8604.9315068493161</v>
      </c>
      <c r="H15" s="7">
        <f t="shared" si="0"/>
        <v>13238.356164383562</v>
      </c>
    </row>
    <row r="17" spans="1:8" x14ac:dyDescent="0.2">
      <c r="A17" s="19" t="s">
        <v>117</v>
      </c>
      <c r="G17" s="30">
        <f>SUM(G9:G15)</f>
        <v>98700.27397260275</v>
      </c>
      <c r="H17" s="100">
        <f>SUM(H9:H15)</f>
        <v>151846.57534246575</v>
      </c>
    </row>
    <row r="19" spans="1:8" s="46" customFormat="1" x14ac:dyDescent="0.2">
      <c r="A19" s="149" t="s">
        <v>148</v>
      </c>
      <c r="B19" s="149"/>
      <c r="C19" s="149"/>
      <c r="D19" s="149"/>
      <c r="E19" s="149"/>
      <c r="F19" s="149"/>
      <c r="G19" s="149"/>
    </row>
    <row r="20" spans="1:8" x14ac:dyDescent="0.2">
      <c r="A20">
        <f>IF(1&gt;$E$4+1,"",1)</f>
        <v>1</v>
      </c>
      <c r="B20">
        <f>IF(A20="","",YEAR('Case Inputs'!$B$6)+A20)</f>
        <v>2027</v>
      </c>
      <c r="C20" s="7">
        <f t="shared" ref="C20:C51" si="1">IF(A20="","",$C$15*(1+$E$3)^A20)</f>
        <v>32992</v>
      </c>
      <c r="D20" s="10">
        <f>IF(A20="","",IFERROR(INDEX('Discount Rates'!$C:$C,MATCH(TEXT(B20,"0"),'Discount Rates'!$A:$A,0))/100-IF($F$6=TRUE,$E$6,0),0))</f>
        <v>-7.9899999999999971E-3</v>
      </c>
      <c r="E20" s="7">
        <f t="shared" ref="E20:E51" si="2">IF(A20="","",C20/((1+D20)^A20))</f>
        <v>33257.729256761522</v>
      </c>
      <c r="F20" s="26">
        <f t="shared" ref="F20:F51" si="3">IF(A20="","",IF(A20&lt;=$E$4,1,IF(A20=$E$4+1,$B$5,0)))</f>
        <v>1</v>
      </c>
      <c r="G20" s="7">
        <f t="shared" ref="G20:G51" si="4">IF(A20="","",E20*F20*IF($F$5,1-$E$5,1))</f>
        <v>21617.524016894989</v>
      </c>
    </row>
    <row r="21" spans="1:8" x14ac:dyDescent="0.2">
      <c r="A21">
        <f>IF(2&gt;$E$4+1,"",2)</f>
        <v>2</v>
      </c>
      <c r="B21">
        <f>IF(A21="","",YEAR('Case Inputs'!$B$6)+A21)</f>
        <v>2028</v>
      </c>
      <c r="C21" s="7">
        <f t="shared" si="1"/>
        <v>34014.751999999993</v>
      </c>
      <c r="D21" s="10">
        <f>IF(A21="","",IFERROR(INDEX('Discount Rates'!$C:$C,MATCH(TEXT(B21,"0"),'Discount Rates'!$A:$A,0))/100-IF($F$6=TRUE,$E$6,0),0))</f>
        <v>-8.09E-3</v>
      </c>
      <c r="E21" s="7">
        <f t="shared" si="2"/>
        <v>34571.862065534697</v>
      </c>
      <c r="F21" s="26">
        <f t="shared" si="3"/>
        <v>1</v>
      </c>
      <c r="G21" s="7">
        <f t="shared" si="4"/>
        <v>22471.710342597555</v>
      </c>
    </row>
    <row r="22" spans="1:8" x14ac:dyDescent="0.2">
      <c r="A22">
        <f>IF(3&gt;$E$4+1,"",3)</f>
        <v>3</v>
      </c>
      <c r="B22">
        <f>IF(A22="","",YEAR('Case Inputs'!$B$6)+A22)</f>
        <v>2029</v>
      </c>
      <c r="C22" s="7">
        <f t="shared" si="1"/>
        <v>35069.209311999992</v>
      </c>
      <c r="D22" s="10">
        <f>IF(A22="","",IFERROR(INDEX('Discount Rates'!$C:$C,MATCH(TEXT(B22,"0"),'Discount Rates'!$A:$A,0))/100-IF($F$6=TRUE,$E$6,0),0))</f>
        <v>-8.1099999999999992E-3</v>
      </c>
      <c r="E22" s="7">
        <f t="shared" si="2"/>
        <v>35936.471992832652</v>
      </c>
      <c r="F22" s="26">
        <f t="shared" si="3"/>
        <v>1</v>
      </c>
      <c r="G22" s="7">
        <f t="shared" si="4"/>
        <v>23358.706795341226</v>
      </c>
    </row>
    <row r="23" spans="1:8" x14ac:dyDescent="0.2">
      <c r="A23">
        <f>IF(4&gt;$E$4+1,"",4)</f>
        <v>4</v>
      </c>
      <c r="B23">
        <f>IF(A23="","",YEAR('Case Inputs'!$B$6)+A23)</f>
        <v>2030</v>
      </c>
      <c r="C23" s="7">
        <f t="shared" si="1"/>
        <v>36156.354800671994</v>
      </c>
      <c r="D23" s="10">
        <f>IF(A23="","",IFERROR(INDEX('Discount Rates'!$C:$C,MATCH(TEXT(B23,"0"),'Discount Rates'!$A:$A,0))/100-IF($F$6=TRUE,$E$6,0),0))</f>
        <v>-7.5399999999999981E-3</v>
      </c>
      <c r="E23" s="7">
        <f t="shared" si="2"/>
        <v>37267.700044143086</v>
      </c>
      <c r="F23" s="26">
        <f t="shared" si="3"/>
        <v>1</v>
      </c>
      <c r="G23" s="7">
        <f t="shared" si="4"/>
        <v>24224.005028693005</v>
      </c>
    </row>
    <row r="24" spans="1:8" x14ac:dyDescent="0.2">
      <c r="A24">
        <f>IF(5&gt;$E$4+1,"",5)</f>
        <v>5</v>
      </c>
      <c r="B24">
        <f>IF(A24="","",YEAR('Case Inputs'!$B$6)+A24)</f>
        <v>2031</v>
      </c>
      <c r="C24" s="7">
        <f t="shared" si="1"/>
        <v>37277.201799492825</v>
      </c>
      <c r="D24" s="10">
        <f>IF(A24="","",IFERROR(INDEX('Discount Rates'!$C:$C,MATCH(TEXT(B24,"0"),'Discount Rates'!$A:$A,0))/100-IF($F$6=TRUE,$E$6,0),0))</f>
        <v>-7.0300000000000015E-3</v>
      </c>
      <c r="E24" s="7">
        <f t="shared" si="2"/>
        <v>38615.589281796667</v>
      </c>
      <c r="F24" s="26">
        <f t="shared" si="3"/>
        <v>1</v>
      </c>
      <c r="G24" s="7">
        <f t="shared" si="4"/>
        <v>25100.133033167833</v>
      </c>
    </row>
    <row r="25" spans="1:8" x14ac:dyDescent="0.2">
      <c r="A25">
        <f>IF(6&gt;$E$4+1,"",6)</f>
        <v>6</v>
      </c>
      <c r="B25">
        <f>IF(A25="","",YEAR('Case Inputs'!$B$6)+A25)</f>
        <v>2032</v>
      </c>
      <c r="C25" s="7">
        <f t="shared" si="1"/>
        <v>38432.7950552771</v>
      </c>
      <c r="D25" s="10">
        <f>IF(A25="","",IFERROR(INDEX('Discount Rates'!$C:$C,MATCH(TEXT(B25,"0"),'Discount Rates'!$A:$A,0))/100-IF($F$6=TRUE,$E$6,0),0))</f>
        <v>-6.1900000000000011E-3</v>
      </c>
      <c r="E25" s="7">
        <f t="shared" si="2"/>
        <v>39891.631213548702</v>
      </c>
      <c r="F25" s="26">
        <f t="shared" si="3"/>
        <v>1</v>
      </c>
      <c r="G25" s="7">
        <f t="shared" si="4"/>
        <v>25929.560288806657</v>
      </c>
    </row>
    <row r="26" spans="1:8" x14ac:dyDescent="0.2">
      <c r="A26">
        <f>IF(7&gt;$E$4+1,"",7)</f>
        <v>7</v>
      </c>
      <c r="B26">
        <f>IF(A26="","",YEAR('Case Inputs'!$B$6)+A26)</f>
        <v>2033</v>
      </c>
      <c r="C26" s="7">
        <f t="shared" si="1"/>
        <v>39624.21170199068</v>
      </c>
      <c r="D26" s="10">
        <f>IF(A26="","",IFERROR(INDEX('Discount Rates'!$C:$C,MATCH(TEXT(B26,"0"),'Discount Rates'!$A:$A,0))/100-IF($F$6=TRUE,$E$6,0),0))</f>
        <v>-5.1900000000000002E-3</v>
      </c>
      <c r="E26" s="7">
        <f t="shared" si="2"/>
        <v>41094.115738161287</v>
      </c>
      <c r="F26" s="26">
        <f t="shared" si="3"/>
        <v>1</v>
      </c>
      <c r="G26" s="7">
        <f t="shared" si="4"/>
        <v>26711.175229804838</v>
      </c>
    </row>
    <row r="27" spans="1:8" x14ac:dyDescent="0.2">
      <c r="A27">
        <f>IF(8&gt;$E$4+1,"",8)</f>
        <v>8</v>
      </c>
      <c r="B27">
        <f>IF(A27="","",YEAR('Case Inputs'!$B$6)+A27)</f>
        <v>2034</v>
      </c>
      <c r="C27" s="7">
        <f t="shared" si="1"/>
        <v>40852.562264752392</v>
      </c>
      <c r="D27" s="10">
        <f>IF(A27="","",IFERROR(INDEX('Discount Rates'!$C:$C,MATCH(TEXT(B27,"0"),'Discount Rates'!$A:$A,0))/100-IF($F$6=TRUE,$E$6,0),0))</f>
        <v>-4.5400000000000024E-3</v>
      </c>
      <c r="E27" s="7">
        <f t="shared" si="2"/>
        <v>42367.105178406578</v>
      </c>
      <c r="F27" s="26">
        <f t="shared" si="3"/>
        <v>1</v>
      </c>
      <c r="G27" s="7">
        <f t="shared" si="4"/>
        <v>27538.618365964277</v>
      </c>
    </row>
    <row r="28" spans="1:8" x14ac:dyDescent="0.2">
      <c r="A28">
        <f>IF(9&gt;$E$4+1,"",9)</f>
        <v>9</v>
      </c>
      <c r="B28">
        <f>IF(A28="","",YEAR('Case Inputs'!$B$6)+A28)</f>
        <v>2035</v>
      </c>
      <c r="C28" s="7">
        <f t="shared" si="1"/>
        <v>42118.99169495971</v>
      </c>
      <c r="D28" s="10">
        <f>IF(A28="","",IFERROR(INDEX('Discount Rates'!$C:$C,MATCH(TEXT(B28,"0"),'Discount Rates'!$A:$A,0))/100-IF($F$6=TRUE,$E$6,0),0))</f>
        <v>-3.6199999999999982E-3</v>
      </c>
      <c r="E28" s="7">
        <f t="shared" si="2"/>
        <v>43516.399220034</v>
      </c>
      <c r="F28" s="26">
        <f t="shared" si="3"/>
        <v>1</v>
      </c>
      <c r="G28" s="7">
        <f t="shared" si="4"/>
        <v>28285.6594930221</v>
      </c>
    </row>
    <row r="29" spans="1:8" x14ac:dyDescent="0.2">
      <c r="A29">
        <f>IF(10&gt;$E$4+1,"",10)</f>
        <v>10</v>
      </c>
      <c r="B29">
        <f>IF(A29="","",YEAR('Case Inputs'!$B$6)+A29)</f>
        <v>2036</v>
      </c>
      <c r="C29" s="7">
        <f t="shared" si="1"/>
        <v>43424.680437503463</v>
      </c>
      <c r="D29" s="10">
        <f>IF(A29="","",IFERROR(INDEX('Discount Rates'!$C:$C,MATCH(TEXT(B29,"0"),'Discount Rates'!$A:$A,0))/100-IF($F$6=TRUE,$E$6,0),0))</f>
        <v>-2.579999999999999E-3</v>
      </c>
      <c r="E29" s="7">
        <f t="shared" si="2"/>
        <v>44561.100506783521</v>
      </c>
      <c r="F29" s="26">
        <f t="shared" si="3"/>
        <v>1</v>
      </c>
      <c r="G29" s="7">
        <f t="shared" si="4"/>
        <v>28964.71532940929</v>
      </c>
    </row>
    <row r="30" spans="1:8" x14ac:dyDescent="0.2">
      <c r="A30">
        <f>IF(11&gt;$E$4+1,"",11)</f>
        <v>11</v>
      </c>
      <c r="B30">
        <f>IF(A30="","",YEAR('Case Inputs'!$B$6)+A30)</f>
        <v>2037</v>
      </c>
      <c r="C30" s="7">
        <f t="shared" si="1"/>
        <v>44770.845531066065</v>
      </c>
      <c r="D30" s="10">
        <f>IF(A30="","",IFERROR(INDEX('Discount Rates'!$C:$C,MATCH(TEXT(B30,"0"),'Discount Rates'!$A:$A,0))/100-IF($F$6=TRUE,$E$6,0),0))</f>
        <v>-1.4499999999999999E-3</v>
      </c>
      <c r="E30" s="7">
        <f t="shared" si="2"/>
        <v>45491.192378641921</v>
      </c>
      <c r="F30" s="26">
        <f t="shared" si="3"/>
        <v>1</v>
      </c>
      <c r="G30" s="7">
        <f t="shared" si="4"/>
        <v>29569.275046117251</v>
      </c>
    </row>
    <row r="31" spans="1:8" x14ac:dyDescent="0.2">
      <c r="A31">
        <f>IF(12&gt;$E$4+1,"",12)</f>
        <v>12</v>
      </c>
      <c r="B31">
        <f>IF(A31="","",YEAR('Case Inputs'!$B$6)+A31)</f>
        <v>2038</v>
      </c>
      <c r="C31" s="7">
        <f t="shared" si="1"/>
        <v>46158.741742529113</v>
      </c>
      <c r="D31" s="10">
        <f>IF(A31="","",IFERROR(INDEX('Discount Rates'!$C:$C,MATCH(TEXT(B31,"0"),'Discount Rates'!$A:$A,0))/100-IF($F$6=TRUE,$E$6,0),0))</f>
        <v>-3.699999999999988E-4</v>
      </c>
      <c r="E31" s="7">
        <f t="shared" si="2"/>
        <v>46364.18030038492</v>
      </c>
      <c r="F31" s="26">
        <f t="shared" si="3"/>
        <v>1</v>
      </c>
      <c r="G31" s="7">
        <f t="shared" si="4"/>
        <v>30136.717195250199</v>
      </c>
    </row>
    <row r="32" spans="1:8" x14ac:dyDescent="0.2">
      <c r="A32">
        <f>IF(13&gt;$E$4+1,"",13)</f>
        <v>13</v>
      </c>
      <c r="B32">
        <f>IF(A32="","",YEAR('Case Inputs'!$B$6)+A32)</f>
        <v>2039</v>
      </c>
      <c r="C32" s="7">
        <f t="shared" si="1"/>
        <v>47589.662736547514</v>
      </c>
      <c r="D32" s="10">
        <f>IF(A32="","",IFERROR(INDEX('Discount Rates'!$C:$C,MATCH(TEXT(B32,"0"),'Discount Rates'!$A:$A,0))/100-IF($F$6=TRUE,$E$6,0),0))</f>
        <v>3.7000000000000227E-4</v>
      </c>
      <c r="E32" s="7">
        <f t="shared" si="2"/>
        <v>47361.348230860924</v>
      </c>
      <c r="F32" s="26">
        <f t="shared" si="3"/>
        <v>1</v>
      </c>
      <c r="G32" s="7">
        <f t="shared" si="4"/>
        <v>30784.8763500596</v>
      </c>
    </row>
    <row r="33" spans="1:7" x14ac:dyDescent="0.2">
      <c r="A33">
        <f>IF(14&gt;$E$4+1,"",14)</f>
        <v>14</v>
      </c>
      <c r="B33">
        <f>IF(A33="","",YEAR('Case Inputs'!$B$6)+A33)</f>
        <v>2040</v>
      </c>
      <c r="C33" s="7">
        <f t="shared" si="1"/>
        <v>49064.942281380485</v>
      </c>
      <c r="D33" s="10">
        <f>IF(A33="","",IFERROR(INDEX('Discount Rates'!$C:$C,MATCH(TEXT(B33,"0"),'Discount Rates'!$A:$A,0))/100-IF($F$6=TRUE,$E$6,0),0))</f>
        <v>1.4300000000000007E-3</v>
      </c>
      <c r="E33" s="7">
        <f t="shared" si="2"/>
        <v>48093.117230673903</v>
      </c>
      <c r="F33" s="26">
        <f t="shared" si="3"/>
        <v>1</v>
      </c>
      <c r="G33" s="7">
        <f t="shared" si="4"/>
        <v>31260.526199938038</v>
      </c>
    </row>
    <row r="34" spans="1:7" x14ac:dyDescent="0.2">
      <c r="A34">
        <f>IF(15&gt;$E$4+1,"",15)</f>
        <v>15</v>
      </c>
      <c r="B34">
        <f>IF(A34="","",YEAR('Case Inputs'!$B$6)+A34)</f>
        <v>2041</v>
      </c>
      <c r="C34" s="7">
        <f t="shared" si="1"/>
        <v>50585.955492103276</v>
      </c>
      <c r="D34" s="10">
        <f>IF(A34="","",IFERROR(INDEX('Discount Rates'!$C:$C,MATCH(TEXT(B34,"0"),'Discount Rates'!$A:$A,0))/100-IF($F$6=TRUE,$E$6,0),0))</f>
        <v>1.9699999999999995E-3</v>
      </c>
      <c r="E34" s="7">
        <f t="shared" si="2"/>
        <v>49114.438116551457</v>
      </c>
      <c r="F34" s="26">
        <f t="shared" si="3"/>
        <v>1</v>
      </c>
      <c r="G34" s="7">
        <f t="shared" si="4"/>
        <v>31924.384775758448</v>
      </c>
    </row>
    <row r="35" spans="1:7" x14ac:dyDescent="0.2">
      <c r="A35">
        <f>IF(16&gt;$E$4+1,"",16)</f>
        <v>16</v>
      </c>
      <c r="B35">
        <f>IF(A35="","",YEAR('Case Inputs'!$B$6)+A35)</f>
        <v>2042</v>
      </c>
      <c r="C35" s="7">
        <f t="shared" si="1"/>
        <v>52154.120112358476</v>
      </c>
      <c r="D35" s="10">
        <f>IF(A35="","",IFERROR(INDEX('Discount Rates'!$C:$C,MATCH(TEXT(B35,"0"),'Discount Rates'!$A:$A,0))/100-IF($F$6=TRUE,$E$6,0),0))</f>
        <v>3.040000000000001E-3</v>
      </c>
      <c r="E35" s="7">
        <f t="shared" si="2"/>
        <v>49681.715432091078</v>
      </c>
      <c r="F35" s="26">
        <f t="shared" si="3"/>
        <v>1</v>
      </c>
      <c r="G35" s="7">
        <f t="shared" si="4"/>
        <v>32293.1150308592</v>
      </c>
    </row>
    <row r="36" spans="1:7" x14ac:dyDescent="0.2">
      <c r="A36">
        <f>IF(17&gt;$E$4+1,"",17)</f>
        <v>17</v>
      </c>
      <c r="B36">
        <f>IF(A36="","",YEAR('Case Inputs'!$B$6)+A36)</f>
        <v>2043</v>
      </c>
      <c r="C36" s="7">
        <f t="shared" si="1"/>
        <v>53770.897835841584</v>
      </c>
      <c r="D36" s="10">
        <f>IF(A36="","",IFERROR(INDEX('Discount Rates'!$C:$C,MATCH(TEXT(B36,"0"),'Discount Rates'!$A:$A,0))/100-IF($F$6=TRUE,$E$6,0),0))</f>
        <v>4.3600000000000028E-3</v>
      </c>
      <c r="E36" s="7">
        <f t="shared" si="2"/>
        <v>49937.563836736852</v>
      </c>
      <c r="F36" s="26">
        <f t="shared" si="3"/>
        <v>1</v>
      </c>
      <c r="G36" s="7">
        <f t="shared" si="4"/>
        <v>32459.416493878954</v>
      </c>
    </row>
    <row r="37" spans="1:7" x14ac:dyDescent="0.2">
      <c r="A37">
        <f>IF(18&gt;$E$4+1,"",18)</f>
        <v>18</v>
      </c>
      <c r="B37">
        <f>IF(A37="","",YEAR('Case Inputs'!$B$6)+A37)</f>
        <v>2044</v>
      </c>
      <c r="C37" s="7">
        <f t="shared" si="1"/>
        <v>55437.795668752668</v>
      </c>
      <c r="D37" s="10">
        <f>IF(A37="","",IFERROR(INDEX('Discount Rates'!$C:$C,MATCH(TEXT(B37,"0"),'Discount Rates'!$A:$A,0))/100-IF($F$6=TRUE,$E$6,0),0))</f>
        <v>5.6800000000000045E-3</v>
      </c>
      <c r="E37" s="7">
        <f t="shared" si="2"/>
        <v>50064.434219977622</v>
      </c>
      <c r="F37" s="26">
        <f t="shared" si="3"/>
        <v>1</v>
      </c>
      <c r="G37" s="7">
        <f t="shared" si="4"/>
        <v>32541.882242985455</v>
      </c>
    </row>
    <row r="38" spans="1:7" x14ac:dyDescent="0.2">
      <c r="A38">
        <f>IF(19&gt;$E$4+1,"",19)</f>
        <v>19</v>
      </c>
      <c r="B38">
        <f>IF(A38="","",YEAR('Case Inputs'!$B$6)+A38)</f>
        <v>2045</v>
      </c>
      <c r="C38" s="7">
        <f t="shared" si="1"/>
        <v>57156.367334483999</v>
      </c>
      <c r="D38" s="10">
        <f>IF(A38="","",IFERROR(INDEX('Discount Rates'!$C:$C,MATCH(TEXT(B38,"0"),'Discount Rates'!$A:$A,0))/100-IF($F$6=TRUE,$E$6,0),0))</f>
        <v>7.0399999999999976E-3</v>
      </c>
      <c r="E38" s="7">
        <f t="shared" si="2"/>
        <v>50023.827177992105</v>
      </c>
      <c r="F38" s="26">
        <f t="shared" si="3"/>
        <v>1</v>
      </c>
      <c r="G38" s="7">
        <f t="shared" si="4"/>
        <v>32515.487665694869</v>
      </c>
    </row>
    <row r="39" spans="1:7" x14ac:dyDescent="0.2">
      <c r="A39">
        <f>IF(20&gt;$E$4+1,"",20)</f>
        <v>20</v>
      </c>
      <c r="B39">
        <f>IF(A39="","",YEAR('Case Inputs'!$B$6)+A39)</f>
        <v>2046</v>
      </c>
      <c r="C39" s="7">
        <f t="shared" si="1"/>
        <v>58928.214721853001</v>
      </c>
      <c r="D39" s="10">
        <f>IF(A39="","",IFERROR(INDEX('Discount Rates'!$C:$C,MATCH(TEXT(B39,"0"),'Discount Rates'!$A:$A,0))/100-IF($F$6=TRUE,$E$6,0),0))</f>
        <v>8.2699999999999996E-3</v>
      </c>
      <c r="E39" s="7">
        <f t="shared" si="2"/>
        <v>49978.863447485513</v>
      </c>
      <c r="F39" s="26">
        <f t="shared" si="3"/>
        <v>3.764544832306882E-2</v>
      </c>
      <c r="G39" s="7">
        <f t="shared" si="4"/>
        <v>1222.9598687527189</v>
      </c>
    </row>
    <row r="40" spans="1:7"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row>
    <row r="41" spans="1:7"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row>
    <row r="42" spans="1:7"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row>
    <row r="43" spans="1:7"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row>
    <row r="44" spans="1:7"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row>
    <row r="45" spans="1:7"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row>
    <row r="46" spans="1:7"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row>
    <row r="47" spans="1:7"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row>
    <row r="48" spans="1:7"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row>
    <row r="49" spans="1:7"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row>
    <row r="50" spans="1:7"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row>
    <row r="51" spans="1:7"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row>
    <row r="52" spans="1:7"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row>
    <row r="53" spans="1:7"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row>
    <row r="54" spans="1:7"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row>
    <row r="55" spans="1:7"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row>
    <row r="56" spans="1:7"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row>
    <row r="57" spans="1:7"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row>
    <row r="58" spans="1:7"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row>
    <row r="59" spans="1:7"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row>
    <row r="60" spans="1:7"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row>
    <row r="61" spans="1:7"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row>
    <row r="62" spans="1:7"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row>
    <row r="63" spans="1:7"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row>
    <row r="64" spans="1:7"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row>
    <row r="65" spans="1:7"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row>
    <row r="66" spans="1:7"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row>
    <row r="67" spans="1:7"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row>
    <row r="68" spans="1:7"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row>
    <row r="69" spans="1:7"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row>
    <row r="70" spans="1:7" x14ac:dyDescent="0.2">
      <c r="D70" t="str">
        <f>IF(A70="","",IFERROR(INDEX('Discount Rates'!$C:$C,MATCH(TEXT(B70,"0"),'Discount Rates'!$A:$A,0))/100-IF($F$6=TRUE,$E$6,0),0))</f>
        <v/>
      </c>
      <c r="G70" s="7" t="str">
        <f t="shared" si="8"/>
        <v/>
      </c>
    </row>
    <row r="71" spans="1:7" x14ac:dyDescent="0.2">
      <c r="A71" s="19" t="s">
        <v>103</v>
      </c>
      <c r="E71" s="30">
        <f>SUM(E20:E69)</f>
        <v>877190.3848693989</v>
      </c>
      <c r="F71" s="30"/>
      <c r="G71" s="30">
        <f>SUM(G20:G70)</f>
        <v>538910.44879299647</v>
      </c>
    </row>
    <row r="73" spans="1:7" x14ac:dyDescent="0.2">
      <c r="A73" s="19" t="s">
        <v>119</v>
      </c>
      <c r="E73" s="29">
        <f>E71+H17</f>
        <v>1029036.9602118647</v>
      </c>
      <c r="G73" s="30">
        <f>G17+G71</f>
        <v>637610.72276559926</v>
      </c>
    </row>
  </sheetData>
  <mergeCells count="3">
    <mergeCell ref="A1:G1"/>
    <mergeCell ref="A7:G7"/>
    <mergeCell ref="A19:G19"/>
  </mergeCells>
  <dataValidations count="1">
    <dataValidation type="custom" allowBlank="1" showInputMessage="1" showErrorMessage="1" sqref="F5" xr:uid="{9B84D789-92D7-40BF-9B37-AD34F04C3F6F}">
      <formula1>OR(F5=TRUE,F5=FALSE)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D08F0-EAC2-4D4E-9B1D-27B8E5CC2C36}">
  <sheetPr>
    <tabColor theme="6"/>
  </sheetPr>
  <dimension ref="A1:G39"/>
  <sheetViews>
    <sheetView workbookViewId="0">
      <selection activeCell="I35" sqref="I35"/>
    </sheetView>
  </sheetViews>
  <sheetFormatPr defaultColWidth="8.85546875" defaultRowHeight="12.75" x14ac:dyDescent="0.2"/>
  <cols>
    <col min="1" max="1" width="7.140625" bestFit="1" customWidth="1"/>
    <col min="2" max="2" width="16.42578125" bestFit="1" customWidth="1"/>
    <col min="3" max="3" width="24.42578125" bestFit="1" customWidth="1"/>
  </cols>
  <sheetData>
    <row r="1" spans="1:7" x14ac:dyDescent="0.2">
      <c r="A1" s="31" t="s">
        <v>0</v>
      </c>
      <c r="B1" s="31" t="s">
        <v>4</v>
      </c>
      <c r="C1" s="31" t="s">
        <v>5</v>
      </c>
      <c r="E1" s="32" t="s">
        <v>104</v>
      </c>
    </row>
    <row r="2" spans="1:7" x14ac:dyDescent="0.2">
      <c r="A2" t="s">
        <v>7</v>
      </c>
      <c r="B2" t="s">
        <v>6</v>
      </c>
      <c r="C2" s="33" t="s">
        <v>395</v>
      </c>
      <c r="E2" s="34" t="s">
        <v>106</v>
      </c>
      <c r="G2" s="6"/>
    </row>
    <row r="3" spans="1:7" x14ac:dyDescent="0.2">
      <c r="A3" t="s">
        <v>9</v>
      </c>
      <c r="B3" t="s">
        <v>8</v>
      </c>
      <c r="C3" s="33" t="s">
        <v>396</v>
      </c>
      <c r="G3" s="6"/>
    </row>
    <row r="4" spans="1:7" x14ac:dyDescent="0.2">
      <c r="A4" t="s">
        <v>11</v>
      </c>
      <c r="B4" t="s">
        <v>10</v>
      </c>
      <c r="C4" s="33" t="s">
        <v>397</v>
      </c>
      <c r="G4" s="6"/>
    </row>
    <row r="5" spans="1:7" x14ac:dyDescent="0.2">
      <c r="A5" t="s">
        <v>13</v>
      </c>
      <c r="B5" t="s">
        <v>12</v>
      </c>
      <c r="C5" s="33" t="s">
        <v>398</v>
      </c>
      <c r="G5" s="6"/>
    </row>
    <row r="6" spans="1:7" x14ac:dyDescent="0.2">
      <c r="A6" t="s">
        <v>15</v>
      </c>
      <c r="B6" t="s">
        <v>14</v>
      </c>
      <c r="C6" s="33" t="s">
        <v>399</v>
      </c>
      <c r="G6" s="6"/>
    </row>
    <row r="7" spans="1:7" x14ac:dyDescent="0.2">
      <c r="A7" t="s">
        <v>17</v>
      </c>
      <c r="B7" t="s">
        <v>16</v>
      </c>
      <c r="C7" s="33" t="s">
        <v>400</v>
      </c>
      <c r="G7" s="6"/>
    </row>
    <row r="8" spans="1:7" x14ac:dyDescent="0.2">
      <c r="A8" t="s">
        <v>19</v>
      </c>
      <c r="B8" t="s">
        <v>18</v>
      </c>
      <c r="C8" s="33" t="s">
        <v>401</v>
      </c>
      <c r="G8" s="6"/>
    </row>
    <row r="9" spans="1:7" x14ac:dyDescent="0.2">
      <c r="A9" t="s">
        <v>21</v>
      </c>
      <c r="B9" t="s">
        <v>20</v>
      </c>
      <c r="C9" s="33" t="s">
        <v>402</v>
      </c>
      <c r="G9" s="6"/>
    </row>
    <row r="10" spans="1:7" x14ac:dyDescent="0.2">
      <c r="A10" t="s">
        <v>23</v>
      </c>
      <c r="B10" t="s">
        <v>22</v>
      </c>
      <c r="C10" s="33" t="s">
        <v>403</v>
      </c>
      <c r="G10" s="6"/>
    </row>
    <row r="11" spans="1:7" x14ac:dyDescent="0.2">
      <c r="A11" t="s">
        <v>25</v>
      </c>
      <c r="B11" t="s">
        <v>24</v>
      </c>
      <c r="C11" s="33" t="s">
        <v>404</v>
      </c>
      <c r="G11" s="6"/>
    </row>
    <row r="12" spans="1:7" x14ac:dyDescent="0.2">
      <c r="A12" t="s">
        <v>27</v>
      </c>
      <c r="B12" t="s">
        <v>26</v>
      </c>
      <c r="C12" s="33" t="s">
        <v>107</v>
      </c>
      <c r="G12" s="6"/>
    </row>
    <row r="13" spans="1:7" x14ac:dyDescent="0.2">
      <c r="A13" t="s">
        <v>29</v>
      </c>
      <c r="B13" t="s">
        <v>28</v>
      </c>
      <c r="C13" s="33" t="s">
        <v>405</v>
      </c>
      <c r="G13" s="6"/>
    </row>
    <row r="14" spans="1:7" x14ac:dyDescent="0.2">
      <c r="A14" t="s">
        <v>31</v>
      </c>
      <c r="B14" t="s">
        <v>30</v>
      </c>
      <c r="C14" s="33" t="s">
        <v>406</v>
      </c>
      <c r="G14" s="6"/>
    </row>
    <row r="15" spans="1:7" x14ac:dyDescent="0.2">
      <c r="A15" t="s">
        <v>33</v>
      </c>
      <c r="B15" t="s">
        <v>32</v>
      </c>
      <c r="C15" s="33" t="s">
        <v>407</v>
      </c>
      <c r="G15" s="6"/>
    </row>
    <row r="16" spans="1:7" x14ac:dyDescent="0.2">
      <c r="A16" t="s">
        <v>35</v>
      </c>
      <c r="B16" t="s">
        <v>34</v>
      </c>
      <c r="C16" s="33" t="s">
        <v>408</v>
      </c>
      <c r="G16" s="6"/>
    </row>
    <row r="17" spans="1:7" x14ac:dyDescent="0.2">
      <c r="A17" t="s">
        <v>37</v>
      </c>
      <c r="B17" t="s">
        <v>36</v>
      </c>
      <c r="C17" s="33" t="s">
        <v>409</v>
      </c>
      <c r="G17" s="6"/>
    </row>
    <row r="18" spans="1:7" x14ac:dyDescent="0.2">
      <c r="A18" t="s">
        <v>39</v>
      </c>
      <c r="B18" t="s">
        <v>38</v>
      </c>
      <c r="C18" s="33" t="s">
        <v>410</v>
      </c>
      <c r="G18" s="6"/>
    </row>
    <row r="19" spans="1:7" x14ac:dyDescent="0.2">
      <c r="A19" t="s">
        <v>41</v>
      </c>
      <c r="B19" t="s">
        <v>40</v>
      </c>
      <c r="C19" s="33" t="s">
        <v>411</v>
      </c>
      <c r="G19" s="6"/>
    </row>
    <row r="20" spans="1:7" x14ac:dyDescent="0.2">
      <c r="A20" t="s">
        <v>43</v>
      </c>
      <c r="B20" t="s">
        <v>42</v>
      </c>
      <c r="C20" s="33" t="s">
        <v>412</v>
      </c>
      <c r="G20" s="6"/>
    </row>
    <row r="21" spans="1:7" x14ac:dyDescent="0.2">
      <c r="A21" t="s">
        <v>45</v>
      </c>
      <c r="B21" t="s">
        <v>44</v>
      </c>
      <c r="C21" s="33" t="s">
        <v>413</v>
      </c>
      <c r="G21" s="6"/>
    </row>
    <row r="22" spans="1:7" x14ac:dyDescent="0.2">
      <c r="A22" t="s">
        <v>47</v>
      </c>
      <c r="B22" t="s">
        <v>46</v>
      </c>
      <c r="C22" s="33" t="s">
        <v>414</v>
      </c>
      <c r="G22" s="6"/>
    </row>
    <row r="23" spans="1:7" x14ac:dyDescent="0.2">
      <c r="A23" t="s">
        <v>49</v>
      </c>
      <c r="B23" t="s">
        <v>48</v>
      </c>
      <c r="C23" s="33" t="s">
        <v>415</v>
      </c>
      <c r="G23" s="6"/>
    </row>
    <row r="24" spans="1:7" x14ac:dyDescent="0.2">
      <c r="A24" t="s">
        <v>51</v>
      </c>
      <c r="B24" t="s">
        <v>50</v>
      </c>
      <c r="C24" s="33" t="s">
        <v>416</v>
      </c>
      <c r="G24" s="6"/>
    </row>
    <row r="25" spans="1:7" x14ac:dyDescent="0.2">
      <c r="A25" t="s">
        <v>53</v>
      </c>
      <c r="B25" t="s">
        <v>52</v>
      </c>
      <c r="C25" s="33" t="s">
        <v>417</v>
      </c>
      <c r="G25" s="6"/>
    </row>
    <row r="26" spans="1:7" x14ac:dyDescent="0.2">
      <c r="A26" t="s">
        <v>55</v>
      </c>
      <c r="B26" t="s">
        <v>54</v>
      </c>
      <c r="C26" s="33" t="s">
        <v>418</v>
      </c>
      <c r="G26" s="6"/>
    </row>
    <row r="27" spans="1:7" x14ac:dyDescent="0.2">
      <c r="A27" t="s">
        <v>57</v>
      </c>
      <c r="B27" t="s">
        <v>56</v>
      </c>
      <c r="C27" s="33" t="s">
        <v>419</v>
      </c>
      <c r="G27" s="6"/>
    </row>
    <row r="28" spans="1:7" x14ac:dyDescent="0.2">
      <c r="A28" t="s">
        <v>59</v>
      </c>
      <c r="B28" t="s">
        <v>58</v>
      </c>
      <c r="C28" s="33" t="s">
        <v>420</v>
      </c>
      <c r="G28" s="6"/>
    </row>
    <row r="29" spans="1:7" x14ac:dyDescent="0.2">
      <c r="A29" t="s">
        <v>61</v>
      </c>
      <c r="B29" t="s">
        <v>60</v>
      </c>
      <c r="C29" s="33" t="s">
        <v>421</v>
      </c>
      <c r="G29" s="6"/>
    </row>
    <row r="30" spans="1:7" x14ac:dyDescent="0.2">
      <c r="A30" t="s">
        <v>63</v>
      </c>
      <c r="B30" t="s">
        <v>62</v>
      </c>
      <c r="C30" s="33" t="s">
        <v>422</v>
      </c>
      <c r="G30" s="6"/>
    </row>
    <row r="31" spans="1:7" x14ac:dyDescent="0.2">
      <c r="A31" t="s">
        <v>78</v>
      </c>
      <c r="B31" t="s">
        <v>64</v>
      </c>
      <c r="C31" s="33" t="s">
        <v>423</v>
      </c>
      <c r="G31" s="6"/>
    </row>
    <row r="32" spans="1:7" x14ac:dyDescent="0.2">
      <c r="E32" t="s">
        <v>272</v>
      </c>
      <c r="F32" t="s">
        <v>273</v>
      </c>
    </row>
    <row r="37" spans="1:3" x14ac:dyDescent="0.2">
      <c r="C37" s="103" t="s">
        <v>339</v>
      </c>
    </row>
    <row r="38" spans="1:3" x14ac:dyDescent="0.2">
      <c r="C38" s="8" t="s">
        <v>447</v>
      </c>
    </row>
    <row r="39" spans="1:3" x14ac:dyDescent="0.2">
      <c r="A39" s="19"/>
      <c r="C39" s="8" t="s">
        <v>448</v>
      </c>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B873F-0781-4BA6-AD2D-9C56411AAF19}">
  <sheetPr>
    <tabColor rgb="FF808080"/>
  </sheetPr>
  <dimension ref="A1:B101"/>
  <sheetViews>
    <sheetView topLeftCell="A11" workbookViewId="0">
      <selection activeCell="E22" sqref="E22"/>
    </sheetView>
  </sheetViews>
  <sheetFormatPr defaultColWidth="8.85546875" defaultRowHeight="12.75" x14ac:dyDescent="0.2"/>
  <sheetData>
    <row r="1" spans="1:2" x14ac:dyDescent="0.2">
      <c r="A1">
        <v>0</v>
      </c>
      <c r="B1" s="12">
        <v>81.099999999999994</v>
      </c>
    </row>
    <row r="2" spans="1:2" x14ac:dyDescent="0.2">
      <c r="A2">
        <v>1</v>
      </c>
      <c r="B2" s="12">
        <v>80.5</v>
      </c>
    </row>
    <row r="3" spans="1:2" x14ac:dyDescent="0.2">
      <c r="A3">
        <v>2</v>
      </c>
      <c r="B3" s="12">
        <v>79.5</v>
      </c>
    </row>
    <row r="4" spans="1:2" x14ac:dyDescent="0.2">
      <c r="A4">
        <v>3</v>
      </c>
      <c r="B4" s="12">
        <v>78.5</v>
      </c>
    </row>
    <row r="5" spans="1:2" x14ac:dyDescent="0.2">
      <c r="A5">
        <v>4</v>
      </c>
      <c r="B5" s="12">
        <v>77.599999999999994</v>
      </c>
    </row>
    <row r="6" spans="1:2" x14ac:dyDescent="0.2">
      <c r="A6">
        <v>5</v>
      </c>
      <c r="B6" s="12">
        <v>76.599999999999994</v>
      </c>
    </row>
    <row r="7" spans="1:2" x14ac:dyDescent="0.2">
      <c r="A7">
        <v>6</v>
      </c>
      <c r="B7" s="12">
        <v>75.599999999999994</v>
      </c>
    </row>
    <row r="8" spans="1:2" x14ac:dyDescent="0.2">
      <c r="A8">
        <v>7</v>
      </c>
      <c r="B8" s="12">
        <v>74.599999999999994</v>
      </c>
    </row>
    <row r="9" spans="1:2" x14ac:dyDescent="0.2">
      <c r="A9">
        <v>8</v>
      </c>
      <c r="B9" s="12">
        <v>73.599999999999994</v>
      </c>
    </row>
    <row r="10" spans="1:2" x14ac:dyDescent="0.2">
      <c r="A10">
        <v>9</v>
      </c>
      <c r="B10" s="12">
        <v>72.599999999999994</v>
      </c>
    </row>
    <row r="11" spans="1:2" x14ac:dyDescent="0.2">
      <c r="A11">
        <v>10</v>
      </c>
      <c r="B11" s="12">
        <v>71.599999999999994</v>
      </c>
    </row>
    <row r="12" spans="1:2" x14ac:dyDescent="0.2">
      <c r="A12">
        <v>11</v>
      </c>
      <c r="B12" s="12">
        <v>70.599999999999994</v>
      </c>
    </row>
    <row r="13" spans="1:2" x14ac:dyDescent="0.2">
      <c r="A13">
        <v>12</v>
      </c>
      <c r="B13" s="12">
        <v>69.599999999999994</v>
      </c>
    </row>
    <row r="14" spans="1:2" x14ac:dyDescent="0.2">
      <c r="A14">
        <v>13</v>
      </c>
      <c r="B14" s="12">
        <v>68.599999999999994</v>
      </c>
    </row>
    <row r="15" spans="1:2" x14ac:dyDescent="0.2">
      <c r="A15">
        <v>14</v>
      </c>
      <c r="B15" s="12">
        <v>67.599999999999994</v>
      </c>
    </row>
    <row r="16" spans="1:2" x14ac:dyDescent="0.2">
      <c r="A16">
        <v>15</v>
      </c>
      <c r="B16" s="12">
        <v>66.7</v>
      </c>
    </row>
    <row r="17" spans="1:2" x14ac:dyDescent="0.2">
      <c r="A17">
        <v>16</v>
      </c>
      <c r="B17" s="12">
        <v>65.7</v>
      </c>
    </row>
    <row r="18" spans="1:2" x14ac:dyDescent="0.2">
      <c r="A18">
        <v>17</v>
      </c>
      <c r="B18" s="12">
        <v>64.7</v>
      </c>
    </row>
    <row r="19" spans="1:2" x14ac:dyDescent="0.2">
      <c r="A19">
        <v>18</v>
      </c>
      <c r="B19" s="12">
        <v>63.7</v>
      </c>
    </row>
    <row r="20" spans="1:2" x14ac:dyDescent="0.2">
      <c r="A20">
        <v>19</v>
      </c>
      <c r="B20" s="12">
        <v>62.7</v>
      </c>
    </row>
    <row r="21" spans="1:2" x14ac:dyDescent="0.2">
      <c r="A21">
        <v>20</v>
      </c>
      <c r="B21" s="12">
        <v>61.8</v>
      </c>
    </row>
    <row r="22" spans="1:2" x14ac:dyDescent="0.2">
      <c r="A22">
        <v>21</v>
      </c>
      <c r="B22" s="12">
        <v>60.8</v>
      </c>
    </row>
    <row r="23" spans="1:2" x14ac:dyDescent="0.2">
      <c r="A23">
        <v>22</v>
      </c>
      <c r="B23" s="12">
        <v>59.8</v>
      </c>
    </row>
    <row r="24" spans="1:2" x14ac:dyDescent="0.2">
      <c r="A24">
        <v>23</v>
      </c>
      <c r="B24" s="12">
        <v>58.9</v>
      </c>
    </row>
    <row r="25" spans="1:2" x14ac:dyDescent="0.2">
      <c r="A25">
        <v>24</v>
      </c>
      <c r="B25" s="12">
        <v>57.9</v>
      </c>
    </row>
    <row r="26" spans="1:2" x14ac:dyDescent="0.2">
      <c r="A26">
        <v>25</v>
      </c>
      <c r="B26" s="12">
        <v>56.9</v>
      </c>
    </row>
    <row r="27" spans="1:2" x14ac:dyDescent="0.2">
      <c r="A27">
        <v>26</v>
      </c>
      <c r="B27" s="12">
        <v>56</v>
      </c>
    </row>
    <row r="28" spans="1:2" x14ac:dyDescent="0.2">
      <c r="A28">
        <v>27</v>
      </c>
      <c r="B28" s="12">
        <v>55</v>
      </c>
    </row>
    <row r="29" spans="1:2" x14ac:dyDescent="0.2">
      <c r="A29">
        <v>28</v>
      </c>
      <c r="B29" s="12">
        <v>54</v>
      </c>
    </row>
    <row r="30" spans="1:2" x14ac:dyDescent="0.2">
      <c r="A30">
        <v>29</v>
      </c>
      <c r="B30" s="12">
        <v>53.1</v>
      </c>
    </row>
    <row r="31" spans="1:2" x14ac:dyDescent="0.2">
      <c r="A31">
        <v>30</v>
      </c>
      <c r="B31" s="12">
        <v>52.1</v>
      </c>
    </row>
    <row r="32" spans="1:2" x14ac:dyDescent="0.2">
      <c r="A32">
        <v>31</v>
      </c>
      <c r="B32" s="12">
        <v>51.2</v>
      </c>
    </row>
    <row r="33" spans="1:2" x14ac:dyDescent="0.2">
      <c r="A33">
        <v>32</v>
      </c>
      <c r="B33" s="12">
        <v>50.2</v>
      </c>
    </row>
    <row r="34" spans="1:2" x14ac:dyDescent="0.2">
      <c r="A34">
        <v>33</v>
      </c>
      <c r="B34" s="12">
        <v>49.3</v>
      </c>
    </row>
    <row r="35" spans="1:2" x14ac:dyDescent="0.2">
      <c r="A35">
        <v>34</v>
      </c>
      <c r="B35" s="12">
        <v>48.3</v>
      </c>
    </row>
    <row r="36" spans="1:2" x14ac:dyDescent="0.2">
      <c r="A36">
        <v>35</v>
      </c>
      <c r="B36" s="12">
        <v>47.4</v>
      </c>
    </row>
    <row r="37" spans="1:2" x14ac:dyDescent="0.2">
      <c r="A37">
        <v>36</v>
      </c>
      <c r="B37" s="12">
        <v>46.4</v>
      </c>
    </row>
    <row r="38" spans="1:2" x14ac:dyDescent="0.2">
      <c r="A38">
        <v>37</v>
      </c>
      <c r="B38" s="12">
        <v>45.5</v>
      </c>
    </row>
    <row r="39" spans="1:2" x14ac:dyDescent="0.2">
      <c r="A39">
        <v>38</v>
      </c>
      <c r="B39" s="12">
        <v>44.5</v>
      </c>
    </row>
    <row r="40" spans="1:2" x14ac:dyDescent="0.2">
      <c r="A40">
        <v>39</v>
      </c>
      <c r="B40" s="12">
        <v>43.6</v>
      </c>
    </row>
    <row r="41" spans="1:2" x14ac:dyDescent="0.2">
      <c r="A41">
        <v>40</v>
      </c>
      <c r="B41" s="12">
        <v>42.7</v>
      </c>
    </row>
    <row r="42" spans="1:2" x14ac:dyDescent="0.2">
      <c r="A42">
        <v>41</v>
      </c>
      <c r="B42" s="12">
        <v>41.7</v>
      </c>
    </row>
    <row r="43" spans="1:2" x14ac:dyDescent="0.2">
      <c r="A43">
        <v>42</v>
      </c>
      <c r="B43" s="12">
        <v>40.799999999999997</v>
      </c>
    </row>
    <row r="44" spans="1:2" x14ac:dyDescent="0.2">
      <c r="A44">
        <v>43</v>
      </c>
      <c r="B44" s="12">
        <v>39.9</v>
      </c>
    </row>
    <row r="45" spans="1:2" x14ac:dyDescent="0.2">
      <c r="A45">
        <v>44</v>
      </c>
      <c r="B45" s="12">
        <v>39</v>
      </c>
    </row>
    <row r="46" spans="1:2" x14ac:dyDescent="0.2">
      <c r="A46">
        <v>45</v>
      </c>
      <c r="B46" s="12">
        <v>38</v>
      </c>
    </row>
    <row r="47" spans="1:2" x14ac:dyDescent="0.2">
      <c r="A47">
        <v>46</v>
      </c>
      <c r="B47" s="12">
        <v>37.1</v>
      </c>
    </row>
    <row r="48" spans="1:2" x14ac:dyDescent="0.2">
      <c r="A48">
        <v>47</v>
      </c>
      <c r="B48" s="12">
        <v>36.200000000000003</v>
      </c>
    </row>
    <row r="49" spans="1:2" x14ac:dyDescent="0.2">
      <c r="A49">
        <v>48</v>
      </c>
      <c r="B49" s="12">
        <v>35.299999999999997</v>
      </c>
    </row>
    <row r="50" spans="1:2" x14ac:dyDescent="0.2">
      <c r="A50">
        <v>49</v>
      </c>
      <c r="B50" s="12">
        <v>34.4</v>
      </c>
    </row>
    <row r="51" spans="1:2" x14ac:dyDescent="0.2">
      <c r="A51">
        <v>50</v>
      </c>
      <c r="B51" s="12">
        <v>33.5</v>
      </c>
    </row>
    <row r="52" spans="1:2" x14ac:dyDescent="0.2">
      <c r="A52">
        <v>51</v>
      </c>
      <c r="B52" s="12">
        <v>32.6</v>
      </c>
    </row>
    <row r="53" spans="1:2" x14ac:dyDescent="0.2">
      <c r="A53">
        <v>52</v>
      </c>
      <c r="B53" s="12">
        <v>31.7</v>
      </c>
    </row>
    <row r="54" spans="1:2" x14ac:dyDescent="0.2">
      <c r="A54">
        <v>53</v>
      </c>
      <c r="B54" s="12">
        <v>30.8</v>
      </c>
    </row>
    <row r="55" spans="1:2" x14ac:dyDescent="0.2">
      <c r="A55">
        <v>54</v>
      </c>
      <c r="B55" s="12">
        <v>29.9</v>
      </c>
    </row>
    <row r="56" spans="1:2" x14ac:dyDescent="0.2">
      <c r="A56">
        <v>55</v>
      </c>
      <c r="B56" s="12">
        <v>29</v>
      </c>
    </row>
    <row r="57" spans="1:2" x14ac:dyDescent="0.2">
      <c r="A57">
        <v>56</v>
      </c>
      <c r="B57" s="12">
        <v>28.2</v>
      </c>
    </row>
    <row r="58" spans="1:2" x14ac:dyDescent="0.2">
      <c r="A58">
        <v>57</v>
      </c>
      <c r="B58" s="12">
        <v>27.3</v>
      </c>
    </row>
    <row r="59" spans="1:2" x14ac:dyDescent="0.2">
      <c r="A59">
        <v>58</v>
      </c>
      <c r="B59" s="12">
        <v>26.5</v>
      </c>
    </row>
    <row r="60" spans="1:2" x14ac:dyDescent="0.2">
      <c r="A60">
        <v>59</v>
      </c>
      <c r="B60" s="12">
        <v>25.6</v>
      </c>
    </row>
    <row r="61" spans="1:2" x14ac:dyDescent="0.2">
      <c r="A61">
        <v>60</v>
      </c>
      <c r="B61" s="12">
        <v>24.8</v>
      </c>
    </row>
    <row r="62" spans="1:2" x14ac:dyDescent="0.2">
      <c r="A62">
        <v>61</v>
      </c>
      <c r="B62" s="12">
        <v>23.9</v>
      </c>
    </row>
    <row r="63" spans="1:2" x14ac:dyDescent="0.2">
      <c r="A63">
        <v>62</v>
      </c>
      <c r="B63" s="12">
        <v>23.1</v>
      </c>
    </row>
    <row r="64" spans="1:2" x14ac:dyDescent="0.2">
      <c r="A64">
        <v>63</v>
      </c>
      <c r="B64" s="12">
        <v>22.3</v>
      </c>
    </row>
    <row r="65" spans="1:2" x14ac:dyDescent="0.2">
      <c r="A65">
        <v>64</v>
      </c>
      <c r="B65" s="12">
        <v>21.5</v>
      </c>
    </row>
    <row r="66" spans="1:2" x14ac:dyDescent="0.2">
      <c r="A66">
        <v>65</v>
      </c>
      <c r="B66" s="12">
        <v>20.7</v>
      </c>
    </row>
    <row r="67" spans="1:2" x14ac:dyDescent="0.2">
      <c r="A67">
        <v>66</v>
      </c>
      <c r="B67" s="12">
        <v>19.899999999999999</v>
      </c>
    </row>
    <row r="68" spans="1:2" x14ac:dyDescent="0.2">
      <c r="A68">
        <v>67</v>
      </c>
      <c r="B68" s="12">
        <v>19.100000000000001</v>
      </c>
    </row>
    <row r="69" spans="1:2" x14ac:dyDescent="0.2">
      <c r="A69">
        <v>68</v>
      </c>
      <c r="B69" s="12">
        <v>18.399999999999999</v>
      </c>
    </row>
    <row r="70" spans="1:2" x14ac:dyDescent="0.2">
      <c r="A70">
        <v>69</v>
      </c>
      <c r="B70" s="12">
        <v>17.600000000000001</v>
      </c>
    </row>
    <row r="71" spans="1:2" x14ac:dyDescent="0.2">
      <c r="A71">
        <v>70</v>
      </c>
      <c r="B71" s="12">
        <v>16.8</v>
      </c>
    </row>
    <row r="72" spans="1:2" x14ac:dyDescent="0.2">
      <c r="A72">
        <v>71</v>
      </c>
      <c r="B72" s="12">
        <v>16.100000000000001</v>
      </c>
    </row>
    <row r="73" spans="1:2" x14ac:dyDescent="0.2">
      <c r="A73">
        <v>72</v>
      </c>
      <c r="B73" s="12">
        <v>15.3</v>
      </c>
    </row>
    <row r="74" spans="1:2" x14ac:dyDescent="0.2">
      <c r="A74">
        <v>73</v>
      </c>
      <c r="B74" s="12">
        <v>14.6</v>
      </c>
    </row>
    <row r="75" spans="1:2" x14ac:dyDescent="0.2">
      <c r="A75">
        <v>74</v>
      </c>
      <c r="B75" s="12">
        <v>13.9</v>
      </c>
    </row>
    <row r="76" spans="1:2" x14ac:dyDescent="0.2">
      <c r="A76">
        <v>75</v>
      </c>
      <c r="B76" s="12">
        <v>13.2</v>
      </c>
    </row>
    <row r="77" spans="1:2" x14ac:dyDescent="0.2">
      <c r="A77">
        <v>76</v>
      </c>
      <c r="B77" s="12">
        <v>12.5</v>
      </c>
    </row>
    <row r="78" spans="1:2" x14ac:dyDescent="0.2">
      <c r="A78">
        <v>77</v>
      </c>
      <c r="B78" s="12">
        <v>11.8</v>
      </c>
    </row>
    <row r="79" spans="1:2" x14ac:dyDescent="0.2">
      <c r="A79">
        <v>78</v>
      </c>
      <c r="B79" s="12">
        <v>11.1</v>
      </c>
    </row>
    <row r="80" spans="1:2" x14ac:dyDescent="0.2">
      <c r="A80">
        <v>79</v>
      </c>
      <c r="B80" s="12">
        <v>10.5</v>
      </c>
    </row>
    <row r="81" spans="1:2" x14ac:dyDescent="0.2">
      <c r="A81">
        <v>80</v>
      </c>
      <c r="B81" s="12">
        <v>9.9</v>
      </c>
    </row>
    <row r="82" spans="1:2" x14ac:dyDescent="0.2">
      <c r="A82">
        <v>81</v>
      </c>
      <c r="B82" s="12">
        <v>9.1999999999999993</v>
      </c>
    </row>
    <row r="83" spans="1:2" x14ac:dyDescent="0.2">
      <c r="A83">
        <v>82</v>
      </c>
      <c r="B83" s="12">
        <v>8.6999999999999993</v>
      </c>
    </row>
    <row r="84" spans="1:2" x14ac:dyDescent="0.2">
      <c r="A84">
        <v>83</v>
      </c>
      <c r="B84" s="12">
        <v>8.1</v>
      </c>
    </row>
    <row r="85" spans="1:2" x14ac:dyDescent="0.2">
      <c r="A85">
        <v>84</v>
      </c>
      <c r="B85" s="12">
        <v>7.6</v>
      </c>
    </row>
    <row r="86" spans="1:2" x14ac:dyDescent="0.2">
      <c r="A86">
        <v>85</v>
      </c>
      <c r="B86" s="12">
        <v>7</v>
      </c>
    </row>
    <row r="87" spans="1:2" x14ac:dyDescent="0.2">
      <c r="A87">
        <v>86</v>
      </c>
      <c r="B87" s="12">
        <v>6.5</v>
      </c>
    </row>
    <row r="88" spans="1:2" x14ac:dyDescent="0.2">
      <c r="A88">
        <v>87</v>
      </c>
      <c r="B88" s="12">
        <v>6.1</v>
      </c>
    </row>
    <row r="89" spans="1:2" x14ac:dyDescent="0.2">
      <c r="A89">
        <v>88</v>
      </c>
      <c r="B89" s="12">
        <v>5.6</v>
      </c>
    </row>
    <row r="90" spans="1:2" x14ac:dyDescent="0.2">
      <c r="A90">
        <v>89</v>
      </c>
      <c r="B90" s="12">
        <v>5.2</v>
      </c>
    </row>
    <row r="91" spans="1:2" x14ac:dyDescent="0.2">
      <c r="A91">
        <v>90</v>
      </c>
      <c r="B91" s="12">
        <v>4.8</v>
      </c>
    </row>
    <row r="92" spans="1:2" x14ac:dyDescent="0.2">
      <c r="A92">
        <v>91</v>
      </c>
      <c r="B92" s="12">
        <v>4.5</v>
      </c>
    </row>
    <row r="93" spans="1:2" x14ac:dyDescent="0.2">
      <c r="A93">
        <v>92</v>
      </c>
      <c r="B93" s="12">
        <v>4.0999999999999996</v>
      </c>
    </row>
    <row r="94" spans="1:2" x14ac:dyDescent="0.2">
      <c r="A94">
        <v>93</v>
      </c>
      <c r="B94" s="12">
        <v>3.8</v>
      </c>
    </row>
    <row r="95" spans="1:2" x14ac:dyDescent="0.2">
      <c r="A95">
        <v>94</v>
      </c>
      <c r="B95" s="12">
        <v>3.5</v>
      </c>
    </row>
    <row r="96" spans="1:2" x14ac:dyDescent="0.2">
      <c r="A96">
        <v>95</v>
      </c>
      <c r="B96" s="12">
        <v>3.3</v>
      </c>
    </row>
    <row r="97" spans="1:2" x14ac:dyDescent="0.2">
      <c r="A97">
        <v>96</v>
      </c>
      <c r="B97" s="12">
        <v>3</v>
      </c>
    </row>
    <row r="98" spans="1:2" x14ac:dyDescent="0.2">
      <c r="A98">
        <v>97</v>
      </c>
      <c r="B98" s="12">
        <v>2.8</v>
      </c>
    </row>
    <row r="99" spans="1:2" x14ac:dyDescent="0.2">
      <c r="A99">
        <v>98</v>
      </c>
      <c r="B99" s="12">
        <v>2.6</v>
      </c>
    </row>
    <row r="100" spans="1:2" x14ac:dyDescent="0.2">
      <c r="A100">
        <v>99</v>
      </c>
      <c r="B100" s="12">
        <v>2.4</v>
      </c>
    </row>
    <row r="101" spans="1:2" x14ac:dyDescent="0.2">
      <c r="B101" s="12">
        <v>2.2999999999999998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EFD2E-F34F-4943-B677-81A93987E49B}">
  <sheetPr>
    <tabColor rgb="FF808080"/>
  </sheetPr>
  <dimension ref="A1:B101"/>
  <sheetViews>
    <sheetView workbookViewId="0">
      <selection activeCell="B40" sqref="B40"/>
    </sheetView>
  </sheetViews>
  <sheetFormatPr defaultColWidth="8.85546875" defaultRowHeight="12.75" x14ac:dyDescent="0.2"/>
  <sheetData>
    <row r="1" spans="1:2" x14ac:dyDescent="0.2">
      <c r="A1">
        <v>0</v>
      </c>
      <c r="B1" s="12">
        <v>75.8</v>
      </c>
    </row>
    <row r="2" spans="1:2" x14ac:dyDescent="0.2">
      <c r="A2">
        <v>1</v>
      </c>
      <c r="B2" s="12">
        <v>75.3</v>
      </c>
    </row>
    <row r="3" spans="1:2" x14ac:dyDescent="0.2">
      <c r="A3">
        <v>2</v>
      </c>
      <c r="B3" s="12">
        <v>74.3</v>
      </c>
    </row>
    <row r="4" spans="1:2" x14ac:dyDescent="0.2">
      <c r="A4">
        <v>3</v>
      </c>
      <c r="B4" s="12">
        <v>73.3</v>
      </c>
    </row>
    <row r="5" spans="1:2" x14ac:dyDescent="0.2">
      <c r="A5">
        <v>4</v>
      </c>
      <c r="B5" s="12">
        <v>72.400000000000006</v>
      </c>
    </row>
    <row r="6" spans="1:2" x14ac:dyDescent="0.2">
      <c r="A6">
        <v>5</v>
      </c>
      <c r="B6" s="12">
        <v>71.400000000000006</v>
      </c>
    </row>
    <row r="7" spans="1:2" x14ac:dyDescent="0.2">
      <c r="A7">
        <v>6</v>
      </c>
      <c r="B7" s="12">
        <v>70.400000000000006</v>
      </c>
    </row>
    <row r="8" spans="1:2" x14ac:dyDescent="0.2">
      <c r="A8">
        <v>7</v>
      </c>
      <c r="B8" s="12">
        <v>69.400000000000006</v>
      </c>
    </row>
    <row r="9" spans="1:2" x14ac:dyDescent="0.2">
      <c r="A9">
        <v>8</v>
      </c>
      <c r="B9" s="12">
        <v>68.400000000000006</v>
      </c>
    </row>
    <row r="10" spans="1:2" x14ac:dyDescent="0.2">
      <c r="A10">
        <v>9</v>
      </c>
      <c r="B10" s="12">
        <v>67.400000000000006</v>
      </c>
    </row>
    <row r="11" spans="1:2" x14ac:dyDescent="0.2">
      <c r="A11">
        <v>10</v>
      </c>
      <c r="B11" s="12">
        <v>66.400000000000006</v>
      </c>
    </row>
    <row r="12" spans="1:2" x14ac:dyDescent="0.2">
      <c r="A12">
        <v>11</v>
      </c>
      <c r="B12" s="12">
        <v>65.400000000000006</v>
      </c>
    </row>
    <row r="13" spans="1:2" x14ac:dyDescent="0.2">
      <c r="A13">
        <v>12</v>
      </c>
      <c r="B13" s="12">
        <v>64.400000000000006</v>
      </c>
    </row>
    <row r="14" spans="1:2" x14ac:dyDescent="0.2">
      <c r="A14">
        <v>13</v>
      </c>
      <c r="B14" s="12">
        <v>63.4</v>
      </c>
    </row>
    <row r="15" spans="1:2" x14ac:dyDescent="0.2">
      <c r="A15">
        <v>14</v>
      </c>
      <c r="B15" s="12">
        <v>62.5</v>
      </c>
    </row>
    <row r="16" spans="1:2" x14ac:dyDescent="0.2">
      <c r="A16">
        <v>15</v>
      </c>
      <c r="B16" s="12">
        <v>61.5</v>
      </c>
    </row>
    <row r="17" spans="1:2" x14ac:dyDescent="0.2">
      <c r="A17">
        <v>16</v>
      </c>
      <c r="B17" s="12">
        <v>60.5</v>
      </c>
    </row>
    <row r="18" spans="1:2" x14ac:dyDescent="0.2">
      <c r="A18">
        <v>17</v>
      </c>
      <c r="B18" s="12">
        <v>59.6</v>
      </c>
    </row>
    <row r="19" spans="1:2" x14ac:dyDescent="0.2">
      <c r="A19">
        <v>18</v>
      </c>
      <c r="B19" s="12">
        <v>58.6</v>
      </c>
    </row>
    <row r="20" spans="1:2" x14ac:dyDescent="0.2">
      <c r="A20">
        <v>19</v>
      </c>
      <c r="B20" s="12">
        <v>57.7</v>
      </c>
    </row>
    <row r="21" spans="1:2" x14ac:dyDescent="0.2">
      <c r="A21">
        <v>20</v>
      </c>
      <c r="B21" s="12">
        <v>56.7</v>
      </c>
    </row>
    <row r="22" spans="1:2" x14ac:dyDescent="0.2">
      <c r="A22">
        <v>21</v>
      </c>
      <c r="B22" s="12">
        <v>55.8</v>
      </c>
    </row>
    <row r="23" spans="1:2" x14ac:dyDescent="0.2">
      <c r="A23">
        <v>22</v>
      </c>
      <c r="B23" s="12">
        <v>54.9</v>
      </c>
    </row>
    <row r="24" spans="1:2" x14ac:dyDescent="0.2">
      <c r="A24">
        <v>23</v>
      </c>
      <c r="B24" s="12">
        <v>53.9</v>
      </c>
    </row>
    <row r="25" spans="1:2" x14ac:dyDescent="0.2">
      <c r="A25">
        <v>24</v>
      </c>
      <c r="B25" s="12">
        <v>53</v>
      </c>
    </row>
    <row r="26" spans="1:2" x14ac:dyDescent="0.2">
      <c r="A26">
        <v>25</v>
      </c>
      <c r="B26" s="12">
        <v>52.1</v>
      </c>
    </row>
    <row r="27" spans="1:2" x14ac:dyDescent="0.2">
      <c r="A27">
        <v>26</v>
      </c>
      <c r="B27" s="12">
        <v>51.2</v>
      </c>
    </row>
    <row r="28" spans="1:2" x14ac:dyDescent="0.2">
      <c r="A28">
        <v>27</v>
      </c>
      <c r="B28" s="12">
        <v>50.3</v>
      </c>
    </row>
    <row r="29" spans="1:2" x14ac:dyDescent="0.2">
      <c r="A29">
        <v>28</v>
      </c>
      <c r="B29" s="12">
        <v>49.4</v>
      </c>
    </row>
    <row r="30" spans="1:2" x14ac:dyDescent="0.2">
      <c r="A30">
        <v>29</v>
      </c>
      <c r="B30" s="12">
        <v>48.4</v>
      </c>
    </row>
    <row r="31" spans="1:2" x14ac:dyDescent="0.2">
      <c r="A31">
        <v>30</v>
      </c>
      <c r="B31" s="12">
        <v>47.5</v>
      </c>
    </row>
    <row r="32" spans="1:2" x14ac:dyDescent="0.2">
      <c r="A32">
        <v>31</v>
      </c>
      <c r="B32" s="12">
        <v>46.6</v>
      </c>
    </row>
    <row r="33" spans="1:2" x14ac:dyDescent="0.2">
      <c r="A33">
        <v>32</v>
      </c>
      <c r="B33" s="12">
        <v>45.7</v>
      </c>
    </row>
    <row r="34" spans="1:2" x14ac:dyDescent="0.2">
      <c r="A34">
        <v>33</v>
      </c>
      <c r="B34" s="12">
        <v>44.9</v>
      </c>
    </row>
    <row r="35" spans="1:2" x14ac:dyDescent="0.2">
      <c r="A35">
        <v>34</v>
      </c>
      <c r="B35" s="12">
        <v>44</v>
      </c>
    </row>
    <row r="36" spans="1:2" x14ac:dyDescent="0.2">
      <c r="A36">
        <v>35</v>
      </c>
      <c r="B36" s="12">
        <v>43.1</v>
      </c>
    </row>
    <row r="37" spans="1:2" x14ac:dyDescent="0.2">
      <c r="A37">
        <v>36</v>
      </c>
      <c r="B37" s="12">
        <v>42.2</v>
      </c>
    </row>
    <row r="38" spans="1:2" x14ac:dyDescent="0.2">
      <c r="A38">
        <v>37</v>
      </c>
      <c r="B38" s="12">
        <v>41.3</v>
      </c>
    </row>
    <row r="39" spans="1:2" x14ac:dyDescent="0.2">
      <c r="A39">
        <v>38</v>
      </c>
      <c r="B39" s="12">
        <v>40.4</v>
      </c>
    </row>
    <row r="40" spans="1:2" x14ac:dyDescent="0.2">
      <c r="A40">
        <v>39</v>
      </c>
      <c r="B40" s="12">
        <v>39.5</v>
      </c>
    </row>
    <row r="41" spans="1:2" x14ac:dyDescent="0.2">
      <c r="A41">
        <v>40</v>
      </c>
      <c r="B41" s="12">
        <v>38.6</v>
      </c>
    </row>
    <row r="42" spans="1:2" x14ac:dyDescent="0.2">
      <c r="A42">
        <v>41</v>
      </c>
      <c r="B42" s="12">
        <v>37.799999999999997</v>
      </c>
    </row>
    <row r="43" spans="1:2" x14ac:dyDescent="0.2">
      <c r="A43">
        <v>42</v>
      </c>
      <c r="B43" s="12">
        <v>36.9</v>
      </c>
    </row>
    <row r="44" spans="1:2" x14ac:dyDescent="0.2">
      <c r="A44">
        <v>43</v>
      </c>
      <c r="B44" s="12">
        <v>36</v>
      </c>
    </row>
    <row r="45" spans="1:2" x14ac:dyDescent="0.2">
      <c r="A45">
        <v>44</v>
      </c>
      <c r="B45" s="12">
        <v>35.1</v>
      </c>
    </row>
    <row r="46" spans="1:2" x14ac:dyDescent="0.2">
      <c r="A46">
        <v>45</v>
      </c>
      <c r="B46" s="12">
        <v>34.299999999999997</v>
      </c>
    </row>
    <row r="47" spans="1:2" x14ac:dyDescent="0.2">
      <c r="A47">
        <v>46</v>
      </c>
      <c r="B47" s="12">
        <v>33.4</v>
      </c>
    </row>
    <row r="48" spans="1:2" x14ac:dyDescent="0.2">
      <c r="A48">
        <v>47</v>
      </c>
      <c r="B48" s="12">
        <v>32.5</v>
      </c>
    </row>
    <row r="49" spans="1:2" x14ac:dyDescent="0.2">
      <c r="A49">
        <v>48</v>
      </c>
      <c r="B49" s="12">
        <v>31.7</v>
      </c>
    </row>
    <row r="50" spans="1:2" x14ac:dyDescent="0.2">
      <c r="A50">
        <v>49</v>
      </c>
      <c r="B50" s="12">
        <v>30.8</v>
      </c>
    </row>
    <row r="51" spans="1:2" x14ac:dyDescent="0.2">
      <c r="A51">
        <v>50</v>
      </c>
      <c r="B51" s="12">
        <v>30</v>
      </c>
    </row>
    <row r="52" spans="1:2" x14ac:dyDescent="0.2">
      <c r="A52">
        <v>51</v>
      </c>
      <c r="B52" s="12">
        <v>29.1</v>
      </c>
    </row>
    <row r="53" spans="1:2" x14ac:dyDescent="0.2">
      <c r="A53">
        <v>52</v>
      </c>
      <c r="B53" s="12">
        <v>28.3</v>
      </c>
    </row>
    <row r="54" spans="1:2" x14ac:dyDescent="0.2">
      <c r="A54">
        <v>53</v>
      </c>
      <c r="B54" s="12">
        <v>27.4</v>
      </c>
    </row>
    <row r="55" spans="1:2" x14ac:dyDescent="0.2">
      <c r="A55">
        <v>54</v>
      </c>
      <c r="B55" s="12">
        <v>26.6</v>
      </c>
    </row>
    <row r="56" spans="1:2" x14ac:dyDescent="0.2">
      <c r="A56">
        <v>55</v>
      </c>
      <c r="B56" s="12">
        <v>25.8</v>
      </c>
    </row>
    <row r="57" spans="1:2" x14ac:dyDescent="0.2">
      <c r="A57">
        <v>56</v>
      </c>
      <c r="B57" s="12">
        <v>25</v>
      </c>
    </row>
    <row r="58" spans="1:2" x14ac:dyDescent="0.2">
      <c r="A58">
        <v>57</v>
      </c>
      <c r="B58" s="12">
        <v>24.2</v>
      </c>
    </row>
    <row r="59" spans="1:2" x14ac:dyDescent="0.2">
      <c r="A59">
        <v>58</v>
      </c>
      <c r="B59" s="12">
        <v>23.4</v>
      </c>
    </row>
    <row r="60" spans="1:2" x14ac:dyDescent="0.2">
      <c r="A60">
        <v>59</v>
      </c>
      <c r="B60" s="12">
        <v>22.6</v>
      </c>
    </row>
    <row r="61" spans="1:2" x14ac:dyDescent="0.2">
      <c r="A61">
        <v>60</v>
      </c>
      <c r="B61" s="12">
        <v>21.9</v>
      </c>
    </row>
    <row r="62" spans="1:2" x14ac:dyDescent="0.2">
      <c r="A62">
        <v>61</v>
      </c>
      <c r="B62" s="12">
        <v>21.1</v>
      </c>
    </row>
    <row r="63" spans="1:2" x14ac:dyDescent="0.2">
      <c r="A63">
        <v>62</v>
      </c>
      <c r="B63" s="12">
        <v>20.399999999999999</v>
      </c>
    </row>
    <row r="64" spans="1:2" x14ac:dyDescent="0.2">
      <c r="A64">
        <v>63</v>
      </c>
      <c r="B64" s="12">
        <v>19.600000000000001</v>
      </c>
    </row>
    <row r="65" spans="1:2" x14ac:dyDescent="0.2">
      <c r="A65">
        <v>64</v>
      </c>
      <c r="B65" s="12">
        <v>18.899999999999999</v>
      </c>
    </row>
    <row r="66" spans="1:2" x14ac:dyDescent="0.2">
      <c r="A66">
        <v>65</v>
      </c>
      <c r="B66" s="12">
        <v>18.2</v>
      </c>
    </row>
    <row r="67" spans="1:2" x14ac:dyDescent="0.2">
      <c r="A67">
        <v>66</v>
      </c>
      <c r="B67" s="12">
        <v>17.5</v>
      </c>
    </row>
    <row r="68" spans="1:2" x14ac:dyDescent="0.2">
      <c r="A68">
        <v>67</v>
      </c>
      <c r="B68" s="12">
        <v>16.8</v>
      </c>
    </row>
    <row r="69" spans="1:2" x14ac:dyDescent="0.2">
      <c r="A69">
        <v>68</v>
      </c>
      <c r="B69" s="12">
        <v>16.100000000000001</v>
      </c>
    </row>
    <row r="70" spans="1:2" x14ac:dyDescent="0.2">
      <c r="A70">
        <v>69</v>
      </c>
      <c r="B70" s="12">
        <v>15.4</v>
      </c>
    </row>
    <row r="71" spans="1:2" x14ac:dyDescent="0.2">
      <c r="A71">
        <v>70</v>
      </c>
      <c r="B71" s="12">
        <v>14.7</v>
      </c>
    </row>
    <row r="72" spans="1:2" x14ac:dyDescent="0.2">
      <c r="A72">
        <v>71</v>
      </c>
      <c r="B72" s="12">
        <v>14.1</v>
      </c>
    </row>
    <row r="73" spans="1:2" x14ac:dyDescent="0.2">
      <c r="A73">
        <v>72</v>
      </c>
      <c r="B73" s="12">
        <v>13.4</v>
      </c>
    </row>
    <row r="74" spans="1:2" x14ac:dyDescent="0.2">
      <c r="A74">
        <v>73</v>
      </c>
      <c r="B74" s="12">
        <v>12.8</v>
      </c>
    </row>
    <row r="75" spans="1:2" x14ac:dyDescent="0.2">
      <c r="A75">
        <v>74</v>
      </c>
      <c r="B75" s="12">
        <v>12.1</v>
      </c>
    </row>
    <row r="76" spans="1:2" x14ac:dyDescent="0.2">
      <c r="A76">
        <v>75</v>
      </c>
      <c r="B76" s="12">
        <v>11.5</v>
      </c>
    </row>
    <row r="77" spans="1:2" x14ac:dyDescent="0.2">
      <c r="A77">
        <v>76</v>
      </c>
      <c r="B77" s="12">
        <v>10.9</v>
      </c>
    </row>
    <row r="78" spans="1:2" x14ac:dyDescent="0.2">
      <c r="A78">
        <v>77</v>
      </c>
      <c r="B78" s="12">
        <v>10.3</v>
      </c>
    </row>
    <row r="79" spans="1:2" x14ac:dyDescent="0.2">
      <c r="A79">
        <v>78</v>
      </c>
      <c r="B79" s="12">
        <v>9.6999999999999993</v>
      </c>
    </row>
    <row r="80" spans="1:2" x14ac:dyDescent="0.2">
      <c r="A80">
        <v>79</v>
      </c>
      <c r="B80" s="12">
        <v>9.1</v>
      </c>
    </row>
    <row r="81" spans="1:2" x14ac:dyDescent="0.2">
      <c r="A81">
        <v>80</v>
      </c>
      <c r="B81" s="12">
        <v>8.5</v>
      </c>
    </row>
    <row r="82" spans="1:2" x14ac:dyDescent="0.2">
      <c r="A82">
        <v>81</v>
      </c>
      <c r="B82" s="12">
        <v>8</v>
      </c>
    </row>
    <row r="83" spans="1:2" x14ac:dyDescent="0.2">
      <c r="A83">
        <v>82</v>
      </c>
      <c r="B83" s="12">
        <v>7.5</v>
      </c>
    </row>
    <row r="84" spans="1:2" x14ac:dyDescent="0.2">
      <c r="A84">
        <v>83</v>
      </c>
      <c r="B84" s="12">
        <v>7</v>
      </c>
    </row>
    <row r="85" spans="1:2" x14ac:dyDescent="0.2">
      <c r="A85">
        <v>84</v>
      </c>
      <c r="B85" s="12">
        <v>6.5</v>
      </c>
    </row>
    <row r="86" spans="1:2" x14ac:dyDescent="0.2">
      <c r="A86">
        <v>85</v>
      </c>
      <c r="B86" s="12">
        <v>6.1</v>
      </c>
    </row>
    <row r="87" spans="1:2" x14ac:dyDescent="0.2">
      <c r="A87">
        <v>86</v>
      </c>
      <c r="B87" s="12">
        <v>5.6</v>
      </c>
    </row>
    <row r="88" spans="1:2" x14ac:dyDescent="0.2">
      <c r="A88">
        <v>87</v>
      </c>
      <c r="B88" s="12">
        <v>5.2</v>
      </c>
    </row>
    <row r="89" spans="1:2" x14ac:dyDescent="0.2">
      <c r="A89">
        <v>88</v>
      </c>
      <c r="B89" s="12">
        <v>4.8</v>
      </c>
    </row>
    <row r="90" spans="1:2" x14ac:dyDescent="0.2">
      <c r="A90">
        <v>89</v>
      </c>
      <c r="B90" s="12">
        <v>4.5</v>
      </c>
    </row>
    <row r="91" spans="1:2" x14ac:dyDescent="0.2">
      <c r="A91">
        <v>90</v>
      </c>
      <c r="B91" s="12">
        <v>4.0999999999999996</v>
      </c>
    </row>
    <row r="92" spans="1:2" x14ac:dyDescent="0.2">
      <c r="A92">
        <v>91</v>
      </c>
      <c r="B92" s="12">
        <v>3.8</v>
      </c>
    </row>
    <row r="93" spans="1:2" x14ac:dyDescent="0.2">
      <c r="A93">
        <v>92</v>
      </c>
      <c r="B93" s="12">
        <v>3.5</v>
      </c>
    </row>
    <row r="94" spans="1:2" x14ac:dyDescent="0.2">
      <c r="A94">
        <v>93</v>
      </c>
      <c r="B94" s="12">
        <v>3.3</v>
      </c>
    </row>
    <row r="95" spans="1:2" x14ac:dyDescent="0.2">
      <c r="A95">
        <v>94</v>
      </c>
      <c r="B95" s="12">
        <v>3</v>
      </c>
    </row>
    <row r="96" spans="1:2" x14ac:dyDescent="0.2">
      <c r="A96">
        <v>95</v>
      </c>
      <c r="B96" s="12">
        <v>2.8</v>
      </c>
    </row>
    <row r="97" spans="1:2" x14ac:dyDescent="0.2">
      <c r="A97">
        <v>96</v>
      </c>
      <c r="B97" s="12">
        <v>2.6</v>
      </c>
    </row>
    <row r="98" spans="1:2" x14ac:dyDescent="0.2">
      <c r="A98">
        <v>97</v>
      </c>
      <c r="B98" s="12">
        <v>2.5</v>
      </c>
    </row>
    <row r="99" spans="1:2" x14ac:dyDescent="0.2">
      <c r="A99">
        <v>98</v>
      </c>
      <c r="B99" s="12">
        <v>2.2999999999999998</v>
      </c>
    </row>
    <row r="100" spans="1:2" x14ac:dyDescent="0.2">
      <c r="A100">
        <v>99</v>
      </c>
      <c r="B100" s="12">
        <v>2.1</v>
      </c>
    </row>
    <row r="101" spans="1:2" x14ac:dyDescent="0.2">
      <c r="B101" s="12">
        <v>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3D7-0815-4D1F-B404-58EC3FDA40BF}">
  <sheetPr>
    <tabColor rgb="FF808080"/>
  </sheetPr>
  <dimension ref="A1:E1413"/>
  <sheetViews>
    <sheetView topLeftCell="A61" workbookViewId="0">
      <selection activeCell="D525" sqref="D525"/>
    </sheetView>
  </sheetViews>
  <sheetFormatPr defaultColWidth="8.85546875" defaultRowHeight="12.75" x14ac:dyDescent="0.2"/>
  <cols>
    <col min="1" max="1" width="15.140625" customWidth="1"/>
  </cols>
  <sheetData>
    <row r="1" spans="1:5" x14ac:dyDescent="0.2">
      <c r="A1" s="13" t="s">
        <v>66</v>
      </c>
      <c r="B1" s="14" t="s">
        <v>65</v>
      </c>
      <c r="C1" s="14" t="s">
        <v>1</v>
      </c>
      <c r="D1" s="14" t="s">
        <v>67</v>
      </c>
    </row>
    <row r="2" spans="1:5" x14ac:dyDescent="0.2">
      <c r="A2" s="15" t="s">
        <v>68</v>
      </c>
      <c r="B2" s="16" t="s">
        <v>69</v>
      </c>
      <c r="C2" s="16">
        <v>18</v>
      </c>
      <c r="D2" s="16">
        <v>40.159999999999997</v>
      </c>
      <c r="E2" t="str" cm="1">
        <f t="array" ref="E2:E11">_xlfn.UNIQUE(WLE!A2:A1413)</f>
        <v>All-Education</v>
      </c>
    </row>
    <row r="3" spans="1:5" x14ac:dyDescent="0.2">
      <c r="A3" s="17" t="s">
        <v>68</v>
      </c>
      <c r="B3" s="18" t="s">
        <v>69</v>
      </c>
      <c r="C3" s="18">
        <v>19</v>
      </c>
      <c r="D3" s="18">
        <v>39.479999999999997</v>
      </c>
      <c r="E3" t="str">
        <v>No Education to 9th</v>
      </c>
    </row>
    <row r="4" spans="1:5" x14ac:dyDescent="0.2">
      <c r="A4" s="15" t="s">
        <v>68</v>
      </c>
      <c r="B4" s="16" t="s">
        <v>69</v>
      </c>
      <c r="C4" s="16">
        <v>20</v>
      </c>
      <c r="D4" s="16">
        <v>38.770000000000003</v>
      </c>
      <c r="E4" t="str">
        <v>10th to 12th Grade</v>
      </c>
    </row>
    <row r="5" spans="1:5" x14ac:dyDescent="0.2">
      <c r="A5" s="17" t="s">
        <v>68</v>
      </c>
      <c r="B5" s="18" t="s">
        <v>69</v>
      </c>
      <c r="C5" s="18">
        <v>21</v>
      </c>
      <c r="D5" s="18">
        <v>38.03</v>
      </c>
      <c r="E5" t="str">
        <v>GED</v>
      </c>
    </row>
    <row r="6" spans="1:5" x14ac:dyDescent="0.2">
      <c r="A6" s="15" t="s">
        <v>68</v>
      </c>
      <c r="B6" s="16" t="s">
        <v>69</v>
      </c>
      <c r="C6" s="16">
        <v>22</v>
      </c>
      <c r="D6" s="16">
        <v>37.26</v>
      </c>
      <c r="E6" t="str">
        <v>HSD</v>
      </c>
    </row>
    <row r="7" spans="1:5" x14ac:dyDescent="0.2">
      <c r="A7" s="17" t="s">
        <v>68</v>
      </c>
      <c r="B7" s="18" t="s">
        <v>69</v>
      </c>
      <c r="C7" s="18">
        <v>23</v>
      </c>
      <c r="D7" s="18">
        <v>36.49</v>
      </c>
      <c r="E7" t="str">
        <v>Some College</v>
      </c>
    </row>
    <row r="8" spans="1:5" x14ac:dyDescent="0.2">
      <c r="A8" s="15" t="s">
        <v>68</v>
      </c>
      <c r="B8" s="16" t="s">
        <v>69</v>
      </c>
      <c r="C8" s="16">
        <v>24</v>
      </c>
      <c r="D8" s="16">
        <v>35.69</v>
      </c>
      <c r="E8" t="str">
        <v>Associates Degree</v>
      </c>
    </row>
    <row r="9" spans="1:5" x14ac:dyDescent="0.2">
      <c r="A9" s="17" t="s">
        <v>68</v>
      </c>
      <c r="B9" s="18" t="s">
        <v>69</v>
      </c>
      <c r="C9" s="18">
        <v>25</v>
      </c>
      <c r="D9" s="18">
        <v>34.869999999999997</v>
      </c>
      <c r="E9" t="str">
        <v>Bachelor's Degree</v>
      </c>
    </row>
    <row r="10" spans="1:5" x14ac:dyDescent="0.2">
      <c r="A10" s="15" t="s">
        <v>68</v>
      </c>
      <c r="B10" s="16" t="s">
        <v>69</v>
      </c>
      <c r="C10" s="16">
        <v>26</v>
      </c>
      <c r="D10" s="16">
        <v>34.04</v>
      </c>
      <c r="E10" t="str">
        <v>Master's Degree</v>
      </c>
    </row>
    <row r="11" spans="1:5" x14ac:dyDescent="0.2">
      <c r="A11" s="17" t="s">
        <v>68</v>
      </c>
      <c r="B11" s="18" t="s">
        <v>69</v>
      </c>
      <c r="C11" s="18">
        <v>27</v>
      </c>
      <c r="D11" s="18">
        <v>33.200000000000003</v>
      </c>
      <c r="E11" t="str">
        <v>Professional or Doctoral</v>
      </c>
    </row>
    <row r="12" spans="1:5" x14ac:dyDescent="0.2">
      <c r="A12" s="15" t="s">
        <v>68</v>
      </c>
      <c r="B12" s="16" t="s">
        <v>69</v>
      </c>
      <c r="C12" s="16">
        <v>28</v>
      </c>
      <c r="D12" s="16">
        <v>32.36</v>
      </c>
    </row>
    <row r="13" spans="1:5" x14ac:dyDescent="0.2">
      <c r="A13" s="17" t="s">
        <v>68</v>
      </c>
      <c r="B13" s="18" t="s">
        <v>69</v>
      </c>
      <c r="C13" s="18">
        <v>29</v>
      </c>
      <c r="D13" s="18">
        <v>31.51</v>
      </c>
    </row>
    <row r="14" spans="1:5" x14ac:dyDescent="0.2">
      <c r="A14" s="15" t="s">
        <v>68</v>
      </c>
      <c r="B14" s="16" t="s">
        <v>69</v>
      </c>
      <c r="C14" s="16">
        <v>30</v>
      </c>
      <c r="D14" s="16">
        <v>30.66</v>
      </c>
    </row>
    <row r="15" spans="1:5" x14ac:dyDescent="0.2">
      <c r="A15" s="17" t="s">
        <v>68</v>
      </c>
      <c r="B15" s="18" t="s">
        <v>69</v>
      </c>
      <c r="C15" s="18">
        <v>31</v>
      </c>
      <c r="D15" s="18">
        <v>29.81</v>
      </c>
    </row>
    <row r="16" spans="1:5" x14ac:dyDescent="0.2">
      <c r="A16" s="15" t="s">
        <v>68</v>
      </c>
      <c r="B16" s="16" t="s">
        <v>69</v>
      </c>
      <c r="C16" s="16">
        <v>32</v>
      </c>
      <c r="D16" s="16">
        <v>28.94</v>
      </c>
    </row>
    <row r="17" spans="1:4" x14ac:dyDescent="0.2">
      <c r="A17" s="17" t="s">
        <v>68</v>
      </c>
      <c r="B17" s="18" t="s">
        <v>69</v>
      </c>
      <c r="C17" s="18">
        <v>33</v>
      </c>
      <c r="D17" s="18">
        <v>28.08</v>
      </c>
    </row>
    <row r="18" spans="1:4" x14ac:dyDescent="0.2">
      <c r="A18" s="15" t="s">
        <v>68</v>
      </c>
      <c r="B18" s="16" t="s">
        <v>69</v>
      </c>
      <c r="C18" s="16">
        <v>34</v>
      </c>
      <c r="D18" s="16">
        <v>27.23</v>
      </c>
    </row>
    <row r="19" spans="1:4" x14ac:dyDescent="0.2">
      <c r="A19" s="17" t="s">
        <v>68</v>
      </c>
      <c r="B19" s="18" t="s">
        <v>69</v>
      </c>
      <c r="C19" s="18">
        <v>35</v>
      </c>
      <c r="D19" s="18">
        <v>26.37</v>
      </c>
    </row>
    <row r="20" spans="1:4" x14ac:dyDescent="0.2">
      <c r="A20" s="15" t="s">
        <v>68</v>
      </c>
      <c r="B20" s="16" t="s">
        <v>69</v>
      </c>
      <c r="C20" s="16">
        <v>36</v>
      </c>
      <c r="D20" s="16">
        <v>25.52</v>
      </c>
    </row>
    <row r="21" spans="1:4" x14ac:dyDescent="0.2">
      <c r="A21" s="17" t="s">
        <v>68</v>
      </c>
      <c r="B21" s="18" t="s">
        <v>69</v>
      </c>
      <c r="C21" s="18">
        <v>37</v>
      </c>
      <c r="D21" s="18">
        <v>24.67</v>
      </c>
    </row>
    <row r="22" spans="1:4" x14ac:dyDescent="0.2">
      <c r="A22" s="15" t="s">
        <v>68</v>
      </c>
      <c r="B22" s="16" t="s">
        <v>69</v>
      </c>
      <c r="C22" s="16">
        <v>38</v>
      </c>
      <c r="D22" s="16">
        <v>23.83</v>
      </c>
    </row>
    <row r="23" spans="1:4" x14ac:dyDescent="0.2">
      <c r="A23" s="17" t="s">
        <v>68</v>
      </c>
      <c r="B23" s="18" t="s">
        <v>69</v>
      </c>
      <c r="C23" s="18">
        <v>39</v>
      </c>
      <c r="D23" s="18">
        <v>22.98</v>
      </c>
    </row>
    <row r="24" spans="1:4" x14ac:dyDescent="0.2">
      <c r="A24" s="15" t="s">
        <v>68</v>
      </c>
      <c r="B24" s="16" t="s">
        <v>69</v>
      </c>
      <c r="C24" s="16">
        <v>40</v>
      </c>
      <c r="D24" s="16">
        <v>22.14</v>
      </c>
    </row>
    <row r="25" spans="1:4" x14ac:dyDescent="0.2">
      <c r="A25" s="17" t="s">
        <v>68</v>
      </c>
      <c r="B25" s="18" t="s">
        <v>69</v>
      </c>
      <c r="C25" s="18">
        <v>41</v>
      </c>
      <c r="D25" s="18">
        <v>21.3</v>
      </c>
    </row>
    <row r="26" spans="1:4" x14ac:dyDescent="0.2">
      <c r="A26" s="15" t="s">
        <v>68</v>
      </c>
      <c r="B26" s="16" t="s">
        <v>69</v>
      </c>
      <c r="C26" s="16">
        <v>42</v>
      </c>
      <c r="D26" s="16">
        <v>20.46</v>
      </c>
    </row>
    <row r="27" spans="1:4" x14ac:dyDescent="0.2">
      <c r="A27" s="17" t="s">
        <v>68</v>
      </c>
      <c r="B27" s="18" t="s">
        <v>69</v>
      </c>
      <c r="C27" s="18">
        <v>43</v>
      </c>
      <c r="D27" s="18">
        <v>19.64</v>
      </c>
    </row>
    <row r="28" spans="1:4" x14ac:dyDescent="0.2">
      <c r="A28" s="15" t="s">
        <v>68</v>
      </c>
      <c r="B28" s="16" t="s">
        <v>69</v>
      </c>
      <c r="C28" s="16">
        <v>44</v>
      </c>
      <c r="D28" s="16">
        <v>18.82</v>
      </c>
    </row>
    <row r="29" spans="1:4" x14ac:dyDescent="0.2">
      <c r="A29" s="17" t="s">
        <v>68</v>
      </c>
      <c r="B29" s="18" t="s">
        <v>69</v>
      </c>
      <c r="C29" s="18">
        <v>45</v>
      </c>
      <c r="D29" s="18">
        <v>18.010000000000002</v>
      </c>
    </row>
    <row r="30" spans="1:4" x14ac:dyDescent="0.2">
      <c r="A30" s="15" t="s">
        <v>68</v>
      </c>
      <c r="B30" s="16" t="s">
        <v>69</v>
      </c>
      <c r="C30" s="16">
        <v>46</v>
      </c>
      <c r="D30" s="16">
        <v>17.22</v>
      </c>
    </row>
    <row r="31" spans="1:4" x14ac:dyDescent="0.2">
      <c r="A31" s="17" t="s">
        <v>68</v>
      </c>
      <c r="B31" s="18" t="s">
        <v>69</v>
      </c>
      <c r="C31" s="18">
        <v>47</v>
      </c>
      <c r="D31" s="18">
        <v>16.420000000000002</v>
      </c>
    </row>
    <row r="32" spans="1:4" x14ac:dyDescent="0.2">
      <c r="A32" s="15" t="s">
        <v>68</v>
      </c>
      <c r="B32" s="16" t="s">
        <v>69</v>
      </c>
      <c r="C32" s="16">
        <v>48</v>
      </c>
      <c r="D32" s="16">
        <v>15.64</v>
      </c>
    </row>
    <row r="33" spans="1:4" x14ac:dyDescent="0.2">
      <c r="A33" s="17" t="s">
        <v>68</v>
      </c>
      <c r="B33" s="18" t="s">
        <v>69</v>
      </c>
      <c r="C33" s="18">
        <v>49</v>
      </c>
      <c r="D33" s="18">
        <v>14.87</v>
      </c>
    </row>
    <row r="34" spans="1:4" x14ac:dyDescent="0.2">
      <c r="A34" s="15" t="s">
        <v>68</v>
      </c>
      <c r="B34" s="16" t="s">
        <v>69</v>
      </c>
      <c r="C34" s="16">
        <v>50</v>
      </c>
      <c r="D34" s="16">
        <v>14.13</v>
      </c>
    </row>
    <row r="35" spans="1:4" x14ac:dyDescent="0.2">
      <c r="A35" s="17" t="s">
        <v>68</v>
      </c>
      <c r="B35" s="18" t="s">
        <v>69</v>
      </c>
      <c r="C35" s="18">
        <v>51</v>
      </c>
      <c r="D35" s="18">
        <v>13.39</v>
      </c>
    </row>
    <row r="36" spans="1:4" x14ac:dyDescent="0.2">
      <c r="A36" s="15" t="s">
        <v>68</v>
      </c>
      <c r="B36" s="16" t="s">
        <v>69</v>
      </c>
      <c r="C36" s="16">
        <v>52</v>
      </c>
      <c r="D36" s="16">
        <v>12.66</v>
      </c>
    </row>
    <row r="37" spans="1:4" x14ac:dyDescent="0.2">
      <c r="A37" s="17" t="s">
        <v>68</v>
      </c>
      <c r="B37" s="18" t="s">
        <v>69</v>
      </c>
      <c r="C37" s="18">
        <v>53</v>
      </c>
      <c r="D37" s="18">
        <v>11.93</v>
      </c>
    </row>
    <row r="38" spans="1:4" x14ac:dyDescent="0.2">
      <c r="A38" s="15" t="s">
        <v>68</v>
      </c>
      <c r="B38" s="16" t="s">
        <v>69</v>
      </c>
      <c r="C38" s="16">
        <v>54</v>
      </c>
      <c r="D38" s="16">
        <v>11.22</v>
      </c>
    </row>
    <row r="39" spans="1:4" x14ac:dyDescent="0.2">
      <c r="A39" s="17" t="s">
        <v>68</v>
      </c>
      <c r="B39" s="18" t="s">
        <v>69</v>
      </c>
      <c r="C39" s="18">
        <v>55</v>
      </c>
      <c r="D39" s="18">
        <v>10.53</v>
      </c>
    </row>
    <row r="40" spans="1:4" x14ac:dyDescent="0.2">
      <c r="A40" s="15" t="s">
        <v>68</v>
      </c>
      <c r="B40" s="16" t="s">
        <v>69</v>
      </c>
      <c r="C40" s="16">
        <v>56</v>
      </c>
      <c r="D40" s="16">
        <v>9.8699999999999992</v>
      </c>
    </row>
    <row r="41" spans="1:4" x14ac:dyDescent="0.2">
      <c r="A41" s="17" t="s">
        <v>68</v>
      </c>
      <c r="B41" s="18" t="s">
        <v>69</v>
      </c>
      <c r="C41" s="18">
        <v>57</v>
      </c>
      <c r="D41" s="18">
        <v>9.2100000000000009</v>
      </c>
    </row>
    <row r="42" spans="1:4" x14ac:dyDescent="0.2">
      <c r="A42" s="15" t="s">
        <v>68</v>
      </c>
      <c r="B42" s="16" t="s">
        <v>69</v>
      </c>
      <c r="C42" s="16">
        <v>58</v>
      </c>
      <c r="D42" s="16">
        <v>8.58</v>
      </c>
    </row>
    <row r="43" spans="1:4" x14ac:dyDescent="0.2">
      <c r="A43" s="17" t="s">
        <v>68</v>
      </c>
      <c r="B43" s="18" t="s">
        <v>69</v>
      </c>
      <c r="C43" s="18">
        <v>59</v>
      </c>
      <c r="D43" s="18">
        <v>7.95</v>
      </c>
    </row>
    <row r="44" spans="1:4" x14ac:dyDescent="0.2">
      <c r="A44" s="15" t="s">
        <v>68</v>
      </c>
      <c r="B44" s="16" t="s">
        <v>69</v>
      </c>
      <c r="C44" s="16">
        <v>60</v>
      </c>
      <c r="D44" s="16">
        <v>7.36</v>
      </c>
    </row>
    <row r="45" spans="1:4" x14ac:dyDescent="0.2">
      <c r="A45" s="17" t="s">
        <v>68</v>
      </c>
      <c r="B45" s="18" t="s">
        <v>69</v>
      </c>
      <c r="C45" s="18">
        <v>61</v>
      </c>
      <c r="D45" s="18">
        <v>6.81</v>
      </c>
    </row>
    <row r="46" spans="1:4" x14ac:dyDescent="0.2">
      <c r="A46" s="15" t="s">
        <v>68</v>
      </c>
      <c r="B46" s="16" t="s">
        <v>69</v>
      </c>
      <c r="C46" s="16">
        <v>62</v>
      </c>
      <c r="D46" s="16">
        <v>6.33</v>
      </c>
    </row>
    <row r="47" spans="1:4" x14ac:dyDescent="0.2">
      <c r="A47" s="17" t="s">
        <v>68</v>
      </c>
      <c r="B47" s="18" t="s">
        <v>69</v>
      </c>
      <c r="C47" s="18">
        <v>63</v>
      </c>
      <c r="D47" s="18">
        <v>5.9</v>
      </c>
    </row>
    <row r="48" spans="1:4" x14ac:dyDescent="0.2">
      <c r="A48" s="15" t="s">
        <v>68</v>
      </c>
      <c r="B48" s="16" t="s">
        <v>69</v>
      </c>
      <c r="C48" s="16">
        <v>64</v>
      </c>
      <c r="D48" s="16">
        <v>5.51</v>
      </c>
    </row>
    <row r="49" spans="1:4" x14ac:dyDescent="0.2">
      <c r="A49" s="17" t="s">
        <v>68</v>
      </c>
      <c r="B49" s="18" t="s">
        <v>69</v>
      </c>
      <c r="C49" s="18">
        <v>65</v>
      </c>
      <c r="D49" s="18">
        <v>5.17</v>
      </c>
    </row>
    <row r="50" spans="1:4" x14ac:dyDescent="0.2">
      <c r="A50" s="15" t="s">
        <v>68</v>
      </c>
      <c r="B50" s="16" t="s">
        <v>69</v>
      </c>
      <c r="C50" s="16">
        <v>66</v>
      </c>
      <c r="D50" s="16">
        <v>4.8899999999999997</v>
      </c>
    </row>
    <row r="51" spans="1:4" x14ac:dyDescent="0.2">
      <c r="A51" s="17" t="s">
        <v>68</v>
      </c>
      <c r="B51" s="18" t="s">
        <v>69</v>
      </c>
      <c r="C51" s="18">
        <v>67</v>
      </c>
      <c r="D51" s="18">
        <v>4.6500000000000004</v>
      </c>
    </row>
    <row r="52" spans="1:4" x14ac:dyDescent="0.2">
      <c r="A52" s="15" t="s">
        <v>68</v>
      </c>
      <c r="B52" s="16" t="s">
        <v>69</v>
      </c>
      <c r="C52" s="16">
        <v>68</v>
      </c>
      <c r="D52" s="16">
        <v>4.43</v>
      </c>
    </row>
    <row r="53" spans="1:4" x14ac:dyDescent="0.2">
      <c r="A53" s="17" t="s">
        <v>68</v>
      </c>
      <c r="B53" s="18" t="s">
        <v>69</v>
      </c>
      <c r="C53" s="18">
        <v>69</v>
      </c>
      <c r="D53" s="18">
        <v>4.21</v>
      </c>
    </row>
    <row r="54" spans="1:4" x14ac:dyDescent="0.2">
      <c r="A54" s="15" t="s">
        <v>68</v>
      </c>
      <c r="B54" s="16" t="s">
        <v>69</v>
      </c>
      <c r="C54" s="16">
        <v>70</v>
      </c>
      <c r="D54" s="16">
        <v>4.01</v>
      </c>
    </row>
    <row r="55" spans="1:4" x14ac:dyDescent="0.2">
      <c r="A55" s="17" t="s">
        <v>68</v>
      </c>
      <c r="B55" s="18" t="s">
        <v>69</v>
      </c>
      <c r="C55" s="18">
        <v>71</v>
      </c>
      <c r="D55" s="18">
        <v>3.82</v>
      </c>
    </row>
    <row r="56" spans="1:4" x14ac:dyDescent="0.2">
      <c r="A56" s="15" t="s">
        <v>68</v>
      </c>
      <c r="B56" s="16" t="s">
        <v>69</v>
      </c>
      <c r="C56" s="16">
        <v>72</v>
      </c>
      <c r="D56" s="16">
        <v>3.65</v>
      </c>
    </row>
    <row r="57" spans="1:4" x14ac:dyDescent="0.2">
      <c r="A57" s="17" t="s">
        <v>68</v>
      </c>
      <c r="B57" s="18" t="s">
        <v>69</v>
      </c>
      <c r="C57" s="18">
        <v>73</v>
      </c>
      <c r="D57" s="18">
        <v>3.49</v>
      </c>
    </row>
    <row r="58" spans="1:4" x14ac:dyDescent="0.2">
      <c r="A58" s="15" t="s">
        <v>68</v>
      </c>
      <c r="B58" s="16" t="s">
        <v>69</v>
      </c>
      <c r="C58" s="16">
        <v>74</v>
      </c>
      <c r="D58" s="16">
        <v>3.34</v>
      </c>
    </row>
    <row r="59" spans="1:4" x14ac:dyDescent="0.2">
      <c r="A59" s="17" t="s">
        <v>68</v>
      </c>
      <c r="B59" s="18" t="s">
        <v>69</v>
      </c>
      <c r="C59" s="18">
        <v>75</v>
      </c>
      <c r="D59" s="18">
        <v>3.2</v>
      </c>
    </row>
    <row r="60" spans="1:4" x14ac:dyDescent="0.2">
      <c r="A60" s="15" t="s">
        <v>68</v>
      </c>
      <c r="B60" s="16" t="s">
        <v>69</v>
      </c>
      <c r="C60" s="16">
        <v>76</v>
      </c>
      <c r="D60" s="16">
        <v>3.07</v>
      </c>
    </row>
    <row r="61" spans="1:4" x14ac:dyDescent="0.2">
      <c r="A61" s="17" t="s">
        <v>68</v>
      </c>
      <c r="B61" s="18" t="s">
        <v>69</v>
      </c>
      <c r="C61" s="18">
        <v>77</v>
      </c>
      <c r="D61" s="18">
        <v>2.95</v>
      </c>
    </row>
    <row r="62" spans="1:4" x14ac:dyDescent="0.2">
      <c r="A62" s="15" t="s">
        <v>68</v>
      </c>
      <c r="B62" s="16" t="s">
        <v>69</v>
      </c>
      <c r="C62" s="16">
        <v>78</v>
      </c>
      <c r="D62" s="16">
        <v>2.83</v>
      </c>
    </row>
    <row r="63" spans="1:4" x14ac:dyDescent="0.2">
      <c r="A63" s="17" t="s">
        <v>68</v>
      </c>
      <c r="B63" s="18" t="s">
        <v>69</v>
      </c>
      <c r="C63" s="18">
        <v>79</v>
      </c>
      <c r="D63" s="18">
        <v>2.72</v>
      </c>
    </row>
    <row r="64" spans="1:4" x14ac:dyDescent="0.2">
      <c r="A64" s="15" t="s">
        <v>68</v>
      </c>
      <c r="B64" s="16" t="s">
        <v>69</v>
      </c>
      <c r="C64" s="16">
        <v>80</v>
      </c>
      <c r="D64" s="16">
        <v>2.62</v>
      </c>
    </row>
    <row r="65" spans="1:4" x14ac:dyDescent="0.2">
      <c r="A65" s="17" t="s">
        <v>68</v>
      </c>
      <c r="B65" s="18" t="s">
        <v>69</v>
      </c>
      <c r="C65" s="18">
        <v>81</v>
      </c>
      <c r="D65" s="18">
        <v>2.52</v>
      </c>
    </row>
    <row r="66" spans="1:4" x14ac:dyDescent="0.2">
      <c r="A66" s="15" t="s">
        <v>68</v>
      </c>
      <c r="B66" s="16" t="s">
        <v>69</v>
      </c>
      <c r="C66" s="16">
        <v>82</v>
      </c>
      <c r="D66" s="16">
        <v>2.42</v>
      </c>
    </row>
    <row r="67" spans="1:4" x14ac:dyDescent="0.2">
      <c r="A67" s="17" t="s">
        <v>68</v>
      </c>
      <c r="B67" s="18" t="s">
        <v>69</v>
      </c>
      <c r="C67" s="18">
        <v>83</v>
      </c>
      <c r="D67" s="18">
        <v>2.33</v>
      </c>
    </row>
    <row r="68" spans="1:4" x14ac:dyDescent="0.2">
      <c r="A68" s="15" t="s">
        <v>68</v>
      </c>
      <c r="B68" s="16" t="s">
        <v>69</v>
      </c>
      <c r="C68" s="16">
        <v>84</v>
      </c>
      <c r="D68" s="16">
        <v>2.2400000000000002</v>
      </c>
    </row>
    <row r="69" spans="1:4" x14ac:dyDescent="0.2">
      <c r="A69" s="17" t="s">
        <v>68</v>
      </c>
      <c r="B69" s="18" t="s">
        <v>69</v>
      </c>
      <c r="C69" s="18">
        <v>85</v>
      </c>
      <c r="D69" s="18">
        <v>2.15</v>
      </c>
    </row>
    <row r="70" spans="1:4" x14ac:dyDescent="0.2">
      <c r="A70" s="15" t="s">
        <v>68</v>
      </c>
      <c r="B70" s="16" t="s">
        <v>69</v>
      </c>
      <c r="C70" s="16">
        <v>86</v>
      </c>
      <c r="D70" s="16">
        <v>2.06</v>
      </c>
    </row>
    <row r="71" spans="1:4" x14ac:dyDescent="0.2">
      <c r="A71" s="17" t="s">
        <v>68</v>
      </c>
      <c r="B71" s="18" t="s">
        <v>69</v>
      </c>
      <c r="C71" s="18">
        <v>87</v>
      </c>
      <c r="D71" s="18">
        <v>1.97</v>
      </c>
    </row>
    <row r="72" spans="1:4" x14ac:dyDescent="0.2">
      <c r="A72" s="15" t="s">
        <v>68</v>
      </c>
      <c r="B72" s="16" t="s">
        <v>69</v>
      </c>
      <c r="C72" s="16">
        <v>88</v>
      </c>
      <c r="D72" s="16">
        <v>1.88</v>
      </c>
    </row>
    <row r="73" spans="1:4" x14ac:dyDescent="0.2">
      <c r="A73" s="17" t="s">
        <v>68</v>
      </c>
      <c r="B73" s="18" t="s">
        <v>69</v>
      </c>
      <c r="C73" s="18">
        <v>89</v>
      </c>
      <c r="D73" s="18">
        <v>1.79</v>
      </c>
    </row>
    <row r="74" spans="1:4" x14ac:dyDescent="0.2">
      <c r="A74" s="15" t="s">
        <v>68</v>
      </c>
      <c r="B74" s="16" t="s">
        <v>69</v>
      </c>
      <c r="C74" s="16">
        <v>90</v>
      </c>
      <c r="D74" s="16">
        <v>1.71</v>
      </c>
    </row>
    <row r="75" spans="1:4" x14ac:dyDescent="0.2">
      <c r="A75" s="17" t="s">
        <v>70</v>
      </c>
      <c r="B75" s="18" t="s">
        <v>69</v>
      </c>
      <c r="C75" s="18">
        <v>18</v>
      </c>
      <c r="D75" s="18">
        <v>29</v>
      </c>
    </row>
    <row r="76" spans="1:4" x14ac:dyDescent="0.2">
      <c r="A76" s="15" t="s">
        <v>70</v>
      </c>
      <c r="B76" s="16" t="s">
        <v>69</v>
      </c>
      <c r="C76" s="16">
        <v>19</v>
      </c>
      <c r="D76" s="16">
        <v>28.49</v>
      </c>
    </row>
    <row r="77" spans="1:4" x14ac:dyDescent="0.2">
      <c r="A77" s="17" t="s">
        <v>70</v>
      </c>
      <c r="B77" s="18" t="s">
        <v>69</v>
      </c>
      <c r="C77" s="18">
        <v>20</v>
      </c>
      <c r="D77" s="18">
        <v>27.98</v>
      </c>
    </row>
    <row r="78" spans="1:4" x14ac:dyDescent="0.2">
      <c r="A78" s="15" t="s">
        <v>70</v>
      </c>
      <c r="B78" s="16" t="s">
        <v>69</v>
      </c>
      <c r="C78" s="16">
        <v>21</v>
      </c>
      <c r="D78" s="16">
        <v>27.48</v>
      </c>
    </row>
    <row r="79" spans="1:4" x14ac:dyDescent="0.2">
      <c r="A79" s="17" t="s">
        <v>70</v>
      </c>
      <c r="B79" s="18" t="s">
        <v>69</v>
      </c>
      <c r="C79" s="18">
        <v>22</v>
      </c>
      <c r="D79" s="18">
        <v>26.98</v>
      </c>
    </row>
    <row r="80" spans="1:4" x14ac:dyDescent="0.2">
      <c r="A80" s="15" t="s">
        <v>70</v>
      </c>
      <c r="B80" s="16" t="s">
        <v>69</v>
      </c>
      <c r="C80" s="16">
        <v>23</v>
      </c>
      <c r="D80" s="16">
        <v>26.48</v>
      </c>
    </row>
    <row r="81" spans="1:4" x14ac:dyDescent="0.2">
      <c r="A81" s="17" t="s">
        <v>70</v>
      </c>
      <c r="B81" s="18" t="s">
        <v>69</v>
      </c>
      <c r="C81" s="18">
        <v>24</v>
      </c>
      <c r="D81" s="18">
        <v>25.98</v>
      </c>
    </row>
    <row r="82" spans="1:4" x14ac:dyDescent="0.2">
      <c r="A82" s="15" t="s">
        <v>70</v>
      </c>
      <c r="B82" s="16" t="s">
        <v>69</v>
      </c>
      <c r="C82" s="16">
        <v>25</v>
      </c>
      <c r="D82" s="16">
        <v>25.47</v>
      </c>
    </row>
    <row r="83" spans="1:4" x14ac:dyDescent="0.2">
      <c r="A83" s="17" t="s">
        <v>70</v>
      </c>
      <c r="B83" s="18" t="s">
        <v>69</v>
      </c>
      <c r="C83" s="18">
        <v>26</v>
      </c>
      <c r="D83" s="18">
        <v>24.96</v>
      </c>
    </row>
    <row r="84" spans="1:4" x14ac:dyDescent="0.2">
      <c r="A84" s="15" t="s">
        <v>70</v>
      </c>
      <c r="B84" s="16" t="s">
        <v>69</v>
      </c>
      <c r="C84" s="16">
        <v>27</v>
      </c>
      <c r="D84" s="16">
        <v>24.45</v>
      </c>
    </row>
    <row r="85" spans="1:4" x14ac:dyDescent="0.2">
      <c r="A85" s="17" t="s">
        <v>70</v>
      </c>
      <c r="B85" s="18" t="s">
        <v>69</v>
      </c>
      <c r="C85" s="18">
        <v>28</v>
      </c>
      <c r="D85" s="18">
        <v>23.93</v>
      </c>
    </row>
    <row r="86" spans="1:4" x14ac:dyDescent="0.2">
      <c r="A86" s="15" t="s">
        <v>70</v>
      </c>
      <c r="B86" s="16" t="s">
        <v>69</v>
      </c>
      <c r="C86" s="16">
        <v>29</v>
      </c>
      <c r="D86" s="16">
        <v>23.4</v>
      </c>
    </row>
    <row r="87" spans="1:4" x14ac:dyDescent="0.2">
      <c r="A87" s="17" t="s">
        <v>70</v>
      </c>
      <c r="B87" s="18" t="s">
        <v>69</v>
      </c>
      <c r="C87" s="18">
        <v>30</v>
      </c>
      <c r="D87" s="18">
        <v>22.88</v>
      </c>
    </row>
    <row r="88" spans="1:4" x14ac:dyDescent="0.2">
      <c r="A88" s="15" t="s">
        <v>70</v>
      </c>
      <c r="B88" s="16" t="s">
        <v>69</v>
      </c>
      <c r="C88" s="16">
        <v>31</v>
      </c>
      <c r="D88" s="16">
        <v>22.34</v>
      </c>
    </row>
    <row r="89" spans="1:4" x14ac:dyDescent="0.2">
      <c r="A89" s="17" t="s">
        <v>70</v>
      </c>
      <c r="B89" s="18" t="s">
        <v>69</v>
      </c>
      <c r="C89" s="18">
        <v>32</v>
      </c>
      <c r="D89" s="18">
        <v>21.8</v>
      </c>
    </row>
    <row r="90" spans="1:4" x14ac:dyDescent="0.2">
      <c r="A90" s="15" t="s">
        <v>70</v>
      </c>
      <c r="B90" s="16" t="s">
        <v>69</v>
      </c>
      <c r="C90" s="16">
        <v>33</v>
      </c>
      <c r="D90" s="16">
        <v>21.25</v>
      </c>
    </row>
    <row r="91" spans="1:4" x14ac:dyDescent="0.2">
      <c r="A91" s="17" t="s">
        <v>70</v>
      </c>
      <c r="B91" s="18" t="s">
        <v>69</v>
      </c>
      <c r="C91" s="18">
        <v>34</v>
      </c>
      <c r="D91" s="18">
        <v>20.68</v>
      </c>
    </row>
    <row r="92" spans="1:4" x14ac:dyDescent="0.2">
      <c r="A92" s="15" t="s">
        <v>70</v>
      </c>
      <c r="B92" s="16" t="s">
        <v>69</v>
      </c>
      <c r="C92" s="16">
        <v>35</v>
      </c>
      <c r="D92" s="16">
        <v>20.100000000000001</v>
      </c>
    </row>
    <row r="93" spans="1:4" x14ac:dyDescent="0.2">
      <c r="A93" s="17" t="s">
        <v>70</v>
      </c>
      <c r="B93" s="18" t="s">
        <v>69</v>
      </c>
      <c r="C93" s="18">
        <v>36</v>
      </c>
      <c r="D93" s="18">
        <v>19.5</v>
      </c>
    </row>
    <row r="94" spans="1:4" x14ac:dyDescent="0.2">
      <c r="A94" s="15" t="s">
        <v>70</v>
      </c>
      <c r="B94" s="16" t="s">
        <v>69</v>
      </c>
      <c r="C94" s="16">
        <v>37</v>
      </c>
      <c r="D94" s="16">
        <v>18.88</v>
      </c>
    </row>
    <row r="95" spans="1:4" x14ac:dyDescent="0.2">
      <c r="A95" s="17" t="s">
        <v>70</v>
      </c>
      <c r="B95" s="18" t="s">
        <v>69</v>
      </c>
      <c r="C95" s="18">
        <v>38</v>
      </c>
      <c r="D95" s="18">
        <v>18.239999999999998</v>
      </c>
    </row>
    <row r="96" spans="1:4" x14ac:dyDescent="0.2">
      <c r="A96" s="15" t="s">
        <v>70</v>
      </c>
      <c r="B96" s="16" t="s">
        <v>69</v>
      </c>
      <c r="C96" s="16">
        <v>39</v>
      </c>
      <c r="D96" s="16">
        <v>17.61</v>
      </c>
    </row>
    <row r="97" spans="1:4" x14ac:dyDescent="0.2">
      <c r="A97" s="17" t="s">
        <v>70</v>
      </c>
      <c r="B97" s="18" t="s">
        <v>69</v>
      </c>
      <c r="C97" s="18">
        <v>40</v>
      </c>
      <c r="D97" s="18">
        <v>16.97</v>
      </c>
    </row>
    <row r="98" spans="1:4" x14ac:dyDescent="0.2">
      <c r="A98" s="15" t="s">
        <v>70</v>
      </c>
      <c r="B98" s="16" t="s">
        <v>69</v>
      </c>
      <c r="C98" s="16">
        <v>41</v>
      </c>
      <c r="D98" s="16">
        <v>16.32</v>
      </c>
    </row>
    <row r="99" spans="1:4" x14ac:dyDescent="0.2">
      <c r="A99" s="17" t="s">
        <v>70</v>
      </c>
      <c r="B99" s="18" t="s">
        <v>69</v>
      </c>
      <c r="C99" s="18">
        <v>42</v>
      </c>
      <c r="D99" s="18">
        <v>15.69</v>
      </c>
    </row>
    <row r="100" spans="1:4" x14ac:dyDescent="0.2">
      <c r="A100" s="15" t="s">
        <v>70</v>
      </c>
      <c r="B100" s="16" t="s">
        <v>69</v>
      </c>
      <c r="C100" s="16">
        <v>43</v>
      </c>
      <c r="D100" s="16">
        <v>15.06</v>
      </c>
    </row>
    <row r="101" spans="1:4" x14ac:dyDescent="0.2">
      <c r="A101" s="17" t="s">
        <v>70</v>
      </c>
      <c r="B101" s="18" t="s">
        <v>69</v>
      </c>
      <c r="C101" s="18">
        <v>44</v>
      </c>
      <c r="D101" s="18">
        <v>14.43</v>
      </c>
    </row>
    <row r="102" spans="1:4" x14ac:dyDescent="0.2">
      <c r="A102" s="15" t="s">
        <v>70</v>
      </c>
      <c r="B102" s="16" t="s">
        <v>69</v>
      </c>
      <c r="C102" s="16">
        <v>45</v>
      </c>
      <c r="D102" s="16">
        <v>13.82</v>
      </c>
    </row>
    <row r="103" spans="1:4" x14ac:dyDescent="0.2">
      <c r="A103" s="17" t="s">
        <v>70</v>
      </c>
      <c r="B103" s="18" t="s">
        <v>69</v>
      </c>
      <c r="C103" s="18">
        <v>46</v>
      </c>
      <c r="D103" s="18">
        <v>13.22</v>
      </c>
    </row>
    <row r="104" spans="1:4" x14ac:dyDescent="0.2">
      <c r="A104" s="15" t="s">
        <v>70</v>
      </c>
      <c r="B104" s="16" t="s">
        <v>69</v>
      </c>
      <c r="C104" s="16">
        <v>47</v>
      </c>
      <c r="D104" s="16">
        <v>12.62</v>
      </c>
    </row>
    <row r="105" spans="1:4" x14ac:dyDescent="0.2">
      <c r="A105" s="17" t="s">
        <v>70</v>
      </c>
      <c r="B105" s="18" t="s">
        <v>69</v>
      </c>
      <c r="C105" s="18">
        <v>48</v>
      </c>
      <c r="D105" s="18">
        <v>12.04</v>
      </c>
    </row>
    <row r="106" spans="1:4" x14ac:dyDescent="0.2">
      <c r="A106" s="15" t="s">
        <v>70</v>
      </c>
      <c r="B106" s="16" t="s">
        <v>69</v>
      </c>
      <c r="C106" s="16">
        <v>49</v>
      </c>
      <c r="D106" s="16">
        <v>11.46</v>
      </c>
    </row>
    <row r="107" spans="1:4" x14ac:dyDescent="0.2">
      <c r="A107" s="17" t="s">
        <v>70</v>
      </c>
      <c r="B107" s="18" t="s">
        <v>69</v>
      </c>
      <c r="C107" s="18">
        <v>50</v>
      </c>
      <c r="D107" s="18">
        <v>10.89</v>
      </c>
    </row>
    <row r="108" spans="1:4" x14ac:dyDescent="0.2">
      <c r="A108" s="15" t="s">
        <v>70</v>
      </c>
      <c r="B108" s="16" t="s">
        <v>69</v>
      </c>
      <c r="C108" s="16">
        <v>51</v>
      </c>
      <c r="D108" s="16">
        <v>10.32</v>
      </c>
    </row>
    <row r="109" spans="1:4" x14ac:dyDescent="0.2">
      <c r="A109" s="17" t="s">
        <v>70</v>
      </c>
      <c r="B109" s="18" t="s">
        <v>69</v>
      </c>
      <c r="C109" s="18">
        <v>52</v>
      </c>
      <c r="D109" s="18">
        <v>9.77</v>
      </c>
    </row>
    <row r="110" spans="1:4" x14ac:dyDescent="0.2">
      <c r="A110" s="15" t="s">
        <v>70</v>
      </c>
      <c r="B110" s="16" t="s">
        <v>69</v>
      </c>
      <c r="C110" s="16">
        <v>53</v>
      </c>
      <c r="D110" s="16">
        <v>9.24</v>
      </c>
    </row>
    <row r="111" spans="1:4" x14ac:dyDescent="0.2">
      <c r="A111" s="17" t="s">
        <v>70</v>
      </c>
      <c r="B111" s="18" t="s">
        <v>69</v>
      </c>
      <c r="C111" s="18">
        <v>54</v>
      </c>
      <c r="D111" s="18">
        <v>8.7200000000000006</v>
      </c>
    </row>
    <row r="112" spans="1:4" x14ac:dyDescent="0.2">
      <c r="A112" s="15" t="s">
        <v>70</v>
      </c>
      <c r="B112" s="16" t="s">
        <v>69</v>
      </c>
      <c r="C112" s="16">
        <v>55</v>
      </c>
      <c r="D112" s="16">
        <v>8.2200000000000006</v>
      </c>
    </row>
    <row r="113" spans="1:4" x14ac:dyDescent="0.2">
      <c r="A113" s="17" t="s">
        <v>70</v>
      </c>
      <c r="B113" s="18" t="s">
        <v>69</v>
      </c>
      <c r="C113" s="18">
        <v>56</v>
      </c>
      <c r="D113" s="18">
        <v>7.76</v>
      </c>
    </row>
    <row r="114" spans="1:4" x14ac:dyDescent="0.2">
      <c r="A114" s="15" t="s">
        <v>70</v>
      </c>
      <c r="B114" s="16" t="s">
        <v>69</v>
      </c>
      <c r="C114" s="16">
        <v>57</v>
      </c>
      <c r="D114" s="16">
        <v>7.32</v>
      </c>
    </row>
    <row r="115" spans="1:4" x14ac:dyDescent="0.2">
      <c r="A115" s="17" t="s">
        <v>70</v>
      </c>
      <c r="B115" s="18" t="s">
        <v>69</v>
      </c>
      <c r="C115" s="18">
        <v>58</v>
      </c>
      <c r="D115" s="18">
        <v>6.9</v>
      </c>
    </row>
    <row r="116" spans="1:4" x14ac:dyDescent="0.2">
      <c r="A116" s="15" t="s">
        <v>70</v>
      </c>
      <c r="B116" s="16" t="s">
        <v>69</v>
      </c>
      <c r="C116" s="16">
        <v>59</v>
      </c>
      <c r="D116" s="16">
        <v>6.51</v>
      </c>
    </row>
    <row r="117" spans="1:4" x14ac:dyDescent="0.2">
      <c r="A117" s="17" t="s">
        <v>70</v>
      </c>
      <c r="B117" s="18" t="s">
        <v>69</v>
      </c>
      <c r="C117" s="18">
        <v>60</v>
      </c>
      <c r="D117" s="18">
        <v>6.14</v>
      </c>
    </row>
    <row r="118" spans="1:4" x14ac:dyDescent="0.2">
      <c r="A118" s="15" t="s">
        <v>70</v>
      </c>
      <c r="B118" s="16" t="s">
        <v>69</v>
      </c>
      <c r="C118" s="16">
        <v>61</v>
      </c>
      <c r="D118" s="16">
        <v>5.8</v>
      </c>
    </row>
    <row r="119" spans="1:4" x14ac:dyDescent="0.2">
      <c r="A119" s="17" t="s">
        <v>70</v>
      </c>
      <c r="B119" s="18" t="s">
        <v>69</v>
      </c>
      <c r="C119" s="18">
        <v>62</v>
      </c>
      <c r="D119" s="18">
        <v>5.48</v>
      </c>
    </row>
    <row r="120" spans="1:4" x14ac:dyDescent="0.2">
      <c r="A120" s="15" t="s">
        <v>70</v>
      </c>
      <c r="B120" s="16" t="s">
        <v>69</v>
      </c>
      <c r="C120" s="16">
        <v>63</v>
      </c>
      <c r="D120" s="16">
        <v>5.18</v>
      </c>
    </row>
    <row r="121" spans="1:4" x14ac:dyDescent="0.2">
      <c r="A121" s="17" t="s">
        <v>70</v>
      </c>
      <c r="B121" s="18" t="s">
        <v>69</v>
      </c>
      <c r="C121" s="18">
        <v>64</v>
      </c>
      <c r="D121" s="18">
        <v>4.9000000000000004</v>
      </c>
    </row>
    <row r="122" spans="1:4" x14ac:dyDescent="0.2">
      <c r="A122" s="15" t="s">
        <v>70</v>
      </c>
      <c r="B122" s="16" t="s">
        <v>69</v>
      </c>
      <c r="C122" s="16">
        <v>65</v>
      </c>
      <c r="D122" s="16">
        <v>4.6399999999999997</v>
      </c>
    </row>
    <row r="123" spans="1:4" x14ac:dyDescent="0.2">
      <c r="A123" s="17" t="s">
        <v>70</v>
      </c>
      <c r="B123" s="18" t="s">
        <v>69</v>
      </c>
      <c r="C123" s="18">
        <v>66</v>
      </c>
      <c r="D123" s="18">
        <v>4.38</v>
      </c>
    </row>
    <row r="124" spans="1:4" x14ac:dyDescent="0.2">
      <c r="A124" s="15" t="s">
        <v>70</v>
      </c>
      <c r="B124" s="16" t="s">
        <v>69</v>
      </c>
      <c r="C124" s="16">
        <v>67</v>
      </c>
      <c r="D124" s="16">
        <v>4.1500000000000004</v>
      </c>
    </row>
    <row r="125" spans="1:4" x14ac:dyDescent="0.2">
      <c r="A125" s="17" t="s">
        <v>70</v>
      </c>
      <c r="B125" s="18" t="s">
        <v>69</v>
      </c>
      <c r="C125" s="18">
        <v>68</v>
      </c>
      <c r="D125" s="18">
        <v>3.92</v>
      </c>
    </row>
    <row r="126" spans="1:4" x14ac:dyDescent="0.2">
      <c r="A126" s="15" t="s">
        <v>70</v>
      </c>
      <c r="B126" s="16" t="s">
        <v>69</v>
      </c>
      <c r="C126" s="16">
        <v>69</v>
      </c>
      <c r="D126" s="16">
        <v>3.71</v>
      </c>
    </row>
    <row r="127" spans="1:4" x14ac:dyDescent="0.2">
      <c r="A127" s="17" t="s">
        <v>70</v>
      </c>
      <c r="B127" s="18" t="s">
        <v>69</v>
      </c>
      <c r="C127" s="18">
        <v>70</v>
      </c>
      <c r="D127" s="18">
        <v>3.52</v>
      </c>
    </row>
    <row r="128" spans="1:4" x14ac:dyDescent="0.2">
      <c r="A128" s="15" t="s">
        <v>70</v>
      </c>
      <c r="B128" s="16" t="s">
        <v>69</v>
      </c>
      <c r="C128" s="16">
        <v>71</v>
      </c>
      <c r="D128" s="16">
        <v>3.33</v>
      </c>
    </row>
    <row r="129" spans="1:4" x14ac:dyDescent="0.2">
      <c r="A129" s="17" t="s">
        <v>70</v>
      </c>
      <c r="B129" s="18" t="s">
        <v>69</v>
      </c>
      <c r="C129" s="18">
        <v>72</v>
      </c>
      <c r="D129" s="18">
        <v>3.16</v>
      </c>
    </row>
    <row r="130" spans="1:4" x14ac:dyDescent="0.2">
      <c r="A130" s="15" t="s">
        <v>70</v>
      </c>
      <c r="B130" s="16" t="s">
        <v>69</v>
      </c>
      <c r="C130" s="16">
        <v>73</v>
      </c>
      <c r="D130" s="16">
        <v>3</v>
      </c>
    </row>
    <row r="131" spans="1:4" x14ac:dyDescent="0.2">
      <c r="A131" s="17" t="s">
        <v>70</v>
      </c>
      <c r="B131" s="18" t="s">
        <v>69</v>
      </c>
      <c r="C131" s="18">
        <v>74</v>
      </c>
      <c r="D131" s="18">
        <v>2.85</v>
      </c>
    </row>
    <row r="132" spans="1:4" x14ac:dyDescent="0.2">
      <c r="A132" s="15" t="s">
        <v>70</v>
      </c>
      <c r="B132" s="16" t="s">
        <v>69</v>
      </c>
      <c r="C132" s="16">
        <v>75</v>
      </c>
      <c r="D132" s="16">
        <v>2.71</v>
      </c>
    </row>
    <row r="133" spans="1:4" x14ac:dyDescent="0.2">
      <c r="A133" s="17" t="s">
        <v>70</v>
      </c>
      <c r="B133" s="18" t="s">
        <v>69</v>
      </c>
      <c r="C133" s="18">
        <v>76</v>
      </c>
      <c r="D133" s="18">
        <v>2.58</v>
      </c>
    </row>
    <row r="134" spans="1:4" x14ac:dyDescent="0.2">
      <c r="A134" s="15" t="s">
        <v>70</v>
      </c>
      <c r="B134" s="16" t="s">
        <v>69</v>
      </c>
      <c r="C134" s="16">
        <v>77</v>
      </c>
      <c r="D134" s="16">
        <v>2.4500000000000002</v>
      </c>
    </row>
    <row r="135" spans="1:4" x14ac:dyDescent="0.2">
      <c r="A135" s="17" t="s">
        <v>70</v>
      </c>
      <c r="B135" s="18" t="s">
        <v>69</v>
      </c>
      <c r="C135" s="18">
        <v>78</v>
      </c>
      <c r="D135" s="18">
        <v>2.33</v>
      </c>
    </row>
    <row r="136" spans="1:4" x14ac:dyDescent="0.2">
      <c r="A136" s="15" t="s">
        <v>70</v>
      </c>
      <c r="B136" s="16" t="s">
        <v>69</v>
      </c>
      <c r="C136" s="16">
        <v>79</v>
      </c>
      <c r="D136" s="16">
        <v>2.2200000000000002</v>
      </c>
    </row>
    <row r="137" spans="1:4" x14ac:dyDescent="0.2">
      <c r="A137" s="17" t="s">
        <v>70</v>
      </c>
      <c r="B137" s="18" t="s">
        <v>69</v>
      </c>
      <c r="C137" s="18">
        <v>80</v>
      </c>
      <c r="D137" s="18">
        <v>2.12</v>
      </c>
    </row>
    <row r="138" spans="1:4" x14ac:dyDescent="0.2">
      <c r="A138" s="15" t="s">
        <v>70</v>
      </c>
      <c r="B138" s="16" t="s">
        <v>69</v>
      </c>
      <c r="C138" s="16">
        <v>81</v>
      </c>
      <c r="D138" s="16">
        <v>2.02</v>
      </c>
    </row>
    <row r="139" spans="1:4" x14ac:dyDescent="0.2">
      <c r="A139" s="17" t="s">
        <v>70</v>
      </c>
      <c r="B139" s="18" t="s">
        <v>69</v>
      </c>
      <c r="C139" s="18">
        <v>82</v>
      </c>
      <c r="D139" s="18">
        <v>1.93</v>
      </c>
    </row>
    <row r="140" spans="1:4" x14ac:dyDescent="0.2">
      <c r="A140" s="15" t="s">
        <v>70</v>
      </c>
      <c r="B140" s="16" t="s">
        <v>69</v>
      </c>
      <c r="C140" s="16">
        <v>83</v>
      </c>
      <c r="D140" s="16">
        <v>1.84</v>
      </c>
    </row>
    <row r="141" spans="1:4" x14ac:dyDescent="0.2">
      <c r="A141" s="17" t="s">
        <v>70</v>
      </c>
      <c r="B141" s="18" t="s">
        <v>69</v>
      </c>
      <c r="C141" s="18">
        <v>84</v>
      </c>
      <c r="D141" s="18">
        <v>1.76</v>
      </c>
    </row>
    <row r="142" spans="1:4" x14ac:dyDescent="0.2">
      <c r="A142" s="15" t="s">
        <v>70</v>
      </c>
      <c r="B142" s="16" t="s">
        <v>69</v>
      </c>
      <c r="C142" s="16">
        <v>85</v>
      </c>
      <c r="D142" s="16">
        <v>1.68</v>
      </c>
    </row>
    <row r="143" spans="1:4" x14ac:dyDescent="0.2">
      <c r="A143" s="17" t="s">
        <v>70</v>
      </c>
      <c r="B143" s="18" t="s">
        <v>69</v>
      </c>
      <c r="C143" s="18">
        <v>86</v>
      </c>
      <c r="D143" s="18">
        <v>1.6</v>
      </c>
    </row>
    <row r="144" spans="1:4" x14ac:dyDescent="0.2">
      <c r="A144" s="15" t="s">
        <v>70</v>
      </c>
      <c r="B144" s="16" t="s">
        <v>69</v>
      </c>
      <c r="C144" s="16">
        <v>87</v>
      </c>
      <c r="D144" s="16">
        <v>1.53</v>
      </c>
    </row>
    <row r="145" spans="1:4" x14ac:dyDescent="0.2">
      <c r="A145" s="17" t="s">
        <v>70</v>
      </c>
      <c r="B145" s="18" t="s">
        <v>69</v>
      </c>
      <c r="C145" s="18">
        <v>88</v>
      </c>
      <c r="D145" s="18">
        <v>1.47</v>
      </c>
    </row>
    <row r="146" spans="1:4" x14ac:dyDescent="0.2">
      <c r="A146" s="15" t="s">
        <v>70</v>
      </c>
      <c r="B146" s="16" t="s">
        <v>69</v>
      </c>
      <c r="C146" s="16">
        <v>89</v>
      </c>
      <c r="D146" s="16">
        <v>1.4</v>
      </c>
    </row>
    <row r="147" spans="1:4" x14ac:dyDescent="0.2">
      <c r="A147" s="17" t="s">
        <v>70</v>
      </c>
      <c r="B147" s="18" t="s">
        <v>69</v>
      </c>
      <c r="C147" s="18">
        <v>90</v>
      </c>
      <c r="D147" s="18">
        <v>1.34</v>
      </c>
    </row>
    <row r="148" spans="1:4" x14ac:dyDescent="0.2">
      <c r="A148" s="15" t="s">
        <v>71</v>
      </c>
      <c r="B148" s="16" t="s">
        <v>69</v>
      </c>
      <c r="C148" s="16">
        <v>18</v>
      </c>
      <c r="D148" s="16">
        <v>29.74</v>
      </c>
    </row>
    <row r="149" spans="1:4" x14ac:dyDescent="0.2">
      <c r="A149" s="17" t="s">
        <v>71</v>
      </c>
      <c r="B149" s="18" t="s">
        <v>69</v>
      </c>
      <c r="C149" s="18">
        <v>19</v>
      </c>
      <c r="D149" s="18">
        <v>29.16</v>
      </c>
    </row>
    <row r="150" spans="1:4" x14ac:dyDescent="0.2">
      <c r="A150" s="15" t="s">
        <v>71</v>
      </c>
      <c r="B150" s="16" t="s">
        <v>69</v>
      </c>
      <c r="C150" s="16">
        <v>20</v>
      </c>
      <c r="D150" s="16">
        <v>28.6</v>
      </c>
    </row>
    <row r="151" spans="1:4" x14ac:dyDescent="0.2">
      <c r="A151" s="17" t="s">
        <v>71</v>
      </c>
      <c r="B151" s="18" t="s">
        <v>69</v>
      </c>
      <c r="C151" s="18">
        <v>21</v>
      </c>
      <c r="D151" s="18">
        <v>28.03</v>
      </c>
    </row>
    <row r="152" spans="1:4" x14ac:dyDescent="0.2">
      <c r="A152" s="15" t="s">
        <v>71</v>
      </c>
      <c r="B152" s="16" t="s">
        <v>69</v>
      </c>
      <c r="C152" s="16">
        <v>22</v>
      </c>
      <c r="D152" s="16">
        <v>27.47</v>
      </c>
    </row>
    <row r="153" spans="1:4" x14ac:dyDescent="0.2">
      <c r="A153" s="17" t="s">
        <v>71</v>
      </c>
      <c r="B153" s="18" t="s">
        <v>69</v>
      </c>
      <c r="C153" s="18">
        <v>23</v>
      </c>
      <c r="D153" s="18">
        <v>26.91</v>
      </c>
    </row>
    <row r="154" spans="1:4" x14ac:dyDescent="0.2">
      <c r="A154" s="15" t="s">
        <v>71</v>
      </c>
      <c r="B154" s="16" t="s">
        <v>69</v>
      </c>
      <c r="C154" s="16">
        <v>24</v>
      </c>
      <c r="D154" s="16">
        <v>26.36</v>
      </c>
    </row>
    <row r="155" spans="1:4" x14ac:dyDescent="0.2">
      <c r="A155" s="17" t="s">
        <v>71</v>
      </c>
      <c r="B155" s="18" t="s">
        <v>69</v>
      </c>
      <c r="C155" s="18">
        <v>25</v>
      </c>
      <c r="D155" s="18">
        <v>25.8</v>
      </c>
    </row>
    <row r="156" spans="1:4" x14ac:dyDescent="0.2">
      <c r="A156" s="15" t="s">
        <v>71</v>
      </c>
      <c r="B156" s="16" t="s">
        <v>69</v>
      </c>
      <c r="C156" s="16">
        <v>26</v>
      </c>
      <c r="D156" s="16">
        <v>25.24</v>
      </c>
    </row>
    <row r="157" spans="1:4" x14ac:dyDescent="0.2">
      <c r="A157" s="17" t="s">
        <v>71</v>
      </c>
      <c r="B157" s="18" t="s">
        <v>69</v>
      </c>
      <c r="C157" s="18">
        <v>27</v>
      </c>
      <c r="D157" s="18">
        <v>24.67</v>
      </c>
    </row>
    <row r="158" spans="1:4" x14ac:dyDescent="0.2">
      <c r="A158" s="15" t="s">
        <v>71</v>
      </c>
      <c r="B158" s="16" t="s">
        <v>69</v>
      </c>
      <c r="C158" s="16">
        <v>28</v>
      </c>
      <c r="D158" s="16">
        <v>24.1</v>
      </c>
    </row>
    <row r="159" spans="1:4" x14ac:dyDescent="0.2">
      <c r="A159" s="17" t="s">
        <v>71</v>
      </c>
      <c r="B159" s="18" t="s">
        <v>69</v>
      </c>
      <c r="C159" s="18">
        <v>29</v>
      </c>
      <c r="D159" s="18">
        <v>23.52</v>
      </c>
    </row>
    <row r="160" spans="1:4" x14ac:dyDescent="0.2">
      <c r="A160" s="15" t="s">
        <v>71</v>
      </c>
      <c r="B160" s="16" t="s">
        <v>69</v>
      </c>
      <c r="C160" s="16">
        <v>30</v>
      </c>
      <c r="D160" s="16">
        <v>22.93</v>
      </c>
    </row>
    <row r="161" spans="1:4" x14ac:dyDescent="0.2">
      <c r="A161" s="17" t="s">
        <v>71</v>
      </c>
      <c r="B161" s="18" t="s">
        <v>69</v>
      </c>
      <c r="C161" s="18">
        <v>31</v>
      </c>
      <c r="D161" s="18">
        <v>22.33</v>
      </c>
    </row>
    <row r="162" spans="1:4" x14ac:dyDescent="0.2">
      <c r="A162" s="15" t="s">
        <v>71</v>
      </c>
      <c r="B162" s="16" t="s">
        <v>69</v>
      </c>
      <c r="C162" s="16">
        <v>32</v>
      </c>
      <c r="D162" s="16">
        <v>21.71</v>
      </c>
    </row>
    <row r="163" spans="1:4" x14ac:dyDescent="0.2">
      <c r="A163" s="17" t="s">
        <v>71</v>
      </c>
      <c r="B163" s="18" t="s">
        <v>69</v>
      </c>
      <c r="C163" s="18">
        <v>33</v>
      </c>
      <c r="D163" s="18">
        <v>21.09</v>
      </c>
    </row>
    <row r="164" spans="1:4" x14ac:dyDescent="0.2">
      <c r="A164" s="15" t="s">
        <v>71</v>
      </c>
      <c r="B164" s="16" t="s">
        <v>69</v>
      </c>
      <c r="C164" s="16">
        <v>34</v>
      </c>
      <c r="D164" s="16">
        <v>20.45</v>
      </c>
    </row>
    <row r="165" spans="1:4" x14ac:dyDescent="0.2">
      <c r="A165" s="17" t="s">
        <v>71</v>
      </c>
      <c r="B165" s="18" t="s">
        <v>69</v>
      </c>
      <c r="C165" s="18">
        <v>35</v>
      </c>
      <c r="D165" s="18">
        <v>19.8</v>
      </c>
    </row>
    <row r="166" spans="1:4" x14ac:dyDescent="0.2">
      <c r="A166" s="15" t="s">
        <v>71</v>
      </c>
      <c r="B166" s="16" t="s">
        <v>69</v>
      </c>
      <c r="C166" s="16">
        <v>36</v>
      </c>
      <c r="D166" s="16">
        <v>19.149999999999999</v>
      </c>
    </row>
    <row r="167" spans="1:4" x14ac:dyDescent="0.2">
      <c r="A167" s="17" t="s">
        <v>71</v>
      </c>
      <c r="B167" s="18" t="s">
        <v>69</v>
      </c>
      <c r="C167" s="18">
        <v>37</v>
      </c>
      <c r="D167" s="18">
        <v>18.5</v>
      </c>
    </row>
    <row r="168" spans="1:4" x14ac:dyDescent="0.2">
      <c r="A168" s="15" t="s">
        <v>71</v>
      </c>
      <c r="B168" s="16" t="s">
        <v>69</v>
      </c>
      <c r="C168" s="16">
        <v>38</v>
      </c>
      <c r="D168" s="16">
        <v>17.850000000000001</v>
      </c>
    </row>
    <row r="169" spans="1:4" x14ac:dyDescent="0.2">
      <c r="A169" s="17" t="s">
        <v>71</v>
      </c>
      <c r="B169" s="18" t="s">
        <v>69</v>
      </c>
      <c r="C169" s="18">
        <v>39</v>
      </c>
      <c r="D169" s="18">
        <v>17.21</v>
      </c>
    </row>
    <row r="170" spans="1:4" x14ac:dyDescent="0.2">
      <c r="A170" s="15" t="s">
        <v>71</v>
      </c>
      <c r="B170" s="16" t="s">
        <v>69</v>
      </c>
      <c r="C170" s="16">
        <v>40</v>
      </c>
      <c r="D170" s="16">
        <v>16.57</v>
      </c>
    </row>
    <row r="171" spans="1:4" x14ac:dyDescent="0.2">
      <c r="A171" s="17" t="s">
        <v>71</v>
      </c>
      <c r="B171" s="18" t="s">
        <v>69</v>
      </c>
      <c r="C171" s="18">
        <v>41</v>
      </c>
      <c r="D171" s="18">
        <v>15.94</v>
      </c>
    </row>
    <row r="172" spans="1:4" x14ac:dyDescent="0.2">
      <c r="A172" s="15" t="s">
        <v>71</v>
      </c>
      <c r="B172" s="16" t="s">
        <v>69</v>
      </c>
      <c r="C172" s="16">
        <v>42</v>
      </c>
      <c r="D172" s="16">
        <v>15.31</v>
      </c>
    </row>
    <row r="173" spans="1:4" x14ac:dyDescent="0.2">
      <c r="A173" s="17" t="s">
        <v>71</v>
      </c>
      <c r="B173" s="18" t="s">
        <v>69</v>
      </c>
      <c r="C173" s="18">
        <v>43</v>
      </c>
      <c r="D173" s="18">
        <v>14.68</v>
      </c>
    </row>
    <row r="174" spans="1:4" x14ac:dyDescent="0.2">
      <c r="A174" s="15" t="s">
        <v>71</v>
      </c>
      <c r="B174" s="16" t="s">
        <v>69</v>
      </c>
      <c r="C174" s="16">
        <v>44</v>
      </c>
      <c r="D174" s="16">
        <v>14.06</v>
      </c>
    </row>
    <row r="175" spans="1:4" x14ac:dyDescent="0.2">
      <c r="A175" s="17" t="s">
        <v>71</v>
      </c>
      <c r="B175" s="18" t="s">
        <v>69</v>
      </c>
      <c r="C175" s="18">
        <v>45</v>
      </c>
      <c r="D175" s="18">
        <v>13.46</v>
      </c>
    </row>
    <row r="176" spans="1:4" x14ac:dyDescent="0.2">
      <c r="A176" s="15" t="s">
        <v>71</v>
      </c>
      <c r="B176" s="16" t="s">
        <v>69</v>
      </c>
      <c r="C176" s="16">
        <v>46</v>
      </c>
      <c r="D176" s="16">
        <v>12.87</v>
      </c>
    </row>
    <row r="177" spans="1:4" x14ac:dyDescent="0.2">
      <c r="A177" s="17" t="s">
        <v>71</v>
      </c>
      <c r="B177" s="18" t="s">
        <v>69</v>
      </c>
      <c r="C177" s="18">
        <v>47</v>
      </c>
      <c r="D177" s="18">
        <v>12.28</v>
      </c>
    </row>
    <row r="178" spans="1:4" x14ac:dyDescent="0.2">
      <c r="A178" s="15" t="s">
        <v>71</v>
      </c>
      <c r="B178" s="16" t="s">
        <v>69</v>
      </c>
      <c r="C178" s="16">
        <v>48</v>
      </c>
      <c r="D178" s="16">
        <v>11.72</v>
      </c>
    </row>
    <row r="179" spans="1:4" x14ac:dyDescent="0.2">
      <c r="A179" s="17" t="s">
        <v>71</v>
      </c>
      <c r="B179" s="18" t="s">
        <v>69</v>
      </c>
      <c r="C179" s="18">
        <v>49</v>
      </c>
      <c r="D179" s="18">
        <v>11.16</v>
      </c>
    </row>
    <row r="180" spans="1:4" x14ac:dyDescent="0.2">
      <c r="A180" s="15" t="s">
        <v>71</v>
      </c>
      <c r="B180" s="16" t="s">
        <v>69</v>
      </c>
      <c r="C180" s="16">
        <v>50</v>
      </c>
      <c r="D180" s="16">
        <v>10.62</v>
      </c>
    </row>
    <row r="181" spans="1:4" x14ac:dyDescent="0.2">
      <c r="A181" s="17" t="s">
        <v>71</v>
      </c>
      <c r="B181" s="18" t="s">
        <v>69</v>
      </c>
      <c r="C181" s="18">
        <v>51</v>
      </c>
      <c r="D181" s="18">
        <v>10.09</v>
      </c>
    </row>
    <row r="182" spans="1:4" x14ac:dyDescent="0.2">
      <c r="A182" s="15" t="s">
        <v>71</v>
      </c>
      <c r="B182" s="16" t="s">
        <v>69</v>
      </c>
      <c r="C182" s="16">
        <v>52</v>
      </c>
      <c r="D182" s="16">
        <v>9.57</v>
      </c>
    </row>
    <row r="183" spans="1:4" x14ac:dyDescent="0.2">
      <c r="A183" s="17" t="s">
        <v>71</v>
      </c>
      <c r="B183" s="18" t="s">
        <v>69</v>
      </c>
      <c r="C183" s="18">
        <v>53</v>
      </c>
      <c r="D183" s="18">
        <v>9.06</v>
      </c>
    </row>
    <row r="184" spans="1:4" x14ac:dyDescent="0.2">
      <c r="A184" s="15" t="s">
        <v>71</v>
      </c>
      <c r="B184" s="16" t="s">
        <v>69</v>
      </c>
      <c r="C184" s="16">
        <v>54</v>
      </c>
      <c r="D184" s="16">
        <v>8.56</v>
      </c>
    </row>
    <row r="185" spans="1:4" x14ac:dyDescent="0.2">
      <c r="A185" s="17" t="s">
        <v>71</v>
      </c>
      <c r="B185" s="18" t="s">
        <v>69</v>
      </c>
      <c r="C185" s="18">
        <v>55</v>
      </c>
      <c r="D185" s="18">
        <v>8.07</v>
      </c>
    </row>
    <row r="186" spans="1:4" x14ac:dyDescent="0.2">
      <c r="A186" s="15" t="s">
        <v>71</v>
      </c>
      <c r="B186" s="16" t="s">
        <v>69</v>
      </c>
      <c r="C186" s="16">
        <v>56</v>
      </c>
      <c r="D186" s="16">
        <v>7.59</v>
      </c>
    </row>
    <row r="187" spans="1:4" x14ac:dyDescent="0.2">
      <c r="A187" s="17" t="s">
        <v>71</v>
      </c>
      <c r="B187" s="18" t="s">
        <v>69</v>
      </c>
      <c r="C187" s="18">
        <v>57</v>
      </c>
      <c r="D187" s="18">
        <v>7.13</v>
      </c>
    </row>
    <row r="188" spans="1:4" x14ac:dyDescent="0.2">
      <c r="A188" s="15" t="s">
        <v>71</v>
      </c>
      <c r="B188" s="16" t="s">
        <v>69</v>
      </c>
      <c r="C188" s="16">
        <v>58</v>
      </c>
      <c r="D188" s="16">
        <v>6.69</v>
      </c>
    </row>
    <row r="189" spans="1:4" x14ac:dyDescent="0.2">
      <c r="A189" s="17" t="s">
        <v>71</v>
      </c>
      <c r="B189" s="18" t="s">
        <v>69</v>
      </c>
      <c r="C189" s="18">
        <v>59</v>
      </c>
      <c r="D189" s="18">
        <v>6.27</v>
      </c>
    </row>
    <row r="190" spans="1:4" x14ac:dyDescent="0.2">
      <c r="A190" s="15" t="s">
        <v>71</v>
      </c>
      <c r="B190" s="16" t="s">
        <v>69</v>
      </c>
      <c r="C190" s="16">
        <v>60</v>
      </c>
      <c r="D190" s="16">
        <v>5.89</v>
      </c>
    </row>
    <row r="191" spans="1:4" x14ac:dyDescent="0.2">
      <c r="A191" s="17" t="s">
        <v>71</v>
      </c>
      <c r="B191" s="18" t="s">
        <v>69</v>
      </c>
      <c r="C191" s="18">
        <v>61</v>
      </c>
      <c r="D191" s="18">
        <v>5.55</v>
      </c>
    </row>
    <row r="192" spans="1:4" x14ac:dyDescent="0.2">
      <c r="A192" s="15" t="s">
        <v>71</v>
      </c>
      <c r="B192" s="16" t="s">
        <v>69</v>
      </c>
      <c r="C192" s="16">
        <v>62</v>
      </c>
      <c r="D192" s="16">
        <v>5.24</v>
      </c>
    </row>
    <row r="193" spans="1:4" x14ac:dyDescent="0.2">
      <c r="A193" s="17" t="s">
        <v>71</v>
      </c>
      <c r="B193" s="18" t="s">
        <v>69</v>
      </c>
      <c r="C193" s="18">
        <v>63</v>
      </c>
      <c r="D193" s="18">
        <v>4.95</v>
      </c>
    </row>
    <row r="194" spans="1:4" x14ac:dyDescent="0.2">
      <c r="A194" s="15" t="s">
        <v>71</v>
      </c>
      <c r="B194" s="16" t="s">
        <v>69</v>
      </c>
      <c r="C194" s="16">
        <v>64</v>
      </c>
      <c r="D194" s="16">
        <v>4.6900000000000004</v>
      </c>
    </row>
    <row r="195" spans="1:4" x14ac:dyDescent="0.2">
      <c r="A195" s="17" t="s">
        <v>71</v>
      </c>
      <c r="B195" s="18" t="s">
        <v>69</v>
      </c>
      <c r="C195" s="18">
        <v>65</v>
      </c>
      <c r="D195" s="18">
        <v>4.45</v>
      </c>
    </row>
    <row r="196" spans="1:4" x14ac:dyDescent="0.2">
      <c r="A196" s="15" t="s">
        <v>71</v>
      </c>
      <c r="B196" s="16" t="s">
        <v>69</v>
      </c>
      <c r="C196" s="16">
        <v>66</v>
      </c>
      <c r="D196" s="16">
        <v>4.22</v>
      </c>
    </row>
    <row r="197" spans="1:4" x14ac:dyDescent="0.2">
      <c r="A197" s="17" t="s">
        <v>71</v>
      </c>
      <c r="B197" s="18" t="s">
        <v>69</v>
      </c>
      <c r="C197" s="18">
        <v>67</v>
      </c>
      <c r="D197" s="18">
        <v>4.01</v>
      </c>
    </row>
    <row r="198" spans="1:4" x14ac:dyDescent="0.2">
      <c r="A198" s="15" t="s">
        <v>71</v>
      </c>
      <c r="B198" s="16" t="s">
        <v>69</v>
      </c>
      <c r="C198" s="16">
        <v>68</v>
      </c>
      <c r="D198" s="16">
        <v>3.81</v>
      </c>
    </row>
    <row r="199" spans="1:4" x14ac:dyDescent="0.2">
      <c r="A199" s="17" t="s">
        <v>71</v>
      </c>
      <c r="B199" s="18" t="s">
        <v>69</v>
      </c>
      <c r="C199" s="18">
        <v>69</v>
      </c>
      <c r="D199" s="18">
        <v>3.62</v>
      </c>
    </row>
    <row r="200" spans="1:4" x14ac:dyDescent="0.2">
      <c r="A200" s="15" t="s">
        <v>71</v>
      </c>
      <c r="B200" s="16" t="s">
        <v>69</v>
      </c>
      <c r="C200" s="16">
        <v>70</v>
      </c>
      <c r="D200" s="16">
        <v>3.45</v>
      </c>
    </row>
    <row r="201" spans="1:4" x14ac:dyDescent="0.2">
      <c r="A201" s="17" t="s">
        <v>71</v>
      </c>
      <c r="B201" s="18" t="s">
        <v>69</v>
      </c>
      <c r="C201" s="18">
        <v>71</v>
      </c>
      <c r="D201" s="18">
        <v>3.28</v>
      </c>
    </row>
    <row r="202" spans="1:4" x14ac:dyDescent="0.2">
      <c r="A202" s="15" t="s">
        <v>71</v>
      </c>
      <c r="B202" s="16" t="s">
        <v>69</v>
      </c>
      <c r="C202" s="16">
        <v>72</v>
      </c>
      <c r="D202" s="16">
        <v>3.13</v>
      </c>
    </row>
    <row r="203" spans="1:4" x14ac:dyDescent="0.2">
      <c r="A203" s="17" t="s">
        <v>71</v>
      </c>
      <c r="B203" s="18" t="s">
        <v>69</v>
      </c>
      <c r="C203" s="18">
        <v>73</v>
      </c>
      <c r="D203" s="18">
        <v>2.99</v>
      </c>
    </row>
    <row r="204" spans="1:4" x14ac:dyDescent="0.2">
      <c r="A204" s="15" t="s">
        <v>71</v>
      </c>
      <c r="B204" s="16" t="s">
        <v>69</v>
      </c>
      <c r="C204" s="16">
        <v>74</v>
      </c>
      <c r="D204" s="16">
        <v>2.86</v>
      </c>
    </row>
    <row r="205" spans="1:4" x14ac:dyDescent="0.2">
      <c r="A205" s="17" t="s">
        <v>71</v>
      </c>
      <c r="B205" s="18" t="s">
        <v>69</v>
      </c>
      <c r="C205" s="18">
        <v>75</v>
      </c>
      <c r="D205" s="18">
        <v>2.74</v>
      </c>
    </row>
    <row r="206" spans="1:4" x14ac:dyDescent="0.2">
      <c r="A206" s="15" t="s">
        <v>71</v>
      </c>
      <c r="B206" s="16" t="s">
        <v>69</v>
      </c>
      <c r="C206" s="16">
        <v>76</v>
      </c>
      <c r="D206" s="16">
        <v>2.62</v>
      </c>
    </row>
    <row r="207" spans="1:4" x14ac:dyDescent="0.2">
      <c r="A207" s="17" t="s">
        <v>71</v>
      </c>
      <c r="B207" s="18" t="s">
        <v>69</v>
      </c>
      <c r="C207" s="18">
        <v>77</v>
      </c>
      <c r="D207" s="18">
        <v>2.5099999999999998</v>
      </c>
    </row>
    <row r="208" spans="1:4" x14ac:dyDescent="0.2">
      <c r="A208" s="15" t="s">
        <v>71</v>
      </c>
      <c r="B208" s="16" t="s">
        <v>69</v>
      </c>
      <c r="C208" s="16">
        <v>78</v>
      </c>
      <c r="D208" s="16">
        <v>2.41</v>
      </c>
    </row>
    <row r="209" spans="1:4" x14ac:dyDescent="0.2">
      <c r="A209" s="17" t="s">
        <v>71</v>
      </c>
      <c r="B209" s="18" t="s">
        <v>69</v>
      </c>
      <c r="C209" s="18">
        <v>79</v>
      </c>
      <c r="D209" s="18">
        <v>2.31</v>
      </c>
    </row>
    <row r="210" spans="1:4" x14ac:dyDescent="0.2">
      <c r="A210" s="15" t="s">
        <v>71</v>
      </c>
      <c r="B210" s="16" t="s">
        <v>69</v>
      </c>
      <c r="C210" s="16">
        <v>80</v>
      </c>
      <c r="D210" s="16">
        <v>2.21</v>
      </c>
    </row>
    <row r="211" spans="1:4" x14ac:dyDescent="0.2">
      <c r="A211" s="17" t="s">
        <v>71</v>
      </c>
      <c r="B211" s="18" t="s">
        <v>69</v>
      </c>
      <c r="C211" s="18">
        <v>81</v>
      </c>
      <c r="D211" s="18">
        <v>2.12</v>
      </c>
    </row>
    <row r="212" spans="1:4" x14ac:dyDescent="0.2">
      <c r="A212" s="15" t="s">
        <v>71</v>
      </c>
      <c r="B212" s="16" t="s">
        <v>69</v>
      </c>
      <c r="C212" s="16">
        <v>82</v>
      </c>
      <c r="D212" s="16">
        <v>2.0299999999999998</v>
      </c>
    </row>
    <row r="213" spans="1:4" x14ac:dyDescent="0.2">
      <c r="A213" s="17" t="s">
        <v>71</v>
      </c>
      <c r="B213" s="18" t="s">
        <v>69</v>
      </c>
      <c r="C213" s="18">
        <v>83</v>
      </c>
      <c r="D213" s="18">
        <v>1.95</v>
      </c>
    </row>
    <row r="214" spans="1:4" x14ac:dyDescent="0.2">
      <c r="A214" s="15" t="s">
        <v>71</v>
      </c>
      <c r="B214" s="16" t="s">
        <v>69</v>
      </c>
      <c r="C214" s="16">
        <v>84</v>
      </c>
      <c r="D214" s="16">
        <v>1.87</v>
      </c>
    </row>
    <row r="215" spans="1:4" x14ac:dyDescent="0.2">
      <c r="A215" s="17" t="s">
        <v>71</v>
      </c>
      <c r="B215" s="18" t="s">
        <v>69</v>
      </c>
      <c r="C215" s="18">
        <v>85</v>
      </c>
      <c r="D215" s="18">
        <v>1.79</v>
      </c>
    </row>
    <row r="216" spans="1:4" x14ac:dyDescent="0.2">
      <c r="A216" s="15" t="s">
        <v>71</v>
      </c>
      <c r="B216" s="16" t="s">
        <v>69</v>
      </c>
      <c r="C216" s="16">
        <v>86</v>
      </c>
      <c r="D216" s="16">
        <v>1.71</v>
      </c>
    </row>
    <row r="217" spans="1:4" x14ac:dyDescent="0.2">
      <c r="A217" s="17" t="s">
        <v>71</v>
      </c>
      <c r="B217" s="18" t="s">
        <v>69</v>
      </c>
      <c r="C217" s="18">
        <v>87</v>
      </c>
      <c r="D217" s="18">
        <v>1.64</v>
      </c>
    </row>
    <row r="218" spans="1:4" x14ac:dyDescent="0.2">
      <c r="A218" s="15" t="s">
        <v>71</v>
      </c>
      <c r="B218" s="16" t="s">
        <v>69</v>
      </c>
      <c r="C218" s="16">
        <v>88</v>
      </c>
      <c r="D218" s="16">
        <v>1.57</v>
      </c>
    </row>
    <row r="219" spans="1:4" x14ac:dyDescent="0.2">
      <c r="A219" s="17" t="s">
        <v>71</v>
      </c>
      <c r="B219" s="18" t="s">
        <v>69</v>
      </c>
      <c r="C219" s="18">
        <v>89</v>
      </c>
      <c r="D219" s="18">
        <v>1.51</v>
      </c>
    </row>
    <row r="220" spans="1:4" x14ac:dyDescent="0.2">
      <c r="A220" s="15" t="s">
        <v>71</v>
      </c>
      <c r="B220" s="16" t="s">
        <v>69</v>
      </c>
      <c r="C220" s="16">
        <v>90</v>
      </c>
      <c r="D220" s="16">
        <v>1.44</v>
      </c>
    </row>
    <row r="221" spans="1:4" x14ac:dyDescent="0.2">
      <c r="A221" s="17" t="s">
        <v>3</v>
      </c>
      <c r="B221" s="18" t="s">
        <v>69</v>
      </c>
      <c r="C221" s="18">
        <v>18</v>
      </c>
      <c r="D221" s="18">
        <v>33.33</v>
      </c>
    </row>
    <row r="222" spans="1:4" x14ac:dyDescent="0.2">
      <c r="A222" s="15" t="s">
        <v>3</v>
      </c>
      <c r="B222" s="16" t="s">
        <v>69</v>
      </c>
      <c r="C222" s="16">
        <v>19</v>
      </c>
      <c r="D222" s="16">
        <v>32.590000000000003</v>
      </c>
    </row>
    <row r="223" spans="1:4" x14ac:dyDescent="0.2">
      <c r="A223" s="17" t="s">
        <v>3</v>
      </c>
      <c r="B223" s="18" t="s">
        <v>69</v>
      </c>
      <c r="C223" s="18">
        <v>20</v>
      </c>
      <c r="D223" s="18">
        <v>31.85</v>
      </c>
    </row>
    <row r="224" spans="1:4" x14ac:dyDescent="0.2">
      <c r="A224" s="15" t="s">
        <v>3</v>
      </c>
      <c r="B224" s="16" t="s">
        <v>69</v>
      </c>
      <c r="C224" s="16">
        <v>21</v>
      </c>
      <c r="D224" s="16">
        <v>31.11</v>
      </c>
    </row>
    <row r="225" spans="1:4" x14ac:dyDescent="0.2">
      <c r="A225" s="17" t="s">
        <v>3</v>
      </c>
      <c r="B225" s="18" t="s">
        <v>69</v>
      </c>
      <c r="C225" s="18">
        <v>22</v>
      </c>
      <c r="D225" s="18">
        <v>30.37</v>
      </c>
    </row>
    <row r="226" spans="1:4" x14ac:dyDescent="0.2">
      <c r="A226" s="15" t="s">
        <v>3</v>
      </c>
      <c r="B226" s="16" t="s">
        <v>69</v>
      </c>
      <c r="C226" s="16">
        <v>23</v>
      </c>
      <c r="D226" s="16">
        <v>29.64</v>
      </c>
    </row>
    <row r="227" spans="1:4" x14ac:dyDescent="0.2">
      <c r="A227" s="17" t="s">
        <v>3</v>
      </c>
      <c r="B227" s="18" t="s">
        <v>69</v>
      </c>
      <c r="C227" s="18">
        <v>24</v>
      </c>
      <c r="D227" s="18">
        <v>28.9</v>
      </c>
    </row>
    <row r="228" spans="1:4" x14ac:dyDescent="0.2">
      <c r="A228" s="15" t="s">
        <v>3</v>
      </c>
      <c r="B228" s="16" t="s">
        <v>69</v>
      </c>
      <c r="C228" s="16">
        <v>25</v>
      </c>
      <c r="D228" s="16">
        <v>28.17</v>
      </c>
    </row>
    <row r="229" spans="1:4" x14ac:dyDescent="0.2">
      <c r="A229" s="17" t="s">
        <v>3</v>
      </c>
      <c r="B229" s="18" t="s">
        <v>69</v>
      </c>
      <c r="C229" s="18">
        <v>26</v>
      </c>
      <c r="D229" s="18">
        <v>27.43</v>
      </c>
    </row>
    <row r="230" spans="1:4" x14ac:dyDescent="0.2">
      <c r="A230" s="15" t="s">
        <v>3</v>
      </c>
      <c r="B230" s="16" t="s">
        <v>69</v>
      </c>
      <c r="C230" s="16">
        <v>27</v>
      </c>
      <c r="D230" s="16">
        <v>26.68</v>
      </c>
    </row>
    <row r="231" spans="1:4" x14ac:dyDescent="0.2">
      <c r="A231" s="17" t="s">
        <v>3</v>
      </c>
      <c r="B231" s="18" t="s">
        <v>69</v>
      </c>
      <c r="C231" s="18">
        <v>28</v>
      </c>
      <c r="D231" s="18">
        <v>25.94</v>
      </c>
    </row>
    <row r="232" spans="1:4" x14ac:dyDescent="0.2">
      <c r="A232" s="15" t="s">
        <v>3</v>
      </c>
      <c r="B232" s="16" t="s">
        <v>69</v>
      </c>
      <c r="C232" s="16">
        <v>29</v>
      </c>
      <c r="D232" s="16">
        <v>25.2</v>
      </c>
    </row>
    <row r="233" spans="1:4" x14ac:dyDescent="0.2">
      <c r="A233" s="17" t="s">
        <v>3</v>
      </c>
      <c r="B233" s="18" t="s">
        <v>69</v>
      </c>
      <c r="C233" s="18">
        <v>30</v>
      </c>
      <c r="D233" s="18">
        <v>24.46</v>
      </c>
    </row>
    <row r="234" spans="1:4" x14ac:dyDescent="0.2">
      <c r="A234" s="15" t="s">
        <v>3</v>
      </c>
      <c r="B234" s="16" t="s">
        <v>69</v>
      </c>
      <c r="C234" s="16">
        <v>31</v>
      </c>
      <c r="D234" s="16">
        <v>23.72</v>
      </c>
    </row>
    <row r="235" spans="1:4" x14ac:dyDescent="0.2">
      <c r="A235" s="17" t="s">
        <v>3</v>
      </c>
      <c r="B235" s="18" t="s">
        <v>69</v>
      </c>
      <c r="C235" s="18">
        <v>32</v>
      </c>
      <c r="D235" s="18">
        <v>22.99</v>
      </c>
    </row>
    <row r="236" spans="1:4" x14ac:dyDescent="0.2">
      <c r="A236" s="15" t="s">
        <v>3</v>
      </c>
      <c r="B236" s="16" t="s">
        <v>69</v>
      </c>
      <c r="C236" s="16">
        <v>33</v>
      </c>
      <c r="D236" s="16">
        <v>22.25</v>
      </c>
    </row>
    <row r="237" spans="1:4" x14ac:dyDescent="0.2">
      <c r="A237" s="17" t="s">
        <v>3</v>
      </c>
      <c r="B237" s="18" t="s">
        <v>69</v>
      </c>
      <c r="C237" s="18">
        <v>34</v>
      </c>
      <c r="D237" s="18">
        <v>21.51</v>
      </c>
    </row>
    <row r="238" spans="1:4" x14ac:dyDescent="0.2">
      <c r="A238" s="15" t="s">
        <v>3</v>
      </c>
      <c r="B238" s="16" t="s">
        <v>69</v>
      </c>
      <c r="C238" s="16">
        <v>35</v>
      </c>
      <c r="D238" s="16">
        <v>20.77</v>
      </c>
    </row>
    <row r="239" spans="1:4" x14ac:dyDescent="0.2">
      <c r="A239" s="17" t="s">
        <v>3</v>
      </c>
      <c r="B239" s="18" t="s">
        <v>69</v>
      </c>
      <c r="C239" s="18">
        <v>36</v>
      </c>
      <c r="D239" s="18">
        <v>20.04</v>
      </c>
    </row>
    <row r="240" spans="1:4" x14ac:dyDescent="0.2">
      <c r="A240" s="15" t="s">
        <v>3</v>
      </c>
      <c r="B240" s="16" t="s">
        <v>69</v>
      </c>
      <c r="C240" s="16">
        <v>37</v>
      </c>
      <c r="D240" s="16">
        <v>19.309999999999999</v>
      </c>
    </row>
    <row r="241" spans="1:4" x14ac:dyDescent="0.2">
      <c r="A241" s="17" t="s">
        <v>3</v>
      </c>
      <c r="B241" s="18" t="s">
        <v>69</v>
      </c>
      <c r="C241" s="18">
        <v>38</v>
      </c>
      <c r="D241" s="18">
        <v>18.579999999999998</v>
      </c>
    </row>
    <row r="242" spans="1:4" x14ac:dyDescent="0.2">
      <c r="A242" s="15" t="s">
        <v>3</v>
      </c>
      <c r="B242" s="16" t="s">
        <v>69</v>
      </c>
      <c r="C242" s="16">
        <v>39</v>
      </c>
      <c r="D242" s="16">
        <v>17.850000000000001</v>
      </c>
    </row>
    <row r="243" spans="1:4" x14ac:dyDescent="0.2">
      <c r="A243" s="17" t="s">
        <v>3</v>
      </c>
      <c r="B243" s="18" t="s">
        <v>69</v>
      </c>
      <c r="C243" s="18">
        <v>40</v>
      </c>
      <c r="D243" s="18">
        <v>17.13</v>
      </c>
    </row>
    <row r="244" spans="1:4" x14ac:dyDescent="0.2">
      <c r="A244" s="15" t="s">
        <v>3</v>
      </c>
      <c r="B244" s="16" t="s">
        <v>69</v>
      </c>
      <c r="C244" s="16">
        <v>41</v>
      </c>
      <c r="D244" s="16">
        <v>16.41</v>
      </c>
    </row>
    <row r="245" spans="1:4" x14ac:dyDescent="0.2">
      <c r="A245" s="17" t="s">
        <v>3</v>
      </c>
      <c r="B245" s="18" t="s">
        <v>69</v>
      </c>
      <c r="C245" s="18">
        <v>42</v>
      </c>
      <c r="D245" s="18">
        <v>15.71</v>
      </c>
    </row>
    <row r="246" spans="1:4" x14ac:dyDescent="0.2">
      <c r="A246" s="15" t="s">
        <v>3</v>
      </c>
      <c r="B246" s="16" t="s">
        <v>69</v>
      </c>
      <c r="C246" s="16">
        <v>43</v>
      </c>
      <c r="D246" s="16">
        <v>15.01</v>
      </c>
    </row>
    <row r="247" spans="1:4" x14ac:dyDescent="0.2">
      <c r="A247" s="17" t="s">
        <v>3</v>
      </c>
      <c r="B247" s="18" t="s">
        <v>69</v>
      </c>
      <c r="C247" s="18">
        <v>44</v>
      </c>
      <c r="D247" s="18">
        <v>14.33</v>
      </c>
    </row>
    <row r="248" spans="1:4" x14ac:dyDescent="0.2">
      <c r="A248" s="15" t="s">
        <v>3</v>
      </c>
      <c r="B248" s="16" t="s">
        <v>69</v>
      </c>
      <c r="C248" s="16">
        <v>45</v>
      </c>
      <c r="D248" s="16">
        <v>13.65</v>
      </c>
    </row>
    <row r="249" spans="1:4" x14ac:dyDescent="0.2">
      <c r="A249" s="17" t="s">
        <v>3</v>
      </c>
      <c r="B249" s="18" t="s">
        <v>69</v>
      </c>
      <c r="C249" s="18">
        <v>46</v>
      </c>
      <c r="D249" s="18">
        <v>12.98</v>
      </c>
    </row>
    <row r="250" spans="1:4" x14ac:dyDescent="0.2">
      <c r="A250" s="15" t="s">
        <v>3</v>
      </c>
      <c r="B250" s="16" t="s">
        <v>69</v>
      </c>
      <c r="C250" s="16">
        <v>47</v>
      </c>
      <c r="D250" s="16">
        <v>12.33</v>
      </c>
    </row>
    <row r="251" spans="1:4" x14ac:dyDescent="0.2">
      <c r="A251" s="17" t="s">
        <v>3</v>
      </c>
      <c r="B251" s="18" t="s">
        <v>69</v>
      </c>
      <c r="C251" s="18">
        <v>48</v>
      </c>
      <c r="D251" s="18">
        <v>11.69</v>
      </c>
    </row>
    <row r="252" spans="1:4" x14ac:dyDescent="0.2">
      <c r="A252" s="15" t="s">
        <v>3</v>
      </c>
      <c r="B252" s="16" t="s">
        <v>69</v>
      </c>
      <c r="C252" s="16">
        <v>49</v>
      </c>
      <c r="D252" s="16">
        <v>11.05</v>
      </c>
    </row>
    <row r="253" spans="1:4" x14ac:dyDescent="0.2">
      <c r="A253" s="17" t="s">
        <v>3</v>
      </c>
      <c r="B253" s="18" t="s">
        <v>69</v>
      </c>
      <c r="C253" s="18">
        <v>50</v>
      </c>
      <c r="D253" s="18">
        <v>10.41</v>
      </c>
    </row>
    <row r="254" spans="1:4" x14ac:dyDescent="0.2">
      <c r="A254" s="15" t="s">
        <v>3</v>
      </c>
      <c r="B254" s="16" t="s">
        <v>69</v>
      </c>
      <c r="C254" s="16">
        <v>51</v>
      </c>
      <c r="D254" s="16">
        <v>9.7899999999999991</v>
      </c>
    </row>
    <row r="255" spans="1:4" x14ac:dyDescent="0.2">
      <c r="A255" s="17" t="s">
        <v>3</v>
      </c>
      <c r="B255" s="18" t="s">
        <v>69</v>
      </c>
      <c r="C255" s="18">
        <v>52</v>
      </c>
      <c r="D255" s="18">
        <v>9.18</v>
      </c>
    </row>
    <row r="256" spans="1:4" x14ac:dyDescent="0.2">
      <c r="A256" s="15" t="s">
        <v>3</v>
      </c>
      <c r="B256" s="16" t="s">
        <v>69</v>
      </c>
      <c r="C256" s="16">
        <v>53</v>
      </c>
      <c r="D256" s="16">
        <v>8.6</v>
      </c>
    </row>
    <row r="257" spans="1:4" x14ac:dyDescent="0.2">
      <c r="A257" s="17" t="s">
        <v>3</v>
      </c>
      <c r="B257" s="18" t="s">
        <v>69</v>
      </c>
      <c r="C257" s="18">
        <v>54</v>
      </c>
      <c r="D257" s="18">
        <v>8.0500000000000007</v>
      </c>
    </row>
    <row r="258" spans="1:4" x14ac:dyDescent="0.2">
      <c r="A258" s="15" t="s">
        <v>3</v>
      </c>
      <c r="B258" s="16" t="s">
        <v>69</v>
      </c>
      <c r="C258" s="16">
        <v>55</v>
      </c>
      <c r="D258" s="16">
        <v>7.52</v>
      </c>
    </row>
    <row r="259" spans="1:4" x14ac:dyDescent="0.2">
      <c r="A259" s="17" t="s">
        <v>3</v>
      </c>
      <c r="B259" s="18" t="s">
        <v>69</v>
      </c>
      <c r="C259" s="18">
        <v>56</v>
      </c>
      <c r="D259" s="18">
        <v>7.01</v>
      </c>
    </row>
    <row r="260" spans="1:4" x14ac:dyDescent="0.2">
      <c r="A260" s="15" t="s">
        <v>3</v>
      </c>
      <c r="B260" s="16" t="s">
        <v>69</v>
      </c>
      <c r="C260" s="16">
        <v>57</v>
      </c>
      <c r="D260" s="16">
        <v>6.53</v>
      </c>
    </row>
    <row r="261" spans="1:4" x14ac:dyDescent="0.2">
      <c r="A261" s="17" t="s">
        <v>3</v>
      </c>
      <c r="B261" s="18" t="s">
        <v>69</v>
      </c>
      <c r="C261" s="18">
        <v>58</v>
      </c>
      <c r="D261" s="18">
        <v>6.08</v>
      </c>
    </row>
    <row r="262" spans="1:4" x14ac:dyDescent="0.2">
      <c r="A262" s="15" t="s">
        <v>3</v>
      </c>
      <c r="B262" s="16" t="s">
        <v>69</v>
      </c>
      <c r="C262" s="16">
        <v>59</v>
      </c>
      <c r="D262" s="16">
        <v>5.67</v>
      </c>
    </row>
    <row r="263" spans="1:4" x14ac:dyDescent="0.2">
      <c r="A263" s="17" t="s">
        <v>3</v>
      </c>
      <c r="B263" s="18" t="s">
        <v>69</v>
      </c>
      <c r="C263" s="18">
        <v>60</v>
      </c>
      <c r="D263" s="18">
        <v>5.31</v>
      </c>
    </row>
    <row r="264" spans="1:4" x14ac:dyDescent="0.2">
      <c r="A264" s="15" t="s">
        <v>3</v>
      </c>
      <c r="B264" s="16" t="s">
        <v>69</v>
      </c>
      <c r="C264" s="16">
        <v>61</v>
      </c>
      <c r="D264" s="16">
        <v>4.9800000000000004</v>
      </c>
    </row>
    <row r="265" spans="1:4" x14ac:dyDescent="0.2">
      <c r="A265" s="17" t="s">
        <v>3</v>
      </c>
      <c r="B265" s="18" t="s">
        <v>69</v>
      </c>
      <c r="C265" s="18">
        <v>62</v>
      </c>
      <c r="D265" s="18">
        <v>4.7</v>
      </c>
    </row>
    <row r="266" spans="1:4" x14ac:dyDescent="0.2">
      <c r="A266" s="15" t="s">
        <v>3</v>
      </c>
      <c r="B266" s="16" t="s">
        <v>69</v>
      </c>
      <c r="C266" s="16">
        <v>63</v>
      </c>
      <c r="D266" s="16">
        <v>4.4400000000000004</v>
      </c>
    </row>
    <row r="267" spans="1:4" x14ac:dyDescent="0.2">
      <c r="A267" s="17" t="s">
        <v>3</v>
      </c>
      <c r="B267" s="18" t="s">
        <v>69</v>
      </c>
      <c r="C267" s="18">
        <v>64</v>
      </c>
      <c r="D267" s="18">
        <v>4.22</v>
      </c>
    </row>
    <row r="268" spans="1:4" x14ac:dyDescent="0.2">
      <c r="A268" s="15" t="s">
        <v>3</v>
      </c>
      <c r="B268" s="16" t="s">
        <v>69</v>
      </c>
      <c r="C268" s="16">
        <v>65</v>
      </c>
      <c r="D268" s="16">
        <v>4</v>
      </c>
    </row>
    <row r="269" spans="1:4" x14ac:dyDescent="0.2">
      <c r="A269" s="17" t="s">
        <v>3</v>
      </c>
      <c r="B269" s="18" t="s">
        <v>69</v>
      </c>
      <c r="C269" s="18">
        <v>66</v>
      </c>
      <c r="D269" s="18">
        <v>3.8</v>
      </c>
    </row>
    <row r="270" spans="1:4" x14ac:dyDescent="0.2">
      <c r="A270" s="15" t="s">
        <v>3</v>
      </c>
      <c r="B270" s="16" t="s">
        <v>69</v>
      </c>
      <c r="C270" s="16">
        <v>67</v>
      </c>
      <c r="D270" s="16">
        <v>3.62</v>
      </c>
    </row>
    <row r="271" spans="1:4" x14ac:dyDescent="0.2">
      <c r="A271" s="17" t="s">
        <v>3</v>
      </c>
      <c r="B271" s="18" t="s">
        <v>69</v>
      </c>
      <c r="C271" s="18">
        <v>68</v>
      </c>
      <c r="D271" s="18">
        <v>3.45</v>
      </c>
    </row>
    <row r="272" spans="1:4" x14ac:dyDescent="0.2">
      <c r="A272" s="15" t="s">
        <v>3</v>
      </c>
      <c r="B272" s="16" t="s">
        <v>69</v>
      </c>
      <c r="C272" s="16">
        <v>69</v>
      </c>
      <c r="D272" s="16">
        <v>3.29</v>
      </c>
    </row>
    <row r="273" spans="1:4" x14ac:dyDescent="0.2">
      <c r="A273" s="17" t="s">
        <v>3</v>
      </c>
      <c r="B273" s="18" t="s">
        <v>69</v>
      </c>
      <c r="C273" s="18">
        <v>70</v>
      </c>
      <c r="D273" s="18">
        <v>3.15</v>
      </c>
    </row>
    <row r="274" spans="1:4" x14ac:dyDescent="0.2">
      <c r="A274" s="15" t="s">
        <v>3</v>
      </c>
      <c r="B274" s="16" t="s">
        <v>69</v>
      </c>
      <c r="C274" s="16">
        <v>71</v>
      </c>
      <c r="D274" s="16">
        <v>3.03</v>
      </c>
    </row>
    <row r="275" spans="1:4" x14ac:dyDescent="0.2">
      <c r="A275" s="17" t="s">
        <v>3</v>
      </c>
      <c r="B275" s="18" t="s">
        <v>69</v>
      </c>
      <c r="C275" s="18">
        <v>72</v>
      </c>
      <c r="D275" s="18">
        <v>2.91</v>
      </c>
    </row>
    <row r="276" spans="1:4" x14ac:dyDescent="0.2">
      <c r="A276" s="15" t="s">
        <v>3</v>
      </c>
      <c r="B276" s="16" t="s">
        <v>69</v>
      </c>
      <c r="C276" s="16">
        <v>73</v>
      </c>
      <c r="D276" s="16">
        <v>2.8</v>
      </c>
    </row>
    <row r="277" spans="1:4" x14ac:dyDescent="0.2">
      <c r="A277" s="17" t="s">
        <v>3</v>
      </c>
      <c r="B277" s="18" t="s">
        <v>69</v>
      </c>
      <c r="C277" s="18">
        <v>74</v>
      </c>
      <c r="D277" s="18">
        <v>2.69</v>
      </c>
    </row>
    <row r="278" spans="1:4" x14ac:dyDescent="0.2">
      <c r="A278" s="15" t="s">
        <v>3</v>
      </c>
      <c r="B278" s="16" t="s">
        <v>69</v>
      </c>
      <c r="C278" s="16">
        <v>75</v>
      </c>
      <c r="D278" s="16">
        <v>2.59</v>
      </c>
    </row>
    <row r="279" spans="1:4" x14ac:dyDescent="0.2">
      <c r="A279" s="17" t="s">
        <v>3</v>
      </c>
      <c r="B279" s="18" t="s">
        <v>69</v>
      </c>
      <c r="C279" s="18">
        <v>76</v>
      </c>
      <c r="D279" s="18">
        <v>2.5</v>
      </c>
    </row>
    <row r="280" spans="1:4" x14ac:dyDescent="0.2">
      <c r="A280" s="15" t="s">
        <v>3</v>
      </c>
      <c r="B280" s="16" t="s">
        <v>69</v>
      </c>
      <c r="C280" s="16">
        <v>77</v>
      </c>
      <c r="D280" s="16">
        <v>2.41</v>
      </c>
    </row>
    <row r="281" spans="1:4" x14ac:dyDescent="0.2">
      <c r="A281" s="17" t="s">
        <v>3</v>
      </c>
      <c r="B281" s="18" t="s">
        <v>69</v>
      </c>
      <c r="C281" s="18">
        <v>78</v>
      </c>
      <c r="D281" s="18">
        <v>2.3199999999999998</v>
      </c>
    </row>
    <row r="282" spans="1:4" x14ac:dyDescent="0.2">
      <c r="A282" s="15" t="s">
        <v>3</v>
      </c>
      <c r="B282" s="16" t="s">
        <v>69</v>
      </c>
      <c r="C282" s="16">
        <v>79</v>
      </c>
      <c r="D282" s="16">
        <v>2.2400000000000002</v>
      </c>
    </row>
    <row r="283" spans="1:4" x14ac:dyDescent="0.2">
      <c r="A283" s="17" t="s">
        <v>3</v>
      </c>
      <c r="B283" s="18" t="s">
        <v>69</v>
      </c>
      <c r="C283" s="18">
        <v>80</v>
      </c>
      <c r="D283" s="18">
        <v>2.16</v>
      </c>
    </row>
    <row r="284" spans="1:4" x14ac:dyDescent="0.2">
      <c r="A284" s="15" t="s">
        <v>3</v>
      </c>
      <c r="B284" s="16" t="s">
        <v>69</v>
      </c>
      <c r="C284" s="16">
        <v>81</v>
      </c>
      <c r="D284" s="16">
        <v>2.09</v>
      </c>
    </row>
    <row r="285" spans="1:4" x14ac:dyDescent="0.2">
      <c r="A285" s="17" t="s">
        <v>3</v>
      </c>
      <c r="B285" s="18" t="s">
        <v>69</v>
      </c>
      <c r="C285" s="18">
        <v>82</v>
      </c>
      <c r="D285" s="18">
        <v>2.0099999999999998</v>
      </c>
    </row>
    <row r="286" spans="1:4" x14ac:dyDescent="0.2">
      <c r="A286" s="15" t="s">
        <v>3</v>
      </c>
      <c r="B286" s="16" t="s">
        <v>69</v>
      </c>
      <c r="C286" s="16">
        <v>83</v>
      </c>
      <c r="D286" s="16">
        <v>1.94</v>
      </c>
    </row>
    <row r="287" spans="1:4" x14ac:dyDescent="0.2">
      <c r="A287" s="17" t="s">
        <v>3</v>
      </c>
      <c r="B287" s="18" t="s">
        <v>69</v>
      </c>
      <c r="C287" s="18">
        <v>84</v>
      </c>
      <c r="D287" s="18">
        <v>1.87</v>
      </c>
    </row>
    <row r="288" spans="1:4" x14ac:dyDescent="0.2">
      <c r="A288" s="15" t="s">
        <v>3</v>
      </c>
      <c r="B288" s="16" t="s">
        <v>69</v>
      </c>
      <c r="C288" s="16">
        <v>85</v>
      </c>
      <c r="D288" s="16">
        <v>1.81</v>
      </c>
    </row>
    <row r="289" spans="1:4" x14ac:dyDescent="0.2">
      <c r="A289" s="17" t="s">
        <v>3</v>
      </c>
      <c r="B289" s="18" t="s">
        <v>69</v>
      </c>
      <c r="C289" s="18">
        <v>86</v>
      </c>
      <c r="D289" s="18">
        <v>1.74</v>
      </c>
    </row>
    <row r="290" spans="1:4" x14ac:dyDescent="0.2">
      <c r="A290" s="15" t="s">
        <v>3</v>
      </c>
      <c r="B290" s="16" t="s">
        <v>69</v>
      </c>
      <c r="C290" s="16">
        <v>87</v>
      </c>
      <c r="D290" s="16">
        <v>1.67</v>
      </c>
    </row>
    <row r="291" spans="1:4" x14ac:dyDescent="0.2">
      <c r="A291" s="17" t="s">
        <v>3</v>
      </c>
      <c r="B291" s="18" t="s">
        <v>69</v>
      </c>
      <c r="C291" s="18">
        <v>88</v>
      </c>
      <c r="D291" s="18">
        <v>1.61</v>
      </c>
    </row>
    <row r="292" spans="1:4" x14ac:dyDescent="0.2">
      <c r="A292" s="15" t="s">
        <v>3</v>
      </c>
      <c r="B292" s="16" t="s">
        <v>69</v>
      </c>
      <c r="C292" s="16">
        <v>89</v>
      </c>
      <c r="D292" s="16">
        <v>1.55</v>
      </c>
    </row>
    <row r="293" spans="1:4" x14ac:dyDescent="0.2">
      <c r="A293" s="17" t="s">
        <v>3</v>
      </c>
      <c r="B293" s="18" t="s">
        <v>69</v>
      </c>
      <c r="C293" s="18">
        <v>90</v>
      </c>
      <c r="D293" s="18">
        <v>1.49</v>
      </c>
    </row>
    <row r="294" spans="1:4" x14ac:dyDescent="0.2">
      <c r="A294" s="15" t="s">
        <v>2</v>
      </c>
      <c r="B294" s="16" t="s">
        <v>69</v>
      </c>
      <c r="C294" s="16">
        <v>18</v>
      </c>
      <c r="D294" s="16">
        <v>37.869999999999997</v>
      </c>
    </row>
    <row r="295" spans="1:4" x14ac:dyDescent="0.2">
      <c r="A295" s="17" t="s">
        <v>2</v>
      </c>
      <c r="B295" s="18" t="s">
        <v>69</v>
      </c>
      <c r="C295" s="18">
        <v>19</v>
      </c>
      <c r="D295" s="18">
        <v>37.14</v>
      </c>
    </row>
    <row r="296" spans="1:4" x14ac:dyDescent="0.2">
      <c r="A296" s="15" t="s">
        <v>2</v>
      </c>
      <c r="B296" s="16" t="s">
        <v>69</v>
      </c>
      <c r="C296" s="16">
        <v>20</v>
      </c>
      <c r="D296" s="16">
        <v>36.39</v>
      </c>
    </row>
    <row r="297" spans="1:4" x14ac:dyDescent="0.2">
      <c r="A297" s="17" t="s">
        <v>2</v>
      </c>
      <c r="B297" s="18" t="s">
        <v>69</v>
      </c>
      <c r="C297" s="18">
        <v>21</v>
      </c>
      <c r="D297" s="18">
        <v>35.64</v>
      </c>
    </row>
    <row r="298" spans="1:4" x14ac:dyDescent="0.2">
      <c r="A298" s="15" t="s">
        <v>2</v>
      </c>
      <c r="B298" s="16" t="s">
        <v>69</v>
      </c>
      <c r="C298" s="16">
        <v>22</v>
      </c>
      <c r="D298" s="16">
        <v>34.89</v>
      </c>
    </row>
    <row r="299" spans="1:4" x14ac:dyDescent="0.2">
      <c r="A299" s="17" t="s">
        <v>2</v>
      </c>
      <c r="B299" s="18" t="s">
        <v>69</v>
      </c>
      <c r="C299" s="18">
        <v>23</v>
      </c>
      <c r="D299" s="18">
        <v>34.14</v>
      </c>
    </row>
    <row r="300" spans="1:4" x14ac:dyDescent="0.2">
      <c r="A300" s="15" t="s">
        <v>2</v>
      </c>
      <c r="B300" s="16" t="s">
        <v>69</v>
      </c>
      <c r="C300" s="16">
        <v>24</v>
      </c>
      <c r="D300" s="16">
        <v>33.369999999999997</v>
      </c>
    </row>
    <row r="301" spans="1:4" x14ac:dyDescent="0.2">
      <c r="A301" s="17" t="s">
        <v>2</v>
      </c>
      <c r="B301" s="18" t="s">
        <v>69</v>
      </c>
      <c r="C301" s="18">
        <v>25</v>
      </c>
      <c r="D301" s="18">
        <v>32.6</v>
      </c>
    </row>
    <row r="302" spans="1:4" x14ac:dyDescent="0.2">
      <c r="A302" s="15" t="s">
        <v>2</v>
      </c>
      <c r="B302" s="16" t="s">
        <v>69</v>
      </c>
      <c r="C302" s="16">
        <v>26</v>
      </c>
      <c r="D302" s="16">
        <v>31.81</v>
      </c>
    </row>
    <row r="303" spans="1:4" x14ac:dyDescent="0.2">
      <c r="A303" s="17" t="s">
        <v>2</v>
      </c>
      <c r="B303" s="18" t="s">
        <v>69</v>
      </c>
      <c r="C303" s="18">
        <v>27</v>
      </c>
      <c r="D303" s="18">
        <v>31.02</v>
      </c>
    </row>
    <row r="304" spans="1:4" x14ac:dyDescent="0.2">
      <c r="A304" s="15" t="s">
        <v>2</v>
      </c>
      <c r="B304" s="16" t="s">
        <v>69</v>
      </c>
      <c r="C304" s="16">
        <v>28</v>
      </c>
      <c r="D304" s="16">
        <v>30.23</v>
      </c>
    </row>
    <row r="305" spans="1:4" x14ac:dyDescent="0.2">
      <c r="A305" s="17" t="s">
        <v>2</v>
      </c>
      <c r="B305" s="18" t="s">
        <v>69</v>
      </c>
      <c r="C305" s="18">
        <v>29</v>
      </c>
      <c r="D305" s="18">
        <v>29.44</v>
      </c>
    </row>
    <row r="306" spans="1:4" x14ac:dyDescent="0.2">
      <c r="A306" s="15" t="s">
        <v>2</v>
      </c>
      <c r="B306" s="16" t="s">
        <v>69</v>
      </c>
      <c r="C306" s="16">
        <v>30</v>
      </c>
      <c r="D306" s="16">
        <v>28.64</v>
      </c>
    </row>
    <row r="307" spans="1:4" x14ac:dyDescent="0.2">
      <c r="A307" s="17" t="s">
        <v>2</v>
      </c>
      <c r="B307" s="18" t="s">
        <v>69</v>
      </c>
      <c r="C307" s="18">
        <v>31</v>
      </c>
      <c r="D307" s="18">
        <v>27.83</v>
      </c>
    </row>
    <row r="308" spans="1:4" x14ac:dyDescent="0.2">
      <c r="A308" s="15" t="s">
        <v>2</v>
      </c>
      <c r="B308" s="16" t="s">
        <v>69</v>
      </c>
      <c r="C308" s="16">
        <v>32</v>
      </c>
      <c r="D308" s="16">
        <v>27</v>
      </c>
    </row>
    <row r="309" spans="1:4" x14ac:dyDescent="0.2">
      <c r="A309" s="17" t="s">
        <v>2</v>
      </c>
      <c r="B309" s="18" t="s">
        <v>69</v>
      </c>
      <c r="C309" s="18">
        <v>33</v>
      </c>
      <c r="D309" s="18">
        <v>26.17</v>
      </c>
    </row>
    <row r="310" spans="1:4" x14ac:dyDescent="0.2">
      <c r="A310" s="15" t="s">
        <v>2</v>
      </c>
      <c r="B310" s="16" t="s">
        <v>69</v>
      </c>
      <c r="C310" s="16">
        <v>34</v>
      </c>
      <c r="D310" s="16">
        <v>25.34</v>
      </c>
    </row>
    <row r="311" spans="1:4" x14ac:dyDescent="0.2">
      <c r="A311" s="17" t="s">
        <v>2</v>
      </c>
      <c r="B311" s="18" t="s">
        <v>69</v>
      </c>
      <c r="C311" s="18">
        <v>35</v>
      </c>
      <c r="D311" s="18">
        <v>24.52</v>
      </c>
    </row>
    <row r="312" spans="1:4" x14ac:dyDescent="0.2">
      <c r="A312" s="15" t="s">
        <v>2</v>
      </c>
      <c r="B312" s="16" t="s">
        <v>69</v>
      </c>
      <c r="C312" s="16">
        <v>36</v>
      </c>
      <c r="D312" s="16">
        <v>23.7</v>
      </c>
    </row>
    <row r="313" spans="1:4" x14ac:dyDescent="0.2">
      <c r="A313" s="17" t="s">
        <v>2</v>
      </c>
      <c r="B313" s="18" t="s">
        <v>69</v>
      </c>
      <c r="C313" s="18">
        <v>37</v>
      </c>
      <c r="D313" s="18">
        <v>22.89</v>
      </c>
    </row>
    <row r="314" spans="1:4" x14ac:dyDescent="0.2">
      <c r="A314" s="15" t="s">
        <v>2</v>
      </c>
      <c r="B314" s="16" t="s">
        <v>69</v>
      </c>
      <c r="C314" s="16">
        <v>38</v>
      </c>
      <c r="D314" s="16">
        <v>22.08</v>
      </c>
    </row>
    <row r="315" spans="1:4" x14ac:dyDescent="0.2">
      <c r="A315" s="17" t="s">
        <v>2</v>
      </c>
      <c r="B315" s="18" t="s">
        <v>69</v>
      </c>
      <c r="C315" s="18">
        <v>39</v>
      </c>
      <c r="D315" s="18">
        <v>21.27</v>
      </c>
    </row>
    <row r="316" spans="1:4" x14ac:dyDescent="0.2">
      <c r="A316" s="15" t="s">
        <v>2</v>
      </c>
      <c r="B316" s="16" t="s">
        <v>69</v>
      </c>
      <c r="C316" s="16">
        <v>40</v>
      </c>
      <c r="D316" s="16">
        <v>20.48</v>
      </c>
    </row>
    <row r="317" spans="1:4" x14ac:dyDescent="0.2">
      <c r="A317" s="17" t="s">
        <v>2</v>
      </c>
      <c r="B317" s="18" t="s">
        <v>69</v>
      </c>
      <c r="C317" s="18">
        <v>41</v>
      </c>
      <c r="D317" s="18">
        <v>19.7</v>
      </c>
    </row>
    <row r="318" spans="1:4" x14ac:dyDescent="0.2">
      <c r="A318" s="15" t="s">
        <v>2</v>
      </c>
      <c r="B318" s="16" t="s">
        <v>69</v>
      </c>
      <c r="C318" s="16">
        <v>42</v>
      </c>
      <c r="D318" s="16">
        <v>18.93</v>
      </c>
    </row>
    <row r="319" spans="1:4" x14ac:dyDescent="0.2">
      <c r="A319" s="17" t="s">
        <v>2</v>
      </c>
      <c r="B319" s="18" t="s">
        <v>69</v>
      </c>
      <c r="C319" s="18">
        <v>43</v>
      </c>
      <c r="D319" s="18">
        <v>18.170000000000002</v>
      </c>
    </row>
    <row r="320" spans="1:4" x14ac:dyDescent="0.2">
      <c r="A320" s="15" t="s">
        <v>2</v>
      </c>
      <c r="B320" s="16" t="s">
        <v>69</v>
      </c>
      <c r="C320" s="16">
        <v>44</v>
      </c>
      <c r="D320" s="16">
        <v>17.41</v>
      </c>
    </row>
    <row r="321" spans="1:4" x14ac:dyDescent="0.2">
      <c r="A321" s="17" t="s">
        <v>2</v>
      </c>
      <c r="B321" s="18" t="s">
        <v>69</v>
      </c>
      <c r="C321" s="18">
        <v>45</v>
      </c>
      <c r="D321" s="18">
        <v>16.670000000000002</v>
      </c>
    </row>
    <row r="322" spans="1:4" x14ac:dyDescent="0.2">
      <c r="A322" s="15" t="s">
        <v>2</v>
      </c>
      <c r="B322" s="16" t="s">
        <v>69</v>
      </c>
      <c r="C322" s="16">
        <v>46</v>
      </c>
      <c r="D322" s="16">
        <v>15.93</v>
      </c>
    </row>
    <row r="323" spans="1:4" x14ac:dyDescent="0.2">
      <c r="A323" s="17" t="s">
        <v>2</v>
      </c>
      <c r="B323" s="18" t="s">
        <v>69</v>
      </c>
      <c r="C323" s="18">
        <v>47</v>
      </c>
      <c r="D323" s="18">
        <v>15.19</v>
      </c>
    </row>
    <row r="324" spans="1:4" x14ac:dyDescent="0.2">
      <c r="A324" s="15" t="s">
        <v>2</v>
      </c>
      <c r="B324" s="16" t="s">
        <v>69</v>
      </c>
      <c r="C324" s="16">
        <v>48</v>
      </c>
      <c r="D324" s="16">
        <v>14.46</v>
      </c>
    </row>
    <row r="325" spans="1:4" x14ac:dyDescent="0.2">
      <c r="A325" s="17" t="s">
        <v>2</v>
      </c>
      <c r="B325" s="18" t="s">
        <v>69</v>
      </c>
      <c r="C325" s="18">
        <v>49</v>
      </c>
      <c r="D325" s="18">
        <v>13.74</v>
      </c>
    </row>
    <row r="326" spans="1:4" x14ac:dyDescent="0.2">
      <c r="A326" s="15" t="s">
        <v>2</v>
      </c>
      <c r="B326" s="16" t="s">
        <v>69</v>
      </c>
      <c r="C326" s="16">
        <v>50</v>
      </c>
      <c r="D326" s="16">
        <v>13.06</v>
      </c>
    </row>
    <row r="327" spans="1:4" x14ac:dyDescent="0.2">
      <c r="A327" s="17" t="s">
        <v>2</v>
      </c>
      <c r="B327" s="18" t="s">
        <v>69</v>
      </c>
      <c r="C327" s="18">
        <v>51</v>
      </c>
      <c r="D327" s="18">
        <v>12.39</v>
      </c>
    </row>
    <row r="328" spans="1:4" x14ac:dyDescent="0.2">
      <c r="A328" s="15" t="s">
        <v>2</v>
      </c>
      <c r="B328" s="16" t="s">
        <v>69</v>
      </c>
      <c r="C328" s="16">
        <v>52</v>
      </c>
      <c r="D328" s="16">
        <v>11.72</v>
      </c>
    </row>
    <row r="329" spans="1:4" x14ac:dyDescent="0.2">
      <c r="A329" s="17" t="s">
        <v>2</v>
      </c>
      <c r="B329" s="18" t="s">
        <v>69</v>
      </c>
      <c r="C329" s="18">
        <v>53</v>
      </c>
      <c r="D329" s="18">
        <v>11.05</v>
      </c>
    </row>
    <row r="330" spans="1:4" x14ac:dyDescent="0.2">
      <c r="A330" s="15" t="s">
        <v>2</v>
      </c>
      <c r="B330" s="16" t="s">
        <v>69</v>
      </c>
      <c r="C330" s="16">
        <v>54</v>
      </c>
      <c r="D330" s="16">
        <v>10.39</v>
      </c>
    </row>
    <row r="331" spans="1:4" x14ac:dyDescent="0.2">
      <c r="A331" s="17" t="s">
        <v>2</v>
      </c>
      <c r="B331" s="18" t="s">
        <v>69</v>
      </c>
      <c r="C331" s="18">
        <v>55</v>
      </c>
      <c r="D331" s="18">
        <v>9.74</v>
      </c>
    </row>
    <row r="332" spans="1:4" x14ac:dyDescent="0.2">
      <c r="A332" s="15" t="s">
        <v>2</v>
      </c>
      <c r="B332" s="16" t="s">
        <v>69</v>
      </c>
      <c r="C332" s="16">
        <v>56</v>
      </c>
      <c r="D332" s="16">
        <v>9.11</v>
      </c>
    </row>
    <row r="333" spans="1:4" x14ac:dyDescent="0.2">
      <c r="A333" s="17" t="s">
        <v>2</v>
      </c>
      <c r="B333" s="18" t="s">
        <v>69</v>
      </c>
      <c r="C333" s="18">
        <v>57</v>
      </c>
      <c r="D333" s="18">
        <v>8.5</v>
      </c>
    </row>
    <row r="334" spans="1:4" x14ac:dyDescent="0.2">
      <c r="A334" s="15" t="s">
        <v>2</v>
      </c>
      <c r="B334" s="16" t="s">
        <v>69</v>
      </c>
      <c r="C334" s="16">
        <v>58</v>
      </c>
      <c r="D334" s="16">
        <v>7.89</v>
      </c>
    </row>
    <row r="335" spans="1:4" x14ac:dyDescent="0.2">
      <c r="A335" s="17" t="s">
        <v>2</v>
      </c>
      <c r="B335" s="18" t="s">
        <v>69</v>
      </c>
      <c r="C335" s="18">
        <v>59</v>
      </c>
      <c r="D335" s="18">
        <v>7.3</v>
      </c>
    </row>
    <row r="336" spans="1:4" x14ac:dyDescent="0.2">
      <c r="A336" s="15" t="s">
        <v>2</v>
      </c>
      <c r="B336" s="16" t="s">
        <v>69</v>
      </c>
      <c r="C336" s="16">
        <v>60</v>
      </c>
      <c r="D336" s="16">
        <v>6.73</v>
      </c>
    </row>
    <row r="337" spans="1:4" x14ac:dyDescent="0.2">
      <c r="A337" s="17" t="s">
        <v>2</v>
      </c>
      <c r="B337" s="18" t="s">
        <v>69</v>
      </c>
      <c r="C337" s="18">
        <v>61</v>
      </c>
      <c r="D337" s="18">
        <v>6.23</v>
      </c>
    </row>
    <row r="338" spans="1:4" x14ac:dyDescent="0.2">
      <c r="A338" s="15" t="s">
        <v>2</v>
      </c>
      <c r="B338" s="16" t="s">
        <v>69</v>
      </c>
      <c r="C338" s="16">
        <v>62</v>
      </c>
      <c r="D338" s="16">
        <v>5.8</v>
      </c>
    </row>
    <row r="339" spans="1:4" x14ac:dyDescent="0.2">
      <c r="A339" s="17" t="s">
        <v>2</v>
      </c>
      <c r="B339" s="18" t="s">
        <v>69</v>
      </c>
      <c r="C339" s="18">
        <v>63</v>
      </c>
      <c r="D339" s="18">
        <v>5.43</v>
      </c>
    </row>
    <row r="340" spans="1:4" x14ac:dyDescent="0.2">
      <c r="A340" s="15" t="s">
        <v>2</v>
      </c>
      <c r="B340" s="16" t="s">
        <v>69</v>
      </c>
      <c r="C340" s="16">
        <v>64</v>
      </c>
      <c r="D340" s="16">
        <v>5.1100000000000003</v>
      </c>
    </row>
    <row r="341" spans="1:4" x14ac:dyDescent="0.2">
      <c r="A341" s="17" t="s">
        <v>2</v>
      </c>
      <c r="B341" s="18" t="s">
        <v>69</v>
      </c>
      <c r="C341" s="18">
        <v>65</v>
      </c>
      <c r="D341" s="18">
        <v>4.82</v>
      </c>
    </row>
    <row r="342" spans="1:4" x14ac:dyDescent="0.2">
      <c r="A342" s="15" t="s">
        <v>2</v>
      </c>
      <c r="B342" s="16" t="s">
        <v>69</v>
      </c>
      <c r="C342" s="16">
        <v>66</v>
      </c>
      <c r="D342" s="16">
        <v>4.57</v>
      </c>
    </row>
    <row r="343" spans="1:4" x14ac:dyDescent="0.2">
      <c r="A343" s="17" t="s">
        <v>2</v>
      </c>
      <c r="B343" s="18" t="s">
        <v>69</v>
      </c>
      <c r="C343" s="18">
        <v>67</v>
      </c>
      <c r="D343" s="18">
        <v>4.3600000000000003</v>
      </c>
    </row>
    <row r="344" spans="1:4" x14ac:dyDescent="0.2">
      <c r="A344" s="15" t="s">
        <v>2</v>
      </c>
      <c r="B344" s="16" t="s">
        <v>69</v>
      </c>
      <c r="C344" s="16">
        <v>68</v>
      </c>
      <c r="D344" s="16">
        <v>4.17</v>
      </c>
    </row>
    <row r="345" spans="1:4" x14ac:dyDescent="0.2">
      <c r="A345" s="17" t="s">
        <v>2</v>
      </c>
      <c r="B345" s="18" t="s">
        <v>69</v>
      </c>
      <c r="C345" s="18">
        <v>69</v>
      </c>
      <c r="D345" s="18">
        <v>3.98</v>
      </c>
    </row>
    <row r="346" spans="1:4" x14ac:dyDescent="0.2">
      <c r="A346" s="15" t="s">
        <v>2</v>
      </c>
      <c r="B346" s="16" t="s">
        <v>69</v>
      </c>
      <c r="C346" s="16">
        <v>70</v>
      </c>
      <c r="D346" s="16">
        <v>3.8</v>
      </c>
    </row>
    <row r="347" spans="1:4" x14ac:dyDescent="0.2">
      <c r="A347" s="17" t="s">
        <v>2</v>
      </c>
      <c r="B347" s="18" t="s">
        <v>69</v>
      </c>
      <c r="C347" s="18">
        <v>71</v>
      </c>
      <c r="D347" s="18">
        <v>3.63</v>
      </c>
    </row>
    <row r="348" spans="1:4" x14ac:dyDescent="0.2">
      <c r="A348" s="15" t="s">
        <v>2</v>
      </c>
      <c r="B348" s="16" t="s">
        <v>69</v>
      </c>
      <c r="C348" s="16">
        <v>72</v>
      </c>
      <c r="D348" s="16">
        <v>3.47</v>
      </c>
    </row>
    <row r="349" spans="1:4" x14ac:dyDescent="0.2">
      <c r="A349" s="17" t="s">
        <v>2</v>
      </c>
      <c r="B349" s="18" t="s">
        <v>69</v>
      </c>
      <c r="C349" s="18">
        <v>73</v>
      </c>
      <c r="D349" s="18">
        <v>3.32</v>
      </c>
    </row>
    <row r="350" spans="1:4" x14ac:dyDescent="0.2">
      <c r="A350" s="15" t="s">
        <v>2</v>
      </c>
      <c r="B350" s="16" t="s">
        <v>69</v>
      </c>
      <c r="C350" s="16">
        <v>74</v>
      </c>
      <c r="D350" s="16">
        <v>3.18</v>
      </c>
    </row>
    <row r="351" spans="1:4" x14ac:dyDescent="0.2">
      <c r="A351" s="17" t="s">
        <v>2</v>
      </c>
      <c r="B351" s="18" t="s">
        <v>69</v>
      </c>
      <c r="C351" s="18">
        <v>75</v>
      </c>
      <c r="D351" s="18">
        <v>3.05</v>
      </c>
    </row>
    <row r="352" spans="1:4" x14ac:dyDescent="0.2">
      <c r="A352" s="15" t="s">
        <v>2</v>
      </c>
      <c r="B352" s="16" t="s">
        <v>69</v>
      </c>
      <c r="C352" s="16">
        <v>76</v>
      </c>
      <c r="D352" s="16">
        <v>2.93</v>
      </c>
    </row>
    <row r="353" spans="1:4" x14ac:dyDescent="0.2">
      <c r="A353" s="17" t="s">
        <v>2</v>
      </c>
      <c r="B353" s="18" t="s">
        <v>69</v>
      </c>
      <c r="C353" s="18">
        <v>77</v>
      </c>
      <c r="D353" s="18">
        <v>2.82</v>
      </c>
    </row>
    <row r="354" spans="1:4" x14ac:dyDescent="0.2">
      <c r="A354" s="15" t="s">
        <v>2</v>
      </c>
      <c r="B354" s="16" t="s">
        <v>69</v>
      </c>
      <c r="C354" s="16">
        <v>78</v>
      </c>
      <c r="D354" s="16">
        <v>2.7</v>
      </c>
    </row>
    <row r="355" spans="1:4" x14ac:dyDescent="0.2">
      <c r="A355" s="17" t="s">
        <v>2</v>
      </c>
      <c r="B355" s="18" t="s">
        <v>69</v>
      </c>
      <c r="C355" s="18">
        <v>79</v>
      </c>
      <c r="D355" s="18">
        <v>2.6</v>
      </c>
    </row>
    <row r="356" spans="1:4" x14ac:dyDescent="0.2">
      <c r="A356" s="15" t="s">
        <v>2</v>
      </c>
      <c r="B356" s="16" t="s">
        <v>69</v>
      </c>
      <c r="C356" s="16">
        <v>80</v>
      </c>
      <c r="D356" s="16">
        <v>2.5</v>
      </c>
    </row>
    <row r="357" spans="1:4" x14ac:dyDescent="0.2">
      <c r="A357" s="17" t="s">
        <v>2</v>
      </c>
      <c r="B357" s="18" t="s">
        <v>69</v>
      </c>
      <c r="C357" s="18">
        <v>81</v>
      </c>
      <c r="D357" s="18">
        <v>2.4</v>
      </c>
    </row>
    <row r="358" spans="1:4" x14ac:dyDescent="0.2">
      <c r="A358" s="15" t="s">
        <v>2</v>
      </c>
      <c r="B358" s="16" t="s">
        <v>69</v>
      </c>
      <c r="C358" s="16">
        <v>82</v>
      </c>
      <c r="D358" s="16">
        <v>2.2999999999999998</v>
      </c>
    </row>
    <row r="359" spans="1:4" x14ac:dyDescent="0.2">
      <c r="A359" s="17" t="s">
        <v>2</v>
      </c>
      <c r="B359" s="18" t="s">
        <v>69</v>
      </c>
      <c r="C359" s="18">
        <v>83</v>
      </c>
      <c r="D359" s="18">
        <v>2.21</v>
      </c>
    </row>
    <row r="360" spans="1:4" x14ac:dyDescent="0.2">
      <c r="A360" s="15" t="s">
        <v>2</v>
      </c>
      <c r="B360" s="16" t="s">
        <v>69</v>
      </c>
      <c r="C360" s="16">
        <v>84</v>
      </c>
      <c r="D360" s="16">
        <v>2.12</v>
      </c>
    </row>
    <row r="361" spans="1:4" x14ac:dyDescent="0.2">
      <c r="A361" s="17" t="s">
        <v>2</v>
      </c>
      <c r="B361" s="18" t="s">
        <v>69</v>
      </c>
      <c r="C361" s="18">
        <v>85</v>
      </c>
      <c r="D361" s="18">
        <v>2.04</v>
      </c>
    </row>
    <row r="362" spans="1:4" x14ac:dyDescent="0.2">
      <c r="A362" s="15" t="s">
        <v>2</v>
      </c>
      <c r="B362" s="16" t="s">
        <v>69</v>
      </c>
      <c r="C362" s="16">
        <v>86</v>
      </c>
      <c r="D362" s="16">
        <v>1.95</v>
      </c>
    </row>
    <row r="363" spans="1:4" x14ac:dyDescent="0.2">
      <c r="A363" s="17" t="s">
        <v>2</v>
      </c>
      <c r="B363" s="18" t="s">
        <v>69</v>
      </c>
      <c r="C363" s="18">
        <v>87</v>
      </c>
      <c r="D363" s="18">
        <v>1.87</v>
      </c>
    </row>
    <row r="364" spans="1:4" x14ac:dyDescent="0.2">
      <c r="A364" s="15" t="s">
        <v>2</v>
      </c>
      <c r="B364" s="16" t="s">
        <v>69</v>
      </c>
      <c r="C364" s="16">
        <v>88</v>
      </c>
      <c r="D364" s="16">
        <v>1.8</v>
      </c>
    </row>
    <row r="365" spans="1:4" x14ac:dyDescent="0.2">
      <c r="A365" s="17" t="s">
        <v>2</v>
      </c>
      <c r="B365" s="18" t="s">
        <v>69</v>
      </c>
      <c r="C365" s="18">
        <v>89</v>
      </c>
      <c r="D365" s="18">
        <v>1.72</v>
      </c>
    </row>
    <row r="366" spans="1:4" x14ac:dyDescent="0.2">
      <c r="A366" s="15" t="s">
        <v>2</v>
      </c>
      <c r="B366" s="16" t="s">
        <v>69</v>
      </c>
      <c r="C366" s="16">
        <v>90</v>
      </c>
      <c r="D366" s="16">
        <v>1.65</v>
      </c>
    </row>
    <row r="367" spans="1:4" x14ac:dyDescent="0.2">
      <c r="A367" s="17" t="s">
        <v>72</v>
      </c>
      <c r="B367" s="18" t="s">
        <v>69</v>
      </c>
      <c r="C367" s="18">
        <v>20</v>
      </c>
      <c r="D367" s="18">
        <v>38.54</v>
      </c>
    </row>
    <row r="368" spans="1:4" x14ac:dyDescent="0.2">
      <c r="A368" s="15" t="s">
        <v>72</v>
      </c>
      <c r="B368" s="16" t="s">
        <v>69</v>
      </c>
      <c r="C368" s="16">
        <v>21</v>
      </c>
      <c r="D368" s="16">
        <v>37.71</v>
      </c>
    </row>
    <row r="369" spans="1:4" x14ac:dyDescent="0.2">
      <c r="A369" s="17" t="s">
        <v>72</v>
      </c>
      <c r="B369" s="18" t="s">
        <v>69</v>
      </c>
      <c r="C369" s="18">
        <v>22</v>
      </c>
      <c r="D369" s="18">
        <v>36.89</v>
      </c>
    </row>
    <row r="370" spans="1:4" x14ac:dyDescent="0.2">
      <c r="A370" s="15" t="s">
        <v>72</v>
      </c>
      <c r="B370" s="16" t="s">
        <v>69</v>
      </c>
      <c r="C370" s="16">
        <v>23</v>
      </c>
      <c r="D370" s="16">
        <v>36.06</v>
      </c>
    </row>
    <row r="371" spans="1:4" x14ac:dyDescent="0.2">
      <c r="A371" s="17" t="s">
        <v>72</v>
      </c>
      <c r="B371" s="18" t="s">
        <v>69</v>
      </c>
      <c r="C371" s="18">
        <v>24</v>
      </c>
      <c r="D371" s="18">
        <v>35.229999999999997</v>
      </c>
    </row>
    <row r="372" spans="1:4" x14ac:dyDescent="0.2">
      <c r="A372" s="15" t="s">
        <v>72</v>
      </c>
      <c r="B372" s="16" t="s">
        <v>69</v>
      </c>
      <c r="C372" s="16">
        <v>25</v>
      </c>
      <c r="D372" s="16">
        <v>34.39</v>
      </c>
    </row>
    <row r="373" spans="1:4" x14ac:dyDescent="0.2">
      <c r="A373" s="17" t="s">
        <v>72</v>
      </c>
      <c r="B373" s="18" t="s">
        <v>69</v>
      </c>
      <c r="C373" s="18">
        <v>26</v>
      </c>
      <c r="D373" s="18">
        <v>33.54</v>
      </c>
    </row>
    <row r="374" spans="1:4" x14ac:dyDescent="0.2">
      <c r="A374" s="15" t="s">
        <v>72</v>
      </c>
      <c r="B374" s="16" t="s">
        <v>69</v>
      </c>
      <c r="C374" s="16">
        <v>27</v>
      </c>
      <c r="D374" s="16">
        <v>32.68</v>
      </c>
    </row>
    <row r="375" spans="1:4" x14ac:dyDescent="0.2">
      <c r="A375" s="17" t="s">
        <v>72</v>
      </c>
      <c r="B375" s="18" t="s">
        <v>69</v>
      </c>
      <c r="C375" s="18">
        <v>28</v>
      </c>
      <c r="D375" s="18">
        <v>31.81</v>
      </c>
    </row>
    <row r="376" spans="1:4" x14ac:dyDescent="0.2">
      <c r="A376" s="15" t="s">
        <v>72</v>
      </c>
      <c r="B376" s="16" t="s">
        <v>69</v>
      </c>
      <c r="C376" s="16">
        <v>29</v>
      </c>
      <c r="D376" s="16">
        <v>30.94</v>
      </c>
    </row>
    <row r="377" spans="1:4" x14ac:dyDescent="0.2">
      <c r="A377" s="17" t="s">
        <v>72</v>
      </c>
      <c r="B377" s="18" t="s">
        <v>69</v>
      </c>
      <c r="C377" s="18">
        <v>30</v>
      </c>
      <c r="D377" s="18">
        <v>30.08</v>
      </c>
    </row>
    <row r="378" spans="1:4" x14ac:dyDescent="0.2">
      <c r="A378" s="15" t="s">
        <v>72</v>
      </c>
      <c r="B378" s="16" t="s">
        <v>69</v>
      </c>
      <c r="C378" s="16">
        <v>31</v>
      </c>
      <c r="D378" s="16">
        <v>29.22</v>
      </c>
    </row>
    <row r="379" spans="1:4" x14ac:dyDescent="0.2">
      <c r="A379" s="17" t="s">
        <v>72</v>
      </c>
      <c r="B379" s="18" t="s">
        <v>69</v>
      </c>
      <c r="C379" s="18">
        <v>32</v>
      </c>
      <c r="D379" s="18">
        <v>28.36</v>
      </c>
    </row>
    <row r="380" spans="1:4" x14ac:dyDescent="0.2">
      <c r="A380" s="15" t="s">
        <v>72</v>
      </c>
      <c r="B380" s="16" t="s">
        <v>69</v>
      </c>
      <c r="C380" s="16">
        <v>33</v>
      </c>
      <c r="D380" s="16">
        <v>27.51</v>
      </c>
    </row>
    <row r="381" spans="1:4" x14ac:dyDescent="0.2">
      <c r="A381" s="17" t="s">
        <v>72</v>
      </c>
      <c r="B381" s="18" t="s">
        <v>69</v>
      </c>
      <c r="C381" s="18">
        <v>34</v>
      </c>
      <c r="D381" s="18">
        <v>26.67</v>
      </c>
    </row>
    <row r="382" spans="1:4" x14ac:dyDescent="0.2">
      <c r="A382" s="15" t="s">
        <v>72</v>
      </c>
      <c r="B382" s="16" t="s">
        <v>69</v>
      </c>
      <c r="C382" s="16">
        <v>35</v>
      </c>
      <c r="D382" s="16">
        <v>25.83</v>
      </c>
    </row>
    <row r="383" spans="1:4" x14ac:dyDescent="0.2">
      <c r="A383" s="17" t="s">
        <v>72</v>
      </c>
      <c r="B383" s="18" t="s">
        <v>69</v>
      </c>
      <c r="C383" s="18">
        <v>36</v>
      </c>
      <c r="D383" s="18">
        <v>25</v>
      </c>
    </row>
    <row r="384" spans="1:4" x14ac:dyDescent="0.2">
      <c r="A384" s="15" t="s">
        <v>72</v>
      </c>
      <c r="B384" s="16" t="s">
        <v>69</v>
      </c>
      <c r="C384" s="16">
        <v>37</v>
      </c>
      <c r="D384" s="16">
        <v>24.16</v>
      </c>
    </row>
    <row r="385" spans="1:4" x14ac:dyDescent="0.2">
      <c r="A385" s="17" t="s">
        <v>72</v>
      </c>
      <c r="B385" s="18" t="s">
        <v>69</v>
      </c>
      <c r="C385" s="18">
        <v>38</v>
      </c>
      <c r="D385" s="18">
        <v>23.32</v>
      </c>
    </row>
    <row r="386" spans="1:4" x14ac:dyDescent="0.2">
      <c r="A386" s="15" t="s">
        <v>72</v>
      </c>
      <c r="B386" s="16" t="s">
        <v>69</v>
      </c>
      <c r="C386" s="16">
        <v>39</v>
      </c>
      <c r="D386" s="16">
        <v>22.48</v>
      </c>
    </row>
    <row r="387" spans="1:4" x14ac:dyDescent="0.2">
      <c r="A387" s="17" t="s">
        <v>72</v>
      </c>
      <c r="B387" s="18" t="s">
        <v>69</v>
      </c>
      <c r="C387" s="18">
        <v>40</v>
      </c>
      <c r="D387" s="18">
        <v>21.63</v>
      </c>
    </row>
    <row r="388" spans="1:4" x14ac:dyDescent="0.2">
      <c r="A388" s="15" t="s">
        <v>72</v>
      </c>
      <c r="B388" s="16" t="s">
        <v>69</v>
      </c>
      <c r="C388" s="16">
        <v>41</v>
      </c>
      <c r="D388" s="16">
        <v>20.78</v>
      </c>
    </row>
    <row r="389" spans="1:4" x14ac:dyDescent="0.2">
      <c r="A389" s="17" t="s">
        <v>72</v>
      </c>
      <c r="B389" s="18" t="s">
        <v>69</v>
      </c>
      <c r="C389" s="18">
        <v>42</v>
      </c>
      <c r="D389" s="18">
        <v>19.940000000000001</v>
      </c>
    </row>
    <row r="390" spans="1:4" x14ac:dyDescent="0.2">
      <c r="A390" s="15" t="s">
        <v>72</v>
      </c>
      <c r="B390" s="16" t="s">
        <v>69</v>
      </c>
      <c r="C390" s="16">
        <v>43</v>
      </c>
      <c r="D390" s="16">
        <v>19.100000000000001</v>
      </c>
    </row>
    <row r="391" spans="1:4" x14ac:dyDescent="0.2">
      <c r="A391" s="17" t="s">
        <v>72</v>
      </c>
      <c r="B391" s="18" t="s">
        <v>69</v>
      </c>
      <c r="C391" s="18">
        <v>44</v>
      </c>
      <c r="D391" s="18">
        <v>18.27</v>
      </c>
    </row>
    <row r="392" spans="1:4" x14ac:dyDescent="0.2">
      <c r="A392" s="15" t="s">
        <v>72</v>
      </c>
      <c r="B392" s="16" t="s">
        <v>69</v>
      </c>
      <c r="C392" s="16">
        <v>45</v>
      </c>
      <c r="D392" s="16">
        <v>17.440000000000001</v>
      </c>
    </row>
    <row r="393" spans="1:4" x14ac:dyDescent="0.2">
      <c r="A393" s="17" t="s">
        <v>72</v>
      </c>
      <c r="B393" s="18" t="s">
        <v>69</v>
      </c>
      <c r="C393" s="18">
        <v>46</v>
      </c>
      <c r="D393" s="18">
        <v>16.63</v>
      </c>
    </row>
    <row r="394" spans="1:4" x14ac:dyDescent="0.2">
      <c r="A394" s="15" t="s">
        <v>72</v>
      </c>
      <c r="B394" s="16" t="s">
        <v>69</v>
      </c>
      <c r="C394" s="16">
        <v>47</v>
      </c>
      <c r="D394" s="16">
        <v>15.84</v>
      </c>
    </row>
    <row r="395" spans="1:4" x14ac:dyDescent="0.2">
      <c r="A395" s="17" t="s">
        <v>72</v>
      </c>
      <c r="B395" s="18" t="s">
        <v>69</v>
      </c>
      <c r="C395" s="18">
        <v>48</v>
      </c>
      <c r="D395" s="18">
        <v>15.06</v>
      </c>
    </row>
    <row r="396" spans="1:4" x14ac:dyDescent="0.2">
      <c r="A396" s="15" t="s">
        <v>72</v>
      </c>
      <c r="B396" s="16" t="s">
        <v>69</v>
      </c>
      <c r="C396" s="16">
        <v>49</v>
      </c>
      <c r="D396" s="16">
        <v>14.32</v>
      </c>
    </row>
    <row r="397" spans="1:4" x14ac:dyDescent="0.2">
      <c r="A397" s="17" t="s">
        <v>72</v>
      </c>
      <c r="B397" s="18" t="s">
        <v>69</v>
      </c>
      <c r="C397" s="18">
        <v>50</v>
      </c>
      <c r="D397" s="18">
        <v>13.59</v>
      </c>
    </row>
    <row r="398" spans="1:4" x14ac:dyDescent="0.2">
      <c r="A398" s="15" t="s">
        <v>72</v>
      </c>
      <c r="B398" s="16" t="s">
        <v>69</v>
      </c>
      <c r="C398" s="16">
        <v>51</v>
      </c>
      <c r="D398" s="16">
        <v>12.89</v>
      </c>
    </row>
    <row r="399" spans="1:4" x14ac:dyDescent="0.2">
      <c r="A399" s="17" t="s">
        <v>72</v>
      </c>
      <c r="B399" s="18" t="s">
        <v>69</v>
      </c>
      <c r="C399" s="18">
        <v>52</v>
      </c>
      <c r="D399" s="18">
        <v>12.19</v>
      </c>
    </row>
    <row r="400" spans="1:4" x14ac:dyDescent="0.2">
      <c r="A400" s="15" t="s">
        <v>72</v>
      </c>
      <c r="B400" s="16" t="s">
        <v>69</v>
      </c>
      <c r="C400" s="16">
        <v>53</v>
      </c>
      <c r="D400" s="16">
        <v>11.5</v>
      </c>
    </row>
    <row r="401" spans="1:4" x14ac:dyDescent="0.2">
      <c r="A401" s="17" t="s">
        <v>72</v>
      </c>
      <c r="B401" s="18" t="s">
        <v>69</v>
      </c>
      <c r="C401" s="18">
        <v>54</v>
      </c>
      <c r="D401" s="18">
        <v>10.82</v>
      </c>
    </row>
    <row r="402" spans="1:4" x14ac:dyDescent="0.2">
      <c r="A402" s="15" t="s">
        <v>72</v>
      </c>
      <c r="B402" s="16" t="s">
        <v>69</v>
      </c>
      <c r="C402" s="16">
        <v>55</v>
      </c>
      <c r="D402" s="16">
        <v>10.16</v>
      </c>
    </row>
    <row r="403" spans="1:4" x14ac:dyDescent="0.2">
      <c r="A403" s="17" t="s">
        <v>72</v>
      </c>
      <c r="B403" s="18" t="s">
        <v>69</v>
      </c>
      <c r="C403" s="18">
        <v>56</v>
      </c>
      <c r="D403" s="18">
        <v>9.52</v>
      </c>
    </row>
    <row r="404" spans="1:4" x14ac:dyDescent="0.2">
      <c r="A404" s="15" t="s">
        <v>72</v>
      </c>
      <c r="B404" s="16" t="s">
        <v>69</v>
      </c>
      <c r="C404" s="16">
        <v>57</v>
      </c>
      <c r="D404" s="16">
        <v>8.9</v>
      </c>
    </row>
    <row r="405" spans="1:4" x14ac:dyDescent="0.2">
      <c r="A405" s="17" t="s">
        <v>72</v>
      </c>
      <c r="B405" s="18" t="s">
        <v>69</v>
      </c>
      <c r="C405" s="18">
        <v>58</v>
      </c>
      <c r="D405" s="18">
        <v>8.3000000000000007</v>
      </c>
    </row>
    <row r="406" spans="1:4" x14ac:dyDescent="0.2">
      <c r="A406" s="15" t="s">
        <v>72</v>
      </c>
      <c r="B406" s="16" t="s">
        <v>69</v>
      </c>
      <c r="C406" s="16">
        <v>59</v>
      </c>
      <c r="D406" s="16">
        <v>7.71</v>
      </c>
    </row>
    <row r="407" spans="1:4" x14ac:dyDescent="0.2">
      <c r="A407" s="17" t="s">
        <v>72</v>
      </c>
      <c r="B407" s="18" t="s">
        <v>69</v>
      </c>
      <c r="C407" s="18">
        <v>60</v>
      </c>
      <c r="D407" s="18">
        <v>7.15</v>
      </c>
    </row>
    <row r="408" spans="1:4" x14ac:dyDescent="0.2">
      <c r="A408" s="15" t="s">
        <v>72</v>
      </c>
      <c r="B408" s="16" t="s">
        <v>69</v>
      </c>
      <c r="C408" s="16">
        <v>61</v>
      </c>
      <c r="D408" s="16">
        <v>6.63</v>
      </c>
    </row>
    <row r="409" spans="1:4" x14ac:dyDescent="0.2">
      <c r="A409" s="17" t="s">
        <v>72</v>
      </c>
      <c r="B409" s="18" t="s">
        <v>69</v>
      </c>
      <c r="C409" s="18">
        <v>62</v>
      </c>
      <c r="D409" s="18">
        <v>6.16</v>
      </c>
    </row>
    <row r="410" spans="1:4" x14ac:dyDescent="0.2">
      <c r="A410" s="15" t="s">
        <v>72</v>
      </c>
      <c r="B410" s="16" t="s">
        <v>69</v>
      </c>
      <c r="C410" s="16">
        <v>63</v>
      </c>
      <c r="D410" s="16">
        <v>5.73</v>
      </c>
    </row>
    <row r="411" spans="1:4" x14ac:dyDescent="0.2">
      <c r="A411" s="17" t="s">
        <v>72</v>
      </c>
      <c r="B411" s="18" t="s">
        <v>69</v>
      </c>
      <c r="C411" s="18">
        <v>64</v>
      </c>
      <c r="D411" s="18">
        <v>5.35</v>
      </c>
    </row>
    <row r="412" spans="1:4" x14ac:dyDescent="0.2">
      <c r="A412" s="15" t="s">
        <v>72</v>
      </c>
      <c r="B412" s="16" t="s">
        <v>69</v>
      </c>
      <c r="C412" s="16">
        <v>65</v>
      </c>
      <c r="D412" s="16">
        <v>5.0199999999999996</v>
      </c>
    </row>
    <row r="413" spans="1:4" x14ac:dyDescent="0.2">
      <c r="A413" s="17" t="s">
        <v>72</v>
      </c>
      <c r="B413" s="18" t="s">
        <v>69</v>
      </c>
      <c r="C413" s="18">
        <v>66</v>
      </c>
      <c r="D413" s="18">
        <v>4.71</v>
      </c>
    </row>
    <row r="414" spans="1:4" x14ac:dyDescent="0.2">
      <c r="A414" s="15" t="s">
        <v>72</v>
      </c>
      <c r="B414" s="16" t="s">
        <v>69</v>
      </c>
      <c r="C414" s="16">
        <v>67</v>
      </c>
      <c r="D414" s="16">
        <v>4.43</v>
      </c>
    </row>
    <row r="415" spans="1:4" x14ac:dyDescent="0.2">
      <c r="A415" s="17" t="s">
        <v>72</v>
      </c>
      <c r="B415" s="18" t="s">
        <v>69</v>
      </c>
      <c r="C415" s="18">
        <v>68</v>
      </c>
      <c r="D415" s="18">
        <v>4.16</v>
      </c>
    </row>
    <row r="416" spans="1:4" x14ac:dyDescent="0.2">
      <c r="A416" s="15" t="s">
        <v>72</v>
      </c>
      <c r="B416" s="16" t="s">
        <v>69</v>
      </c>
      <c r="C416" s="16">
        <v>69</v>
      </c>
      <c r="D416" s="16">
        <v>3.92</v>
      </c>
    </row>
    <row r="417" spans="1:4" x14ac:dyDescent="0.2">
      <c r="A417" s="17" t="s">
        <v>72</v>
      </c>
      <c r="B417" s="18" t="s">
        <v>69</v>
      </c>
      <c r="C417" s="18">
        <v>70</v>
      </c>
      <c r="D417" s="18">
        <v>3.7</v>
      </c>
    </row>
    <row r="418" spans="1:4" x14ac:dyDescent="0.2">
      <c r="A418" s="15" t="s">
        <v>72</v>
      </c>
      <c r="B418" s="16" t="s">
        <v>69</v>
      </c>
      <c r="C418" s="16">
        <v>71</v>
      </c>
      <c r="D418" s="16">
        <v>3.51</v>
      </c>
    </row>
    <row r="419" spans="1:4" x14ac:dyDescent="0.2">
      <c r="A419" s="17" t="s">
        <v>72</v>
      </c>
      <c r="B419" s="18" t="s">
        <v>69</v>
      </c>
      <c r="C419" s="18">
        <v>72</v>
      </c>
      <c r="D419" s="18">
        <v>3.33</v>
      </c>
    </row>
    <row r="420" spans="1:4" x14ac:dyDescent="0.2">
      <c r="A420" s="15" t="s">
        <v>72</v>
      </c>
      <c r="B420" s="16" t="s">
        <v>69</v>
      </c>
      <c r="C420" s="16">
        <v>73</v>
      </c>
      <c r="D420" s="16">
        <v>3.16</v>
      </c>
    </row>
    <row r="421" spans="1:4" x14ac:dyDescent="0.2">
      <c r="A421" s="17" t="s">
        <v>72</v>
      </c>
      <c r="B421" s="18" t="s">
        <v>69</v>
      </c>
      <c r="C421" s="18">
        <v>74</v>
      </c>
      <c r="D421" s="18">
        <v>3.01</v>
      </c>
    </row>
    <row r="422" spans="1:4" x14ac:dyDescent="0.2">
      <c r="A422" s="15" t="s">
        <v>72</v>
      </c>
      <c r="B422" s="16" t="s">
        <v>69</v>
      </c>
      <c r="C422" s="16">
        <v>75</v>
      </c>
      <c r="D422" s="16">
        <v>2.87</v>
      </c>
    </row>
    <row r="423" spans="1:4" x14ac:dyDescent="0.2">
      <c r="A423" s="17" t="s">
        <v>72</v>
      </c>
      <c r="B423" s="18" t="s">
        <v>69</v>
      </c>
      <c r="C423" s="18">
        <v>76</v>
      </c>
      <c r="D423" s="18">
        <v>2.74</v>
      </c>
    </row>
    <row r="424" spans="1:4" x14ac:dyDescent="0.2">
      <c r="A424" s="15" t="s">
        <v>72</v>
      </c>
      <c r="B424" s="16" t="s">
        <v>69</v>
      </c>
      <c r="C424" s="16">
        <v>77</v>
      </c>
      <c r="D424" s="16">
        <v>2.61</v>
      </c>
    </row>
    <row r="425" spans="1:4" x14ac:dyDescent="0.2">
      <c r="A425" s="17" t="s">
        <v>72</v>
      </c>
      <c r="B425" s="18" t="s">
        <v>69</v>
      </c>
      <c r="C425" s="18">
        <v>78</v>
      </c>
      <c r="D425" s="18">
        <v>2.4900000000000002</v>
      </c>
    </row>
    <row r="426" spans="1:4" x14ac:dyDescent="0.2">
      <c r="A426" s="15" t="s">
        <v>72</v>
      </c>
      <c r="B426" s="16" t="s">
        <v>69</v>
      </c>
      <c r="C426" s="16">
        <v>79</v>
      </c>
      <c r="D426" s="16">
        <v>2.37</v>
      </c>
    </row>
    <row r="427" spans="1:4" x14ac:dyDescent="0.2">
      <c r="A427" s="17" t="s">
        <v>72</v>
      </c>
      <c r="B427" s="18" t="s">
        <v>69</v>
      </c>
      <c r="C427" s="18">
        <v>80</v>
      </c>
      <c r="D427" s="18">
        <v>2.2599999999999998</v>
      </c>
    </row>
    <row r="428" spans="1:4" x14ac:dyDescent="0.2">
      <c r="A428" s="15" t="s">
        <v>72</v>
      </c>
      <c r="B428" s="16" t="s">
        <v>69</v>
      </c>
      <c r="C428" s="16">
        <v>81</v>
      </c>
      <c r="D428" s="16">
        <v>2.16</v>
      </c>
    </row>
    <row r="429" spans="1:4" x14ac:dyDescent="0.2">
      <c r="A429" s="17" t="s">
        <v>72</v>
      </c>
      <c r="B429" s="18" t="s">
        <v>69</v>
      </c>
      <c r="C429" s="18">
        <v>82</v>
      </c>
      <c r="D429" s="18">
        <v>2.06</v>
      </c>
    </row>
    <row r="430" spans="1:4" x14ac:dyDescent="0.2">
      <c r="A430" s="15" t="s">
        <v>72</v>
      </c>
      <c r="B430" s="16" t="s">
        <v>69</v>
      </c>
      <c r="C430" s="16">
        <v>83</v>
      </c>
      <c r="D430" s="16">
        <v>1.97</v>
      </c>
    </row>
    <row r="431" spans="1:4" x14ac:dyDescent="0.2">
      <c r="A431" s="17" t="s">
        <v>72</v>
      </c>
      <c r="B431" s="18" t="s">
        <v>69</v>
      </c>
      <c r="C431" s="18">
        <v>84</v>
      </c>
      <c r="D431" s="18">
        <v>1.89</v>
      </c>
    </row>
    <row r="432" spans="1:4" x14ac:dyDescent="0.2">
      <c r="A432" s="15" t="s">
        <v>72</v>
      </c>
      <c r="B432" s="16" t="s">
        <v>69</v>
      </c>
      <c r="C432" s="16">
        <v>85</v>
      </c>
      <c r="D432" s="16">
        <v>1.81</v>
      </c>
    </row>
    <row r="433" spans="1:4" x14ac:dyDescent="0.2">
      <c r="A433" s="17" t="s">
        <v>72</v>
      </c>
      <c r="B433" s="18" t="s">
        <v>69</v>
      </c>
      <c r="C433" s="18">
        <v>86</v>
      </c>
      <c r="D433" s="18">
        <v>1.73</v>
      </c>
    </row>
    <row r="434" spans="1:4" x14ac:dyDescent="0.2">
      <c r="A434" s="15" t="s">
        <v>72</v>
      </c>
      <c r="B434" s="16" t="s">
        <v>69</v>
      </c>
      <c r="C434" s="16">
        <v>87</v>
      </c>
      <c r="D434" s="16">
        <v>1.66</v>
      </c>
    </row>
    <row r="435" spans="1:4" x14ac:dyDescent="0.2">
      <c r="A435" s="17" t="s">
        <v>72</v>
      </c>
      <c r="B435" s="18" t="s">
        <v>69</v>
      </c>
      <c r="C435" s="18">
        <v>88</v>
      </c>
      <c r="D435" s="18">
        <v>1.59</v>
      </c>
    </row>
    <row r="436" spans="1:4" x14ac:dyDescent="0.2">
      <c r="A436" s="15" t="s">
        <v>72</v>
      </c>
      <c r="B436" s="16" t="s">
        <v>69</v>
      </c>
      <c r="C436" s="16">
        <v>89</v>
      </c>
      <c r="D436" s="16">
        <v>1.52</v>
      </c>
    </row>
    <row r="437" spans="1:4" x14ac:dyDescent="0.2">
      <c r="A437" s="17" t="s">
        <v>72</v>
      </c>
      <c r="B437" s="18" t="s">
        <v>69</v>
      </c>
      <c r="C437" s="18">
        <v>90</v>
      </c>
      <c r="D437" s="18">
        <v>1.46</v>
      </c>
    </row>
    <row r="438" spans="1:4" x14ac:dyDescent="0.2">
      <c r="A438" s="15" t="s">
        <v>73</v>
      </c>
      <c r="B438" s="16" t="s">
        <v>69</v>
      </c>
      <c r="C438" s="16">
        <v>21</v>
      </c>
      <c r="D438" s="16">
        <v>39.85</v>
      </c>
    </row>
    <row r="439" spans="1:4" x14ac:dyDescent="0.2">
      <c r="A439" s="17" t="s">
        <v>73</v>
      </c>
      <c r="B439" s="18" t="s">
        <v>69</v>
      </c>
      <c r="C439" s="18">
        <v>22</v>
      </c>
      <c r="D439" s="18">
        <v>38.94</v>
      </c>
    </row>
    <row r="440" spans="1:4" x14ac:dyDescent="0.2">
      <c r="A440" s="15" t="s">
        <v>73</v>
      </c>
      <c r="B440" s="16" t="s">
        <v>69</v>
      </c>
      <c r="C440" s="16">
        <v>23</v>
      </c>
      <c r="D440" s="16">
        <v>38.04</v>
      </c>
    </row>
    <row r="441" spans="1:4" x14ac:dyDescent="0.2">
      <c r="A441" s="17" t="s">
        <v>73</v>
      </c>
      <c r="B441" s="18" t="s">
        <v>69</v>
      </c>
      <c r="C441" s="18">
        <v>24</v>
      </c>
      <c r="D441" s="18">
        <v>37.14</v>
      </c>
    </row>
    <row r="442" spans="1:4" x14ac:dyDescent="0.2">
      <c r="A442" s="15" t="s">
        <v>73</v>
      </c>
      <c r="B442" s="16" t="s">
        <v>69</v>
      </c>
      <c r="C442" s="16">
        <v>25</v>
      </c>
      <c r="D442" s="16">
        <v>36.229999999999997</v>
      </c>
    </row>
    <row r="443" spans="1:4" x14ac:dyDescent="0.2">
      <c r="A443" s="17" t="s">
        <v>73</v>
      </c>
      <c r="B443" s="18" t="s">
        <v>69</v>
      </c>
      <c r="C443" s="18">
        <v>26</v>
      </c>
      <c r="D443" s="18">
        <v>35.33</v>
      </c>
    </row>
    <row r="444" spans="1:4" x14ac:dyDescent="0.2">
      <c r="A444" s="15" t="s">
        <v>73</v>
      </c>
      <c r="B444" s="16" t="s">
        <v>69</v>
      </c>
      <c r="C444" s="16">
        <v>27</v>
      </c>
      <c r="D444" s="16">
        <v>34.42</v>
      </c>
    </row>
    <row r="445" spans="1:4" x14ac:dyDescent="0.2">
      <c r="A445" s="17" t="s">
        <v>73</v>
      </c>
      <c r="B445" s="18" t="s">
        <v>69</v>
      </c>
      <c r="C445" s="18">
        <v>28</v>
      </c>
      <c r="D445" s="18">
        <v>33.51</v>
      </c>
    </row>
    <row r="446" spans="1:4" x14ac:dyDescent="0.2">
      <c r="A446" s="15" t="s">
        <v>73</v>
      </c>
      <c r="B446" s="16" t="s">
        <v>69</v>
      </c>
      <c r="C446" s="16">
        <v>29</v>
      </c>
      <c r="D446" s="16">
        <v>32.61</v>
      </c>
    </row>
    <row r="447" spans="1:4" x14ac:dyDescent="0.2">
      <c r="A447" s="17" t="s">
        <v>73</v>
      </c>
      <c r="B447" s="18" t="s">
        <v>69</v>
      </c>
      <c r="C447" s="18">
        <v>30</v>
      </c>
      <c r="D447" s="18">
        <v>31.7</v>
      </c>
    </row>
    <row r="448" spans="1:4" x14ac:dyDescent="0.2">
      <c r="A448" s="15" t="s">
        <v>73</v>
      </c>
      <c r="B448" s="16" t="s">
        <v>69</v>
      </c>
      <c r="C448" s="16">
        <v>31</v>
      </c>
      <c r="D448" s="16">
        <v>30.8</v>
      </c>
    </row>
    <row r="449" spans="1:4" x14ac:dyDescent="0.2">
      <c r="A449" s="17" t="s">
        <v>73</v>
      </c>
      <c r="B449" s="18" t="s">
        <v>69</v>
      </c>
      <c r="C449" s="18">
        <v>32</v>
      </c>
      <c r="D449" s="18">
        <v>29.89</v>
      </c>
    </row>
    <row r="450" spans="1:4" x14ac:dyDescent="0.2">
      <c r="A450" s="15" t="s">
        <v>73</v>
      </c>
      <c r="B450" s="16" t="s">
        <v>69</v>
      </c>
      <c r="C450" s="16">
        <v>33</v>
      </c>
      <c r="D450" s="16">
        <v>28.99</v>
      </c>
    </row>
    <row r="451" spans="1:4" x14ac:dyDescent="0.2">
      <c r="A451" s="17" t="s">
        <v>73</v>
      </c>
      <c r="B451" s="18" t="s">
        <v>69</v>
      </c>
      <c r="C451" s="18">
        <v>34</v>
      </c>
      <c r="D451" s="18">
        <v>28.09</v>
      </c>
    </row>
    <row r="452" spans="1:4" x14ac:dyDescent="0.2">
      <c r="A452" s="15" t="s">
        <v>73</v>
      </c>
      <c r="B452" s="16" t="s">
        <v>69</v>
      </c>
      <c r="C452" s="16">
        <v>35</v>
      </c>
      <c r="D452" s="16">
        <v>27.19</v>
      </c>
    </row>
    <row r="453" spans="1:4" x14ac:dyDescent="0.2">
      <c r="A453" s="17" t="s">
        <v>73</v>
      </c>
      <c r="B453" s="18" t="s">
        <v>69</v>
      </c>
      <c r="C453" s="18">
        <v>36</v>
      </c>
      <c r="D453" s="18">
        <v>26.29</v>
      </c>
    </row>
    <row r="454" spans="1:4" x14ac:dyDescent="0.2">
      <c r="A454" s="15" t="s">
        <v>73</v>
      </c>
      <c r="B454" s="16" t="s">
        <v>69</v>
      </c>
      <c r="C454" s="16">
        <v>37</v>
      </c>
      <c r="D454" s="16">
        <v>25.39</v>
      </c>
    </row>
    <row r="455" spans="1:4" x14ac:dyDescent="0.2">
      <c r="A455" s="17" t="s">
        <v>73</v>
      </c>
      <c r="B455" s="18" t="s">
        <v>69</v>
      </c>
      <c r="C455" s="18">
        <v>38</v>
      </c>
      <c r="D455" s="18">
        <v>24.5</v>
      </c>
    </row>
    <row r="456" spans="1:4" x14ac:dyDescent="0.2">
      <c r="A456" s="15" t="s">
        <v>73</v>
      </c>
      <c r="B456" s="16" t="s">
        <v>69</v>
      </c>
      <c r="C456" s="16">
        <v>39</v>
      </c>
      <c r="D456" s="16">
        <v>23.6</v>
      </c>
    </row>
    <row r="457" spans="1:4" x14ac:dyDescent="0.2">
      <c r="A457" s="17" t="s">
        <v>73</v>
      </c>
      <c r="B457" s="18" t="s">
        <v>69</v>
      </c>
      <c r="C457" s="18">
        <v>40</v>
      </c>
      <c r="D457" s="18">
        <v>22.72</v>
      </c>
    </row>
    <row r="458" spans="1:4" x14ac:dyDescent="0.2">
      <c r="A458" s="15" t="s">
        <v>73</v>
      </c>
      <c r="B458" s="16" t="s">
        <v>69</v>
      </c>
      <c r="C458" s="16">
        <v>41</v>
      </c>
      <c r="D458" s="16">
        <v>21.83</v>
      </c>
    </row>
    <row r="459" spans="1:4" x14ac:dyDescent="0.2">
      <c r="A459" s="17" t="s">
        <v>73</v>
      </c>
      <c r="B459" s="18" t="s">
        <v>69</v>
      </c>
      <c r="C459" s="18">
        <v>42</v>
      </c>
      <c r="D459" s="18">
        <v>20.96</v>
      </c>
    </row>
    <row r="460" spans="1:4" x14ac:dyDescent="0.2">
      <c r="A460" s="15" t="s">
        <v>73</v>
      </c>
      <c r="B460" s="16" t="s">
        <v>69</v>
      </c>
      <c r="C460" s="16">
        <v>43</v>
      </c>
      <c r="D460" s="16">
        <v>20.09</v>
      </c>
    </row>
    <row r="461" spans="1:4" x14ac:dyDescent="0.2">
      <c r="A461" s="17" t="s">
        <v>73</v>
      </c>
      <c r="B461" s="18" t="s">
        <v>69</v>
      </c>
      <c r="C461" s="18">
        <v>44</v>
      </c>
      <c r="D461" s="18">
        <v>19.23</v>
      </c>
    </row>
    <row r="462" spans="1:4" x14ac:dyDescent="0.2">
      <c r="A462" s="15" t="s">
        <v>73</v>
      </c>
      <c r="B462" s="16" t="s">
        <v>69</v>
      </c>
      <c r="C462" s="16">
        <v>45</v>
      </c>
      <c r="D462" s="16">
        <v>18.38</v>
      </c>
    </row>
    <row r="463" spans="1:4" x14ac:dyDescent="0.2">
      <c r="A463" s="17" t="s">
        <v>73</v>
      </c>
      <c r="B463" s="18" t="s">
        <v>69</v>
      </c>
      <c r="C463" s="18">
        <v>46</v>
      </c>
      <c r="D463" s="18">
        <v>17.54</v>
      </c>
    </row>
    <row r="464" spans="1:4" x14ac:dyDescent="0.2">
      <c r="A464" s="15" t="s">
        <v>73</v>
      </c>
      <c r="B464" s="16" t="s">
        <v>69</v>
      </c>
      <c r="C464" s="16">
        <v>47</v>
      </c>
      <c r="D464" s="16">
        <v>16.71</v>
      </c>
    </row>
    <row r="465" spans="1:4" x14ac:dyDescent="0.2">
      <c r="A465" s="17" t="s">
        <v>73</v>
      </c>
      <c r="B465" s="18" t="s">
        <v>69</v>
      </c>
      <c r="C465" s="18">
        <v>48</v>
      </c>
      <c r="D465" s="18">
        <v>15.89</v>
      </c>
    </row>
    <row r="466" spans="1:4" x14ac:dyDescent="0.2">
      <c r="A466" s="15" t="s">
        <v>73</v>
      </c>
      <c r="B466" s="16" t="s">
        <v>69</v>
      </c>
      <c r="C466" s="16">
        <v>49</v>
      </c>
      <c r="D466" s="16">
        <v>15.08</v>
      </c>
    </row>
    <row r="467" spans="1:4" x14ac:dyDescent="0.2">
      <c r="A467" s="17" t="s">
        <v>73</v>
      </c>
      <c r="B467" s="18" t="s">
        <v>69</v>
      </c>
      <c r="C467" s="18">
        <v>50</v>
      </c>
      <c r="D467" s="18">
        <v>14.27</v>
      </c>
    </row>
    <row r="468" spans="1:4" x14ac:dyDescent="0.2">
      <c r="A468" s="15" t="s">
        <v>73</v>
      </c>
      <c r="B468" s="16" t="s">
        <v>69</v>
      </c>
      <c r="C468" s="16">
        <v>51</v>
      </c>
      <c r="D468" s="16">
        <v>13.46</v>
      </c>
    </row>
    <row r="469" spans="1:4" x14ac:dyDescent="0.2">
      <c r="A469" s="17" t="s">
        <v>73</v>
      </c>
      <c r="B469" s="18" t="s">
        <v>69</v>
      </c>
      <c r="C469" s="18">
        <v>52</v>
      </c>
      <c r="D469" s="18">
        <v>12.64</v>
      </c>
    </row>
    <row r="470" spans="1:4" x14ac:dyDescent="0.2">
      <c r="A470" s="15" t="s">
        <v>73</v>
      </c>
      <c r="B470" s="16" t="s">
        <v>69</v>
      </c>
      <c r="C470" s="16">
        <v>53</v>
      </c>
      <c r="D470" s="16">
        <v>11.85</v>
      </c>
    </row>
    <row r="471" spans="1:4" x14ac:dyDescent="0.2">
      <c r="A471" s="17" t="s">
        <v>73</v>
      </c>
      <c r="B471" s="18" t="s">
        <v>69</v>
      </c>
      <c r="C471" s="18">
        <v>54</v>
      </c>
      <c r="D471" s="18">
        <v>11.09</v>
      </c>
    </row>
    <row r="472" spans="1:4" x14ac:dyDescent="0.2">
      <c r="A472" s="15" t="s">
        <v>73</v>
      </c>
      <c r="B472" s="16" t="s">
        <v>69</v>
      </c>
      <c r="C472" s="16">
        <v>55</v>
      </c>
      <c r="D472" s="16">
        <v>10.36</v>
      </c>
    </row>
    <row r="473" spans="1:4" x14ac:dyDescent="0.2">
      <c r="A473" s="17" t="s">
        <v>73</v>
      </c>
      <c r="B473" s="18" t="s">
        <v>69</v>
      </c>
      <c r="C473" s="18">
        <v>56</v>
      </c>
      <c r="D473" s="18">
        <v>9.64</v>
      </c>
    </row>
    <row r="474" spans="1:4" x14ac:dyDescent="0.2">
      <c r="A474" s="15" t="s">
        <v>73</v>
      </c>
      <c r="B474" s="16" t="s">
        <v>69</v>
      </c>
      <c r="C474" s="16">
        <v>57</v>
      </c>
      <c r="D474" s="16">
        <v>8.93</v>
      </c>
    </row>
    <row r="475" spans="1:4" x14ac:dyDescent="0.2">
      <c r="A475" s="17" t="s">
        <v>73</v>
      </c>
      <c r="B475" s="18" t="s">
        <v>69</v>
      </c>
      <c r="C475" s="18">
        <v>58</v>
      </c>
      <c r="D475" s="18">
        <v>8.23</v>
      </c>
    </row>
    <row r="476" spans="1:4" x14ac:dyDescent="0.2">
      <c r="A476" s="15" t="s">
        <v>73</v>
      </c>
      <c r="B476" s="16" t="s">
        <v>69</v>
      </c>
      <c r="C476" s="16">
        <v>59</v>
      </c>
      <c r="D476" s="16">
        <v>7.56</v>
      </c>
    </row>
    <row r="477" spans="1:4" x14ac:dyDescent="0.2">
      <c r="A477" s="17" t="s">
        <v>73</v>
      </c>
      <c r="B477" s="18" t="s">
        <v>69</v>
      </c>
      <c r="C477" s="18">
        <v>60</v>
      </c>
      <c r="D477" s="18">
        <v>6.92</v>
      </c>
    </row>
    <row r="478" spans="1:4" x14ac:dyDescent="0.2">
      <c r="A478" s="15" t="s">
        <v>73</v>
      </c>
      <c r="B478" s="16" t="s">
        <v>69</v>
      </c>
      <c r="C478" s="16">
        <v>61</v>
      </c>
      <c r="D478" s="16">
        <v>6.34</v>
      </c>
    </row>
    <row r="479" spans="1:4" x14ac:dyDescent="0.2">
      <c r="A479" s="17" t="s">
        <v>73</v>
      </c>
      <c r="B479" s="18" t="s">
        <v>69</v>
      </c>
      <c r="C479" s="18">
        <v>62</v>
      </c>
      <c r="D479" s="18">
        <v>5.83</v>
      </c>
    </row>
    <row r="480" spans="1:4" x14ac:dyDescent="0.2">
      <c r="A480" s="15" t="s">
        <v>73</v>
      </c>
      <c r="B480" s="16" t="s">
        <v>69</v>
      </c>
      <c r="C480" s="16">
        <v>63</v>
      </c>
      <c r="D480" s="16">
        <v>5.38</v>
      </c>
    </row>
    <row r="481" spans="1:4" x14ac:dyDescent="0.2">
      <c r="A481" s="17" t="s">
        <v>73</v>
      </c>
      <c r="B481" s="18" t="s">
        <v>69</v>
      </c>
      <c r="C481" s="18">
        <v>64</v>
      </c>
      <c r="D481" s="18">
        <v>4.99</v>
      </c>
    </row>
    <row r="482" spans="1:4" x14ac:dyDescent="0.2">
      <c r="A482" s="15" t="s">
        <v>73</v>
      </c>
      <c r="B482" s="16" t="s">
        <v>69</v>
      </c>
      <c r="C482" s="16">
        <v>65</v>
      </c>
      <c r="D482" s="16">
        <v>4.6500000000000004</v>
      </c>
    </row>
    <row r="483" spans="1:4" x14ac:dyDescent="0.2">
      <c r="A483" s="17" t="s">
        <v>73</v>
      </c>
      <c r="B483" s="18" t="s">
        <v>69</v>
      </c>
      <c r="C483" s="18">
        <v>66</v>
      </c>
      <c r="D483" s="18">
        <v>4.3600000000000003</v>
      </c>
    </row>
    <row r="484" spans="1:4" x14ac:dyDescent="0.2">
      <c r="A484" s="15" t="s">
        <v>73</v>
      </c>
      <c r="B484" s="16" t="s">
        <v>69</v>
      </c>
      <c r="C484" s="16">
        <v>67</v>
      </c>
      <c r="D484" s="16">
        <v>4.0999999999999996</v>
      </c>
    </row>
    <row r="485" spans="1:4" x14ac:dyDescent="0.2">
      <c r="A485" s="17" t="s">
        <v>73</v>
      </c>
      <c r="B485" s="18" t="s">
        <v>69</v>
      </c>
      <c r="C485" s="18">
        <v>68</v>
      </c>
      <c r="D485" s="18">
        <v>3.87</v>
      </c>
    </row>
    <row r="486" spans="1:4" x14ac:dyDescent="0.2">
      <c r="A486" s="15" t="s">
        <v>73</v>
      </c>
      <c r="B486" s="16" t="s">
        <v>69</v>
      </c>
      <c r="C486" s="16">
        <v>69</v>
      </c>
      <c r="D486" s="16">
        <v>3.64</v>
      </c>
    </row>
    <row r="487" spans="1:4" x14ac:dyDescent="0.2">
      <c r="A487" s="17" t="s">
        <v>73</v>
      </c>
      <c r="B487" s="18" t="s">
        <v>69</v>
      </c>
      <c r="C487" s="18">
        <v>70</v>
      </c>
      <c r="D487" s="18">
        <v>3.44</v>
      </c>
    </row>
    <row r="488" spans="1:4" x14ac:dyDescent="0.2">
      <c r="A488" s="15" t="s">
        <v>73</v>
      </c>
      <c r="B488" s="16" t="s">
        <v>69</v>
      </c>
      <c r="C488" s="16">
        <v>71</v>
      </c>
      <c r="D488" s="16">
        <v>3.24</v>
      </c>
    </row>
    <row r="489" spans="1:4" x14ac:dyDescent="0.2">
      <c r="A489" s="17" t="s">
        <v>73</v>
      </c>
      <c r="B489" s="18" t="s">
        <v>69</v>
      </c>
      <c r="C489" s="18">
        <v>72</v>
      </c>
      <c r="D489" s="18">
        <v>3.06</v>
      </c>
    </row>
    <row r="490" spans="1:4" x14ac:dyDescent="0.2">
      <c r="A490" s="15" t="s">
        <v>73</v>
      </c>
      <c r="B490" s="16" t="s">
        <v>69</v>
      </c>
      <c r="C490" s="16">
        <v>73</v>
      </c>
      <c r="D490" s="16">
        <v>2.9</v>
      </c>
    </row>
    <row r="491" spans="1:4" x14ac:dyDescent="0.2">
      <c r="A491" s="17" t="s">
        <v>73</v>
      </c>
      <c r="B491" s="18" t="s">
        <v>69</v>
      </c>
      <c r="C491" s="18">
        <v>74</v>
      </c>
      <c r="D491" s="18">
        <v>2.74</v>
      </c>
    </row>
    <row r="492" spans="1:4" x14ac:dyDescent="0.2">
      <c r="A492" s="15" t="s">
        <v>73</v>
      </c>
      <c r="B492" s="16" t="s">
        <v>69</v>
      </c>
      <c r="C492" s="16">
        <v>75</v>
      </c>
      <c r="D492" s="16">
        <v>2.6</v>
      </c>
    </row>
    <row r="493" spans="1:4" x14ac:dyDescent="0.2">
      <c r="A493" s="17" t="s">
        <v>73</v>
      </c>
      <c r="B493" s="18" t="s">
        <v>69</v>
      </c>
      <c r="C493" s="18">
        <v>76</v>
      </c>
      <c r="D493" s="18">
        <v>2.48</v>
      </c>
    </row>
    <row r="494" spans="1:4" x14ac:dyDescent="0.2">
      <c r="A494" s="15" t="s">
        <v>73</v>
      </c>
      <c r="B494" s="16" t="s">
        <v>69</v>
      </c>
      <c r="C494" s="16">
        <v>77</v>
      </c>
      <c r="D494" s="16">
        <v>2.36</v>
      </c>
    </row>
    <row r="495" spans="1:4" x14ac:dyDescent="0.2">
      <c r="A495" s="17" t="s">
        <v>73</v>
      </c>
      <c r="B495" s="18" t="s">
        <v>69</v>
      </c>
      <c r="C495" s="18">
        <v>78</v>
      </c>
      <c r="D495" s="18">
        <v>2.25</v>
      </c>
    </row>
    <row r="496" spans="1:4" x14ac:dyDescent="0.2">
      <c r="A496" s="15" t="s">
        <v>73</v>
      </c>
      <c r="B496" s="16" t="s">
        <v>69</v>
      </c>
      <c r="C496" s="16">
        <v>79</v>
      </c>
      <c r="D496" s="16">
        <v>2.16</v>
      </c>
    </row>
    <row r="497" spans="1:4" x14ac:dyDescent="0.2">
      <c r="A497" s="17" t="s">
        <v>73</v>
      </c>
      <c r="B497" s="18" t="s">
        <v>69</v>
      </c>
      <c r="C497" s="18">
        <v>80</v>
      </c>
      <c r="D497" s="18">
        <v>2.0699999999999998</v>
      </c>
    </row>
    <row r="498" spans="1:4" x14ac:dyDescent="0.2">
      <c r="A498" s="15" t="s">
        <v>73</v>
      </c>
      <c r="B498" s="16" t="s">
        <v>69</v>
      </c>
      <c r="C498" s="16">
        <v>81</v>
      </c>
      <c r="D498" s="16">
        <v>1.98</v>
      </c>
    </row>
    <row r="499" spans="1:4" x14ac:dyDescent="0.2">
      <c r="A499" s="17" t="s">
        <v>73</v>
      </c>
      <c r="B499" s="18" t="s">
        <v>69</v>
      </c>
      <c r="C499" s="18">
        <v>82</v>
      </c>
      <c r="D499" s="18">
        <v>1.91</v>
      </c>
    </row>
    <row r="500" spans="1:4" x14ac:dyDescent="0.2">
      <c r="A500" s="15" t="s">
        <v>73</v>
      </c>
      <c r="B500" s="16" t="s">
        <v>69</v>
      </c>
      <c r="C500" s="16">
        <v>83</v>
      </c>
      <c r="D500" s="16">
        <v>1.83</v>
      </c>
    </row>
    <row r="501" spans="1:4" x14ac:dyDescent="0.2">
      <c r="A501" s="17" t="s">
        <v>73</v>
      </c>
      <c r="B501" s="18" t="s">
        <v>69</v>
      </c>
      <c r="C501" s="18">
        <v>84</v>
      </c>
      <c r="D501" s="18">
        <v>1.76</v>
      </c>
    </row>
    <row r="502" spans="1:4" x14ac:dyDescent="0.2">
      <c r="A502" s="15" t="s">
        <v>73</v>
      </c>
      <c r="B502" s="16" t="s">
        <v>69</v>
      </c>
      <c r="C502" s="16">
        <v>85</v>
      </c>
      <c r="D502" s="16">
        <v>1.68</v>
      </c>
    </row>
    <row r="503" spans="1:4" x14ac:dyDescent="0.2">
      <c r="A503" s="17" t="s">
        <v>73</v>
      </c>
      <c r="B503" s="18" t="s">
        <v>69</v>
      </c>
      <c r="C503" s="18">
        <v>86</v>
      </c>
      <c r="D503" s="18">
        <v>1.61</v>
      </c>
    </row>
    <row r="504" spans="1:4" x14ac:dyDescent="0.2">
      <c r="A504" s="15" t="s">
        <v>73</v>
      </c>
      <c r="B504" s="16" t="s">
        <v>69</v>
      </c>
      <c r="C504" s="16">
        <v>87</v>
      </c>
      <c r="D504" s="16">
        <v>1.54</v>
      </c>
    </row>
    <row r="505" spans="1:4" x14ac:dyDescent="0.2">
      <c r="A505" s="17" t="s">
        <v>73</v>
      </c>
      <c r="B505" s="18" t="s">
        <v>69</v>
      </c>
      <c r="C505" s="18">
        <v>88</v>
      </c>
      <c r="D505" s="18">
        <v>1.48</v>
      </c>
    </row>
    <row r="506" spans="1:4" x14ac:dyDescent="0.2">
      <c r="A506" s="15" t="s">
        <v>73</v>
      </c>
      <c r="B506" s="16" t="s">
        <v>69</v>
      </c>
      <c r="C506" s="16">
        <v>89</v>
      </c>
      <c r="D506" s="16">
        <v>1.42</v>
      </c>
    </row>
    <row r="507" spans="1:4" x14ac:dyDescent="0.2">
      <c r="A507" s="17" t="s">
        <v>73</v>
      </c>
      <c r="B507" s="18" t="s">
        <v>69</v>
      </c>
      <c r="C507" s="18">
        <v>90</v>
      </c>
      <c r="D507" s="18">
        <v>1.36</v>
      </c>
    </row>
    <row r="508" spans="1:4" x14ac:dyDescent="0.2">
      <c r="A508" s="15" t="s">
        <v>74</v>
      </c>
      <c r="B508" s="16" t="s">
        <v>69</v>
      </c>
      <c r="C508" s="16">
        <v>22</v>
      </c>
      <c r="D508" s="16">
        <v>40.68</v>
      </c>
    </row>
    <row r="509" spans="1:4" x14ac:dyDescent="0.2">
      <c r="A509" s="17" t="s">
        <v>74</v>
      </c>
      <c r="B509" s="18" t="s">
        <v>69</v>
      </c>
      <c r="C509" s="18">
        <v>23</v>
      </c>
      <c r="D509" s="18">
        <v>39.81</v>
      </c>
    </row>
    <row r="510" spans="1:4" x14ac:dyDescent="0.2">
      <c r="A510" s="15" t="s">
        <v>74</v>
      </c>
      <c r="B510" s="16" t="s">
        <v>69</v>
      </c>
      <c r="C510" s="16">
        <v>24</v>
      </c>
      <c r="D510" s="16">
        <v>38.92</v>
      </c>
    </row>
    <row r="511" spans="1:4" x14ac:dyDescent="0.2">
      <c r="A511" s="17" t="s">
        <v>74</v>
      </c>
      <c r="B511" s="18" t="s">
        <v>69</v>
      </c>
      <c r="C511" s="18">
        <v>25</v>
      </c>
      <c r="D511" s="18">
        <v>38.03</v>
      </c>
    </row>
    <row r="512" spans="1:4" x14ac:dyDescent="0.2">
      <c r="A512" s="15" t="s">
        <v>74</v>
      </c>
      <c r="B512" s="16" t="s">
        <v>69</v>
      </c>
      <c r="C512" s="16">
        <v>26</v>
      </c>
      <c r="D512" s="16">
        <v>37.119999999999997</v>
      </c>
    </row>
    <row r="513" spans="1:4" x14ac:dyDescent="0.2">
      <c r="A513" s="17" t="s">
        <v>74</v>
      </c>
      <c r="B513" s="18" t="s">
        <v>69</v>
      </c>
      <c r="C513" s="18">
        <v>27</v>
      </c>
      <c r="D513" s="18">
        <v>36.22</v>
      </c>
    </row>
    <row r="514" spans="1:4" x14ac:dyDescent="0.2">
      <c r="A514" s="15" t="s">
        <v>74</v>
      </c>
      <c r="B514" s="16" t="s">
        <v>69</v>
      </c>
      <c r="C514" s="16">
        <v>28</v>
      </c>
      <c r="D514" s="16">
        <v>35.31</v>
      </c>
    </row>
    <row r="515" spans="1:4" x14ac:dyDescent="0.2">
      <c r="A515" s="17" t="s">
        <v>74</v>
      </c>
      <c r="B515" s="18" t="s">
        <v>69</v>
      </c>
      <c r="C515" s="18">
        <v>29</v>
      </c>
      <c r="D515" s="18">
        <v>34.4</v>
      </c>
    </row>
    <row r="516" spans="1:4" x14ac:dyDescent="0.2">
      <c r="A516" s="15" t="s">
        <v>74</v>
      </c>
      <c r="B516" s="16" t="s">
        <v>69</v>
      </c>
      <c r="C516" s="16">
        <v>30</v>
      </c>
      <c r="D516" s="16">
        <v>33.49</v>
      </c>
    </row>
    <row r="517" spans="1:4" x14ac:dyDescent="0.2">
      <c r="A517" s="17" t="s">
        <v>74</v>
      </c>
      <c r="B517" s="18" t="s">
        <v>69</v>
      </c>
      <c r="C517" s="18">
        <v>31</v>
      </c>
      <c r="D517" s="18">
        <v>32.58</v>
      </c>
    </row>
    <row r="518" spans="1:4" x14ac:dyDescent="0.2">
      <c r="A518" s="15" t="s">
        <v>74</v>
      </c>
      <c r="B518" s="16" t="s">
        <v>69</v>
      </c>
      <c r="C518" s="16">
        <v>32</v>
      </c>
      <c r="D518" s="16">
        <v>31.66</v>
      </c>
    </row>
    <row r="519" spans="1:4" x14ac:dyDescent="0.2">
      <c r="A519" s="17" t="s">
        <v>74</v>
      </c>
      <c r="B519" s="18" t="s">
        <v>69</v>
      </c>
      <c r="C519" s="18">
        <v>33</v>
      </c>
      <c r="D519" s="18">
        <v>30.74</v>
      </c>
    </row>
    <row r="520" spans="1:4" x14ac:dyDescent="0.2">
      <c r="A520" s="15" t="s">
        <v>74</v>
      </c>
      <c r="B520" s="16" t="s">
        <v>69</v>
      </c>
      <c r="C520" s="16">
        <v>34</v>
      </c>
      <c r="D520" s="16">
        <v>29.82</v>
      </c>
    </row>
    <row r="521" spans="1:4" x14ac:dyDescent="0.2">
      <c r="A521" s="17" t="s">
        <v>74</v>
      </c>
      <c r="B521" s="18" t="s">
        <v>69</v>
      </c>
      <c r="C521" s="18">
        <v>35</v>
      </c>
      <c r="D521" s="18">
        <v>28.9</v>
      </c>
    </row>
    <row r="522" spans="1:4" x14ac:dyDescent="0.2">
      <c r="A522" s="15" t="s">
        <v>74</v>
      </c>
      <c r="B522" s="16" t="s">
        <v>69</v>
      </c>
      <c r="C522" s="16">
        <v>36</v>
      </c>
      <c r="D522" s="16">
        <v>27.99</v>
      </c>
    </row>
    <row r="523" spans="1:4" x14ac:dyDescent="0.2">
      <c r="A523" s="17" t="s">
        <v>74</v>
      </c>
      <c r="B523" s="18" t="s">
        <v>69</v>
      </c>
      <c r="C523" s="18">
        <v>37</v>
      </c>
      <c r="D523" s="18">
        <v>27.08</v>
      </c>
    </row>
    <row r="524" spans="1:4" x14ac:dyDescent="0.2">
      <c r="A524" s="15" t="s">
        <v>74</v>
      </c>
      <c r="B524" s="16" t="s">
        <v>69</v>
      </c>
      <c r="C524" s="16">
        <v>38</v>
      </c>
      <c r="D524" s="16">
        <v>26.17</v>
      </c>
    </row>
    <row r="525" spans="1:4" x14ac:dyDescent="0.2">
      <c r="A525" s="17" t="s">
        <v>74</v>
      </c>
      <c r="B525" s="18" t="s">
        <v>69</v>
      </c>
      <c r="C525" s="18">
        <v>39</v>
      </c>
      <c r="D525" s="18">
        <v>25.26</v>
      </c>
    </row>
    <row r="526" spans="1:4" x14ac:dyDescent="0.2">
      <c r="A526" s="15" t="s">
        <v>74</v>
      </c>
      <c r="B526" s="16" t="s">
        <v>69</v>
      </c>
      <c r="C526" s="16">
        <v>40</v>
      </c>
      <c r="D526" s="16">
        <v>24.36</v>
      </c>
    </row>
    <row r="527" spans="1:4" x14ac:dyDescent="0.2">
      <c r="A527" s="17" t="s">
        <v>74</v>
      </c>
      <c r="B527" s="18" t="s">
        <v>69</v>
      </c>
      <c r="C527" s="18">
        <v>41</v>
      </c>
      <c r="D527" s="18">
        <v>23.46</v>
      </c>
    </row>
    <row r="528" spans="1:4" x14ac:dyDescent="0.2">
      <c r="A528" s="15" t="s">
        <v>74</v>
      </c>
      <c r="B528" s="16" t="s">
        <v>69</v>
      </c>
      <c r="C528" s="16">
        <v>42</v>
      </c>
      <c r="D528" s="16">
        <v>22.56</v>
      </c>
    </row>
    <row r="529" spans="1:4" x14ac:dyDescent="0.2">
      <c r="A529" s="17" t="s">
        <v>74</v>
      </c>
      <c r="B529" s="18" t="s">
        <v>69</v>
      </c>
      <c r="C529" s="18">
        <v>43</v>
      </c>
      <c r="D529" s="18">
        <v>21.67</v>
      </c>
    </row>
    <row r="530" spans="1:4" x14ac:dyDescent="0.2">
      <c r="A530" s="15" t="s">
        <v>74</v>
      </c>
      <c r="B530" s="16" t="s">
        <v>69</v>
      </c>
      <c r="C530" s="16">
        <v>44</v>
      </c>
      <c r="D530" s="16">
        <v>20.78</v>
      </c>
    </row>
    <row r="531" spans="1:4" x14ac:dyDescent="0.2">
      <c r="A531" s="17" t="s">
        <v>74</v>
      </c>
      <c r="B531" s="18" t="s">
        <v>69</v>
      </c>
      <c r="C531" s="18">
        <v>45</v>
      </c>
      <c r="D531" s="18">
        <v>19.899999999999999</v>
      </c>
    </row>
    <row r="532" spans="1:4" x14ac:dyDescent="0.2">
      <c r="A532" s="15" t="s">
        <v>74</v>
      </c>
      <c r="B532" s="16" t="s">
        <v>69</v>
      </c>
      <c r="C532" s="16">
        <v>46</v>
      </c>
      <c r="D532" s="16">
        <v>19.04</v>
      </c>
    </row>
    <row r="533" spans="1:4" x14ac:dyDescent="0.2">
      <c r="A533" s="17" t="s">
        <v>74</v>
      </c>
      <c r="B533" s="18" t="s">
        <v>69</v>
      </c>
      <c r="C533" s="18">
        <v>47</v>
      </c>
      <c r="D533" s="18">
        <v>18.170000000000002</v>
      </c>
    </row>
    <row r="534" spans="1:4" x14ac:dyDescent="0.2">
      <c r="A534" s="15" t="s">
        <v>74</v>
      </c>
      <c r="B534" s="16" t="s">
        <v>69</v>
      </c>
      <c r="C534" s="16">
        <v>48</v>
      </c>
      <c r="D534" s="16">
        <v>17.309999999999999</v>
      </c>
    </row>
    <row r="535" spans="1:4" x14ac:dyDescent="0.2">
      <c r="A535" s="17" t="s">
        <v>74</v>
      </c>
      <c r="B535" s="18" t="s">
        <v>69</v>
      </c>
      <c r="C535" s="18">
        <v>49</v>
      </c>
      <c r="D535" s="18">
        <v>16.45</v>
      </c>
    </row>
    <row r="536" spans="1:4" x14ac:dyDescent="0.2">
      <c r="A536" s="15" t="s">
        <v>74</v>
      </c>
      <c r="B536" s="16" t="s">
        <v>69</v>
      </c>
      <c r="C536" s="16">
        <v>50</v>
      </c>
      <c r="D536" s="16">
        <v>15.59</v>
      </c>
    </row>
    <row r="537" spans="1:4" x14ac:dyDescent="0.2">
      <c r="A537" s="17" t="s">
        <v>74</v>
      </c>
      <c r="B537" s="18" t="s">
        <v>69</v>
      </c>
      <c r="C537" s="18">
        <v>51</v>
      </c>
      <c r="D537" s="18">
        <v>14.75</v>
      </c>
    </row>
    <row r="538" spans="1:4" x14ac:dyDescent="0.2">
      <c r="A538" s="15" t="s">
        <v>74</v>
      </c>
      <c r="B538" s="16" t="s">
        <v>69</v>
      </c>
      <c r="C538" s="16">
        <v>52</v>
      </c>
      <c r="D538" s="16">
        <v>13.92</v>
      </c>
    </row>
    <row r="539" spans="1:4" x14ac:dyDescent="0.2">
      <c r="A539" s="17" t="s">
        <v>74</v>
      </c>
      <c r="B539" s="18" t="s">
        <v>69</v>
      </c>
      <c r="C539" s="18">
        <v>53</v>
      </c>
      <c r="D539" s="18">
        <v>13.1</v>
      </c>
    </row>
    <row r="540" spans="1:4" x14ac:dyDescent="0.2">
      <c r="A540" s="15" t="s">
        <v>74</v>
      </c>
      <c r="B540" s="16" t="s">
        <v>69</v>
      </c>
      <c r="C540" s="16">
        <v>54</v>
      </c>
      <c r="D540" s="16">
        <v>12.3</v>
      </c>
    </row>
    <row r="541" spans="1:4" x14ac:dyDescent="0.2">
      <c r="A541" s="17" t="s">
        <v>74</v>
      </c>
      <c r="B541" s="18" t="s">
        <v>69</v>
      </c>
      <c r="C541" s="18">
        <v>55</v>
      </c>
      <c r="D541" s="18">
        <v>11.5</v>
      </c>
    </row>
    <row r="542" spans="1:4" x14ac:dyDescent="0.2">
      <c r="A542" s="15" t="s">
        <v>74</v>
      </c>
      <c r="B542" s="16" t="s">
        <v>69</v>
      </c>
      <c r="C542" s="16">
        <v>56</v>
      </c>
      <c r="D542" s="16">
        <v>10.72</v>
      </c>
    </row>
    <row r="543" spans="1:4" x14ac:dyDescent="0.2">
      <c r="A543" s="17" t="s">
        <v>74</v>
      </c>
      <c r="B543" s="18" t="s">
        <v>69</v>
      </c>
      <c r="C543" s="18">
        <v>57</v>
      </c>
      <c r="D543" s="18">
        <v>9.9600000000000009</v>
      </c>
    </row>
    <row r="544" spans="1:4" x14ac:dyDescent="0.2">
      <c r="A544" s="15" t="s">
        <v>74</v>
      </c>
      <c r="B544" s="16" t="s">
        <v>69</v>
      </c>
      <c r="C544" s="16">
        <v>58</v>
      </c>
      <c r="D544" s="16">
        <v>9.2200000000000006</v>
      </c>
    </row>
    <row r="545" spans="1:4" x14ac:dyDescent="0.2">
      <c r="A545" s="17" t="s">
        <v>74</v>
      </c>
      <c r="B545" s="18" t="s">
        <v>69</v>
      </c>
      <c r="C545" s="18">
        <v>59</v>
      </c>
      <c r="D545" s="18">
        <v>8.52</v>
      </c>
    </row>
    <row r="546" spans="1:4" x14ac:dyDescent="0.2">
      <c r="A546" s="15" t="s">
        <v>74</v>
      </c>
      <c r="B546" s="16" t="s">
        <v>69</v>
      </c>
      <c r="C546" s="16">
        <v>60</v>
      </c>
      <c r="D546" s="16">
        <v>7.87</v>
      </c>
    </row>
    <row r="547" spans="1:4" x14ac:dyDescent="0.2">
      <c r="A547" s="17" t="s">
        <v>74</v>
      </c>
      <c r="B547" s="18" t="s">
        <v>69</v>
      </c>
      <c r="C547" s="18">
        <v>61</v>
      </c>
      <c r="D547" s="18">
        <v>7.26</v>
      </c>
    </row>
    <row r="548" spans="1:4" x14ac:dyDescent="0.2">
      <c r="A548" s="15" t="s">
        <v>74</v>
      </c>
      <c r="B548" s="16" t="s">
        <v>69</v>
      </c>
      <c r="C548" s="16">
        <v>62</v>
      </c>
      <c r="D548" s="16">
        <v>6.7</v>
      </c>
    </row>
    <row r="549" spans="1:4" x14ac:dyDescent="0.2">
      <c r="A549" s="17" t="s">
        <v>74</v>
      </c>
      <c r="B549" s="18" t="s">
        <v>69</v>
      </c>
      <c r="C549" s="18">
        <v>63</v>
      </c>
      <c r="D549" s="18">
        <v>6.19</v>
      </c>
    </row>
    <row r="550" spans="1:4" x14ac:dyDescent="0.2">
      <c r="A550" s="15" t="s">
        <v>74</v>
      </c>
      <c r="B550" s="16" t="s">
        <v>69</v>
      </c>
      <c r="C550" s="16">
        <v>64</v>
      </c>
      <c r="D550" s="16">
        <v>5.75</v>
      </c>
    </row>
    <row r="551" spans="1:4" x14ac:dyDescent="0.2">
      <c r="A551" s="17" t="s">
        <v>74</v>
      </c>
      <c r="B551" s="18" t="s">
        <v>69</v>
      </c>
      <c r="C551" s="18">
        <v>65</v>
      </c>
      <c r="D551" s="18">
        <v>5.39</v>
      </c>
    </row>
    <row r="552" spans="1:4" x14ac:dyDescent="0.2">
      <c r="A552" s="15" t="s">
        <v>74</v>
      </c>
      <c r="B552" s="16" t="s">
        <v>69</v>
      </c>
      <c r="C552" s="16">
        <v>66</v>
      </c>
      <c r="D552" s="16">
        <v>5.0999999999999996</v>
      </c>
    </row>
    <row r="553" spans="1:4" x14ac:dyDescent="0.2">
      <c r="A553" s="17" t="s">
        <v>74</v>
      </c>
      <c r="B553" s="18" t="s">
        <v>69</v>
      </c>
      <c r="C553" s="18">
        <v>67</v>
      </c>
      <c r="D553" s="18">
        <v>4.84</v>
      </c>
    </row>
    <row r="554" spans="1:4" x14ac:dyDescent="0.2">
      <c r="A554" s="15" t="s">
        <v>74</v>
      </c>
      <c r="B554" s="16" t="s">
        <v>69</v>
      </c>
      <c r="C554" s="16">
        <v>68</v>
      </c>
      <c r="D554" s="16">
        <v>4.5999999999999996</v>
      </c>
    </row>
    <row r="555" spans="1:4" x14ac:dyDescent="0.2">
      <c r="A555" s="17" t="s">
        <v>74</v>
      </c>
      <c r="B555" s="18" t="s">
        <v>69</v>
      </c>
      <c r="C555" s="18">
        <v>69</v>
      </c>
      <c r="D555" s="18">
        <v>4.37</v>
      </c>
    </row>
    <row r="556" spans="1:4" x14ac:dyDescent="0.2">
      <c r="A556" s="15" t="s">
        <v>74</v>
      </c>
      <c r="B556" s="16" t="s">
        <v>69</v>
      </c>
      <c r="C556" s="16">
        <v>70</v>
      </c>
      <c r="D556" s="16">
        <v>4.1500000000000004</v>
      </c>
    </row>
    <row r="557" spans="1:4" x14ac:dyDescent="0.2">
      <c r="A557" s="17" t="s">
        <v>74</v>
      </c>
      <c r="B557" s="18" t="s">
        <v>69</v>
      </c>
      <c r="C557" s="18">
        <v>71</v>
      </c>
      <c r="D557" s="18">
        <v>3.94</v>
      </c>
    </row>
    <row r="558" spans="1:4" x14ac:dyDescent="0.2">
      <c r="A558" s="15" t="s">
        <v>74</v>
      </c>
      <c r="B558" s="16" t="s">
        <v>69</v>
      </c>
      <c r="C558" s="16">
        <v>72</v>
      </c>
      <c r="D558" s="16">
        <v>3.74</v>
      </c>
    </row>
    <row r="559" spans="1:4" x14ac:dyDescent="0.2">
      <c r="A559" s="17" t="s">
        <v>74</v>
      </c>
      <c r="B559" s="18" t="s">
        <v>69</v>
      </c>
      <c r="C559" s="18">
        <v>73</v>
      </c>
      <c r="D559" s="18">
        <v>3.56</v>
      </c>
    </row>
    <row r="560" spans="1:4" x14ac:dyDescent="0.2">
      <c r="A560" s="15" t="s">
        <v>74</v>
      </c>
      <c r="B560" s="16" t="s">
        <v>69</v>
      </c>
      <c r="C560" s="16">
        <v>74</v>
      </c>
      <c r="D560" s="16">
        <v>3.39</v>
      </c>
    </row>
    <row r="561" spans="1:4" x14ac:dyDescent="0.2">
      <c r="A561" s="17" t="s">
        <v>74</v>
      </c>
      <c r="B561" s="18" t="s">
        <v>69</v>
      </c>
      <c r="C561" s="18">
        <v>75</v>
      </c>
      <c r="D561" s="18">
        <v>3.23</v>
      </c>
    </row>
    <row r="562" spans="1:4" x14ac:dyDescent="0.2">
      <c r="A562" s="15" t="s">
        <v>74</v>
      </c>
      <c r="B562" s="16" t="s">
        <v>69</v>
      </c>
      <c r="C562" s="16">
        <v>76</v>
      </c>
      <c r="D562" s="16">
        <v>3.09</v>
      </c>
    </row>
    <row r="563" spans="1:4" x14ac:dyDescent="0.2">
      <c r="A563" s="17" t="s">
        <v>74</v>
      </c>
      <c r="B563" s="18" t="s">
        <v>69</v>
      </c>
      <c r="C563" s="18">
        <v>77</v>
      </c>
      <c r="D563" s="18">
        <v>2.96</v>
      </c>
    </row>
    <row r="564" spans="1:4" x14ac:dyDescent="0.2">
      <c r="A564" s="15" t="s">
        <v>74</v>
      </c>
      <c r="B564" s="16" t="s">
        <v>69</v>
      </c>
      <c r="C564" s="16">
        <v>78</v>
      </c>
      <c r="D564" s="16">
        <v>2.83</v>
      </c>
    </row>
    <row r="565" spans="1:4" x14ac:dyDescent="0.2">
      <c r="A565" s="17" t="s">
        <v>74</v>
      </c>
      <c r="B565" s="18" t="s">
        <v>69</v>
      </c>
      <c r="C565" s="18">
        <v>79</v>
      </c>
      <c r="D565" s="18">
        <v>2.7</v>
      </c>
    </row>
    <row r="566" spans="1:4" x14ac:dyDescent="0.2">
      <c r="A566" s="15" t="s">
        <v>74</v>
      </c>
      <c r="B566" s="16" t="s">
        <v>69</v>
      </c>
      <c r="C566" s="16">
        <v>80</v>
      </c>
      <c r="D566" s="16">
        <v>2.58</v>
      </c>
    </row>
    <row r="567" spans="1:4" x14ac:dyDescent="0.2">
      <c r="A567" s="17" t="s">
        <v>74</v>
      </c>
      <c r="B567" s="18" t="s">
        <v>69</v>
      </c>
      <c r="C567" s="18">
        <v>81</v>
      </c>
      <c r="D567" s="18">
        <v>2.4700000000000002</v>
      </c>
    </row>
    <row r="568" spans="1:4" x14ac:dyDescent="0.2">
      <c r="A568" s="15" t="s">
        <v>74</v>
      </c>
      <c r="B568" s="16" t="s">
        <v>69</v>
      </c>
      <c r="C568" s="16">
        <v>82</v>
      </c>
      <c r="D568" s="16">
        <v>2.36</v>
      </c>
    </row>
    <row r="569" spans="1:4" x14ac:dyDescent="0.2">
      <c r="A569" s="17" t="s">
        <v>74</v>
      </c>
      <c r="B569" s="18" t="s">
        <v>69</v>
      </c>
      <c r="C569" s="18">
        <v>83</v>
      </c>
      <c r="D569" s="18">
        <v>2.2599999999999998</v>
      </c>
    </row>
    <row r="570" spans="1:4" x14ac:dyDescent="0.2">
      <c r="A570" s="15" t="s">
        <v>74</v>
      </c>
      <c r="B570" s="16" t="s">
        <v>69</v>
      </c>
      <c r="C570" s="16">
        <v>84</v>
      </c>
      <c r="D570" s="16">
        <v>2.16</v>
      </c>
    </row>
    <row r="571" spans="1:4" x14ac:dyDescent="0.2">
      <c r="A571" s="17" t="s">
        <v>74</v>
      </c>
      <c r="B571" s="18" t="s">
        <v>69</v>
      </c>
      <c r="C571" s="18">
        <v>85</v>
      </c>
      <c r="D571" s="18">
        <v>2.0699999999999998</v>
      </c>
    </row>
    <row r="572" spans="1:4" x14ac:dyDescent="0.2">
      <c r="A572" s="15" t="s">
        <v>74</v>
      </c>
      <c r="B572" s="16" t="s">
        <v>69</v>
      </c>
      <c r="C572" s="16">
        <v>86</v>
      </c>
      <c r="D572" s="16">
        <v>1.98</v>
      </c>
    </row>
    <row r="573" spans="1:4" x14ac:dyDescent="0.2">
      <c r="A573" s="17" t="s">
        <v>74</v>
      </c>
      <c r="B573" s="18" t="s">
        <v>69</v>
      </c>
      <c r="C573" s="18">
        <v>87</v>
      </c>
      <c r="D573" s="18">
        <v>1.89</v>
      </c>
    </row>
    <row r="574" spans="1:4" x14ac:dyDescent="0.2">
      <c r="A574" s="15" t="s">
        <v>74</v>
      </c>
      <c r="B574" s="16" t="s">
        <v>69</v>
      </c>
      <c r="C574" s="16">
        <v>88</v>
      </c>
      <c r="D574" s="16">
        <v>1.81</v>
      </c>
    </row>
    <row r="575" spans="1:4" x14ac:dyDescent="0.2">
      <c r="A575" s="17" t="s">
        <v>74</v>
      </c>
      <c r="B575" s="18" t="s">
        <v>69</v>
      </c>
      <c r="C575" s="18">
        <v>89</v>
      </c>
      <c r="D575" s="18">
        <v>1.73</v>
      </c>
    </row>
    <row r="576" spans="1:4" x14ac:dyDescent="0.2">
      <c r="A576" s="15" t="s">
        <v>74</v>
      </c>
      <c r="B576" s="16" t="s">
        <v>69</v>
      </c>
      <c r="C576" s="16">
        <v>90</v>
      </c>
      <c r="D576" s="16">
        <v>1.65</v>
      </c>
    </row>
    <row r="577" spans="1:4" x14ac:dyDescent="0.2">
      <c r="A577" s="17" t="s">
        <v>75</v>
      </c>
      <c r="B577" s="18" t="s">
        <v>69</v>
      </c>
      <c r="C577" s="18">
        <v>25</v>
      </c>
      <c r="D577" s="18">
        <v>38.659999999999997</v>
      </c>
    </row>
    <row r="578" spans="1:4" x14ac:dyDescent="0.2">
      <c r="A578" s="15" t="s">
        <v>75</v>
      </c>
      <c r="B578" s="16" t="s">
        <v>69</v>
      </c>
      <c r="C578" s="16">
        <v>26</v>
      </c>
      <c r="D578" s="16">
        <v>37.74</v>
      </c>
    </row>
    <row r="579" spans="1:4" x14ac:dyDescent="0.2">
      <c r="A579" s="17" t="s">
        <v>75</v>
      </c>
      <c r="B579" s="18" t="s">
        <v>69</v>
      </c>
      <c r="C579" s="18">
        <v>27</v>
      </c>
      <c r="D579" s="18">
        <v>36.82</v>
      </c>
    </row>
    <row r="580" spans="1:4" x14ac:dyDescent="0.2">
      <c r="A580" s="15" t="s">
        <v>75</v>
      </c>
      <c r="B580" s="16" t="s">
        <v>69</v>
      </c>
      <c r="C580" s="16">
        <v>28</v>
      </c>
      <c r="D580" s="16">
        <v>35.9</v>
      </c>
    </row>
    <row r="581" spans="1:4" x14ac:dyDescent="0.2">
      <c r="A581" s="17" t="s">
        <v>75</v>
      </c>
      <c r="B581" s="18" t="s">
        <v>69</v>
      </c>
      <c r="C581" s="18">
        <v>29</v>
      </c>
      <c r="D581" s="18">
        <v>34.97</v>
      </c>
    </row>
    <row r="582" spans="1:4" x14ac:dyDescent="0.2">
      <c r="A582" s="15" t="s">
        <v>75</v>
      </c>
      <c r="B582" s="16" t="s">
        <v>69</v>
      </c>
      <c r="C582" s="16">
        <v>30</v>
      </c>
      <c r="D582" s="16">
        <v>34.049999999999997</v>
      </c>
    </row>
    <row r="583" spans="1:4" x14ac:dyDescent="0.2">
      <c r="A583" s="17" t="s">
        <v>75</v>
      </c>
      <c r="B583" s="18" t="s">
        <v>69</v>
      </c>
      <c r="C583" s="18">
        <v>31</v>
      </c>
      <c r="D583" s="18">
        <v>33.119999999999997</v>
      </c>
    </row>
    <row r="584" spans="1:4" x14ac:dyDescent="0.2">
      <c r="A584" s="15" t="s">
        <v>75</v>
      </c>
      <c r="B584" s="16" t="s">
        <v>69</v>
      </c>
      <c r="C584" s="16">
        <v>32</v>
      </c>
      <c r="D584" s="16">
        <v>32.200000000000003</v>
      </c>
    </row>
    <row r="585" spans="1:4" x14ac:dyDescent="0.2">
      <c r="A585" s="17" t="s">
        <v>75</v>
      </c>
      <c r="B585" s="18" t="s">
        <v>69</v>
      </c>
      <c r="C585" s="18">
        <v>33</v>
      </c>
      <c r="D585" s="18">
        <v>31.28</v>
      </c>
    </row>
    <row r="586" spans="1:4" x14ac:dyDescent="0.2">
      <c r="A586" s="15" t="s">
        <v>75</v>
      </c>
      <c r="B586" s="16" t="s">
        <v>69</v>
      </c>
      <c r="C586" s="16">
        <v>34</v>
      </c>
      <c r="D586" s="16">
        <v>30.35</v>
      </c>
    </row>
    <row r="587" spans="1:4" x14ac:dyDescent="0.2">
      <c r="A587" s="17" t="s">
        <v>75</v>
      </c>
      <c r="B587" s="18" t="s">
        <v>69</v>
      </c>
      <c r="C587" s="18">
        <v>35</v>
      </c>
      <c r="D587" s="18">
        <v>29.43</v>
      </c>
    </row>
    <row r="588" spans="1:4" x14ac:dyDescent="0.2">
      <c r="A588" s="15" t="s">
        <v>75</v>
      </c>
      <c r="B588" s="16" t="s">
        <v>69</v>
      </c>
      <c r="C588" s="16">
        <v>36</v>
      </c>
      <c r="D588" s="16">
        <v>28.51</v>
      </c>
    </row>
    <row r="589" spans="1:4" x14ac:dyDescent="0.2">
      <c r="A589" s="17" t="s">
        <v>75</v>
      </c>
      <c r="B589" s="18" t="s">
        <v>69</v>
      </c>
      <c r="C589" s="18">
        <v>37</v>
      </c>
      <c r="D589" s="18">
        <v>27.6</v>
      </c>
    </row>
    <row r="590" spans="1:4" x14ac:dyDescent="0.2">
      <c r="A590" s="15" t="s">
        <v>75</v>
      </c>
      <c r="B590" s="16" t="s">
        <v>69</v>
      </c>
      <c r="C590" s="16">
        <v>38</v>
      </c>
      <c r="D590" s="16">
        <v>26.69</v>
      </c>
    </row>
    <row r="591" spans="1:4" x14ac:dyDescent="0.2">
      <c r="A591" s="17" t="s">
        <v>75</v>
      </c>
      <c r="B591" s="18" t="s">
        <v>69</v>
      </c>
      <c r="C591" s="18">
        <v>39</v>
      </c>
      <c r="D591" s="18">
        <v>25.77</v>
      </c>
    </row>
    <row r="592" spans="1:4" x14ac:dyDescent="0.2">
      <c r="A592" s="15" t="s">
        <v>75</v>
      </c>
      <c r="B592" s="16" t="s">
        <v>69</v>
      </c>
      <c r="C592" s="16">
        <v>40</v>
      </c>
      <c r="D592" s="16">
        <v>24.86</v>
      </c>
    </row>
    <row r="593" spans="1:4" x14ac:dyDescent="0.2">
      <c r="A593" s="17" t="s">
        <v>75</v>
      </c>
      <c r="B593" s="18" t="s">
        <v>69</v>
      </c>
      <c r="C593" s="18">
        <v>41</v>
      </c>
      <c r="D593" s="18">
        <v>23.94</v>
      </c>
    </row>
    <row r="594" spans="1:4" x14ac:dyDescent="0.2">
      <c r="A594" s="15" t="s">
        <v>75</v>
      </c>
      <c r="B594" s="16" t="s">
        <v>69</v>
      </c>
      <c r="C594" s="16">
        <v>42</v>
      </c>
      <c r="D594" s="16">
        <v>23.02</v>
      </c>
    </row>
    <row r="595" spans="1:4" x14ac:dyDescent="0.2">
      <c r="A595" s="17" t="s">
        <v>75</v>
      </c>
      <c r="B595" s="18" t="s">
        <v>69</v>
      </c>
      <c r="C595" s="18">
        <v>43</v>
      </c>
      <c r="D595" s="18">
        <v>22.11</v>
      </c>
    </row>
    <row r="596" spans="1:4" x14ac:dyDescent="0.2">
      <c r="A596" s="15" t="s">
        <v>75</v>
      </c>
      <c r="B596" s="16" t="s">
        <v>69</v>
      </c>
      <c r="C596" s="16">
        <v>44</v>
      </c>
      <c r="D596" s="16">
        <v>21.2</v>
      </c>
    </row>
    <row r="597" spans="1:4" x14ac:dyDescent="0.2">
      <c r="A597" s="17" t="s">
        <v>75</v>
      </c>
      <c r="B597" s="18" t="s">
        <v>69</v>
      </c>
      <c r="C597" s="18">
        <v>45</v>
      </c>
      <c r="D597" s="18">
        <v>20.29</v>
      </c>
    </row>
    <row r="598" spans="1:4" x14ac:dyDescent="0.2">
      <c r="A598" s="15" t="s">
        <v>75</v>
      </c>
      <c r="B598" s="16" t="s">
        <v>69</v>
      </c>
      <c r="C598" s="16">
        <v>46</v>
      </c>
      <c r="D598" s="16">
        <v>19.39</v>
      </c>
    </row>
    <row r="599" spans="1:4" x14ac:dyDescent="0.2">
      <c r="A599" s="17" t="s">
        <v>75</v>
      </c>
      <c r="B599" s="18" t="s">
        <v>69</v>
      </c>
      <c r="C599" s="18">
        <v>47</v>
      </c>
      <c r="D599" s="18">
        <v>18.510000000000002</v>
      </c>
    </row>
    <row r="600" spans="1:4" x14ac:dyDescent="0.2">
      <c r="A600" s="15" t="s">
        <v>75</v>
      </c>
      <c r="B600" s="16" t="s">
        <v>69</v>
      </c>
      <c r="C600" s="16">
        <v>48</v>
      </c>
      <c r="D600" s="16">
        <v>17.63</v>
      </c>
    </row>
    <row r="601" spans="1:4" x14ac:dyDescent="0.2">
      <c r="A601" s="17" t="s">
        <v>75</v>
      </c>
      <c r="B601" s="18" t="s">
        <v>69</v>
      </c>
      <c r="C601" s="18">
        <v>49</v>
      </c>
      <c r="D601" s="18">
        <v>16.75</v>
      </c>
    </row>
    <row r="602" spans="1:4" x14ac:dyDescent="0.2">
      <c r="A602" s="15" t="s">
        <v>75</v>
      </c>
      <c r="B602" s="16" t="s">
        <v>69</v>
      </c>
      <c r="C602" s="16">
        <v>50</v>
      </c>
      <c r="D602" s="16">
        <v>15.89</v>
      </c>
    </row>
    <row r="603" spans="1:4" x14ac:dyDescent="0.2">
      <c r="A603" s="17" t="s">
        <v>75</v>
      </c>
      <c r="B603" s="18" t="s">
        <v>69</v>
      </c>
      <c r="C603" s="18">
        <v>51</v>
      </c>
      <c r="D603" s="18">
        <v>15.02</v>
      </c>
    </row>
    <row r="604" spans="1:4" x14ac:dyDescent="0.2">
      <c r="A604" s="15" t="s">
        <v>75</v>
      </c>
      <c r="B604" s="16" t="s">
        <v>69</v>
      </c>
      <c r="C604" s="16">
        <v>52</v>
      </c>
      <c r="D604" s="16">
        <v>14.16</v>
      </c>
    </row>
    <row r="605" spans="1:4" x14ac:dyDescent="0.2">
      <c r="A605" s="17" t="s">
        <v>75</v>
      </c>
      <c r="B605" s="18" t="s">
        <v>69</v>
      </c>
      <c r="C605" s="18">
        <v>53</v>
      </c>
      <c r="D605" s="18">
        <v>13.31</v>
      </c>
    </row>
    <row r="606" spans="1:4" x14ac:dyDescent="0.2">
      <c r="A606" s="15" t="s">
        <v>75</v>
      </c>
      <c r="B606" s="16" t="s">
        <v>69</v>
      </c>
      <c r="C606" s="16">
        <v>54</v>
      </c>
      <c r="D606" s="16">
        <v>12.49</v>
      </c>
    </row>
    <row r="607" spans="1:4" x14ac:dyDescent="0.2">
      <c r="A607" s="17" t="s">
        <v>75</v>
      </c>
      <c r="B607" s="18" t="s">
        <v>69</v>
      </c>
      <c r="C607" s="18">
        <v>55</v>
      </c>
      <c r="D607" s="18">
        <v>11.69</v>
      </c>
    </row>
    <row r="608" spans="1:4" x14ac:dyDescent="0.2">
      <c r="A608" s="15" t="s">
        <v>75</v>
      </c>
      <c r="B608" s="16" t="s">
        <v>69</v>
      </c>
      <c r="C608" s="16">
        <v>56</v>
      </c>
      <c r="D608" s="16">
        <v>10.93</v>
      </c>
    </row>
    <row r="609" spans="1:4" x14ac:dyDescent="0.2">
      <c r="A609" s="17" t="s">
        <v>75</v>
      </c>
      <c r="B609" s="18" t="s">
        <v>69</v>
      </c>
      <c r="C609" s="18">
        <v>57</v>
      </c>
      <c r="D609" s="18">
        <v>10.19</v>
      </c>
    </row>
    <row r="610" spans="1:4" x14ac:dyDescent="0.2">
      <c r="A610" s="15" t="s">
        <v>75</v>
      </c>
      <c r="B610" s="16" t="s">
        <v>69</v>
      </c>
      <c r="C610" s="16">
        <v>58</v>
      </c>
      <c r="D610" s="16">
        <v>9.48</v>
      </c>
    </row>
    <row r="611" spans="1:4" x14ac:dyDescent="0.2">
      <c r="A611" s="17" t="s">
        <v>75</v>
      </c>
      <c r="B611" s="18" t="s">
        <v>69</v>
      </c>
      <c r="C611" s="18">
        <v>59</v>
      </c>
      <c r="D611" s="18">
        <v>8.7899999999999991</v>
      </c>
    </row>
    <row r="612" spans="1:4" x14ac:dyDescent="0.2">
      <c r="A612" s="15" t="s">
        <v>75</v>
      </c>
      <c r="B612" s="16" t="s">
        <v>69</v>
      </c>
      <c r="C612" s="16">
        <v>60</v>
      </c>
      <c r="D612" s="16">
        <v>8.1300000000000008</v>
      </c>
    </row>
    <row r="613" spans="1:4" x14ac:dyDescent="0.2">
      <c r="A613" s="17" t="s">
        <v>75</v>
      </c>
      <c r="B613" s="18" t="s">
        <v>69</v>
      </c>
      <c r="C613" s="18">
        <v>61</v>
      </c>
      <c r="D613" s="18">
        <v>7.52</v>
      </c>
    </row>
    <row r="614" spans="1:4" x14ac:dyDescent="0.2">
      <c r="A614" s="15" t="s">
        <v>75</v>
      </c>
      <c r="B614" s="16" t="s">
        <v>69</v>
      </c>
      <c r="C614" s="16">
        <v>62</v>
      </c>
      <c r="D614" s="16">
        <v>6.95</v>
      </c>
    </row>
    <row r="615" spans="1:4" x14ac:dyDescent="0.2">
      <c r="A615" s="17" t="s">
        <v>75</v>
      </c>
      <c r="B615" s="18" t="s">
        <v>69</v>
      </c>
      <c r="C615" s="18">
        <v>63</v>
      </c>
      <c r="D615" s="18">
        <v>6.43</v>
      </c>
    </row>
    <row r="616" spans="1:4" x14ac:dyDescent="0.2">
      <c r="A616" s="15" t="s">
        <v>75</v>
      </c>
      <c r="B616" s="16" t="s">
        <v>69</v>
      </c>
      <c r="C616" s="16">
        <v>64</v>
      </c>
      <c r="D616" s="16">
        <v>5.97</v>
      </c>
    </row>
    <row r="617" spans="1:4" x14ac:dyDescent="0.2">
      <c r="A617" s="17" t="s">
        <v>75</v>
      </c>
      <c r="B617" s="18" t="s">
        <v>69</v>
      </c>
      <c r="C617" s="18">
        <v>65</v>
      </c>
      <c r="D617" s="18">
        <v>5.56</v>
      </c>
    </row>
    <row r="618" spans="1:4" x14ac:dyDescent="0.2">
      <c r="A618" s="15" t="s">
        <v>75</v>
      </c>
      <c r="B618" s="16" t="s">
        <v>69</v>
      </c>
      <c r="C618" s="16">
        <v>66</v>
      </c>
      <c r="D618" s="16">
        <v>5.19</v>
      </c>
    </row>
    <row r="619" spans="1:4" x14ac:dyDescent="0.2">
      <c r="A619" s="17" t="s">
        <v>75</v>
      </c>
      <c r="B619" s="18" t="s">
        <v>69</v>
      </c>
      <c r="C619" s="18">
        <v>67</v>
      </c>
      <c r="D619" s="18">
        <v>4.8499999999999996</v>
      </c>
    </row>
    <row r="620" spans="1:4" x14ac:dyDescent="0.2">
      <c r="A620" s="15" t="s">
        <v>75</v>
      </c>
      <c r="B620" s="16" t="s">
        <v>69</v>
      </c>
      <c r="C620" s="16">
        <v>68</v>
      </c>
      <c r="D620" s="16">
        <v>4.53</v>
      </c>
    </row>
    <row r="621" spans="1:4" x14ac:dyDescent="0.2">
      <c r="A621" s="17" t="s">
        <v>75</v>
      </c>
      <c r="B621" s="18" t="s">
        <v>69</v>
      </c>
      <c r="C621" s="18">
        <v>69</v>
      </c>
      <c r="D621" s="18">
        <v>4.2300000000000004</v>
      </c>
    </row>
    <row r="622" spans="1:4" x14ac:dyDescent="0.2">
      <c r="A622" s="15" t="s">
        <v>75</v>
      </c>
      <c r="B622" s="16" t="s">
        <v>69</v>
      </c>
      <c r="C622" s="16">
        <v>70</v>
      </c>
      <c r="D622" s="16">
        <v>3.96</v>
      </c>
    </row>
    <row r="623" spans="1:4" x14ac:dyDescent="0.2">
      <c r="A623" s="17" t="s">
        <v>75</v>
      </c>
      <c r="B623" s="18" t="s">
        <v>69</v>
      </c>
      <c r="C623" s="18">
        <v>71</v>
      </c>
      <c r="D623" s="18">
        <v>3.71</v>
      </c>
    </row>
    <row r="624" spans="1:4" x14ac:dyDescent="0.2">
      <c r="A624" s="15" t="s">
        <v>75</v>
      </c>
      <c r="B624" s="16" t="s">
        <v>69</v>
      </c>
      <c r="C624" s="16">
        <v>72</v>
      </c>
      <c r="D624" s="16">
        <v>3.49</v>
      </c>
    </row>
    <row r="625" spans="1:4" x14ac:dyDescent="0.2">
      <c r="A625" s="17" t="s">
        <v>75</v>
      </c>
      <c r="B625" s="18" t="s">
        <v>69</v>
      </c>
      <c r="C625" s="18">
        <v>73</v>
      </c>
      <c r="D625" s="18">
        <v>3.28</v>
      </c>
    </row>
    <row r="626" spans="1:4" x14ac:dyDescent="0.2">
      <c r="A626" s="15" t="s">
        <v>75</v>
      </c>
      <c r="B626" s="16" t="s">
        <v>69</v>
      </c>
      <c r="C626" s="16">
        <v>74</v>
      </c>
      <c r="D626" s="16">
        <v>3.09</v>
      </c>
    </row>
    <row r="627" spans="1:4" x14ac:dyDescent="0.2">
      <c r="A627" s="17" t="s">
        <v>75</v>
      </c>
      <c r="B627" s="18" t="s">
        <v>69</v>
      </c>
      <c r="C627" s="18">
        <v>75</v>
      </c>
      <c r="D627" s="18">
        <v>2.91</v>
      </c>
    </row>
    <row r="628" spans="1:4" x14ac:dyDescent="0.2">
      <c r="A628" s="15" t="s">
        <v>75</v>
      </c>
      <c r="B628" s="16" t="s">
        <v>69</v>
      </c>
      <c r="C628" s="16">
        <v>76</v>
      </c>
      <c r="D628" s="16">
        <v>2.75</v>
      </c>
    </row>
    <row r="629" spans="1:4" x14ac:dyDescent="0.2">
      <c r="A629" s="17" t="s">
        <v>75</v>
      </c>
      <c r="B629" s="18" t="s">
        <v>69</v>
      </c>
      <c r="C629" s="18">
        <v>77</v>
      </c>
      <c r="D629" s="18">
        <v>2.61</v>
      </c>
    </row>
    <row r="630" spans="1:4" x14ac:dyDescent="0.2">
      <c r="A630" s="15" t="s">
        <v>75</v>
      </c>
      <c r="B630" s="16" t="s">
        <v>69</v>
      </c>
      <c r="C630" s="16">
        <v>78</v>
      </c>
      <c r="D630" s="16">
        <v>2.4700000000000002</v>
      </c>
    </row>
    <row r="631" spans="1:4" x14ac:dyDescent="0.2">
      <c r="A631" s="17" t="s">
        <v>75</v>
      </c>
      <c r="B631" s="18" t="s">
        <v>69</v>
      </c>
      <c r="C631" s="18">
        <v>79</v>
      </c>
      <c r="D631" s="18">
        <v>2.35</v>
      </c>
    </row>
    <row r="632" spans="1:4" x14ac:dyDescent="0.2">
      <c r="A632" s="15" t="s">
        <v>75</v>
      </c>
      <c r="B632" s="16" t="s">
        <v>69</v>
      </c>
      <c r="C632" s="16">
        <v>80</v>
      </c>
      <c r="D632" s="16">
        <v>2.2400000000000002</v>
      </c>
    </row>
    <row r="633" spans="1:4" x14ac:dyDescent="0.2">
      <c r="A633" s="17" t="s">
        <v>75</v>
      </c>
      <c r="B633" s="18" t="s">
        <v>69</v>
      </c>
      <c r="C633" s="18">
        <v>81</v>
      </c>
      <c r="D633" s="18">
        <v>2.14</v>
      </c>
    </row>
    <row r="634" spans="1:4" x14ac:dyDescent="0.2">
      <c r="A634" s="15" t="s">
        <v>75</v>
      </c>
      <c r="B634" s="16" t="s">
        <v>69</v>
      </c>
      <c r="C634" s="16">
        <v>82</v>
      </c>
      <c r="D634" s="16">
        <v>2.0499999999999998</v>
      </c>
    </row>
    <row r="635" spans="1:4" x14ac:dyDescent="0.2">
      <c r="A635" s="17" t="s">
        <v>75</v>
      </c>
      <c r="B635" s="18" t="s">
        <v>69</v>
      </c>
      <c r="C635" s="18">
        <v>83</v>
      </c>
      <c r="D635" s="18">
        <v>1.96</v>
      </c>
    </row>
    <row r="636" spans="1:4" x14ac:dyDescent="0.2">
      <c r="A636" s="15" t="s">
        <v>75</v>
      </c>
      <c r="B636" s="16" t="s">
        <v>69</v>
      </c>
      <c r="C636" s="16">
        <v>84</v>
      </c>
      <c r="D636" s="16">
        <v>1.88</v>
      </c>
    </row>
    <row r="637" spans="1:4" x14ac:dyDescent="0.2">
      <c r="A637" s="17" t="s">
        <v>75</v>
      </c>
      <c r="B637" s="18" t="s">
        <v>69</v>
      </c>
      <c r="C637" s="18">
        <v>85</v>
      </c>
      <c r="D637" s="18">
        <v>1.8</v>
      </c>
    </row>
    <row r="638" spans="1:4" x14ac:dyDescent="0.2">
      <c r="A638" s="15" t="s">
        <v>75</v>
      </c>
      <c r="B638" s="16" t="s">
        <v>69</v>
      </c>
      <c r="C638" s="16">
        <v>86</v>
      </c>
      <c r="D638" s="16">
        <v>1.72</v>
      </c>
    </row>
    <row r="639" spans="1:4" x14ac:dyDescent="0.2">
      <c r="A639" s="17" t="s">
        <v>75</v>
      </c>
      <c r="B639" s="18" t="s">
        <v>69</v>
      </c>
      <c r="C639" s="18">
        <v>87</v>
      </c>
      <c r="D639" s="18">
        <v>1.65</v>
      </c>
    </row>
    <row r="640" spans="1:4" x14ac:dyDescent="0.2">
      <c r="A640" s="15" t="s">
        <v>75</v>
      </c>
      <c r="B640" s="16" t="s">
        <v>69</v>
      </c>
      <c r="C640" s="16">
        <v>88</v>
      </c>
      <c r="D640" s="16">
        <v>1.58</v>
      </c>
    </row>
    <row r="641" spans="1:4" x14ac:dyDescent="0.2">
      <c r="A641" s="17" t="s">
        <v>75</v>
      </c>
      <c r="B641" s="18" t="s">
        <v>69</v>
      </c>
      <c r="C641" s="18">
        <v>89</v>
      </c>
      <c r="D641" s="18">
        <v>1.51</v>
      </c>
    </row>
    <row r="642" spans="1:4" x14ac:dyDescent="0.2">
      <c r="A642" s="15" t="s">
        <v>75</v>
      </c>
      <c r="B642" s="16" t="s">
        <v>69</v>
      </c>
      <c r="C642" s="16">
        <v>90</v>
      </c>
      <c r="D642" s="16">
        <v>1.45</v>
      </c>
    </row>
    <row r="643" spans="1:4" x14ac:dyDescent="0.2">
      <c r="A643" s="17" t="s">
        <v>76</v>
      </c>
      <c r="B643" s="18" t="s">
        <v>69</v>
      </c>
      <c r="C643" s="18">
        <v>26</v>
      </c>
      <c r="D643" s="18">
        <v>40.159999999999997</v>
      </c>
    </row>
    <row r="644" spans="1:4" x14ac:dyDescent="0.2">
      <c r="A644" s="15" t="s">
        <v>76</v>
      </c>
      <c r="B644" s="16" t="s">
        <v>69</v>
      </c>
      <c r="C644" s="16">
        <v>27</v>
      </c>
      <c r="D644" s="16">
        <v>39.24</v>
      </c>
    </row>
    <row r="645" spans="1:4" x14ac:dyDescent="0.2">
      <c r="A645" s="17" t="s">
        <v>76</v>
      </c>
      <c r="B645" s="18" t="s">
        <v>69</v>
      </c>
      <c r="C645" s="18">
        <v>28</v>
      </c>
      <c r="D645" s="18">
        <v>38.31</v>
      </c>
    </row>
    <row r="646" spans="1:4" x14ac:dyDescent="0.2">
      <c r="A646" s="15" t="s">
        <v>76</v>
      </c>
      <c r="B646" s="16" t="s">
        <v>69</v>
      </c>
      <c r="C646" s="16">
        <v>29</v>
      </c>
      <c r="D646" s="16">
        <v>37.39</v>
      </c>
    </row>
    <row r="647" spans="1:4" x14ac:dyDescent="0.2">
      <c r="A647" s="17" t="s">
        <v>76</v>
      </c>
      <c r="B647" s="18" t="s">
        <v>69</v>
      </c>
      <c r="C647" s="18">
        <v>30</v>
      </c>
      <c r="D647" s="18">
        <v>36.46</v>
      </c>
    </row>
    <row r="648" spans="1:4" x14ac:dyDescent="0.2">
      <c r="A648" s="15" t="s">
        <v>76</v>
      </c>
      <c r="B648" s="16" t="s">
        <v>69</v>
      </c>
      <c r="C648" s="16">
        <v>31</v>
      </c>
      <c r="D648" s="16">
        <v>35.54</v>
      </c>
    </row>
    <row r="649" spans="1:4" x14ac:dyDescent="0.2">
      <c r="A649" s="17" t="s">
        <v>76</v>
      </c>
      <c r="B649" s="18" t="s">
        <v>69</v>
      </c>
      <c r="C649" s="18">
        <v>32</v>
      </c>
      <c r="D649" s="18">
        <v>34.61</v>
      </c>
    </row>
    <row r="650" spans="1:4" x14ac:dyDescent="0.2">
      <c r="A650" s="15" t="s">
        <v>76</v>
      </c>
      <c r="B650" s="16" t="s">
        <v>69</v>
      </c>
      <c r="C650" s="16">
        <v>33</v>
      </c>
      <c r="D650" s="16">
        <v>33.68</v>
      </c>
    </row>
    <row r="651" spans="1:4" x14ac:dyDescent="0.2">
      <c r="A651" s="17" t="s">
        <v>76</v>
      </c>
      <c r="B651" s="18" t="s">
        <v>69</v>
      </c>
      <c r="C651" s="18">
        <v>34</v>
      </c>
      <c r="D651" s="18">
        <v>32.74</v>
      </c>
    </row>
    <row r="652" spans="1:4" x14ac:dyDescent="0.2">
      <c r="A652" s="15" t="s">
        <v>76</v>
      </c>
      <c r="B652" s="16" t="s">
        <v>69</v>
      </c>
      <c r="C652" s="16">
        <v>35</v>
      </c>
      <c r="D652" s="16">
        <v>31.81</v>
      </c>
    </row>
    <row r="653" spans="1:4" x14ac:dyDescent="0.2">
      <c r="A653" s="17" t="s">
        <v>76</v>
      </c>
      <c r="B653" s="18" t="s">
        <v>69</v>
      </c>
      <c r="C653" s="18">
        <v>36</v>
      </c>
      <c r="D653" s="18">
        <v>30.88</v>
      </c>
    </row>
    <row r="654" spans="1:4" x14ac:dyDescent="0.2">
      <c r="A654" s="15" t="s">
        <v>76</v>
      </c>
      <c r="B654" s="16" t="s">
        <v>69</v>
      </c>
      <c r="C654" s="16">
        <v>37</v>
      </c>
      <c r="D654" s="16">
        <v>29.94</v>
      </c>
    </row>
    <row r="655" spans="1:4" x14ac:dyDescent="0.2">
      <c r="A655" s="17" t="s">
        <v>76</v>
      </c>
      <c r="B655" s="18" t="s">
        <v>69</v>
      </c>
      <c r="C655" s="18">
        <v>38</v>
      </c>
      <c r="D655" s="18">
        <v>29.01</v>
      </c>
    </row>
    <row r="656" spans="1:4" x14ac:dyDescent="0.2">
      <c r="A656" s="15" t="s">
        <v>76</v>
      </c>
      <c r="B656" s="16" t="s">
        <v>69</v>
      </c>
      <c r="C656" s="16">
        <v>39</v>
      </c>
      <c r="D656" s="16">
        <v>28.07</v>
      </c>
    </row>
    <row r="657" spans="1:4" x14ac:dyDescent="0.2">
      <c r="A657" s="17" t="s">
        <v>76</v>
      </c>
      <c r="B657" s="18" t="s">
        <v>69</v>
      </c>
      <c r="C657" s="18">
        <v>40</v>
      </c>
      <c r="D657" s="18">
        <v>27.14</v>
      </c>
    </row>
    <row r="658" spans="1:4" x14ac:dyDescent="0.2">
      <c r="A658" s="15" t="s">
        <v>76</v>
      </c>
      <c r="B658" s="16" t="s">
        <v>69</v>
      </c>
      <c r="C658" s="16">
        <v>41</v>
      </c>
      <c r="D658" s="16">
        <v>26.21</v>
      </c>
    </row>
    <row r="659" spans="1:4" x14ac:dyDescent="0.2">
      <c r="A659" s="17" t="s">
        <v>76</v>
      </c>
      <c r="B659" s="18" t="s">
        <v>69</v>
      </c>
      <c r="C659" s="18">
        <v>42</v>
      </c>
      <c r="D659" s="18">
        <v>25.29</v>
      </c>
    </row>
    <row r="660" spans="1:4" x14ac:dyDescent="0.2">
      <c r="A660" s="15" t="s">
        <v>76</v>
      </c>
      <c r="B660" s="16" t="s">
        <v>69</v>
      </c>
      <c r="C660" s="16">
        <v>43</v>
      </c>
      <c r="D660" s="16">
        <v>24.37</v>
      </c>
    </row>
    <row r="661" spans="1:4" x14ac:dyDescent="0.2">
      <c r="A661" s="17" t="s">
        <v>76</v>
      </c>
      <c r="B661" s="18" t="s">
        <v>69</v>
      </c>
      <c r="C661" s="18">
        <v>44</v>
      </c>
      <c r="D661" s="18">
        <v>23.45</v>
      </c>
    </row>
    <row r="662" spans="1:4" x14ac:dyDescent="0.2">
      <c r="A662" s="15" t="s">
        <v>76</v>
      </c>
      <c r="B662" s="16" t="s">
        <v>69</v>
      </c>
      <c r="C662" s="16">
        <v>45</v>
      </c>
      <c r="D662" s="16">
        <v>22.54</v>
      </c>
    </row>
    <row r="663" spans="1:4" x14ac:dyDescent="0.2">
      <c r="A663" s="17" t="s">
        <v>76</v>
      </c>
      <c r="B663" s="18" t="s">
        <v>69</v>
      </c>
      <c r="C663" s="18">
        <v>46</v>
      </c>
      <c r="D663" s="18">
        <v>21.63</v>
      </c>
    </row>
    <row r="664" spans="1:4" x14ac:dyDescent="0.2">
      <c r="A664" s="15" t="s">
        <v>76</v>
      </c>
      <c r="B664" s="16" t="s">
        <v>69</v>
      </c>
      <c r="C664" s="16">
        <v>47</v>
      </c>
      <c r="D664" s="16">
        <v>20.73</v>
      </c>
    </row>
    <row r="665" spans="1:4" x14ac:dyDescent="0.2">
      <c r="A665" s="17" t="s">
        <v>76</v>
      </c>
      <c r="B665" s="18" t="s">
        <v>69</v>
      </c>
      <c r="C665" s="18">
        <v>48</v>
      </c>
      <c r="D665" s="18">
        <v>19.84</v>
      </c>
    </row>
    <row r="666" spans="1:4" x14ac:dyDescent="0.2">
      <c r="A666" s="15" t="s">
        <v>76</v>
      </c>
      <c r="B666" s="16" t="s">
        <v>69</v>
      </c>
      <c r="C666" s="16">
        <v>49</v>
      </c>
      <c r="D666" s="16">
        <v>18.96</v>
      </c>
    </row>
    <row r="667" spans="1:4" x14ac:dyDescent="0.2">
      <c r="A667" s="17" t="s">
        <v>76</v>
      </c>
      <c r="B667" s="18" t="s">
        <v>69</v>
      </c>
      <c r="C667" s="18">
        <v>50</v>
      </c>
      <c r="D667" s="18">
        <v>18.079999999999998</v>
      </c>
    </row>
    <row r="668" spans="1:4" x14ac:dyDescent="0.2">
      <c r="A668" s="15" t="s">
        <v>76</v>
      </c>
      <c r="B668" s="16" t="s">
        <v>69</v>
      </c>
      <c r="C668" s="16">
        <v>51</v>
      </c>
      <c r="D668" s="16">
        <v>17.22</v>
      </c>
    </row>
    <row r="669" spans="1:4" x14ac:dyDescent="0.2">
      <c r="A669" s="17" t="s">
        <v>76</v>
      </c>
      <c r="B669" s="18" t="s">
        <v>69</v>
      </c>
      <c r="C669" s="18">
        <v>52</v>
      </c>
      <c r="D669" s="18">
        <v>16.36</v>
      </c>
    </row>
    <row r="670" spans="1:4" x14ac:dyDescent="0.2">
      <c r="A670" s="15" t="s">
        <v>76</v>
      </c>
      <c r="B670" s="16" t="s">
        <v>69</v>
      </c>
      <c r="C670" s="16">
        <v>53</v>
      </c>
      <c r="D670" s="16">
        <v>15.51</v>
      </c>
    </row>
    <row r="671" spans="1:4" x14ac:dyDescent="0.2">
      <c r="A671" s="17" t="s">
        <v>76</v>
      </c>
      <c r="B671" s="18" t="s">
        <v>69</v>
      </c>
      <c r="C671" s="18">
        <v>54</v>
      </c>
      <c r="D671" s="18">
        <v>14.67</v>
      </c>
    </row>
    <row r="672" spans="1:4" x14ac:dyDescent="0.2">
      <c r="A672" s="15" t="s">
        <v>76</v>
      </c>
      <c r="B672" s="16" t="s">
        <v>69</v>
      </c>
      <c r="C672" s="16">
        <v>55</v>
      </c>
      <c r="D672" s="16">
        <v>13.84</v>
      </c>
    </row>
    <row r="673" spans="1:4" x14ac:dyDescent="0.2">
      <c r="A673" s="17" t="s">
        <v>76</v>
      </c>
      <c r="B673" s="18" t="s">
        <v>69</v>
      </c>
      <c r="C673" s="18">
        <v>56</v>
      </c>
      <c r="D673" s="18">
        <v>13.01</v>
      </c>
    </row>
    <row r="674" spans="1:4" x14ac:dyDescent="0.2">
      <c r="A674" s="15" t="s">
        <v>76</v>
      </c>
      <c r="B674" s="16" t="s">
        <v>69</v>
      </c>
      <c r="C674" s="16">
        <v>57</v>
      </c>
      <c r="D674" s="16">
        <v>12.19</v>
      </c>
    </row>
    <row r="675" spans="1:4" x14ac:dyDescent="0.2">
      <c r="A675" s="17" t="s">
        <v>76</v>
      </c>
      <c r="B675" s="18" t="s">
        <v>69</v>
      </c>
      <c r="C675" s="18">
        <v>58</v>
      </c>
      <c r="D675" s="18">
        <v>11.38</v>
      </c>
    </row>
    <row r="676" spans="1:4" x14ac:dyDescent="0.2">
      <c r="A676" s="15" t="s">
        <v>76</v>
      </c>
      <c r="B676" s="16" t="s">
        <v>69</v>
      </c>
      <c r="C676" s="16">
        <v>59</v>
      </c>
      <c r="D676" s="16">
        <v>10.61</v>
      </c>
    </row>
    <row r="677" spans="1:4" x14ac:dyDescent="0.2">
      <c r="A677" s="17" t="s">
        <v>76</v>
      </c>
      <c r="B677" s="18" t="s">
        <v>69</v>
      </c>
      <c r="C677" s="18">
        <v>60</v>
      </c>
      <c r="D677" s="18">
        <v>9.8699999999999992</v>
      </c>
    </row>
    <row r="678" spans="1:4" x14ac:dyDescent="0.2">
      <c r="A678" s="15" t="s">
        <v>76</v>
      </c>
      <c r="B678" s="16" t="s">
        <v>69</v>
      </c>
      <c r="C678" s="16">
        <v>61</v>
      </c>
      <c r="D678" s="16">
        <v>9.19</v>
      </c>
    </row>
    <row r="679" spans="1:4" x14ac:dyDescent="0.2">
      <c r="A679" s="17" t="s">
        <v>76</v>
      </c>
      <c r="B679" s="18" t="s">
        <v>69</v>
      </c>
      <c r="C679" s="18">
        <v>62</v>
      </c>
      <c r="D679" s="18">
        <v>8.57</v>
      </c>
    </row>
    <row r="680" spans="1:4" x14ac:dyDescent="0.2">
      <c r="A680" s="15" t="s">
        <v>76</v>
      </c>
      <c r="B680" s="16" t="s">
        <v>69</v>
      </c>
      <c r="C680" s="16">
        <v>63</v>
      </c>
      <c r="D680" s="16">
        <v>8</v>
      </c>
    </row>
    <row r="681" spans="1:4" x14ac:dyDescent="0.2">
      <c r="A681" s="17" t="s">
        <v>76</v>
      </c>
      <c r="B681" s="18" t="s">
        <v>69</v>
      </c>
      <c r="C681" s="18">
        <v>64</v>
      </c>
      <c r="D681" s="18">
        <v>7.48</v>
      </c>
    </row>
    <row r="682" spans="1:4" x14ac:dyDescent="0.2">
      <c r="A682" s="15" t="s">
        <v>76</v>
      </c>
      <c r="B682" s="16" t="s">
        <v>69</v>
      </c>
      <c r="C682" s="16">
        <v>65</v>
      </c>
      <c r="D682" s="16">
        <v>6.99</v>
      </c>
    </row>
    <row r="683" spans="1:4" x14ac:dyDescent="0.2">
      <c r="A683" s="17" t="s">
        <v>76</v>
      </c>
      <c r="B683" s="18" t="s">
        <v>69</v>
      </c>
      <c r="C683" s="18">
        <v>66</v>
      </c>
      <c r="D683" s="18">
        <v>6.53</v>
      </c>
    </row>
    <row r="684" spans="1:4" x14ac:dyDescent="0.2">
      <c r="A684" s="15" t="s">
        <v>76</v>
      </c>
      <c r="B684" s="16" t="s">
        <v>69</v>
      </c>
      <c r="C684" s="16">
        <v>67</v>
      </c>
      <c r="D684" s="16">
        <v>6.1</v>
      </c>
    </row>
    <row r="685" spans="1:4" x14ac:dyDescent="0.2">
      <c r="A685" s="17" t="s">
        <v>76</v>
      </c>
      <c r="B685" s="18" t="s">
        <v>69</v>
      </c>
      <c r="C685" s="18">
        <v>68</v>
      </c>
      <c r="D685" s="18">
        <v>5.7</v>
      </c>
    </row>
    <row r="686" spans="1:4" x14ac:dyDescent="0.2">
      <c r="A686" s="15" t="s">
        <v>76</v>
      </c>
      <c r="B686" s="16" t="s">
        <v>69</v>
      </c>
      <c r="C686" s="16">
        <v>69</v>
      </c>
      <c r="D686" s="16">
        <v>5.33</v>
      </c>
    </row>
    <row r="687" spans="1:4" x14ac:dyDescent="0.2">
      <c r="A687" s="17" t="s">
        <v>76</v>
      </c>
      <c r="B687" s="18" t="s">
        <v>69</v>
      </c>
      <c r="C687" s="18">
        <v>70</v>
      </c>
      <c r="D687" s="18">
        <v>4.99</v>
      </c>
    </row>
    <row r="688" spans="1:4" x14ac:dyDescent="0.2">
      <c r="A688" s="15" t="s">
        <v>76</v>
      </c>
      <c r="B688" s="16" t="s">
        <v>69</v>
      </c>
      <c r="C688" s="16">
        <v>71</v>
      </c>
      <c r="D688" s="16">
        <v>4.67</v>
      </c>
    </row>
    <row r="689" spans="1:4" x14ac:dyDescent="0.2">
      <c r="A689" s="17" t="s">
        <v>76</v>
      </c>
      <c r="B689" s="18" t="s">
        <v>69</v>
      </c>
      <c r="C689" s="18">
        <v>72</v>
      </c>
      <c r="D689" s="18">
        <v>4.38</v>
      </c>
    </row>
    <row r="690" spans="1:4" x14ac:dyDescent="0.2">
      <c r="A690" s="15" t="s">
        <v>76</v>
      </c>
      <c r="B690" s="16" t="s">
        <v>69</v>
      </c>
      <c r="C690" s="16">
        <v>73</v>
      </c>
      <c r="D690" s="16">
        <v>4.1100000000000003</v>
      </c>
    </row>
    <row r="691" spans="1:4" x14ac:dyDescent="0.2">
      <c r="A691" s="17" t="s">
        <v>76</v>
      </c>
      <c r="B691" s="18" t="s">
        <v>69</v>
      </c>
      <c r="C691" s="18">
        <v>74</v>
      </c>
      <c r="D691" s="18">
        <v>3.87</v>
      </c>
    </row>
    <row r="692" spans="1:4" x14ac:dyDescent="0.2">
      <c r="A692" s="15" t="s">
        <v>76</v>
      </c>
      <c r="B692" s="16" t="s">
        <v>69</v>
      </c>
      <c r="C692" s="16">
        <v>75</v>
      </c>
      <c r="D692" s="16">
        <v>3.64</v>
      </c>
    </row>
    <row r="693" spans="1:4" x14ac:dyDescent="0.2">
      <c r="A693" s="17" t="s">
        <v>76</v>
      </c>
      <c r="B693" s="18" t="s">
        <v>69</v>
      </c>
      <c r="C693" s="18">
        <v>76</v>
      </c>
      <c r="D693" s="18">
        <v>3.44</v>
      </c>
    </row>
    <row r="694" spans="1:4" x14ac:dyDescent="0.2">
      <c r="A694" s="15" t="s">
        <v>76</v>
      </c>
      <c r="B694" s="16" t="s">
        <v>69</v>
      </c>
      <c r="C694" s="16">
        <v>77</v>
      </c>
      <c r="D694" s="16">
        <v>3.25</v>
      </c>
    </row>
    <row r="695" spans="1:4" x14ac:dyDescent="0.2">
      <c r="A695" s="17" t="s">
        <v>76</v>
      </c>
      <c r="B695" s="18" t="s">
        <v>69</v>
      </c>
      <c r="C695" s="18">
        <v>78</v>
      </c>
      <c r="D695" s="18">
        <v>3.08</v>
      </c>
    </row>
    <row r="696" spans="1:4" x14ac:dyDescent="0.2">
      <c r="A696" s="15" t="s">
        <v>76</v>
      </c>
      <c r="B696" s="16" t="s">
        <v>69</v>
      </c>
      <c r="C696" s="16">
        <v>79</v>
      </c>
      <c r="D696" s="16">
        <v>2.92</v>
      </c>
    </row>
    <row r="697" spans="1:4" x14ac:dyDescent="0.2">
      <c r="A697" s="17" t="s">
        <v>76</v>
      </c>
      <c r="B697" s="18" t="s">
        <v>69</v>
      </c>
      <c r="C697" s="18">
        <v>80</v>
      </c>
      <c r="D697" s="18">
        <v>2.78</v>
      </c>
    </row>
    <row r="698" spans="1:4" x14ac:dyDescent="0.2">
      <c r="A698" s="15" t="s">
        <v>76</v>
      </c>
      <c r="B698" s="16" t="s">
        <v>69</v>
      </c>
      <c r="C698" s="16">
        <v>81</v>
      </c>
      <c r="D698" s="16">
        <v>2.64</v>
      </c>
    </row>
    <row r="699" spans="1:4" x14ac:dyDescent="0.2">
      <c r="A699" s="17" t="s">
        <v>76</v>
      </c>
      <c r="B699" s="18" t="s">
        <v>69</v>
      </c>
      <c r="C699" s="18">
        <v>82</v>
      </c>
      <c r="D699" s="18">
        <v>2.52</v>
      </c>
    </row>
    <row r="700" spans="1:4" x14ac:dyDescent="0.2">
      <c r="A700" s="15" t="s">
        <v>76</v>
      </c>
      <c r="B700" s="16" t="s">
        <v>69</v>
      </c>
      <c r="C700" s="16">
        <v>83</v>
      </c>
      <c r="D700" s="16">
        <v>2.4</v>
      </c>
    </row>
    <row r="701" spans="1:4" x14ac:dyDescent="0.2">
      <c r="A701" s="17" t="s">
        <v>76</v>
      </c>
      <c r="B701" s="18" t="s">
        <v>69</v>
      </c>
      <c r="C701" s="18">
        <v>84</v>
      </c>
      <c r="D701" s="18">
        <v>2.29</v>
      </c>
    </row>
    <row r="702" spans="1:4" x14ac:dyDescent="0.2">
      <c r="A702" s="15" t="s">
        <v>76</v>
      </c>
      <c r="B702" s="16" t="s">
        <v>69</v>
      </c>
      <c r="C702" s="16">
        <v>85</v>
      </c>
      <c r="D702" s="16">
        <v>2.1800000000000002</v>
      </c>
    </row>
    <row r="703" spans="1:4" x14ac:dyDescent="0.2">
      <c r="A703" s="17" t="s">
        <v>76</v>
      </c>
      <c r="B703" s="18" t="s">
        <v>69</v>
      </c>
      <c r="C703" s="18">
        <v>86</v>
      </c>
      <c r="D703" s="18">
        <v>2.0699999999999998</v>
      </c>
    </row>
    <row r="704" spans="1:4" x14ac:dyDescent="0.2">
      <c r="A704" s="15" t="s">
        <v>76</v>
      </c>
      <c r="B704" s="16" t="s">
        <v>69</v>
      </c>
      <c r="C704" s="16">
        <v>87</v>
      </c>
      <c r="D704" s="16">
        <v>1.97</v>
      </c>
    </row>
    <row r="705" spans="1:4" x14ac:dyDescent="0.2">
      <c r="A705" s="17" t="s">
        <v>76</v>
      </c>
      <c r="B705" s="18" t="s">
        <v>69</v>
      </c>
      <c r="C705" s="18">
        <v>88</v>
      </c>
      <c r="D705" s="18">
        <v>1.88</v>
      </c>
    </row>
    <row r="706" spans="1:4" x14ac:dyDescent="0.2">
      <c r="A706" s="15" t="s">
        <v>76</v>
      </c>
      <c r="B706" s="16" t="s">
        <v>69</v>
      </c>
      <c r="C706" s="16">
        <v>89</v>
      </c>
      <c r="D706" s="16">
        <v>1.79</v>
      </c>
    </row>
    <row r="707" spans="1:4" x14ac:dyDescent="0.2">
      <c r="A707" s="17" t="s">
        <v>76</v>
      </c>
      <c r="B707" s="18" t="s">
        <v>69</v>
      </c>
      <c r="C707" s="18">
        <v>90</v>
      </c>
      <c r="D707" s="18">
        <v>1.71</v>
      </c>
    </row>
    <row r="708" spans="1:4" x14ac:dyDescent="0.2">
      <c r="A708" s="15" t="s">
        <v>68</v>
      </c>
      <c r="B708" s="16" t="s">
        <v>77</v>
      </c>
      <c r="C708" s="16">
        <v>18</v>
      </c>
      <c r="D708" s="16">
        <v>35.71</v>
      </c>
    </row>
    <row r="709" spans="1:4" x14ac:dyDescent="0.2">
      <c r="A709" s="17" t="s">
        <v>68</v>
      </c>
      <c r="B709" s="18" t="s">
        <v>77</v>
      </c>
      <c r="C709" s="18">
        <v>19</v>
      </c>
      <c r="D709" s="18">
        <v>35.06</v>
      </c>
    </row>
    <row r="710" spans="1:4" x14ac:dyDescent="0.2">
      <c r="A710" s="15" t="s">
        <v>68</v>
      </c>
      <c r="B710" s="16" t="s">
        <v>77</v>
      </c>
      <c r="C710" s="16">
        <v>20</v>
      </c>
      <c r="D710" s="16">
        <v>34.4</v>
      </c>
    </row>
    <row r="711" spans="1:4" x14ac:dyDescent="0.2">
      <c r="A711" s="17" t="s">
        <v>68</v>
      </c>
      <c r="B711" s="18" t="s">
        <v>77</v>
      </c>
      <c r="C711" s="18">
        <v>21</v>
      </c>
      <c r="D711" s="18">
        <v>33.72</v>
      </c>
    </row>
    <row r="712" spans="1:4" x14ac:dyDescent="0.2">
      <c r="A712" s="15" t="s">
        <v>68</v>
      </c>
      <c r="B712" s="16" t="s">
        <v>77</v>
      </c>
      <c r="C712" s="16">
        <v>22</v>
      </c>
      <c r="D712" s="16">
        <v>33.03</v>
      </c>
    </row>
    <row r="713" spans="1:4" x14ac:dyDescent="0.2">
      <c r="A713" s="17" t="s">
        <v>68</v>
      </c>
      <c r="B713" s="18" t="s">
        <v>77</v>
      </c>
      <c r="C713" s="18">
        <v>23</v>
      </c>
      <c r="D713" s="18">
        <v>32.33</v>
      </c>
    </row>
    <row r="714" spans="1:4" x14ac:dyDescent="0.2">
      <c r="A714" s="15" t="s">
        <v>68</v>
      </c>
      <c r="B714" s="16" t="s">
        <v>77</v>
      </c>
      <c r="C714" s="16">
        <v>24</v>
      </c>
      <c r="D714" s="16">
        <v>31.61</v>
      </c>
    </row>
    <row r="715" spans="1:4" x14ac:dyDescent="0.2">
      <c r="A715" s="17" t="s">
        <v>68</v>
      </c>
      <c r="B715" s="18" t="s">
        <v>77</v>
      </c>
      <c r="C715" s="18">
        <v>25</v>
      </c>
      <c r="D715" s="18">
        <v>30.89</v>
      </c>
    </row>
    <row r="716" spans="1:4" x14ac:dyDescent="0.2">
      <c r="A716" s="15" t="s">
        <v>68</v>
      </c>
      <c r="B716" s="16" t="s">
        <v>77</v>
      </c>
      <c r="C716" s="16">
        <v>26</v>
      </c>
      <c r="D716" s="16">
        <v>30.15</v>
      </c>
    </row>
    <row r="717" spans="1:4" x14ac:dyDescent="0.2">
      <c r="A717" s="17" t="s">
        <v>68</v>
      </c>
      <c r="B717" s="18" t="s">
        <v>77</v>
      </c>
      <c r="C717" s="18">
        <v>27</v>
      </c>
      <c r="D717" s="18">
        <v>29.42</v>
      </c>
    </row>
    <row r="718" spans="1:4" x14ac:dyDescent="0.2">
      <c r="A718" s="15" t="s">
        <v>68</v>
      </c>
      <c r="B718" s="16" t="s">
        <v>77</v>
      </c>
      <c r="C718" s="16">
        <v>28</v>
      </c>
      <c r="D718" s="16">
        <v>28.69</v>
      </c>
    </row>
    <row r="719" spans="1:4" x14ac:dyDescent="0.2">
      <c r="A719" s="17" t="s">
        <v>68</v>
      </c>
      <c r="B719" s="18" t="s">
        <v>77</v>
      </c>
      <c r="C719" s="18">
        <v>29</v>
      </c>
      <c r="D719" s="18">
        <v>27.96</v>
      </c>
    </row>
    <row r="720" spans="1:4" x14ac:dyDescent="0.2">
      <c r="A720" s="15" t="s">
        <v>68</v>
      </c>
      <c r="B720" s="16" t="s">
        <v>77</v>
      </c>
      <c r="C720" s="16">
        <v>30</v>
      </c>
      <c r="D720" s="16">
        <v>27.22</v>
      </c>
    </row>
    <row r="721" spans="1:4" x14ac:dyDescent="0.2">
      <c r="A721" s="17" t="s">
        <v>68</v>
      </c>
      <c r="B721" s="18" t="s">
        <v>77</v>
      </c>
      <c r="C721" s="18">
        <v>31</v>
      </c>
      <c r="D721" s="18">
        <v>26.48</v>
      </c>
    </row>
    <row r="722" spans="1:4" x14ac:dyDescent="0.2">
      <c r="A722" s="15" t="s">
        <v>68</v>
      </c>
      <c r="B722" s="16" t="s">
        <v>77</v>
      </c>
      <c r="C722" s="16">
        <v>32</v>
      </c>
      <c r="D722" s="16">
        <v>25.74</v>
      </c>
    </row>
    <row r="723" spans="1:4" x14ac:dyDescent="0.2">
      <c r="A723" s="17" t="s">
        <v>68</v>
      </c>
      <c r="B723" s="18" t="s">
        <v>77</v>
      </c>
      <c r="C723" s="18">
        <v>33</v>
      </c>
      <c r="D723" s="18">
        <v>25.01</v>
      </c>
    </row>
    <row r="724" spans="1:4" x14ac:dyDescent="0.2">
      <c r="A724" s="15" t="s">
        <v>68</v>
      </c>
      <c r="B724" s="16" t="s">
        <v>77</v>
      </c>
      <c r="C724" s="16">
        <v>34</v>
      </c>
      <c r="D724" s="16">
        <v>24.29</v>
      </c>
    </row>
    <row r="725" spans="1:4" x14ac:dyDescent="0.2">
      <c r="A725" s="17" t="s">
        <v>68</v>
      </c>
      <c r="B725" s="18" t="s">
        <v>77</v>
      </c>
      <c r="C725" s="18">
        <v>35</v>
      </c>
      <c r="D725" s="18">
        <v>23.57</v>
      </c>
    </row>
    <row r="726" spans="1:4" x14ac:dyDescent="0.2">
      <c r="A726" s="15" t="s">
        <v>68</v>
      </c>
      <c r="B726" s="16" t="s">
        <v>77</v>
      </c>
      <c r="C726" s="16">
        <v>36</v>
      </c>
      <c r="D726" s="16">
        <v>22.85</v>
      </c>
    </row>
    <row r="727" spans="1:4" x14ac:dyDescent="0.2">
      <c r="A727" s="17" t="s">
        <v>68</v>
      </c>
      <c r="B727" s="18" t="s">
        <v>77</v>
      </c>
      <c r="C727" s="18">
        <v>37</v>
      </c>
      <c r="D727" s="18">
        <v>22.13</v>
      </c>
    </row>
    <row r="728" spans="1:4" x14ac:dyDescent="0.2">
      <c r="A728" s="15" t="s">
        <v>68</v>
      </c>
      <c r="B728" s="16" t="s">
        <v>77</v>
      </c>
      <c r="C728" s="16">
        <v>38</v>
      </c>
      <c r="D728" s="16">
        <v>21.4</v>
      </c>
    </row>
    <row r="729" spans="1:4" x14ac:dyDescent="0.2">
      <c r="A729" s="17" t="s">
        <v>68</v>
      </c>
      <c r="B729" s="18" t="s">
        <v>77</v>
      </c>
      <c r="C729" s="18">
        <v>39</v>
      </c>
      <c r="D729" s="18">
        <v>20.66</v>
      </c>
    </row>
    <row r="730" spans="1:4" x14ac:dyDescent="0.2">
      <c r="A730" s="15" t="s">
        <v>68</v>
      </c>
      <c r="B730" s="16" t="s">
        <v>77</v>
      </c>
      <c r="C730" s="16">
        <v>40</v>
      </c>
      <c r="D730" s="16">
        <v>19.920000000000002</v>
      </c>
    </row>
    <row r="731" spans="1:4" x14ac:dyDescent="0.2">
      <c r="A731" s="17" t="s">
        <v>68</v>
      </c>
      <c r="B731" s="18" t="s">
        <v>77</v>
      </c>
      <c r="C731" s="18">
        <v>41</v>
      </c>
      <c r="D731" s="18">
        <v>19.170000000000002</v>
      </c>
    </row>
    <row r="732" spans="1:4" x14ac:dyDescent="0.2">
      <c r="A732" s="15" t="s">
        <v>68</v>
      </c>
      <c r="B732" s="16" t="s">
        <v>77</v>
      </c>
      <c r="C732" s="16">
        <v>42</v>
      </c>
      <c r="D732" s="16">
        <v>18.420000000000002</v>
      </c>
    </row>
    <row r="733" spans="1:4" x14ac:dyDescent="0.2">
      <c r="A733" s="17" t="s">
        <v>68</v>
      </c>
      <c r="B733" s="18" t="s">
        <v>77</v>
      </c>
      <c r="C733" s="18">
        <v>43</v>
      </c>
      <c r="D733" s="18">
        <v>17.690000000000001</v>
      </c>
    </row>
    <row r="734" spans="1:4" x14ac:dyDescent="0.2">
      <c r="A734" s="15" t="s">
        <v>68</v>
      </c>
      <c r="B734" s="16" t="s">
        <v>77</v>
      </c>
      <c r="C734" s="16">
        <v>44</v>
      </c>
      <c r="D734" s="16">
        <v>16.98</v>
      </c>
    </row>
    <row r="735" spans="1:4" x14ac:dyDescent="0.2">
      <c r="A735" s="17" t="s">
        <v>68</v>
      </c>
      <c r="B735" s="18" t="s">
        <v>77</v>
      </c>
      <c r="C735" s="18">
        <v>45</v>
      </c>
      <c r="D735" s="18">
        <v>16.28</v>
      </c>
    </row>
    <row r="736" spans="1:4" x14ac:dyDescent="0.2">
      <c r="A736" s="15" t="s">
        <v>68</v>
      </c>
      <c r="B736" s="16" t="s">
        <v>77</v>
      </c>
      <c r="C736" s="16">
        <v>46</v>
      </c>
      <c r="D736" s="16">
        <v>15.59</v>
      </c>
    </row>
    <row r="737" spans="1:4" x14ac:dyDescent="0.2">
      <c r="A737" s="17" t="s">
        <v>68</v>
      </c>
      <c r="B737" s="18" t="s">
        <v>77</v>
      </c>
      <c r="C737" s="18">
        <v>47</v>
      </c>
      <c r="D737" s="18">
        <v>14.9</v>
      </c>
    </row>
    <row r="738" spans="1:4" x14ac:dyDescent="0.2">
      <c r="A738" s="15" t="s">
        <v>68</v>
      </c>
      <c r="B738" s="16" t="s">
        <v>77</v>
      </c>
      <c r="C738" s="16">
        <v>48</v>
      </c>
      <c r="D738" s="16">
        <v>14.2</v>
      </c>
    </row>
    <row r="739" spans="1:4" x14ac:dyDescent="0.2">
      <c r="A739" s="17" t="s">
        <v>68</v>
      </c>
      <c r="B739" s="18" t="s">
        <v>77</v>
      </c>
      <c r="C739" s="18">
        <v>49</v>
      </c>
      <c r="D739" s="18">
        <v>13.5</v>
      </c>
    </row>
    <row r="740" spans="1:4" x14ac:dyDescent="0.2">
      <c r="A740" s="15" t="s">
        <v>68</v>
      </c>
      <c r="B740" s="16" t="s">
        <v>77</v>
      </c>
      <c r="C740" s="16">
        <v>50</v>
      </c>
      <c r="D740" s="16">
        <v>12.81</v>
      </c>
    </row>
    <row r="741" spans="1:4" x14ac:dyDescent="0.2">
      <c r="A741" s="17" t="s">
        <v>68</v>
      </c>
      <c r="B741" s="18" t="s">
        <v>77</v>
      </c>
      <c r="C741" s="18">
        <v>51</v>
      </c>
      <c r="D741" s="18">
        <v>12.13</v>
      </c>
    </row>
    <row r="742" spans="1:4" x14ac:dyDescent="0.2">
      <c r="A742" s="15" t="s">
        <v>68</v>
      </c>
      <c r="B742" s="16" t="s">
        <v>77</v>
      </c>
      <c r="C742" s="16">
        <v>52</v>
      </c>
      <c r="D742" s="16">
        <v>11.46</v>
      </c>
    </row>
    <row r="743" spans="1:4" x14ac:dyDescent="0.2">
      <c r="A743" s="17" t="s">
        <v>68</v>
      </c>
      <c r="B743" s="18" t="s">
        <v>77</v>
      </c>
      <c r="C743" s="18">
        <v>53</v>
      </c>
      <c r="D743" s="18">
        <v>10.82</v>
      </c>
    </row>
    <row r="744" spans="1:4" x14ac:dyDescent="0.2">
      <c r="A744" s="15" t="s">
        <v>68</v>
      </c>
      <c r="B744" s="16" t="s">
        <v>77</v>
      </c>
      <c r="C744" s="16">
        <v>54</v>
      </c>
      <c r="D744" s="16">
        <v>10.18</v>
      </c>
    </row>
    <row r="745" spans="1:4" x14ac:dyDescent="0.2">
      <c r="A745" s="17" t="s">
        <v>68</v>
      </c>
      <c r="B745" s="18" t="s">
        <v>77</v>
      </c>
      <c r="C745" s="18">
        <v>55</v>
      </c>
      <c r="D745" s="18">
        <v>9.56</v>
      </c>
    </row>
    <row r="746" spans="1:4" x14ac:dyDescent="0.2">
      <c r="A746" s="15" t="s">
        <v>68</v>
      </c>
      <c r="B746" s="16" t="s">
        <v>77</v>
      </c>
      <c r="C746" s="16">
        <v>56</v>
      </c>
      <c r="D746" s="16">
        <v>8.9499999999999993</v>
      </c>
    </row>
    <row r="747" spans="1:4" x14ac:dyDescent="0.2">
      <c r="A747" s="17" t="s">
        <v>68</v>
      </c>
      <c r="B747" s="18" t="s">
        <v>77</v>
      </c>
      <c r="C747" s="18">
        <v>57</v>
      </c>
      <c r="D747" s="18">
        <v>8.34</v>
      </c>
    </row>
    <row r="748" spans="1:4" x14ac:dyDescent="0.2">
      <c r="A748" s="15" t="s">
        <v>68</v>
      </c>
      <c r="B748" s="16" t="s">
        <v>77</v>
      </c>
      <c r="C748" s="16">
        <v>58</v>
      </c>
      <c r="D748" s="16">
        <v>7.73</v>
      </c>
    </row>
    <row r="749" spans="1:4" x14ac:dyDescent="0.2">
      <c r="A749" s="17" t="s">
        <v>68</v>
      </c>
      <c r="B749" s="18" t="s">
        <v>77</v>
      </c>
      <c r="C749" s="18">
        <v>59</v>
      </c>
      <c r="D749" s="18">
        <v>7.15</v>
      </c>
    </row>
    <row r="750" spans="1:4" x14ac:dyDescent="0.2">
      <c r="A750" s="15" t="s">
        <v>68</v>
      </c>
      <c r="B750" s="16" t="s">
        <v>77</v>
      </c>
      <c r="C750" s="16">
        <v>60</v>
      </c>
      <c r="D750" s="16">
        <v>6.61</v>
      </c>
    </row>
    <row r="751" spans="1:4" x14ac:dyDescent="0.2">
      <c r="A751" s="17" t="s">
        <v>68</v>
      </c>
      <c r="B751" s="18" t="s">
        <v>77</v>
      </c>
      <c r="C751" s="18">
        <v>61</v>
      </c>
      <c r="D751" s="18">
        <v>6.12</v>
      </c>
    </row>
    <row r="752" spans="1:4" x14ac:dyDescent="0.2">
      <c r="A752" s="15" t="s">
        <v>68</v>
      </c>
      <c r="B752" s="16" t="s">
        <v>77</v>
      </c>
      <c r="C752" s="16">
        <v>62</v>
      </c>
      <c r="D752" s="16">
        <v>5.68</v>
      </c>
    </row>
    <row r="753" spans="1:4" x14ac:dyDescent="0.2">
      <c r="A753" s="17" t="s">
        <v>68</v>
      </c>
      <c r="B753" s="18" t="s">
        <v>77</v>
      </c>
      <c r="C753" s="18">
        <v>63</v>
      </c>
      <c r="D753" s="18">
        <v>5.28</v>
      </c>
    </row>
    <row r="754" spans="1:4" x14ac:dyDescent="0.2">
      <c r="A754" s="15" t="s">
        <v>68</v>
      </c>
      <c r="B754" s="16" t="s">
        <v>77</v>
      </c>
      <c r="C754" s="16">
        <v>64</v>
      </c>
      <c r="D754" s="16">
        <v>4.92</v>
      </c>
    </row>
    <row r="755" spans="1:4" x14ac:dyDescent="0.2">
      <c r="A755" s="17" t="s">
        <v>68</v>
      </c>
      <c r="B755" s="18" t="s">
        <v>77</v>
      </c>
      <c r="C755" s="18">
        <v>65</v>
      </c>
      <c r="D755" s="18">
        <v>4.62</v>
      </c>
    </row>
    <row r="756" spans="1:4" x14ac:dyDescent="0.2">
      <c r="A756" s="15" t="s">
        <v>68</v>
      </c>
      <c r="B756" s="16" t="s">
        <v>77</v>
      </c>
      <c r="C756" s="16">
        <v>66</v>
      </c>
      <c r="D756" s="16">
        <v>4.37</v>
      </c>
    </row>
    <row r="757" spans="1:4" x14ac:dyDescent="0.2">
      <c r="A757" s="17" t="s">
        <v>68</v>
      </c>
      <c r="B757" s="18" t="s">
        <v>77</v>
      </c>
      <c r="C757" s="18">
        <v>67</v>
      </c>
      <c r="D757" s="18">
        <v>4.17</v>
      </c>
    </row>
    <row r="758" spans="1:4" x14ac:dyDescent="0.2">
      <c r="A758" s="15" t="s">
        <v>68</v>
      </c>
      <c r="B758" s="16" t="s">
        <v>77</v>
      </c>
      <c r="C758" s="16">
        <v>68</v>
      </c>
      <c r="D758" s="16">
        <v>3.99</v>
      </c>
    </row>
    <row r="759" spans="1:4" x14ac:dyDescent="0.2">
      <c r="A759" s="17" t="s">
        <v>68</v>
      </c>
      <c r="B759" s="18" t="s">
        <v>77</v>
      </c>
      <c r="C759" s="18">
        <v>69</v>
      </c>
      <c r="D759" s="18">
        <v>3.82</v>
      </c>
    </row>
    <row r="760" spans="1:4" x14ac:dyDescent="0.2">
      <c r="A760" s="15" t="s">
        <v>68</v>
      </c>
      <c r="B760" s="16" t="s">
        <v>77</v>
      </c>
      <c r="C760" s="16">
        <v>70</v>
      </c>
      <c r="D760" s="16">
        <v>3.67</v>
      </c>
    </row>
    <row r="761" spans="1:4" x14ac:dyDescent="0.2">
      <c r="A761" s="17" t="s">
        <v>68</v>
      </c>
      <c r="B761" s="18" t="s">
        <v>77</v>
      </c>
      <c r="C761" s="18">
        <v>71</v>
      </c>
      <c r="D761" s="18">
        <v>3.52</v>
      </c>
    </row>
    <row r="762" spans="1:4" x14ac:dyDescent="0.2">
      <c r="A762" s="15" t="s">
        <v>68</v>
      </c>
      <c r="B762" s="16" t="s">
        <v>77</v>
      </c>
      <c r="C762" s="16">
        <v>72</v>
      </c>
      <c r="D762" s="16">
        <v>3.38</v>
      </c>
    </row>
    <row r="763" spans="1:4" x14ac:dyDescent="0.2">
      <c r="A763" s="17" t="s">
        <v>68</v>
      </c>
      <c r="B763" s="18" t="s">
        <v>77</v>
      </c>
      <c r="C763" s="18">
        <v>73</v>
      </c>
      <c r="D763" s="18">
        <v>3.25</v>
      </c>
    </row>
    <row r="764" spans="1:4" x14ac:dyDescent="0.2">
      <c r="A764" s="15" t="s">
        <v>68</v>
      </c>
      <c r="B764" s="16" t="s">
        <v>77</v>
      </c>
      <c r="C764" s="16">
        <v>74</v>
      </c>
      <c r="D764" s="16">
        <v>3.13</v>
      </c>
    </row>
    <row r="765" spans="1:4" x14ac:dyDescent="0.2">
      <c r="A765" s="17" t="s">
        <v>68</v>
      </c>
      <c r="B765" s="18" t="s">
        <v>77</v>
      </c>
      <c r="C765" s="18">
        <v>75</v>
      </c>
      <c r="D765" s="18">
        <v>3.02</v>
      </c>
    </row>
    <row r="766" spans="1:4" x14ac:dyDescent="0.2">
      <c r="A766" s="15" t="s">
        <v>68</v>
      </c>
      <c r="B766" s="16" t="s">
        <v>77</v>
      </c>
      <c r="C766" s="16">
        <v>76</v>
      </c>
      <c r="D766" s="16">
        <v>2.91</v>
      </c>
    </row>
    <row r="767" spans="1:4" x14ac:dyDescent="0.2">
      <c r="A767" s="17" t="s">
        <v>68</v>
      </c>
      <c r="B767" s="18" t="s">
        <v>77</v>
      </c>
      <c r="C767" s="18">
        <v>77</v>
      </c>
      <c r="D767" s="18">
        <v>2.81</v>
      </c>
    </row>
    <row r="768" spans="1:4" x14ac:dyDescent="0.2">
      <c r="A768" s="15" t="s">
        <v>68</v>
      </c>
      <c r="B768" s="16" t="s">
        <v>77</v>
      </c>
      <c r="C768" s="16">
        <v>78</v>
      </c>
      <c r="D768" s="16">
        <v>2.71</v>
      </c>
    </row>
    <row r="769" spans="1:4" x14ac:dyDescent="0.2">
      <c r="A769" s="17" t="s">
        <v>68</v>
      </c>
      <c r="B769" s="18" t="s">
        <v>77</v>
      </c>
      <c r="C769" s="18">
        <v>79</v>
      </c>
      <c r="D769" s="18">
        <v>2.62</v>
      </c>
    </row>
    <row r="770" spans="1:4" x14ac:dyDescent="0.2">
      <c r="A770" s="15" t="s">
        <v>68</v>
      </c>
      <c r="B770" s="16" t="s">
        <v>77</v>
      </c>
      <c r="C770" s="16">
        <v>80</v>
      </c>
      <c r="D770" s="16">
        <v>2.5299999999999998</v>
      </c>
    </row>
    <row r="771" spans="1:4" x14ac:dyDescent="0.2">
      <c r="A771" s="17" t="s">
        <v>68</v>
      </c>
      <c r="B771" s="18" t="s">
        <v>77</v>
      </c>
      <c r="C771" s="18">
        <v>81</v>
      </c>
      <c r="D771" s="18">
        <v>2.4500000000000002</v>
      </c>
    </row>
    <row r="772" spans="1:4" x14ac:dyDescent="0.2">
      <c r="A772" s="15" t="s">
        <v>68</v>
      </c>
      <c r="B772" s="16" t="s">
        <v>77</v>
      </c>
      <c r="C772" s="16">
        <v>82</v>
      </c>
      <c r="D772" s="16">
        <v>2.36</v>
      </c>
    </row>
    <row r="773" spans="1:4" x14ac:dyDescent="0.2">
      <c r="A773" s="17" t="s">
        <v>68</v>
      </c>
      <c r="B773" s="18" t="s">
        <v>77</v>
      </c>
      <c r="C773" s="18">
        <v>83</v>
      </c>
      <c r="D773" s="18">
        <v>2.27</v>
      </c>
    </row>
    <row r="774" spans="1:4" x14ac:dyDescent="0.2">
      <c r="A774" s="15" t="s">
        <v>68</v>
      </c>
      <c r="B774" s="16" t="s">
        <v>77</v>
      </c>
      <c r="C774" s="16">
        <v>84</v>
      </c>
      <c r="D774" s="16">
        <v>2.19</v>
      </c>
    </row>
    <row r="775" spans="1:4" x14ac:dyDescent="0.2">
      <c r="A775" s="17" t="s">
        <v>68</v>
      </c>
      <c r="B775" s="18" t="s">
        <v>77</v>
      </c>
      <c r="C775" s="18">
        <v>85</v>
      </c>
      <c r="D775" s="18">
        <v>2.11</v>
      </c>
    </row>
    <row r="776" spans="1:4" x14ac:dyDescent="0.2">
      <c r="A776" s="15" t="s">
        <v>68</v>
      </c>
      <c r="B776" s="16" t="s">
        <v>77</v>
      </c>
      <c r="C776" s="16">
        <v>86</v>
      </c>
      <c r="D776" s="16">
        <v>2.04</v>
      </c>
    </row>
    <row r="777" spans="1:4" x14ac:dyDescent="0.2">
      <c r="A777" s="17" t="s">
        <v>68</v>
      </c>
      <c r="B777" s="18" t="s">
        <v>77</v>
      </c>
      <c r="C777" s="18">
        <v>87</v>
      </c>
      <c r="D777" s="18">
        <v>1.96</v>
      </c>
    </row>
    <row r="778" spans="1:4" x14ac:dyDescent="0.2">
      <c r="A778" s="15" t="s">
        <v>68</v>
      </c>
      <c r="B778" s="16" t="s">
        <v>77</v>
      </c>
      <c r="C778" s="16">
        <v>88</v>
      </c>
      <c r="D778" s="16">
        <v>1.89</v>
      </c>
    </row>
    <row r="779" spans="1:4" x14ac:dyDescent="0.2">
      <c r="A779" s="17" t="s">
        <v>68</v>
      </c>
      <c r="B779" s="18" t="s">
        <v>77</v>
      </c>
      <c r="C779" s="18">
        <v>89</v>
      </c>
      <c r="D779" s="18">
        <v>1.83</v>
      </c>
    </row>
    <row r="780" spans="1:4" x14ac:dyDescent="0.2">
      <c r="A780" s="15" t="s">
        <v>68</v>
      </c>
      <c r="B780" s="16" t="s">
        <v>77</v>
      </c>
      <c r="C780" s="16">
        <v>90</v>
      </c>
      <c r="D780" s="16">
        <v>1.76</v>
      </c>
    </row>
    <row r="781" spans="1:4" x14ac:dyDescent="0.2">
      <c r="A781" s="17" t="s">
        <v>70</v>
      </c>
      <c r="B781" s="18" t="s">
        <v>77</v>
      </c>
      <c r="C781" s="18">
        <v>18</v>
      </c>
      <c r="D781" s="18">
        <v>19.55</v>
      </c>
    </row>
    <row r="782" spans="1:4" x14ac:dyDescent="0.2">
      <c r="A782" s="15" t="s">
        <v>70</v>
      </c>
      <c r="B782" s="16" t="s">
        <v>77</v>
      </c>
      <c r="C782" s="16">
        <v>19</v>
      </c>
      <c r="D782" s="16">
        <v>19.2</v>
      </c>
    </row>
    <row r="783" spans="1:4" x14ac:dyDescent="0.2">
      <c r="A783" s="17" t="s">
        <v>70</v>
      </c>
      <c r="B783" s="18" t="s">
        <v>77</v>
      </c>
      <c r="C783" s="18">
        <v>20</v>
      </c>
      <c r="D783" s="18">
        <v>18.850000000000001</v>
      </c>
    </row>
    <row r="784" spans="1:4" x14ac:dyDescent="0.2">
      <c r="A784" s="15" t="s">
        <v>70</v>
      </c>
      <c r="B784" s="16" t="s">
        <v>77</v>
      </c>
      <c r="C784" s="16">
        <v>21</v>
      </c>
      <c r="D784" s="16">
        <v>18.5</v>
      </c>
    </row>
    <row r="785" spans="1:4" x14ac:dyDescent="0.2">
      <c r="A785" s="17" t="s">
        <v>70</v>
      </c>
      <c r="B785" s="18" t="s">
        <v>77</v>
      </c>
      <c r="C785" s="18">
        <v>22</v>
      </c>
      <c r="D785" s="18">
        <v>18.149999999999999</v>
      </c>
    </row>
    <row r="786" spans="1:4" x14ac:dyDescent="0.2">
      <c r="A786" s="15" t="s">
        <v>70</v>
      </c>
      <c r="B786" s="16" t="s">
        <v>77</v>
      </c>
      <c r="C786" s="16">
        <v>23</v>
      </c>
      <c r="D786" s="16">
        <v>17.8</v>
      </c>
    </row>
    <row r="787" spans="1:4" x14ac:dyDescent="0.2">
      <c r="A787" s="17" t="s">
        <v>70</v>
      </c>
      <c r="B787" s="18" t="s">
        <v>77</v>
      </c>
      <c r="C787" s="18">
        <v>24</v>
      </c>
      <c r="D787" s="18">
        <v>17.46</v>
      </c>
    </row>
    <row r="788" spans="1:4" x14ac:dyDescent="0.2">
      <c r="A788" s="15" t="s">
        <v>70</v>
      </c>
      <c r="B788" s="16" t="s">
        <v>77</v>
      </c>
      <c r="C788" s="16">
        <v>25</v>
      </c>
      <c r="D788" s="16">
        <v>17.11</v>
      </c>
    </row>
    <row r="789" spans="1:4" x14ac:dyDescent="0.2">
      <c r="A789" s="17" t="s">
        <v>70</v>
      </c>
      <c r="B789" s="18" t="s">
        <v>77</v>
      </c>
      <c r="C789" s="18">
        <v>26</v>
      </c>
      <c r="D789" s="18">
        <v>16.77</v>
      </c>
    </row>
    <row r="790" spans="1:4" x14ac:dyDescent="0.2">
      <c r="A790" s="15" t="s">
        <v>70</v>
      </c>
      <c r="B790" s="16" t="s">
        <v>77</v>
      </c>
      <c r="C790" s="16">
        <v>27</v>
      </c>
      <c r="D790" s="16">
        <v>16.43</v>
      </c>
    </row>
    <row r="791" spans="1:4" x14ac:dyDescent="0.2">
      <c r="A791" s="17" t="s">
        <v>70</v>
      </c>
      <c r="B791" s="18" t="s">
        <v>77</v>
      </c>
      <c r="C791" s="18">
        <v>28</v>
      </c>
      <c r="D791" s="18">
        <v>16.100000000000001</v>
      </c>
    </row>
    <row r="792" spans="1:4" x14ac:dyDescent="0.2">
      <c r="A792" s="15" t="s">
        <v>70</v>
      </c>
      <c r="B792" s="16" t="s">
        <v>77</v>
      </c>
      <c r="C792" s="16">
        <v>29</v>
      </c>
      <c r="D792" s="16">
        <v>15.76</v>
      </c>
    </row>
    <row r="793" spans="1:4" x14ac:dyDescent="0.2">
      <c r="A793" s="17" t="s">
        <v>70</v>
      </c>
      <c r="B793" s="18" t="s">
        <v>77</v>
      </c>
      <c r="C793" s="18">
        <v>30</v>
      </c>
      <c r="D793" s="18">
        <v>15.43</v>
      </c>
    </row>
    <row r="794" spans="1:4" x14ac:dyDescent="0.2">
      <c r="A794" s="15" t="s">
        <v>70</v>
      </c>
      <c r="B794" s="16" t="s">
        <v>77</v>
      </c>
      <c r="C794" s="16">
        <v>31</v>
      </c>
      <c r="D794" s="16">
        <v>15.09</v>
      </c>
    </row>
    <row r="795" spans="1:4" x14ac:dyDescent="0.2">
      <c r="A795" s="17" t="s">
        <v>70</v>
      </c>
      <c r="B795" s="18" t="s">
        <v>77</v>
      </c>
      <c r="C795" s="18">
        <v>32</v>
      </c>
      <c r="D795" s="18">
        <v>14.76</v>
      </c>
    </row>
    <row r="796" spans="1:4" x14ac:dyDescent="0.2">
      <c r="A796" s="15" t="s">
        <v>70</v>
      </c>
      <c r="B796" s="16" t="s">
        <v>77</v>
      </c>
      <c r="C796" s="16">
        <v>33</v>
      </c>
      <c r="D796" s="16">
        <v>14.42</v>
      </c>
    </row>
    <row r="797" spans="1:4" x14ac:dyDescent="0.2">
      <c r="A797" s="17" t="s">
        <v>70</v>
      </c>
      <c r="B797" s="18" t="s">
        <v>77</v>
      </c>
      <c r="C797" s="18">
        <v>34</v>
      </c>
      <c r="D797" s="18">
        <v>14.08</v>
      </c>
    </row>
    <row r="798" spans="1:4" x14ac:dyDescent="0.2">
      <c r="A798" s="15" t="s">
        <v>70</v>
      </c>
      <c r="B798" s="16" t="s">
        <v>77</v>
      </c>
      <c r="C798" s="16">
        <v>35</v>
      </c>
      <c r="D798" s="16">
        <v>13.73</v>
      </c>
    </row>
    <row r="799" spans="1:4" x14ac:dyDescent="0.2">
      <c r="A799" s="17" t="s">
        <v>70</v>
      </c>
      <c r="B799" s="18" t="s">
        <v>77</v>
      </c>
      <c r="C799" s="18">
        <v>36</v>
      </c>
      <c r="D799" s="18">
        <v>13.38</v>
      </c>
    </row>
    <row r="800" spans="1:4" x14ac:dyDescent="0.2">
      <c r="A800" s="15" t="s">
        <v>70</v>
      </c>
      <c r="B800" s="16" t="s">
        <v>77</v>
      </c>
      <c r="C800" s="16">
        <v>37</v>
      </c>
      <c r="D800" s="16">
        <v>13.04</v>
      </c>
    </row>
    <row r="801" spans="1:4" x14ac:dyDescent="0.2">
      <c r="A801" s="17" t="s">
        <v>70</v>
      </c>
      <c r="B801" s="18" t="s">
        <v>77</v>
      </c>
      <c r="C801" s="18">
        <v>38</v>
      </c>
      <c r="D801" s="18">
        <v>12.68</v>
      </c>
    </row>
    <row r="802" spans="1:4" x14ac:dyDescent="0.2">
      <c r="A802" s="15" t="s">
        <v>70</v>
      </c>
      <c r="B802" s="16" t="s">
        <v>77</v>
      </c>
      <c r="C802" s="16">
        <v>39</v>
      </c>
      <c r="D802" s="16">
        <v>12.33</v>
      </c>
    </row>
    <row r="803" spans="1:4" x14ac:dyDescent="0.2">
      <c r="A803" s="17" t="s">
        <v>70</v>
      </c>
      <c r="B803" s="18" t="s">
        <v>77</v>
      </c>
      <c r="C803" s="18">
        <v>40</v>
      </c>
      <c r="D803" s="18">
        <v>11.96</v>
      </c>
    </row>
    <row r="804" spans="1:4" x14ac:dyDescent="0.2">
      <c r="A804" s="15" t="s">
        <v>70</v>
      </c>
      <c r="B804" s="16" t="s">
        <v>77</v>
      </c>
      <c r="C804" s="16">
        <v>41</v>
      </c>
      <c r="D804" s="16">
        <v>11.6</v>
      </c>
    </row>
    <row r="805" spans="1:4" x14ac:dyDescent="0.2">
      <c r="A805" s="17" t="s">
        <v>70</v>
      </c>
      <c r="B805" s="18" t="s">
        <v>77</v>
      </c>
      <c r="C805" s="18">
        <v>42</v>
      </c>
      <c r="D805" s="18">
        <v>11.24</v>
      </c>
    </row>
    <row r="806" spans="1:4" x14ac:dyDescent="0.2">
      <c r="A806" s="15" t="s">
        <v>70</v>
      </c>
      <c r="B806" s="16" t="s">
        <v>77</v>
      </c>
      <c r="C806" s="16">
        <v>43</v>
      </c>
      <c r="D806" s="16">
        <v>10.9</v>
      </c>
    </row>
    <row r="807" spans="1:4" x14ac:dyDescent="0.2">
      <c r="A807" s="17" t="s">
        <v>70</v>
      </c>
      <c r="B807" s="18" t="s">
        <v>77</v>
      </c>
      <c r="C807" s="18">
        <v>44</v>
      </c>
      <c r="D807" s="18">
        <v>10.59</v>
      </c>
    </row>
    <row r="808" spans="1:4" x14ac:dyDescent="0.2">
      <c r="A808" s="15" t="s">
        <v>70</v>
      </c>
      <c r="B808" s="16" t="s">
        <v>77</v>
      </c>
      <c r="C808" s="16">
        <v>45</v>
      </c>
      <c r="D808" s="16">
        <v>10.3</v>
      </c>
    </row>
    <row r="809" spans="1:4" x14ac:dyDescent="0.2">
      <c r="A809" s="17" t="s">
        <v>70</v>
      </c>
      <c r="B809" s="18" t="s">
        <v>77</v>
      </c>
      <c r="C809" s="18">
        <v>46</v>
      </c>
      <c r="D809" s="18">
        <v>10.039999999999999</v>
      </c>
    </row>
    <row r="810" spans="1:4" x14ac:dyDescent="0.2">
      <c r="A810" s="15" t="s">
        <v>70</v>
      </c>
      <c r="B810" s="16" t="s">
        <v>77</v>
      </c>
      <c r="C810" s="16">
        <v>47</v>
      </c>
      <c r="D810" s="16">
        <v>9.7899999999999991</v>
      </c>
    </row>
    <row r="811" spans="1:4" x14ac:dyDescent="0.2">
      <c r="A811" s="17" t="s">
        <v>70</v>
      </c>
      <c r="B811" s="18" t="s">
        <v>77</v>
      </c>
      <c r="C811" s="18">
        <v>48</v>
      </c>
      <c r="D811" s="18">
        <v>9.56</v>
      </c>
    </row>
    <row r="812" spans="1:4" x14ac:dyDescent="0.2">
      <c r="A812" s="15" t="s">
        <v>70</v>
      </c>
      <c r="B812" s="16" t="s">
        <v>77</v>
      </c>
      <c r="C812" s="16">
        <v>49</v>
      </c>
      <c r="D812" s="16">
        <v>9.31</v>
      </c>
    </row>
    <row r="813" spans="1:4" x14ac:dyDescent="0.2">
      <c r="A813" s="17" t="s">
        <v>70</v>
      </c>
      <c r="B813" s="18" t="s">
        <v>77</v>
      </c>
      <c r="C813" s="18">
        <v>50</v>
      </c>
      <c r="D813" s="18">
        <v>9.0399999999999991</v>
      </c>
    </row>
    <row r="814" spans="1:4" x14ac:dyDescent="0.2">
      <c r="A814" s="15" t="s">
        <v>70</v>
      </c>
      <c r="B814" s="16" t="s">
        <v>77</v>
      </c>
      <c r="C814" s="16">
        <v>51</v>
      </c>
      <c r="D814" s="16">
        <v>8.74</v>
      </c>
    </row>
    <row r="815" spans="1:4" x14ac:dyDescent="0.2">
      <c r="A815" s="17" t="s">
        <v>70</v>
      </c>
      <c r="B815" s="18" t="s">
        <v>77</v>
      </c>
      <c r="C815" s="18">
        <v>52</v>
      </c>
      <c r="D815" s="18">
        <v>8.4</v>
      </c>
    </row>
    <row r="816" spans="1:4" x14ac:dyDescent="0.2">
      <c r="A816" s="15" t="s">
        <v>70</v>
      </c>
      <c r="B816" s="16" t="s">
        <v>77</v>
      </c>
      <c r="C816" s="16">
        <v>53</v>
      </c>
      <c r="D816" s="16">
        <v>8.0299999999999994</v>
      </c>
    </row>
    <row r="817" spans="1:4" x14ac:dyDescent="0.2">
      <c r="A817" s="17" t="s">
        <v>70</v>
      </c>
      <c r="B817" s="18" t="s">
        <v>77</v>
      </c>
      <c r="C817" s="18">
        <v>54</v>
      </c>
      <c r="D817" s="18">
        <v>7.62</v>
      </c>
    </row>
    <row r="818" spans="1:4" x14ac:dyDescent="0.2">
      <c r="A818" s="15" t="s">
        <v>70</v>
      </c>
      <c r="B818" s="16" t="s">
        <v>77</v>
      </c>
      <c r="C818" s="16">
        <v>55</v>
      </c>
      <c r="D818" s="16">
        <v>7.2</v>
      </c>
    </row>
    <row r="819" spans="1:4" x14ac:dyDescent="0.2">
      <c r="A819" s="17" t="s">
        <v>70</v>
      </c>
      <c r="B819" s="18" t="s">
        <v>77</v>
      </c>
      <c r="C819" s="18">
        <v>56</v>
      </c>
      <c r="D819" s="18">
        <v>6.76</v>
      </c>
    </row>
    <row r="820" spans="1:4" x14ac:dyDescent="0.2">
      <c r="A820" s="15" t="s">
        <v>70</v>
      </c>
      <c r="B820" s="16" t="s">
        <v>77</v>
      </c>
      <c r="C820" s="16">
        <v>57</v>
      </c>
      <c r="D820" s="16">
        <v>6.33</v>
      </c>
    </row>
    <row r="821" spans="1:4" x14ac:dyDescent="0.2">
      <c r="A821" s="17" t="s">
        <v>70</v>
      </c>
      <c r="B821" s="18" t="s">
        <v>77</v>
      </c>
      <c r="C821" s="18">
        <v>58</v>
      </c>
      <c r="D821" s="18">
        <v>5.91</v>
      </c>
    </row>
    <row r="822" spans="1:4" x14ac:dyDescent="0.2">
      <c r="A822" s="15" t="s">
        <v>70</v>
      </c>
      <c r="B822" s="16" t="s">
        <v>77</v>
      </c>
      <c r="C822" s="16">
        <v>59</v>
      </c>
      <c r="D822" s="16">
        <v>5.53</v>
      </c>
    </row>
    <row r="823" spans="1:4" x14ac:dyDescent="0.2">
      <c r="A823" s="17" t="s">
        <v>70</v>
      </c>
      <c r="B823" s="18" t="s">
        <v>77</v>
      </c>
      <c r="C823" s="18">
        <v>60</v>
      </c>
      <c r="D823" s="18">
        <v>5.18</v>
      </c>
    </row>
    <row r="824" spans="1:4" x14ac:dyDescent="0.2">
      <c r="A824" s="15" t="s">
        <v>70</v>
      </c>
      <c r="B824" s="16" t="s">
        <v>77</v>
      </c>
      <c r="C824" s="16">
        <v>61</v>
      </c>
      <c r="D824" s="16">
        <v>4.87</v>
      </c>
    </row>
    <row r="825" spans="1:4" x14ac:dyDescent="0.2">
      <c r="A825" s="17" t="s">
        <v>70</v>
      </c>
      <c r="B825" s="18" t="s">
        <v>77</v>
      </c>
      <c r="C825" s="18">
        <v>62</v>
      </c>
      <c r="D825" s="18">
        <v>4.59</v>
      </c>
    </row>
    <row r="826" spans="1:4" x14ac:dyDescent="0.2">
      <c r="A826" s="15" t="s">
        <v>70</v>
      </c>
      <c r="B826" s="16" t="s">
        <v>77</v>
      </c>
      <c r="C826" s="16">
        <v>63</v>
      </c>
      <c r="D826" s="16">
        <v>4.3499999999999996</v>
      </c>
    </row>
    <row r="827" spans="1:4" x14ac:dyDescent="0.2">
      <c r="A827" s="17" t="s">
        <v>70</v>
      </c>
      <c r="B827" s="18" t="s">
        <v>77</v>
      </c>
      <c r="C827" s="18">
        <v>64</v>
      </c>
      <c r="D827" s="18">
        <v>4.1399999999999997</v>
      </c>
    </row>
    <row r="828" spans="1:4" x14ac:dyDescent="0.2">
      <c r="A828" s="15" t="s">
        <v>70</v>
      </c>
      <c r="B828" s="16" t="s">
        <v>77</v>
      </c>
      <c r="C828" s="16">
        <v>65</v>
      </c>
      <c r="D828" s="16">
        <v>3.95</v>
      </c>
    </row>
    <row r="829" spans="1:4" x14ac:dyDescent="0.2">
      <c r="A829" s="17" t="s">
        <v>70</v>
      </c>
      <c r="B829" s="18" t="s">
        <v>77</v>
      </c>
      <c r="C829" s="18">
        <v>66</v>
      </c>
      <c r="D829" s="18">
        <v>3.78</v>
      </c>
    </row>
    <row r="830" spans="1:4" x14ac:dyDescent="0.2">
      <c r="A830" s="15" t="s">
        <v>70</v>
      </c>
      <c r="B830" s="16" t="s">
        <v>77</v>
      </c>
      <c r="C830" s="16">
        <v>67</v>
      </c>
      <c r="D830" s="16">
        <v>3.63</v>
      </c>
    </row>
    <row r="831" spans="1:4" x14ac:dyDescent="0.2">
      <c r="A831" s="17" t="s">
        <v>70</v>
      </c>
      <c r="B831" s="18" t="s">
        <v>77</v>
      </c>
      <c r="C831" s="18">
        <v>68</v>
      </c>
      <c r="D831" s="18">
        <v>3.48</v>
      </c>
    </row>
    <row r="832" spans="1:4" x14ac:dyDescent="0.2">
      <c r="A832" s="15" t="s">
        <v>70</v>
      </c>
      <c r="B832" s="16" t="s">
        <v>77</v>
      </c>
      <c r="C832" s="16">
        <v>69</v>
      </c>
      <c r="D832" s="16">
        <v>3.34</v>
      </c>
    </row>
    <row r="833" spans="1:4" x14ac:dyDescent="0.2">
      <c r="A833" s="17" t="s">
        <v>70</v>
      </c>
      <c r="B833" s="18" t="s">
        <v>77</v>
      </c>
      <c r="C833" s="18">
        <v>70</v>
      </c>
      <c r="D833" s="18">
        <v>3.2</v>
      </c>
    </row>
    <row r="834" spans="1:4" x14ac:dyDescent="0.2">
      <c r="A834" s="15" t="s">
        <v>70</v>
      </c>
      <c r="B834" s="16" t="s">
        <v>77</v>
      </c>
      <c r="C834" s="16">
        <v>71</v>
      </c>
      <c r="D834" s="16">
        <v>3.05</v>
      </c>
    </row>
    <row r="835" spans="1:4" x14ac:dyDescent="0.2">
      <c r="A835" s="17" t="s">
        <v>70</v>
      </c>
      <c r="B835" s="18" t="s">
        <v>77</v>
      </c>
      <c r="C835" s="18">
        <v>72</v>
      </c>
      <c r="D835" s="18">
        <v>2.91</v>
      </c>
    </row>
    <row r="836" spans="1:4" x14ac:dyDescent="0.2">
      <c r="A836" s="15" t="s">
        <v>70</v>
      </c>
      <c r="B836" s="16" t="s">
        <v>77</v>
      </c>
      <c r="C836" s="16">
        <v>73</v>
      </c>
      <c r="D836" s="16">
        <v>2.78</v>
      </c>
    </row>
    <row r="837" spans="1:4" x14ac:dyDescent="0.2">
      <c r="A837" s="17" t="s">
        <v>70</v>
      </c>
      <c r="B837" s="18" t="s">
        <v>77</v>
      </c>
      <c r="C837" s="18">
        <v>74</v>
      </c>
      <c r="D837" s="18">
        <v>2.65</v>
      </c>
    </row>
    <row r="838" spans="1:4" x14ac:dyDescent="0.2">
      <c r="A838" s="15" t="s">
        <v>70</v>
      </c>
      <c r="B838" s="16" t="s">
        <v>77</v>
      </c>
      <c r="C838" s="16">
        <v>75</v>
      </c>
      <c r="D838" s="16">
        <v>2.54</v>
      </c>
    </row>
    <row r="839" spans="1:4" x14ac:dyDescent="0.2">
      <c r="A839" s="17" t="s">
        <v>70</v>
      </c>
      <c r="B839" s="18" t="s">
        <v>77</v>
      </c>
      <c r="C839" s="18">
        <v>76</v>
      </c>
      <c r="D839" s="18">
        <v>2.42</v>
      </c>
    </row>
    <row r="840" spans="1:4" x14ac:dyDescent="0.2">
      <c r="A840" s="15" t="s">
        <v>70</v>
      </c>
      <c r="B840" s="16" t="s">
        <v>77</v>
      </c>
      <c r="C840" s="16">
        <v>77</v>
      </c>
      <c r="D840" s="16">
        <v>2.3199999999999998</v>
      </c>
    </row>
    <row r="841" spans="1:4" x14ac:dyDescent="0.2">
      <c r="A841" s="17" t="s">
        <v>70</v>
      </c>
      <c r="B841" s="18" t="s">
        <v>77</v>
      </c>
      <c r="C841" s="18">
        <v>78</v>
      </c>
      <c r="D841" s="18">
        <v>2.2200000000000002</v>
      </c>
    </row>
    <row r="842" spans="1:4" x14ac:dyDescent="0.2">
      <c r="A842" s="15" t="s">
        <v>70</v>
      </c>
      <c r="B842" s="16" t="s">
        <v>77</v>
      </c>
      <c r="C842" s="16">
        <v>79</v>
      </c>
      <c r="D842" s="16">
        <v>2.12</v>
      </c>
    </row>
    <row r="843" spans="1:4" x14ac:dyDescent="0.2">
      <c r="A843" s="17" t="s">
        <v>70</v>
      </c>
      <c r="B843" s="18" t="s">
        <v>77</v>
      </c>
      <c r="C843" s="18">
        <v>80</v>
      </c>
      <c r="D843" s="18">
        <v>2.04</v>
      </c>
    </row>
    <row r="844" spans="1:4" x14ac:dyDescent="0.2">
      <c r="A844" s="15" t="s">
        <v>70</v>
      </c>
      <c r="B844" s="16" t="s">
        <v>77</v>
      </c>
      <c r="C844" s="16">
        <v>81</v>
      </c>
      <c r="D844" s="16">
        <v>1.95</v>
      </c>
    </row>
    <row r="845" spans="1:4" x14ac:dyDescent="0.2">
      <c r="A845" s="17" t="s">
        <v>70</v>
      </c>
      <c r="B845" s="18" t="s">
        <v>77</v>
      </c>
      <c r="C845" s="18">
        <v>82</v>
      </c>
      <c r="D845" s="18">
        <v>1.87</v>
      </c>
    </row>
    <row r="846" spans="1:4" x14ac:dyDescent="0.2">
      <c r="A846" s="15" t="s">
        <v>70</v>
      </c>
      <c r="B846" s="16" t="s">
        <v>77</v>
      </c>
      <c r="C846" s="16">
        <v>83</v>
      </c>
      <c r="D846" s="16">
        <v>1.79</v>
      </c>
    </row>
    <row r="847" spans="1:4" x14ac:dyDescent="0.2">
      <c r="A847" s="17" t="s">
        <v>70</v>
      </c>
      <c r="B847" s="18" t="s">
        <v>77</v>
      </c>
      <c r="C847" s="18">
        <v>84</v>
      </c>
      <c r="D847" s="18">
        <v>1.72</v>
      </c>
    </row>
    <row r="848" spans="1:4" x14ac:dyDescent="0.2">
      <c r="A848" s="15" t="s">
        <v>70</v>
      </c>
      <c r="B848" s="16" t="s">
        <v>77</v>
      </c>
      <c r="C848" s="16">
        <v>85</v>
      </c>
      <c r="D848" s="16">
        <v>1.65</v>
      </c>
    </row>
    <row r="849" spans="1:4" x14ac:dyDescent="0.2">
      <c r="A849" s="17" t="s">
        <v>70</v>
      </c>
      <c r="B849" s="18" t="s">
        <v>77</v>
      </c>
      <c r="C849" s="18">
        <v>86</v>
      </c>
      <c r="D849" s="18">
        <v>1.58</v>
      </c>
    </row>
    <row r="850" spans="1:4" x14ac:dyDescent="0.2">
      <c r="A850" s="15" t="s">
        <v>70</v>
      </c>
      <c r="B850" s="16" t="s">
        <v>77</v>
      </c>
      <c r="C850" s="16">
        <v>87</v>
      </c>
      <c r="D850" s="16">
        <v>1.52</v>
      </c>
    </row>
    <row r="851" spans="1:4" x14ac:dyDescent="0.2">
      <c r="A851" s="17" t="s">
        <v>70</v>
      </c>
      <c r="B851" s="18" t="s">
        <v>77</v>
      </c>
      <c r="C851" s="18">
        <v>88</v>
      </c>
      <c r="D851" s="18">
        <v>1.46</v>
      </c>
    </row>
    <row r="852" spans="1:4" x14ac:dyDescent="0.2">
      <c r="A852" s="15" t="s">
        <v>70</v>
      </c>
      <c r="B852" s="16" t="s">
        <v>77</v>
      </c>
      <c r="C852" s="16">
        <v>89</v>
      </c>
      <c r="D852" s="16">
        <v>1.4</v>
      </c>
    </row>
    <row r="853" spans="1:4" x14ac:dyDescent="0.2">
      <c r="A853" s="17" t="s">
        <v>70</v>
      </c>
      <c r="B853" s="18" t="s">
        <v>77</v>
      </c>
      <c r="C853" s="18">
        <v>90</v>
      </c>
      <c r="D853" s="18">
        <v>1.34</v>
      </c>
    </row>
    <row r="854" spans="1:4" x14ac:dyDescent="0.2">
      <c r="A854" s="15" t="s">
        <v>71</v>
      </c>
      <c r="B854" s="16" t="s">
        <v>77</v>
      </c>
      <c r="C854" s="16">
        <v>18</v>
      </c>
      <c r="D854" s="16">
        <v>22.01</v>
      </c>
    </row>
    <row r="855" spans="1:4" x14ac:dyDescent="0.2">
      <c r="A855" s="17" t="s">
        <v>71</v>
      </c>
      <c r="B855" s="18" t="s">
        <v>77</v>
      </c>
      <c r="C855" s="18">
        <v>19</v>
      </c>
      <c r="D855" s="18">
        <v>21.56</v>
      </c>
    </row>
    <row r="856" spans="1:4" x14ac:dyDescent="0.2">
      <c r="A856" s="15" t="s">
        <v>71</v>
      </c>
      <c r="B856" s="16" t="s">
        <v>77</v>
      </c>
      <c r="C856" s="16">
        <v>20</v>
      </c>
      <c r="D856" s="16">
        <v>21.12</v>
      </c>
    </row>
    <row r="857" spans="1:4" x14ac:dyDescent="0.2">
      <c r="A857" s="17" t="s">
        <v>71</v>
      </c>
      <c r="B857" s="18" t="s">
        <v>77</v>
      </c>
      <c r="C857" s="18">
        <v>21</v>
      </c>
      <c r="D857" s="18">
        <v>20.67</v>
      </c>
    </row>
    <row r="858" spans="1:4" x14ac:dyDescent="0.2">
      <c r="A858" s="15" t="s">
        <v>71</v>
      </c>
      <c r="B858" s="16" t="s">
        <v>77</v>
      </c>
      <c r="C858" s="16">
        <v>22</v>
      </c>
      <c r="D858" s="16">
        <v>20.23</v>
      </c>
    </row>
    <row r="859" spans="1:4" x14ac:dyDescent="0.2">
      <c r="A859" s="17" t="s">
        <v>71</v>
      </c>
      <c r="B859" s="18" t="s">
        <v>77</v>
      </c>
      <c r="C859" s="18">
        <v>23</v>
      </c>
      <c r="D859" s="18">
        <v>19.79</v>
      </c>
    </row>
    <row r="860" spans="1:4" x14ac:dyDescent="0.2">
      <c r="A860" s="15" t="s">
        <v>71</v>
      </c>
      <c r="B860" s="16" t="s">
        <v>77</v>
      </c>
      <c r="C860" s="16">
        <v>24</v>
      </c>
      <c r="D860" s="16">
        <v>19.34</v>
      </c>
    </row>
    <row r="861" spans="1:4" x14ac:dyDescent="0.2">
      <c r="A861" s="17" t="s">
        <v>71</v>
      </c>
      <c r="B861" s="18" t="s">
        <v>77</v>
      </c>
      <c r="C861" s="18">
        <v>25</v>
      </c>
      <c r="D861" s="18">
        <v>18.899999999999999</v>
      </c>
    </row>
    <row r="862" spans="1:4" x14ac:dyDescent="0.2">
      <c r="A862" s="15" t="s">
        <v>71</v>
      </c>
      <c r="B862" s="16" t="s">
        <v>77</v>
      </c>
      <c r="C862" s="16">
        <v>26</v>
      </c>
      <c r="D862" s="16">
        <v>18.46</v>
      </c>
    </row>
    <row r="863" spans="1:4" x14ac:dyDescent="0.2">
      <c r="A863" s="17" t="s">
        <v>71</v>
      </c>
      <c r="B863" s="18" t="s">
        <v>77</v>
      </c>
      <c r="C863" s="18">
        <v>27</v>
      </c>
      <c r="D863" s="18">
        <v>18.02</v>
      </c>
    </row>
    <row r="864" spans="1:4" x14ac:dyDescent="0.2">
      <c r="A864" s="15" t="s">
        <v>71</v>
      </c>
      <c r="B864" s="16" t="s">
        <v>77</v>
      </c>
      <c r="C864" s="16">
        <v>28</v>
      </c>
      <c r="D864" s="16">
        <v>17.579999999999998</v>
      </c>
    </row>
    <row r="865" spans="1:4" x14ac:dyDescent="0.2">
      <c r="A865" s="17" t="s">
        <v>71</v>
      </c>
      <c r="B865" s="18" t="s">
        <v>77</v>
      </c>
      <c r="C865" s="18">
        <v>29</v>
      </c>
      <c r="D865" s="18">
        <v>17.14</v>
      </c>
    </row>
    <row r="866" spans="1:4" x14ac:dyDescent="0.2">
      <c r="A866" s="15" t="s">
        <v>71</v>
      </c>
      <c r="B866" s="16" t="s">
        <v>77</v>
      </c>
      <c r="C866" s="16">
        <v>30</v>
      </c>
      <c r="D866" s="16">
        <v>16.7</v>
      </c>
    </row>
    <row r="867" spans="1:4" x14ac:dyDescent="0.2">
      <c r="A867" s="17" t="s">
        <v>71</v>
      </c>
      <c r="B867" s="18" t="s">
        <v>77</v>
      </c>
      <c r="C867" s="18">
        <v>31</v>
      </c>
      <c r="D867" s="18">
        <v>16.260000000000002</v>
      </c>
    </row>
    <row r="868" spans="1:4" x14ac:dyDescent="0.2">
      <c r="A868" s="15" t="s">
        <v>71</v>
      </c>
      <c r="B868" s="16" t="s">
        <v>77</v>
      </c>
      <c r="C868" s="16">
        <v>32</v>
      </c>
      <c r="D868" s="16">
        <v>15.81</v>
      </c>
    </row>
    <row r="869" spans="1:4" x14ac:dyDescent="0.2">
      <c r="A869" s="17" t="s">
        <v>71</v>
      </c>
      <c r="B869" s="18" t="s">
        <v>77</v>
      </c>
      <c r="C869" s="18">
        <v>33</v>
      </c>
      <c r="D869" s="18">
        <v>15.37</v>
      </c>
    </row>
    <row r="870" spans="1:4" x14ac:dyDescent="0.2">
      <c r="A870" s="15" t="s">
        <v>71</v>
      </c>
      <c r="B870" s="16" t="s">
        <v>77</v>
      </c>
      <c r="C870" s="16">
        <v>34</v>
      </c>
      <c r="D870" s="16">
        <v>14.92</v>
      </c>
    </row>
    <row r="871" spans="1:4" x14ac:dyDescent="0.2">
      <c r="A871" s="17" t="s">
        <v>71</v>
      </c>
      <c r="B871" s="18" t="s">
        <v>77</v>
      </c>
      <c r="C871" s="18">
        <v>35</v>
      </c>
      <c r="D871" s="18">
        <v>14.47</v>
      </c>
    </row>
    <row r="872" spans="1:4" x14ac:dyDescent="0.2">
      <c r="A872" s="15" t="s">
        <v>71</v>
      </c>
      <c r="B872" s="16" t="s">
        <v>77</v>
      </c>
      <c r="C872" s="16">
        <v>36</v>
      </c>
      <c r="D872" s="16">
        <v>14.02</v>
      </c>
    </row>
    <row r="873" spans="1:4" x14ac:dyDescent="0.2">
      <c r="A873" s="17" t="s">
        <v>71</v>
      </c>
      <c r="B873" s="18" t="s">
        <v>77</v>
      </c>
      <c r="C873" s="18">
        <v>37</v>
      </c>
      <c r="D873" s="18">
        <v>13.57</v>
      </c>
    </row>
    <row r="874" spans="1:4" x14ac:dyDescent="0.2">
      <c r="A874" s="15" t="s">
        <v>71</v>
      </c>
      <c r="B874" s="16" t="s">
        <v>77</v>
      </c>
      <c r="C874" s="16">
        <v>38</v>
      </c>
      <c r="D874" s="16">
        <v>13.12</v>
      </c>
    </row>
    <row r="875" spans="1:4" x14ac:dyDescent="0.2">
      <c r="A875" s="17" t="s">
        <v>71</v>
      </c>
      <c r="B875" s="18" t="s">
        <v>77</v>
      </c>
      <c r="C875" s="18">
        <v>39</v>
      </c>
      <c r="D875" s="18">
        <v>12.67</v>
      </c>
    </row>
    <row r="876" spans="1:4" x14ac:dyDescent="0.2">
      <c r="A876" s="15" t="s">
        <v>71</v>
      </c>
      <c r="B876" s="16" t="s">
        <v>77</v>
      </c>
      <c r="C876" s="16">
        <v>40</v>
      </c>
      <c r="D876" s="16">
        <v>12.23</v>
      </c>
    </row>
    <row r="877" spans="1:4" x14ac:dyDescent="0.2">
      <c r="A877" s="17" t="s">
        <v>71</v>
      </c>
      <c r="B877" s="18" t="s">
        <v>77</v>
      </c>
      <c r="C877" s="18">
        <v>41</v>
      </c>
      <c r="D877" s="18">
        <v>11.78</v>
      </c>
    </row>
    <row r="878" spans="1:4" x14ac:dyDescent="0.2">
      <c r="A878" s="15" t="s">
        <v>71</v>
      </c>
      <c r="B878" s="16" t="s">
        <v>77</v>
      </c>
      <c r="C878" s="16">
        <v>42</v>
      </c>
      <c r="D878" s="16">
        <v>11.34</v>
      </c>
    </row>
    <row r="879" spans="1:4" x14ac:dyDescent="0.2">
      <c r="A879" s="17" t="s">
        <v>71</v>
      </c>
      <c r="B879" s="18" t="s">
        <v>77</v>
      </c>
      <c r="C879" s="18">
        <v>43</v>
      </c>
      <c r="D879" s="18">
        <v>10.9</v>
      </c>
    </row>
    <row r="880" spans="1:4" x14ac:dyDescent="0.2">
      <c r="A880" s="15" t="s">
        <v>71</v>
      </c>
      <c r="B880" s="16" t="s">
        <v>77</v>
      </c>
      <c r="C880" s="16">
        <v>44</v>
      </c>
      <c r="D880" s="16">
        <v>10.47</v>
      </c>
    </row>
    <row r="881" spans="1:4" x14ac:dyDescent="0.2">
      <c r="A881" s="17" t="s">
        <v>71</v>
      </c>
      <c r="B881" s="18" t="s">
        <v>77</v>
      </c>
      <c r="C881" s="18">
        <v>45</v>
      </c>
      <c r="D881" s="18">
        <v>10.050000000000001</v>
      </c>
    </row>
    <row r="882" spans="1:4" x14ac:dyDescent="0.2">
      <c r="A882" s="15" t="s">
        <v>71</v>
      </c>
      <c r="B882" s="16" t="s">
        <v>77</v>
      </c>
      <c r="C882" s="16">
        <v>46</v>
      </c>
      <c r="D882" s="16">
        <v>9.6300000000000008</v>
      </c>
    </row>
    <row r="883" spans="1:4" x14ac:dyDescent="0.2">
      <c r="A883" s="17" t="s">
        <v>71</v>
      </c>
      <c r="B883" s="18" t="s">
        <v>77</v>
      </c>
      <c r="C883" s="18">
        <v>47</v>
      </c>
      <c r="D883" s="18">
        <v>9.23</v>
      </c>
    </row>
    <row r="884" spans="1:4" x14ac:dyDescent="0.2">
      <c r="A884" s="15" t="s">
        <v>71</v>
      </c>
      <c r="B884" s="16" t="s">
        <v>77</v>
      </c>
      <c r="C884" s="16">
        <v>48</v>
      </c>
      <c r="D884" s="16">
        <v>8.84</v>
      </c>
    </row>
    <row r="885" spans="1:4" x14ac:dyDescent="0.2">
      <c r="A885" s="17" t="s">
        <v>71</v>
      </c>
      <c r="B885" s="18" t="s">
        <v>77</v>
      </c>
      <c r="C885" s="18">
        <v>49</v>
      </c>
      <c r="D885" s="18">
        <v>8.4600000000000009</v>
      </c>
    </row>
    <row r="886" spans="1:4" x14ac:dyDescent="0.2">
      <c r="A886" s="15" t="s">
        <v>71</v>
      </c>
      <c r="B886" s="16" t="s">
        <v>77</v>
      </c>
      <c r="C886" s="16">
        <v>50</v>
      </c>
      <c r="D886" s="16">
        <v>8.09</v>
      </c>
    </row>
    <row r="887" spans="1:4" x14ac:dyDescent="0.2">
      <c r="A887" s="17" t="s">
        <v>71</v>
      </c>
      <c r="B887" s="18" t="s">
        <v>77</v>
      </c>
      <c r="C887" s="18">
        <v>51</v>
      </c>
      <c r="D887" s="18">
        <v>7.73</v>
      </c>
    </row>
    <row r="888" spans="1:4" x14ac:dyDescent="0.2">
      <c r="A888" s="15" t="s">
        <v>71</v>
      </c>
      <c r="B888" s="16" t="s">
        <v>77</v>
      </c>
      <c r="C888" s="16">
        <v>52</v>
      </c>
      <c r="D888" s="16">
        <v>7.38</v>
      </c>
    </row>
    <row r="889" spans="1:4" x14ac:dyDescent="0.2">
      <c r="A889" s="17" t="s">
        <v>71</v>
      </c>
      <c r="B889" s="18" t="s">
        <v>77</v>
      </c>
      <c r="C889" s="18">
        <v>53</v>
      </c>
      <c r="D889" s="18">
        <v>7.04</v>
      </c>
    </row>
    <row r="890" spans="1:4" x14ac:dyDescent="0.2">
      <c r="A890" s="15" t="s">
        <v>71</v>
      </c>
      <c r="B890" s="16" t="s">
        <v>77</v>
      </c>
      <c r="C890" s="16">
        <v>54</v>
      </c>
      <c r="D890" s="16">
        <v>6.71</v>
      </c>
    </row>
    <row r="891" spans="1:4" x14ac:dyDescent="0.2">
      <c r="A891" s="17" t="s">
        <v>71</v>
      </c>
      <c r="B891" s="18" t="s">
        <v>77</v>
      </c>
      <c r="C891" s="18">
        <v>55</v>
      </c>
      <c r="D891" s="18">
        <v>6.4</v>
      </c>
    </row>
    <row r="892" spans="1:4" x14ac:dyDescent="0.2">
      <c r="A892" s="15" t="s">
        <v>71</v>
      </c>
      <c r="B892" s="16" t="s">
        <v>77</v>
      </c>
      <c r="C892" s="16">
        <v>56</v>
      </c>
      <c r="D892" s="16">
        <v>6.1</v>
      </c>
    </row>
    <row r="893" spans="1:4" x14ac:dyDescent="0.2">
      <c r="A893" s="17" t="s">
        <v>71</v>
      </c>
      <c r="B893" s="18" t="s">
        <v>77</v>
      </c>
      <c r="C893" s="18">
        <v>57</v>
      </c>
      <c r="D893" s="18">
        <v>5.82</v>
      </c>
    </row>
    <row r="894" spans="1:4" x14ac:dyDescent="0.2">
      <c r="A894" s="15" t="s">
        <v>71</v>
      </c>
      <c r="B894" s="16" t="s">
        <v>77</v>
      </c>
      <c r="C894" s="16">
        <v>58</v>
      </c>
      <c r="D894" s="16">
        <v>5.54</v>
      </c>
    </row>
    <row r="895" spans="1:4" x14ac:dyDescent="0.2">
      <c r="A895" s="17" t="s">
        <v>71</v>
      </c>
      <c r="B895" s="18" t="s">
        <v>77</v>
      </c>
      <c r="C895" s="18">
        <v>59</v>
      </c>
      <c r="D895" s="18">
        <v>5.28</v>
      </c>
    </row>
    <row r="896" spans="1:4" x14ac:dyDescent="0.2">
      <c r="A896" s="15" t="s">
        <v>71</v>
      </c>
      <c r="B896" s="16" t="s">
        <v>77</v>
      </c>
      <c r="C896" s="16">
        <v>60</v>
      </c>
      <c r="D896" s="16">
        <v>5.04</v>
      </c>
    </row>
    <row r="897" spans="1:4" x14ac:dyDescent="0.2">
      <c r="A897" s="17" t="s">
        <v>71</v>
      </c>
      <c r="B897" s="18" t="s">
        <v>77</v>
      </c>
      <c r="C897" s="18">
        <v>61</v>
      </c>
      <c r="D897" s="18">
        <v>4.8</v>
      </c>
    </row>
    <row r="898" spans="1:4" x14ac:dyDescent="0.2">
      <c r="A898" s="15" t="s">
        <v>71</v>
      </c>
      <c r="B898" s="16" t="s">
        <v>77</v>
      </c>
      <c r="C898" s="16">
        <v>62</v>
      </c>
      <c r="D898" s="16">
        <v>4.58</v>
      </c>
    </row>
    <row r="899" spans="1:4" x14ac:dyDescent="0.2">
      <c r="A899" s="17" t="s">
        <v>71</v>
      </c>
      <c r="B899" s="18" t="s">
        <v>77</v>
      </c>
      <c r="C899" s="18">
        <v>63</v>
      </c>
      <c r="D899" s="18">
        <v>4.37</v>
      </c>
    </row>
    <row r="900" spans="1:4" x14ac:dyDescent="0.2">
      <c r="A900" s="15" t="s">
        <v>71</v>
      </c>
      <c r="B900" s="16" t="s">
        <v>77</v>
      </c>
      <c r="C900" s="16">
        <v>64</v>
      </c>
      <c r="D900" s="16">
        <v>4.17</v>
      </c>
    </row>
    <row r="901" spans="1:4" x14ac:dyDescent="0.2">
      <c r="A901" s="17" t="s">
        <v>71</v>
      </c>
      <c r="B901" s="18" t="s">
        <v>77</v>
      </c>
      <c r="C901" s="18">
        <v>65</v>
      </c>
      <c r="D901" s="18">
        <v>3.98</v>
      </c>
    </row>
    <row r="902" spans="1:4" x14ac:dyDescent="0.2">
      <c r="A902" s="15" t="s">
        <v>71</v>
      </c>
      <c r="B902" s="16" t="s">
        <v>77</v>
      </c>
      <c r="C902" s="16">
        <v>66</v>
      </c>
      <c r="D902" s="16">
        <v>3.8</v>
      </c>
    </row>
    <row r="903" spans="1:4" x14ac:dyDescent="0.2">
      <c r="A903" s="17" t="s">
        <v>71</v>
      </c>
      <c r="B903" s="18" t="s">
        <v>77</v>
      </c>
      <c r="C903" s="18">
        <v>67</v>
      </c>
      <c r="D903" s="18">
        <v>3.63</v>
      </c>
    </row>
    <row r="904" spans="1:4" x14ac:dyDescent="0.2">
      <c r="A904" s="15" t="s">
        <v>71</v>
      </c>
      <c r="B904" s="16" t="s">
        <v>77</v>
      </c>
      <c r="C904" s="16">
        <v>68</v>
      </c>
      <c r="D904" s="16">
        <v>3.47</v>
      </c>
    </row>
    <row r="905" spans="1:4" x14ac:dyDescent="0.2">
      <c r="A905" s="17" t="s">
        <v>71</v>
      </c>
      <c r="B905" s="18" t="s">
        <v>77</v>
      </c>
      <c r="C905" s="18">
        <v>69</v>
      </c>
      <c r="D905" s="18">
        <v>3.32</v>
      </c>
    </row>
    <row r="906" spans="1:4" x14ac:dyDescent="0.2">
      <c r="A906" s="15" t="s">
        <v>71</v>
      </c>
      <c r="B906" s="16" t="s">
        <v>77</v>
      </c>
      <c r="C906" s="16">
        <v>70</v>
      </c>
      <c r="D906" s="16">
        <v>3.18</v>
      </c>
    </row>
    <row r="907" spans="1:4" x14ac:dyDescent="0.2">
      <c r="A907" s="17" t="s">
        <v>71</v>
      </c>
      <c r="B907" s="18" t="s">
        <v>77</v>
      </c>
      <c r="C907" s="18">
        <v>71</v>
      </c>
      <c r="D907" s="18">
        <v>3.05</v>
      </c>
    </row>
    <row r="908" spans="1:4" x14ac:dyDescent="0.2">
      <c r="A908" s="15" t="s">
        <v>71</v>
      </c>
      <c r="B908" s="16" t="s">
        <v>77</v>
      </c>
      <c r="C908" s="16">
        <v>72</v>
      </c>
      <c r="D908" s="16">
        <v>2.92</v>
      </c>
    </row>
    <row r="909" spans="1:4" x14ac:dyDescent="0.2">
      <c r="A909" s="17" t="s">
        <v>71</v>
      </c>
      <c r="B909" s="18" t="s">
        <v>77</v>
      </c>
      <c r="C909" s="18">
        <v>73</v>
      </c>
      <c r="D909" s="18">
        <v>2.81</v>
      </c>
    </row>
    <row r="910" spans="1:4" x14ac:dyDescent="0.2">
      <c r="A910" s="15" t="s">
        <v>71</v>
      </c>
      <c r="B910" s="16" t="s">
        <v>77</v>
      </c>
      <c r="C910" s="16">
        <v>74</v>
      </c>
      <c r="D910" s="16">
        <v>2.7</v>
      </c>
    </row>
    <row r="911" spans="1:4" x14ac:dyDescent="0.2">
      <c r="A911" s="17" t="s">
        <v>71</v>
      </c>
      <c r="B911" s="18" t="s">
        <v>77</v>
      </c>
      <c r="C911" s="18">
        <v>75</v>
      </c>
      <c r="D911" s="18">
        <v>2.59</v>
      </c>
    </row>
    <row r="912" spans="1:4" x14ac:dyDescent="0.2">
      <c r="A912" s="15" t="s">
        <v>71</v>
      </c>
      <c r="B912" s="16" t="s">
        <v>77</v>
      </c>
      <c r="C912" s="16">
        <v>76</v>
      </c>
      <c r="D912" s="16">
        <v>2.5</v>
      </c>
    </row>
    <row r="913" spans="1:4" x14ac:dyDescent="0.2">
      <c r="A913" s="17" t="s">
        <v>71</v>
      </c>
      <c r="B913" s="18" t="s">
        <v>77</v>
      </c>
      <c r="C913" s="18">
        <v>77</v>
      </c>
      <c r="D913" s="18">
        <v>2.4</v>
      </c>
    </row>
    <row r="914" spans="1:4" x14ac:dyDescent="0.2">
      <c r="A914" s="15" t="s">
        <v>71</v>
      </c>
      <c r="B914" s="16" t="s">
        <v>77</v>
      </c>
      <c r="C914" s="16">
        <v>78</v>
      </c>
      <c r="D914" s="16">
        <v>2.3199999999999998</v>
      </c>
    </row>
    <row r="915" spans="1:4" x14ac:dyDescent="0.2">
      <c r="A915" s="17" t="s">
        <v>71</v>
      </c>
      <c r="B915" s="18" t="s">
        <v>77</v>
      </c>
      <c r="C915" s="18">
        <v>79</v>
      </c>
      <c r="D915" s="18">
        <v>2.23</v>
      </c>
    </row>
    <row r="916" spans="1:4" x14ac:dyDescent="0.2">
      <c r="A916" s="15" t="s">
        <v>71</v>
      </c>
      <c r="B916" s="16" t="s">
        <v>77</v>
      </c>
      <c r="C916" s="16">
        <v>80</v>
      </c>
      <c r="D916" s="16">
        <v>2.15</v>
      </c>
    </row>
    <row r="917" spans="1:4" x14ac:dyDescent="0.2">
      <c r="A917" s="17" t="s">
        <v>71</v>
      </c>
      <c r="B917" s="18" t="s">
        <v>77</v>
      </c>
      <c r="C917" s="18">
        <v>81</v>
      </c>
      <c r="D917" s="18">
        <v>2.08</v>
      </c>
    </row>
    <row r="918" spans="1:4" x14ac:dyDescent="0.2">
      <c r="A918" s="15" t="s">
        <v>71</v>
      </c>
      <c r="B918" s="16" t="s">
        <v>77</v>
      </c>
      <c r="C918" s="16">
        <v>82</v>
      </c>
      <c r="D918" s="16">
        <v>2.0099999999999998</v>
      </c>
    </row>
    <row r="919" spans="1:4" x14ac:dyDescent="0.2">
      <c r="A919" s="17" t="s">
        <v>71</v>
      </c>
      <c r="B919" s="18" t="s">
        <v>77</v>
      </c>
      <c r="C919" s="18">
        <v>83</v>
      </c>
      <c r="D919" s="18">
        <v>1.94</v>
      </c>
    </row>
    <row r="920" spans="1:4" x14ac:dyDescent="0.2">
      <c r="A920" s="15" t="s">
        <v>71</v>
      </c>
      <c r="B920" s="16" t="s">
        <v>77</v>
      </c>
      <c r="C920" s="16">
        <v>84</v>
      </c>
      <c r="D920" s="16">
        <v>1.87</v>
      </c>
    </row>
    <row r="921" spans="1:4" x14ac:dyDescent="0.2">
      <c r="A921" s="17" t="s">
        <v>71</v>
      </c>
      <c r="B921" s="18" t="s">
        <v>77</v>
      </c>
      <c r="C921" s="18">
        <v>85</v>
      </c>
      <c r="D921" s="18">
        <v>1.8</v>
      </c>
    </row>
    <row r="922" spans="1:4" x14ac:dyDescent="0.2">
      <c r="A922" s="15" t="s">
        <v>71</v>
      </c>
      <c r="B922" s="16" t="s">
        <v>77</v>
      </c>
      <c r="C922" s="16">
        <v>86</v>
      </c>
      <c r="D922" s="16">
        <v>1.74</v>
      </c>
    </row>
    <row r="923" spans="1:4" x14ac:dyDescent="0.2">
      <c r="A923" s="17" t="s">
        <v>71</v>
      </c>
      <c r="B923" s="18" t="s">
        <v>77</v>
      </c>
      <c r="C923" s="18">
        <v>87</v>
      </c>
      <c r="D923" s="18">
        <v>1.67</v>
      </c>
    </row>
    <row r="924" spans="1:4" x14ac:dyDescent="0.2">
      <c r="A924" s="15" t="s">
        <v>71</v>
      </c>
      <c r="B924" s="16" t="s">
        <v>77</v>
      </c>
      <c r="C924" s="16">
        <v>88</v>
      </c>
      <c r="D924" s="16">
        <v>1.61</v>
      </c>
    </row>
    <row r="925" spans="1:4" x14ac:dyDescent="0.2">
      <c r="A925" s="17" t="s">
        <v>71</v>
      </c>
      <c r="B925" s="18" t="s">
        <v>77</v>
      </c>
      <c r="C925" s="18">
        <v>89</v>
      </c>
      <c r="D925" s="18">
        <v>1.55</v>
      </c>
    </row>
    <row r="926" spans="1:4" x14ac:dyDescent="0.2">
      <c r="A926" s="15" t="s">
        <v>71</v>
      </c>
      <c r="B926" s="16" t="s">
        <v>77</v>
      </c>
      <c r="C926" s="16">
        <v>90</v>
      </c>
      <c r="D926" s="16">
        <v>1.49</v>
      </c>
    </row>
    <row r="927" spans="1:4" x14ac:dyDescent="0.2">
      <c r="A927" s="17" t="s">
        <v>3</v>
      </c>
      <c r="B927" s="18" t="s">
        <v>77</v>
      </c>
      <c r="C927" s="18">
        <v>18</v>
      </c>
      <c r="D927" s="18">
        <v>28.21</v>
      </c>
    </row>
    <row r="928" spans="1:4" x14ac:dyDescent="0.2">
      <c r="A928" s="15" t="s">
        <v>3</v>
      </c>
      <c r="B928" s="16" t="s">
        <v>77</v>
      </c>
      <c r="C928" s="16">
        <v>19</v>
      </c>
      <c r="D928" s="16">
        <v>27.68</v>
      </c>
    </row>
    <row r="929" spans="1:4" x14ac:dyDescent="0.2">
      <c r="A929" s="17" t="s">
        <v>3</v>
      </c>
      <c r="B929" s="18" t="s">
        <v>77</v>
      </c>
      <c r="C929" s="18">
        <v>20</v>
      </c>
      <c r="D929" s="18">
        <v>27.15</v>
      </c>
    </row>
    <row r="930" spans="1:4" x14ac:dyDescent="0.2">
      <c r="A930" s="15" t="s">
        <v>3</v>
      </c>
      <c r="B930" s="16" t="s">
        <v>77</v>
      </c>
      <c r="C930" s="16">
        <v>21</v>
      </c>
      <c r="D930" s="16">
        <v>26.61</v>
      </c>
    </row>
    <row r="931" spans="1:4" x14ac:dyDescent="0.2">
      <c r="A931" s="17" t="s">
        <v>3</v>
      </c>
      <c r="B931" s="18" t="s">
        <v>77</v>
      </c>
      <c r="C931" s="18">
        <v>22</v>
      </c>
      <c r="D931" s="18">
        <v>26.07</v>
      </c>
    </row>
    <row r="932" spans="1:4" x14ac:dyDescent="0.2">
      <c r="A932" s="15" t="s">
        <v>3</v>
      </c>
      <c r="B932" s="16" t="s">
        <v>77</v>
      </c>
      <c r="C932" s="16">
        <v>23</v>
      </c>
      <c r="D932" s="16">
        <v>25.53</v>
      </c>
    </row>
    <row r="933" spans="1:4" x14ac:dyDescent="0.2">
      <c r="A933" s="17" t="s">
        <v>3</v>
      </c>
      <c r="B933" s="18" t="s">
        <v>77</v>
      </c>
      <c r="C933" s="18">
        <v>24</v>
      </c>
      <c r="D933" s="18">
        <v>24.98</v>
      </c>
    </row>
    <row r="934" spans="1:4" x14ac:dyDescent="0.2">
      <c r="A934" s="15" t="s">
        <v>3</v>
      </c>
      <c r="B934" s="16" t="s">
        <v>77</v>
      </c>
      <c r="C934" s="16">
        <v>25</v>
      </c>
      <c r="D934" s="16">
        <v>24.43</v>
      </c>
    </row>
    <row r="935" spans="1:4" x14ac:dyDescent="0.2">
      <c r="A935" s="17" t="s">
        <v>3</v>
      </c>
      <c r="B935" s="18" t="s">
        <v>77</v>
      </c>
      <c r="C935" s="18">
        <v>26</v>
      </c>
      <c r="D935" s="18">
        <v>23.87</v>
      </c>
    </row>
    <row r="936" spans="1:4" x14ac:dyDescent="0.2">
      <c r="A936" s="15" t="s">
        <v>3</v>
      </c>
      <c r="B936" s="16" t="s">
        <v>77</v>
      </c>
      <c r="C936" s="16">
        <v>27</v>
      </c>
      <c r="D936" s="16">
        <v>23.3</v>
      </c>
    </row>
    <row r="937" spans="1:4" x14ac:dyDescent="0.2">
      <c r="A937" s="17" t="s">
        <v>3</v>
      </c>
      <c r="B937" s="18" t="s">
        <v>77</v>
      </c>
      <c r="C937" s="18">
        <v>28</v>
      </c>
      <c r="D937" s="18">
        <v>22.73</v>
      </c>
    </row>
    <row r="938" spans="1:4" x14ac:dyDescent="0.2">
      <c r="A938" s="15" t="s">
        <v>3</v>
      </c>
      <c r="B938" s="16" t="s">
        <v>77</v>
      </c>
      <c r="C938" s="16">
        <v>29</v>
      </c>
      <c r="D938" s="16">
        <v>22.14</v>
      </c>
    </row>
    <row r="939" spans="1:4" x14ac:dyDescent="0.2">
      <c r="A939" s="17" t="s">
        <v>3</v>
      </c>
      <c r="B939" s="18" t="s">
        <v>77</v>
      </c>
      <c r="C939" s="18">
        <v>30</v>
      </c>
      <c r="D939" s="18">
        <v>21.54</v>
      </c>
    </row>
    <row r="940" spans="1:4" x14ac:dyDescent="0.2">
      <c r="A940" s="15" t="s">
        <v>3</v>
      </c>
      <c r="B940" s="16" t="s">
        <v>77</v>
      </c>
      <c r="C940" s="16">
        <v>31</v>
      </c>
      <c r="D940" s="16">
        <v>20.93</v>
      </c>
    </row>
    <row r="941" spans="1:4" x14ac:dyDescent="0.2">
      <c r="A941" s="17" t="s">
        <v>3</v>
      </c>
      <c r="B941" s="18" t="s">
        <v>77</v>
      </c>
      <c r="C941" s="18">
        <v>32</v>
      </c>
      <c r="D941" s="18">
        <v>20.309999999999999</v>
      </c>
    </row>
    <row r="942" spans="1:4" x14ac:dyDescent="0.2">
      <c r="A942" s="15" t="s">
        <v>3</v>
      </c>
      <c r="B942" s="16" t="s">
        <v>77</v>
      </c>
      <c r="C942" s="16">
        <v>33</v>
      </c>
      <c r="D942" s="16">
        <v>19.68</v>
      </c>
    </row>
    <row r="943" spans="1:4" x14ac:dyDescent="0.2">
      <c r="A943" s="17" t="s">
        <v>3</v>
      </c>
      <c r="B943" s="18" t="s">
        <v>77</v>
      </c>
      <c r="C943" s="18">
        <v>34</v>
      </c>
      <c r="D943" s="18">
        <v>19.04</v>
      </c>
    </row>
    <row r="944" spans="1:4" x14ac:dyDescent="0.2">
      <c r="A944" s="15" t="s">
        <v>3</v>
      </c>
      <c r="B944" s="16" t="s">
        <v>77</v>
      </c>
      <c r="C944" s="16">
        <v>35</v>
      </c>
      <c r="D944" s="16">
        <v>18.399999999999999</v>
      </c>
    </row>
    <row r="945" spans="1:4" x14ac:dyDescent="0.2">
      <c r="A945" s="17" t="s">
        <v>3</v>
      </c>
      <c r="B945" s="18" t="s">
        <v>77</v>
      </c>
      <c r="C945" s="18">
        <v>36</v>
      </c>
      <c r="D945" s="18">
        <v>17.760000000000002</v>
      </c>
    </row>
    <row r="946" spans="1:4" x14ac:dyDescent="0.2">
      <c r="A946" s="15" t="s">
        <v>3</v>
      </c>
      <c r="B946" s="16" t="s">
        <v>77</v>
      </c>
      <c r="C946" s="16">
        <v>37</v>
      </c>
      <c r="D946" s="16">
        <v>17.11</v>
      </c>
    </row>
    <row r="947" spans="1:4" x14ac:dyDescent="0.2">
      <c r="A947" s="17" t="s">
        <v>3</v>
      </c>
      <c r="B947" s="18" t="s">
        <v>77</v>
      </c>
      <c r="C947" s="18">
        <v>38</v>
      </c>
      <c r="D947" s="18">
        <v>16.48</v>
      </c>
    </row>
    <row r="948" spans="1:4" x14ac:dyDescent="0.2">
      <c r="A948" s="15" t="s">
        <v>3</v>
      </c>
      <c r="B948" s="16" t="s">
        <v>77</v>
      </c>
      <c r="C948" s="16">
        <v>39</v>
      </c>
      <c r="D948" s="16">
        <v>15.85</v>
      </c>
    </row>
    <row r="949" spans="1:4" x14ac:dyDescent="0.2">
      <c r="A949" s="17" t="s">
        <v>3</v>
      </c>
      <c r="B949" s="18" t="s">
        <v>77</v>
      </c>
      <c r="C949" s="18">
        <v>40</v>
      </c>
      <c r="D949" s="18">
        <v>15.24</v>
      </c>
    </row>
    <row r="950" spans="1:4" x14ac:dyDescent="0.2">
      <c r="A950" s="15" t="s">
        <v>3</v>
      </c>
      <c r="B950" s="16" t="s">
        <v>77</v>
      </c>
      <c r="C950" s="16">
        <v>41</v>
      </c>
      <c r="D950" s="16">
        <v>14.66</v>
      </c>
    </row>
    <row r="951" spans="1:4" x14ac:dyDescent="0.2">
      <c r="A951" s="17" t="s">
        <v>3</v>
      </c>
      <c r="B951" s="18" t="s">
        <v>77</v>
      </c>
      <c r="C951" s="18">
        <v>42</v>
      </c>
      <c r="D951" s="18">
        <v>14.1</v>
      </c>
    </row>
    <row r="952" spans="1:4" x14ac:dyDescent="0.2">
      <c r="A952" s="15" t="s">
        <v>3</v>
      </c>
      <c r="B952" s="16" t="s">
        <v>77</v>
      </c>
      <c r="C952" s="16">
        <v>43</v>
      </c>
      <c r="D952" s="16">
        <v>13.58</v>
      </c>
    </row>
    <row r="953" spans="1:4" x14ac:dyDescent="0.2">
      <c r="A953" s="17" t="s">
        <v>3</v>
      </c>
      <c r="B953" s="18" t="s">
        <v>77</v>
      </c>
      <c r="C953" s="18">
        <v>44</v>
      </c>
      <c r="D953" s="18">
        <v>13.08</v>
      </c>
    </row>
    <row r="954" spans="1:4" x14ac:dyDescent="0.2">
      <c r="A954" s="15" t="s">
        <v>3</v>
      </c>
      <c r="B954" s="16" t="s">
        <v>77</v>
      </c>
      <c r="C954" s="16">
        <v>45</v>
      </c>
      <c r="D954" s="16">
        <v>12.62</v>
      </c>
    </row>
    <row r="955" spans="1:4" x14ac:dyDescent="0.2">
      <c r="A955" s="17" t="s">
        <v>3</v>
      </c>
      <c r="B955" s="18" t="s">
        <v>77</v>
      </c>
      <c r="C955" s="18">
        <v>46</v>
      </c>
      <c r="D955" s="18">
        <v>12.18</v>
      </c>
    </row>
    <row r="956" spans="1:4" x14ac:dyDescent="0.2">
      <c r="A956" s="15" t="s">
        <v>3</v>
      </c>
      <c r="B956" s="16" t="s">
        <v>77</v>
      </c>
      <c r="C956" s="16">
        <v>47</v>
      </c>
      <c r="D956" s="16">
        <v>11.76</v>
      </c>
    </row>
    <row r="957" spans="1:4" x14ac:dyDescent="0.2">
      <c r="A957" s="17" t="s">
        <v>3</v>
      </c>
      <c r="B957" s="18" t="s">
        <v>77</v>
      </c>
      <c r="C957" s="18">
        <v>48</v>
      </c>
      <c r="D957" s="18">
        <v>11.34</v>
      </c>
    </row>
    <row r="958" spans="1:4" x14ac:dyDescent="0.2">
      <c r="A958" s="15" t="s">
        <v>3</v>
      </c>
      <c r="B958" s="16" t="s">
        <v>77</v>
      </c>
      <c r="C958" s="16">
        <v>49</v>
      </c>
      <c r="D958" s="16">
        <v>10.92</v>
      </c>
    </row>
    <row r="959" spans="1:4" x14ac:dyDescent="0.2">
      <c r="A959" s="17" t="s">
        <v>3</v>
      </c>
      <c r="B959" s="18" t="s">
        <v>77</v>
      </c>
      <c r="C959" s="18">
        <v>50</v>
      </c>
      <c r="D959" s="18">
        <v>10.49</v>
      </c>
    </row>
    <row r="960" spans="1:4" x14ac:dyDescent="0.2">
      <c r="A960" s="15" t="s">
        <v>3</v>
      </c>
      <c r="B960" s="16" t="s">
        <v>77</v>
      </c>
      <c r="C960" s="16">
        <v>51</v>
      </c>
      <c r="D960" s="16">
        <v>10.029999999999999</v>
      </c>
    </row>
    <row r="961" spans="1:4" x14ac:dyDescent="0.2">
      <c r="A961" s="17" t="s">
        <v>3</v>
      </c>
      <c r="B961" s="18" t="s">
        <v>77</v>
      </c>
      <c r="C961" s="18">
        <v>52</v>
      </c>
      <c r="D961" s="18">
        <v>9.58</v>
      </c>
    </row>
    <row r="962" spans="1:4" x14ac:dyDescent="0.2">
      <c r="A962" s="15" t="s">
        <v>3</v>
      </c>
      <c r="B962" s="16" t="s">
        <v>77</v>
      </c>
      <c r="C962" s="16">
        <v>53</v>
      </c>
      <c r="D962" s="16">
        <v>9.11</v>
      </c>
    </row>
    <row r="963" spans="1:4" x14ac:dyDescent="0.2">
      <c r="A963" s="17" t="s">
        <v>3</v>
      </c>
      <c r="B963" s="18" t="s">
        <v>77</v>
      </c>
      <c r="C963" s="18">
        <v>54</v>
      </c>
      <c r="D963" s="18">
        <v>8.65</v>
      </c>
    </row>
    <row r="964" spans="1:4" x14ac:dyDescent="0.2">
      <c r="A964" s="15" t="s">
        <v>3</v>
      </c>
      <c r="B964" s="16" t="s">
        <v>77</v>
      </c>
      <c r="C964" s="16">
        <v>55</v>
      </c>
      <c r="D964" s="16">
        <v>8.18</v>
      </c>
    </row>
    <row r="965" spans="1:4" x14ac:dyDescent="0.2">
      <c r="A965" s="17" t="s">
        <v>3</v>
      </c>
      <c r="B965" s="18" t="s">
        <v>77</v>
      </c>
      <c r="C965" s="18">
        <v>56</v>
      </c>
      <c r="D965" s="18">
        <v>7.72</v>
      </c>
    </row>
    <row r="966" spans="1:4" x14ac:dyDescent="0.2">
      <c r="A966" s="15" t="s">
        <v>3</v>
      </c>
      <c r="B966" s="16" t="s">
        <v>77</v>
      </c>
      <c r="C966" s="16">
        <v>57</v>
      </c>
      <c r="D966" s="16">
        <v>7.26</v>
      </c>
    </row>
    <row r="967" spans="1:4" x14ac:dyDescent="0.2">
      <c r="A967" s="17" t="s">
        <v>3</v>
      </c>
      <c r="B967" s="18" t="s">
        <v>77</v>
      </c>
      <c r="C967" s="18">
        <v>58</v>
      </c>
      <c r="D967" s="18">
        <v>6.82</v>
      </c>
    </row>
    <row r="968" spans="1:4" x14ac:dyDescent="0.2">
      <c r="A968" s="15" t="s">
        <v>3</v>
      </c>
      <c r="B968" s="16" t="s">
        <v>77</v>
      </c>
      <c r="C968" s="16">
        <v>59</v>
      </c>
      <c r="D968" s="16">
        <v>6.41</v>
      </c>
    </row>
    <row r="969" spans="1:4" x14ac:dyDescent="0.2">
      <c r="A969" s="17" t="s">
        <v>3</v>
      </c>
      <c r="B969" s="18" t="s">
        <v>77</v>
      </c>
      <c r="C969" s="18">
        <v>60</v>
      </c>
      <c r="D969" s="18">
        <v>6.04</v>
      </c>
    </row>
    <row r="970" spans="1:4" x14ac:dyDescent="0.2">
      <c r="A970" s="15" t="s">
        <v>3</v>
      </c>
      <c r="B970" s="16" t="s">
        <v>77</v>
      </c>
      <c r="C970" s="16">
        <v>61</v>
      </c>
      <c r="D970" s="16">
        <v>5.71</v>
      </c>
    </row>
    <row r="971" spans="1:4" x14ac:dyDescent="0.2">
      <c r="A971" s="17" t="s">
        <v>3</v>
      </c>
      <c r="B971" s="18" t="s">
        <v>77</v>
      </c>
      <c r="C971" s="18">
        <v>62</v>
      </c>
      <c r="D971" s="18">
        <v>5.41</v>
      </c>
    </row>
    <row r="972" spans="1:4" x14ac:dyDescent="0.2">
      <c r="A972" s="15" t="s">
        <v>3</v>
      </c>
      <c r="B972" s="16" t="s">
        <v>77</v>
      </c>
      <c r="C972" s="16">
        <v>63</v>
      </c>
      <c r="D972" s="16">
        <v>5.14</v>
      </c>
    </row>
    <row r="973" spans="1:4" x14ac:dyDescent="0.2">
      <c r="A973" s="17" t="s">
        <v>3</v>
      </c>
      <c r="B973" s="18" t="s">
        <v>77</v>
      </c>
      <c r="C973" s="18">
        <v>64</v>
      </c>
      <c r="D973" s="18">
        <v>4.8899999999999997</v>
      </c>
    </row>
    <row r="974" spans="1:4" x14ac:dyDescent="0.2">
      <c r="A974" s="15" t="s">
        <v>3</v>
      </c>
      <c r="B974" s="16" t="s">
        <v>77</v>
      </c>
      <c r="C974" s="16">
        <v>65</v>
      </c>
      <c r="D974" s="16">
        <v>4.66</v>
      </c>
    </row>
    <row r="975" spans="1:4" x14ac:dyDescent="0.2">
      <c r="A975" s="17" t="s">
        <v>3</v>
      </c>
      <c r="B975" s="18" t="s">
        <v>77</v>
      </c>
      <c r="C975" s="18">
        <v>66</v>
      </c>
      <c r="D975" s="18">
        <v>4.46</v>
      </c>
    </row>
    <row r="976" spans="1:4" x14ac:dyDescent="0.2">
      <c r="A976" s="15" t="s">
        <v>3</v>
      </c>
      <c r="B976" s="16" t="s">
        <v>77</v>
      </c>
      <c r="C976" s="16">
        <v>67</v>
      </c>
      <c r="D976" s="16">
        <v>4.2699999999999996</v>
      </c>
    </row>
    <row r="977" spans="1:4" x14ac:dyDescent="0.2">
      <c r="A977" s="17" t="s">
        <v>3</v>
      </c>
      <c r="B977" s="18" t="s">
        <v>77</v>
      </c>
      <c r="C977" s="18">
        <v>68</v>
      </c>
      <c r="D977" s="18">
        <v>4.0999999999999996</v>
      </c>
    </row>
    <row r="978" spans="1:4" x14ac:dyDescent="0.2">
      <c r="A978" s="15" t="s">
        <v>3</v>
      </c>
      <c r="B978" s="16" t="s">
        <v>77</v>
      </c>
      <c r="C978" s="16">
        <v>69</v>
      </c>
      <c r="D978" s="16">
        <v>3.93</v>
      </c>
    </row>
    <row r="979" spans="1:4" x14ac:dyDescent="0.2">
      <c r="A979" s="17" t="s">
        <v>3</v>
      </c>
      <c r="B979" s="18" t="s">
        <v>77</v>
      </c>
      <c r="C979" s="18">
        <v>70</v>
      </c>
      <c r="D979" s="18">
        <v>3.78</v>
      </c>
    </row>
    <row r="980" spans="1:4" x14ac:dyDescent="0.2">
      <c r="A980" s="15" t="s">
        <v>3</v>
      </c>
      <c r="B980" s="16" t="s">
        <v>77</v>
      </c>
      <c r="C980" s="16">
        <v>71</v>
      </c>
      <c r="D980" s="16">
        <v>3.63</v>
      </c>
    </row>
    <row r="981" spans="1:4" x14ac:dyDescent="0.2">
      <c r="A981" s="17" t="s">
        <v>3</v>
      </c>
      <c r="B981" s="18" t="s">
        <v>77</v>
      </c>
      <c r="C981" s="18">
        <v>72</v>
      </c>
      <c r="D981" s="18">
        <v>3.49</v>
      </c>
    </row>
    <row r="982" spans="1:4" x14ac:dyDescent="0.2">
      <c r="A982" s="15" t="s">
        <v>3</v>
      </c>
      <c r="B982" s="16" t="s">
        <v>77</v>
      </c>
      <c r="C982" s="16">
        <v>73</v>
      </c>
      <c r="D982" s="16">
        <v>3.35</v>
      </c>
    </row>
    <row r="983" spans="1:4" x14ac:dyDescent="0.2">
      <c r="A983" s="17" t="s">
        <v>3</v>
      </c>
      <c r="B983" s="18" t="s">
        <v>77</v>
      </c>
      <c r="C983" s="18">
        <v>74</v>
      </c>
      <c r="D983" s="18">
        <v>3.23</v>
      </c>
    </row>
    <row r="984" spans="1:4" x14ac:dyDescent="0.2">
      <c r="A984" s="15" t="s">
        <v>3</v>
      </c>
      <c r="B984" s="16" t="s">
        <v>77</v>
      </c>
      <c r="C984" s="16">
        <v>75</v>
      </c>
      <c r="D984" s="16">
        <v>3.11</v>
      </c>
    </row>
    <row r="985" spans="1:4" x14ac:dyDescent="0.2">
      <c r="A985" s="17" t="s">
        <v>3</v>
      </c>
      <c r="B985" s="18" t="s">
        <v>77</v>
      </c>
      <c r="C985" s="18">
        <v>76</v>
      </c>
      <c r="D985" s="18">
        <v>2.99</v>
      </c>
    </row>
    <row r="986" spans="1:4" x14ac:dyDescent="0.2">
      <c r="A986" s="15" t="s">
        <v>3</v>
      </c>
      <c r="B986" s="16" t="s">
        <v>77</v>
      </c>
      <c r="C986" s="16">
        <v>77</v>
      </c>
      <c r="D986" s="16">
        <v>2.88</v>
      </c>
    </row>
    <row r="987" spans="1:4" x14ac:dyDescent="0.2">
      <c r="A987" s="17" t="s">
        <v>3</v>
      </c>
      <c r="B987" s="18" t="s">
        <v>77</v>
      </c>
      <c r="C987" s="18">
        <v>78</v>
      </c>
      <c r="D987" s="18">
        <v>2.78</v>
      </c>
    </row>
    <row r="988" spans="1:4" x14ac:dyDescent="0.2">
      <c r="A988" s="15" t="s">
        <v>3</v>
      </c>
      <c r="B988" s="16" t="s">
        <v>77</v>
      </c>
      <c r="C988" s="16">
        <v>79</v>
      </c>
      <c r="D988" s="16">
        <v>2.68</v>
      </c>
    </row>
    <row r="989" spans="1:4" x14ac:dyDescent="0.2">
      <c r="A989" s="17" t="s">
        <v>3</v>
      </c>
      <c r="B989" s="18" t="s">
        <v>77</v>
      </c>
      <c r="C989" s="18">
        <v>80</v>
      </c>
      <c r="D989" s="18">
        <v>2.58</v>
      </c>
    </row>
    <row r="990" spans="1:4" x14ac:dyDescent="0.2">
      <c r="A990" s="15" t="s">
        <v>3</v>
      </c>
      <c r="B990" s="16" t="s">
        <v>77</v>
      </c>
      <c r="C990" s="16">
        <v>81</v>
      </c>
      <c r="D990" s="16">
        <v>2.4900000000000002</v>
      </c>
    </row>
    <row r="991" spans="1:4" x14ac:dyDescent="0.2">
      <c r="A991" s="17" t="s">
        <v>3</v>
      </c>
      <c r="B991" s="18" t="s">
        <v>77</v>
      </c>
      <c r="C991" s="18">
        <v>82</v>
      </c>
      <c r="D991" s="18">
        <v>2.41</v>
      </c>
    </row>
    <row r="992" spans="1:4" x14ac:dyDescent="0.2">
      <c r="A992" s="15" t="s">
        <v>3</v>
      </c>
      <c r="B992" s="16" t="s">
        <v>77</v>
      </c>
      <c r="C992" s="16">
        <v>83</v>
      </c>
      <c r="D992" s="16">
        <v>2.3199999999999998</v>
      </c>
    </row>
    <row r="993" spans="1:4" x14ac:dyDescent="0.2">
      <c r="A993" s="17" t="s">
        <v>3</v>
      </c>
      <c r="B993" s="18" t="s">
        <v>77</v>
      </c>
      <c r="C993" s="18">
        <v>84</v>
      </c>
      <c r="D993" s="18">
        <v>2.23</v>
      </c>
    </row>
    <row r="994" spans="1:4" x14ac:dyDescent="0.2">
      <c r="A994" s="15" t="s">
        <v>3</v>
      </c>
      <c r="B994" s="16" t="s">
        <v>77</v>
      </c>
      <c r="C994" s="16">
        <v>85</v>
      </c>
      <c r="D994" s="16">
        <v>2.15</v>
      </c>
    </row>
    <row r="995" spans="1:4" x14ac:dyDescent="0.2">
      <c r="A995" s="17" t="s">
        <v>3</v>
      </c>
      <c r="B995" s="18" t="s">
        <v>77</v>
      </c>
      <c r="C995" s="18">
        <v>86</v>
      </c>
      <c r="D995" s="18">
        <v>2.06</v>
      </c>
    </row>
    <row r="996" spans="1:4" x14ac:dyDescent="0.2">
      <c r="A996" s="15" t="s">
        <v>3</v>
      </c>
      <c r="B996" s="16" t="s">
        <v>77</v>
      </c>
      <c r="C996" s="16">
        <v>87</v>
      </c>
      <c r="D996" s="16">
        <v>1.98</v>
      </c>
    </row>
    <row r="997" spans="1:4" x14ac:dyDescent="0.2">
      <c r="A997" s="17" t="s">
        <v>3</v>
      </c>
      <c r="B997" s="18" t="s">
        <v>77</v>
      </c>
      <c r="C997" s="18">
        <v>88</v>
      </c>
      <c r="D997" s="18">
        <v>1.9</v>
      </c>
    </row>
    <row r="998" spans="1:4" x14ac:dyDescent="0.2">
      <c r="A998" s="15" t="s">
        <v>3</v>
      </c>
      <c r="B998" s="16" t="s">
        <v>77</v>
      </c>
      <c r="C998" s="16">
        <v>89</v>
      </c>
      <c r="D998" s="16">
        <v>1.82</v>
      </c>
    </row>
    <row r="999" spans="1:4" x14ac:dyDescent="0.2">
      <c r="A999" s="17" t="s">
        <v>3</v>
      </c>
      <c r="B999" s="18" t="s">
        <v>77</v>
      </c>
      <c r="C999" s="18">
        <v>90</v>
      </c>
      <c r="D999" s="18">
        <v>1.74</v>
      </c>
    </row>
    <row r="1000" spans="1:4" x14ac:dyDescent="0.2">
      <c r="A1000" s="15" t="s">
        <v>2</v>
      </c>
      <c r="B1000" s="16" t="s">
        <v>77</v>
      </c>
      <c r="C1000" s="16">
        <v>18</v>
      </c>
      <c r="D1000" s="16">
        <v>32.1</v>
      </c>
    </row>
    <row r="1001" spans="1:4" x14ac:dyDescent="0.2">
      <c r="A1001" s="17" t="s">
        <v>2</v>
      </c>
      <c r="B1001" s="18" t="s">
        <v>77</v>
      </c>
      <c r="C1001" s="18">
        <v>19</v>
      </c>
      <c r="D1001" s="18">
        <v>31.4</v>
      </c>
    </row>
    <row r="1002" spans="1:4" x14ac:dyDescent="0.2">
      <c r="A1002" s="15" t="s">
        <v>2</v>
      </c>
      <c r="B1002" s="16" t="s">
        <v>77</v>
      </c>
      <c r="C1002" s="16">
        <v>20</v>
      </c>
      <c r="D1002" s="16">
        <v>30.71</v>
      </c>
    </row>
    <row r="1003" spans="1:4" x14ac:dyDescent="0.2">
      <c r="A1003" s="17" t="s">
        <v>2</v>
      </c>
      <c r="B1003" s="18" t="s">
        <v>77</v>
      </c>
      <c r="C1003" s="18">
        <v>21</v>
      </c>
      <c r="D1003" s="18">
        <v>30.04</v>
      </c>
    </row>
    <row r="1004" spans="1:4" x14ac:dyDescent="0.2">
      <c r="A1004" s="15" t="s">
        <v>2</v>
      </c>
      <c r="B1004" s="16" t="s">
        <v>77</v>
      </c>
      <c r="C1004" s="16">
        <v>22</v>
      </c>
      <c r="D1004" s="16">
        <v>29.37</v>
      </c>
    </row>
    <row r="1005" spans="1:4" x14ac:dyDescent="0.2">
      <c r="A1005" s="17" t="s">
        <v>2</v>
      </c>
      <c r="B1005" s="18" t="s">
        <v>77</v>
      </c>
      <c r="C1005" s="18">
        <v>23</v>
      </c>
      <c r="D1005" s="18">
        <v>28.71</v>
      </c>
    </row>
    <row r="1006" spans="1:4" x14ac:dyDescent="0.2">
      <c r="A1006" s="15" t="s">
        <v>2</v>
      </c>
      <c r="B1006" s="16" t="s">
        <v>77</v>
      </c>
      <c r="C1006" s="16">
        <v>24</v>
      </c>
      <c r="D1006" s="16">
        <v>28.06</v>
      </c>
    </row>
    <row r="1007" spans="1:4" x14ac:dyDescent="0.2">
      <c r="A1007" s="17" t="s">
        <v>2</v>
      </c>
      <c r="B1007" s="18" t="s">
        <v>77</v>
      </c>
      <c r="C1007" s="18">
        <v>25</v>
      </c>
      <c r="D1007" s="18">
        <v>27.42</v>
      </c>
    </row>
    <row r="1008" spans="1:4" x14ac:dyDescent="0.2">
      <c r="A1008" s="15" t="s">
        <v>2</v>
      </c>
      <c r="B1008" s="16" t="s">
        <v>77</v>
      </c>
      <c r="C1008" s="16">
        <v>26</v>
      </c>
      <c r="D1008" s="16">
        <v>26.79</v>
      </c>
    </row>
    <row r="1009" spans="1:4" x14ac:dyDescent="0.2">
      <c r="A1009" s="17" t="s">
        <v>2</v>
      </c>
      <c r="B1009" s="18" t="s">
        <v>77</v>
      </c>
      <c r="C1009" s="18">
        <v>27</v>
      </c>
      <c r="D1009" s="18">
        <v>26.16</v>
      </c>
    </row>
    <row r="1010" spans="1:4" x14ac:dyDescent="0.2">
      <c r="A1010" s="15" t="s">
        <v>2</v>
      </c>
      <c r="B1010" s="16" t="s">
        <v>77</v>
      </c>
      <c r="C1010" s="16">
        <v>28</v>
      </c>
      <c r="D1010" s="16">
        <v>25.54</v>
      </c>
    </row>
    <row r="1011" spans="1:4" x14ac:dyDescent="0.2">
      <c r="A1011" s="17" t="s">
        <v>2</v>
      </c>
      <c r="B1011" s="18" t="s">
        <v>77</v>
      </c>
      <c r="C1011" s="18">
        <v>29</v>
      </c>
      <c r="D1011" s="18">
        <v>24.92</v>
      </c>
    </row>
    <row r="1012" spans="1:4" x14ac:dyDescent="0.2">
      <c r="A1012" s="15" t="s">
        <v>2</v>
      </c>
      <c r="B1012" s="16" t="s">
        <v>77</v>
      </c>
      <c r="C1012" s="16">
        <v>30</v>
      </c>
      <c r="D1012" s="16">
        <v>24.3</v>
      </c>
    </row>
    <row r="1013" spans="1:4" x14ac:dyDescent="0.2">
      <c r="A1013" s="17" t="s">
        <v>2</v>
      </c>
      <c r="B1013" s="18" t="s">
        <v>77</v>
      </c>
      <c r="C1013" s="18">
        <v>31</v>
      </c>
      <c r="D1013" s="18">
        <v>23.68</v>
      </c>
    </row>
    <row r="1014" spans="1:4" x14ac:dyDescent="0.2">
      <c r="A1014" s="15" t="s">
        <v>2</v>
      </c>
      <c r="B1014" s="16" t="s">
        <v>77</v>
      </c>
      <c r="C1014" s="16">
        <v>32</v>
      </c>
      <c r="D1014" s="16">
        <v>23.06</v>
      </c>
    </row>
    <row r="1015" spans="1:4" x14ac:dyDescent="0.2">
      <c r="A1015" s="17" t="s">
        <v>2</v>
      </c>
      <c r="B1015" s="18" t="s">
        <v>77</v>
      </c>
      <c r="C1015" s="18">
        <v>33</v>
      </c>
      <c r="D1015" s="18">
        <v>22.45</v>
      </c>
    </row>
    <row r="1016" spans="1:4" x14ac:dyDescent="0.2">
      <c r="A1016" s="15" t="s">
        <v>2</v>
      </c>
      <c r="B1016" s="16" t="s">
        <v>77</v>
      </c>
      <c r="C1016" s="16">
        <v>34</v>
      </c>
      <c r="D1016" s="16">
        <v>21.83</v>
      </c>
    </row>
    <row r="1017" spans="1:4" x14ac:dyDescent="0.2">
      <c r="A1017" s="17" t="s">
        <v>2</v>
      </c>
      <c r="B1017" s="18" t="s">
        <v>77</v>
      </c>
      <c r="C1017" s="18">
        <v>35</v>
      </c>
      <c r="D1017" s="18">
        <v>21.2</v>
      </c>
    </row>
    <row r="1018" spans="1:4" x14ac:dyDescent="0.2">
      <c r="A1018" s="15" t="s">
        <v>2</v>
      </c>
      <c r="B1018" s="16" t="s">
        <v>77</v>
      </c>
      <c r="C1018" s="16">
        <v>36</v>
      </c>
      <c r="D1018" s="16">
        <v>20.57</v>
      </c>
    </row>
    <row r="1019" spans="1:4" x14ac:dyDescent="0.2">
      <c r="A1019" s="17" t="s">
        <v>2</v>
      </c>
      <c r="B1019" s="18" t="s">
        <v>77</v>
      </c>
      <c r="C1019" s="18">
        <v>37</v>
      </c>
      <c r="D1019" s="18">
        <v>19.940000000000001</v>
      </c>
    </row>
    <row r="1020" spans="1:4" x14ac:dyDescent="0.2">
      <c r="A1020" s="15" t="s">
        <v>2</v>
      </c>
      <c r="B1020" s="16" t="s">
        <v>77</v>
      </c>
      <c r="C1020" s="16">
        <v>38</v>
      </c>
      <c r="D1020" s="16">
        <v>19.3</v>
      </c>
    </row>
    <row r="1021" spans="1:4" x14ac:dyDescent="0.2">
      <c r="A1021" s="17" t="s">
        <v>2</v>
      </c>
      <c r="B1021" s="18" t="s">
        <v>77</v>
      </c>
      <c r="C1021" s="18">
        <v>39</v>
      </c>
      <c r="D1021" s="18">
        <v>18.66</v>
      </c>
    </row>
    <row r="1022" spans="1:4" x14ac:dyDescent="0.2">
      <c r="A1022" s="15" t="s">
        <v>2</v>
      </c>
      <c r="B1022" s="16" t="s">
        <v>77</v>
      </c>
      <c r="C1022" s="16">
        <v>40</v>
      </c>
      <c r="D1022" s="16">
        <v>18.02</v>
      </c>
    </row>
    <row r="1023" spans="1:4" x14ac:dyDescent="0.2">
      <c r="A1023" s="17" t="s">
        <v>2</v>
      </c>
      <c r="B1023" s="18" t="s">
        <v>77</v>
      </c>
      <c r="C1023" s="18">
        <v>41</v>
      </c>
      <c r="D1023" s="18">
        <v>17.37</v>
      </c>
    </row>
    <row r="1024" spans="1:4" x14ac:dyDescent="0.2">
      <c r="A1024" s="15" t="s">
        <v>2</v>
      </c>
      <c r="B1024" s="16" t="s">
        <v>77</v>
      </c>
      <c r="C1024" s="16">
        <v>42</v>
      </c>
      <c r="D1024" s="16">
        <v>16.72</v>
      </c>
    </row>
    <row r="1025" spans="1:4" x14ac:dyDescent="0.2">
      <c r="A1025" s="17" t="s">
        <v>2</v>
      </c>
      <c r="B1025" s="18" t="s">
        <v>77</v>
      </c>
      <c r="C1025" s="18">
        <v>43</v>
      </c>
      <c r="D1025" s="18">
        <v>16.079999999999998</v>
      </c>
    </row>
    <row r="1026" spans="1:4" x14ac:dyDescent="0.2">
      <c r="A1026" s="15" t="s">
        <v>2</v>
      </c>
      <c r="B1026" s="16" t="s">
        <v>77</v>
      </c>
      <c r="C1026" s="16">
        <v>44</v>
      </c>
      <c r="D1026" s="16">
        <v>15.44</v>
      </c>
    </row>
    <row r="1027" spans="1:4" x14ac:dyDescent="0.2">
      <c r="A1027" s="17" t="s">
        <v>2</v>
      </c>
      <c r="B1027" s="18" t="s">
        <v>77</v>
      </c>
      <c r="C1027" s="18">
        <v>45</v>
      </c>
      <c r="D1027" s="18">
        <v>14.8</v>
      </c>
    </row>
    <row r="1028" spans="1:4" x14ac:dyDescent="0.2">
      <c r="A1028" s="15" t="s">
        <v>2</v>
      </c>
      <c r="B1028" s="16" t="s">
        <v>77</v>
      </c>
      <c r="C1028" s="16">
        <v>46</v>
      </c>
      <c r="D1028" s="16">
        <v>14.16</v>
      </c>
    </row>
    <row r="1029" spans="1:4" x14ac:dyDescent="0.2">
      <c r="A1029" s="17" t="s">
        <v>2</v>
      </c>
      <c r="B1029" s="18" t="s">
        <v>77</v>
      </c>
      <c r="C1029" s="18">
        <v>47</v>
      </c>
      <c r="D1029" s="18">
        <v>13.53</v>
      </c>
    </row>
    <row r="1030" spans="1:4" x14ac:dyDescent="0.2">
      <c r="A1030" s="15" t="s">
        <v>2</v>
      </c>
      <c r="B1030" s="16" t="s">
        <v>77</v>
      </c>
      <c r="C1030" s="16">
        <v>48</v>
      </c>
      <c r="D1030" s="16">
        <v>12.89</v>
      </c>
    </row>
    <row r="1031" spans="1:4" x14ac:dyDescent="0.2">
      <c r="A1031" s="17" t="s">
        <v>2</v>
      </c>
      <c r="B1031" s="18" t="s">
        <v>77</v>
      </c>
      <c r="C1031" s="18">
        <v>49</v>
      </c>
      <c r="D1031" s="18">
        <v>12.26</v>
      </c>
    </row>
    <row r="1032" spans="1:4" x14ac:dyDescent="0.2">
      <c r="A1032" s="15" t="s">
        <v>2</v>
      </c>
      <c r="B1032" s="16" t="s">
        <v>77</v>
      </c>
      <c r="C1032" s="16">
        <v>50</v>
      </c>
      <c r="D1032" s="16">
        <v>11.63</v>
      </c>
    </row>
    <row r="1033" spans="1:4" x14ac:dyDescent="0.2">
      <c r="A1033" s="17" t="s">
        <v>2</v>
      </c>
      <c r="B1033" s="18" t="s">
        <v>77</v>
      </c>
      <c r="C1033" s="18">
        <v>51</v>
      </c>
      <c r="D1033" s="18">
        <v>11.02</v>
      </c>
    </row>
    <row r="1034" spans="1:4" x14ac:dyDescent="0.2">
      <c r="A1034" s="15" t="s">
        <v>2</v>
      </c>
      <c r="B1034" s="16" t="s">
        <v>77</v>
      </c>
      <c r="C1034" s="16">
        <v>52</v>
      </c>
      <c r="D1034" s="16">
        <v>10.43</v>
      </c>
    </row>
    <row r="1035" spans="1:4" x14ac:dyDescent="0.2">
      <c r="A1035" s="17" t="s">
        <v>2</v>
      </c>
      <c r="B1035" s="18" t="s">
        <v>77</v>
      </c>
      <c r="C1035" s="18">
        <v>53</v>
      </c>
      <c r="D1035" s="18">
        <v>9.85</v>
      </c>
    </row>
    <row r="1036" spans="1:4" x14ac:dyDescent="0.2">
      <c r="A1036" s="15" t="s">
        <v>2</v>
      </c>
      <c r="B1036" s="16" t="s">
        <v>77</v>
      </c>
      <c r="C1036" s="16">
        <v>54</v>
      </c>
      <c r="D1036" s="16">
        <v>9.2899999999999991</v>
      </c>
    </row>
    <row r="1037" spans="1:4" x14ac:dyDescent="0.2">
      <c r="A1037" s="17" t="s">
        <v>2</v>
      </c>
      <c r="B1037" s="18" t="s">
        <v>77</v>
      </c>
      <c r="C1037" s="18">
        <v>55</v>
      </c>
      <c r="D1037" s="18">
        <v>8.73</v>
      </c>
    </row>
    <row r="1038" spans="1:4" x14ac:dyDescent="0.2">
      <c r="A1038" s="15" t="s">
        <v>2</v>
      </c>
      <c r="B1038" s="16" t="s">
        <v>77</v>
      </c>
      <c r="C1038" s="16">
        <v>56</v>
      </c>
      <c r="D1038" s="16">
        <v>8.16</v>
      </c>
    </row>
    <row r="1039" spans="1:4" x14ac:dyDescent="0.2">
      <c r="A1039" s="17" t="s">
        <v>2</v>
      </c>
      <c r="B1039" s="18" t="s">
        <v>77</v>
      </c>
      <c r="C1039" s="18">
        <v>57</v>
      </c>
      <c r="D1039" s="18">
        <v>7.59</v>
      </c>
    </row>
    <row r="1040" spans="1:4" x14ac:dyDescent="0.2">
      <c r="A1040" s="15" t="s">
        <v>2</v>
      </c>
      <c r="B1040" s="16" t="s">
        <v>77</v>
      </c>
      <c r="C1040" s="16">
        <v>58</v>
      </c>
      <c r="D1040" s="16">
        <v>7.03</v>
      </c>
    </row>
    <row r="1041" spans="1:4" x14ac:dyDescent="0.2">
      <c r="A1041" s="17" t="s">
        <v>2</v>
      </c>
      <c r="B1041" s="18" t="s">
        <v>77</v>
      </c>
      <c r="C1041" s="18">
        <v>59</v>
      </c>
      <c r="D1041" s="18">
        <v>6.48</v>
      </c>
    </row>
    <row r="1042" spans="1:4" x14ac:dyDescent="0.2">
      <c r="A1042" s="15" t="s">
        <v>2</v>
      </c>
      <c r="B1042" s="16" t="s">
        <v>77</v>
      </c>
      <c r="C1042" s="16">
        <v>60</v>
      </c>
      <c r="D1042" s="16">
        <v>5.97</v>
      </c>
    </row>
    <row r="1043" spans="1:4" x14ac:dyDescent="0.2">
      <c r="A1043" s="17" t="s">
        <v>2</v>
      </c>
      <c r="B1043" s="18" t="s">
        <v>77</v>
      </c>
      <c r="C1043" s="18">
        <v>61</v>
      </c>
      <c r="D1043" s="18">
        <v>5.51</v>
      </c>
    </row>
    <row r="1044" spans="1:4" x14ac:dyDescent="0.2">
      <c r="A1044" s="15" t="s">
        <v>2</v>
      </c>
      <c r="B1044" s="16" t="s">
        <v>77</v>
      </c>
      <c r="C1044" s="16">
        <v>62</v>
      </c>
      <c r="D1044" s="16">
        <v>5.0999999999999996</v>
      </c>
    </row>
    <row r="1045" spans="1:4" x14ac:dyDescent="0.2">
      <c r="A1045" s="17" t="s">
        <v>2</v>
      </c>
      <c r="B1045" s="18" t="s">
        <v>77</v>
      </c>
      <c r="C1045" s="18">
        <v>63</v>
      </c>
      <c r="D1045" s="18">
        <v>4.74</v>
      </c>
    </row>
    <row r="1046" spans="1:4" x14ac:dyDescent="0.2">
      <c r="A1046" s="15" t="s">
        <v>2</v>
      </c>
      <c r="B1046" s="16" t="s">
        <v>77</v>
      </c>
      <c r="C1046" s="16">
        <v>64</v>
      </c>
      <c r="D1046" s="16">
        <v>4.42</v>
      </c>
    </row>
    <row r="1047" spans="1:4" x14ac:dyDescent="0.2">
      <c r="A1047" s="17" t="s">
        <v>2</v>
      </c>
      <c r="B1047" s="18" t="s">
        <v>77</v>
      </c>
      <c r="C1047" s="18">
        <v>65</v>
      </c>
      <c r="D1047" s="18">
        <v>4.1399999999999997</v>
      </c>
    </row>
    <row r="1048" spans="1:4" x14ac:dyDescent="0.2">
      <c r="A1048" s="15" t="s">
        <v>2</v>
      </c>
      <c r="B1048" s="16" t="s">
        <v>77</v>
      </c>
      <c r="C1048" s="16">
        <v>66</v>
      </c>
      <c r="D1048" s="16">
        <v>3.88</v>
      </c>
    </row>
    <row r="1049" spans="1:4" x14ac:dyDescent="0.2">
      <c r="A1049" s="17" t="s">
        <v>2</v>
      </c>
      <c r="B1049" s="18" t="s">
        <v>77</v>
      </c>
      <c r="C1049" s="18">
        <v>67</v>
      </c>
      <c r="D1049" s="18">
        <v>3.66</v>
      </c>
    </row>
    <row r="1050" spans="1:4" x14ac:dyDescent="0.2">
      <c r="A1050" s="15" t="s">
        <v>2</v>
      </c>
      <c r="B1050" s="16" t="s">
        <v>77</v>
      </c>
      <c r="C1050" s="16">
        <v>68</v>
      </c>
      <c r="D1050" s="16">
        <v>3.45</v>
      </c>
    </row>
    <row r="1051" spans="1:4" x14ac:dyDescent="0.2">
      <c r="A1051" s="17" t="s">
        <v>2</v>
      </c>
      <c r="B1051" s="18" t="s">
        <v>77</v>
      </c>
      <c r="C1051" s="18">
        <v>69</v>
      </c>
      <c r="D1051" s="18">
        <v>3.26</v>
      </c>
    </row>
    <row r="1052" spans="1:4" x14ac:dyDescent="0.2">
      <c r="A1052" s="15" t="s">
        <v>2</v>
      </c>
      <c r="B1052" s="16" t="s">
        <v>77</v>
      </c>
      <c r="C1052" s="16">
        <v>70</v>
      </c>
      <c r="D1052" s="16">
        <v>3.09</v>
      </c>
    </row>
    <row r="1053" spans="1:4" x14ac:dyDescent="0.2">
      <c r="A1053" s="17" t="s">
        <v>2</v>
      </c>
      <c r="B1053" s="18" t="s">
        <v>77</v>
      </c>
      <c r="C1053" s="18">
        <v>71</v>
      </c>
      <c r="D1053" s="18">
        <v>2.92</v>
      </c>
    </row>
    <row r="1054" spans="1:4" x14ac:dyDescent="0.2">
      <c r="A1054" s="15" t="s">
        <v>2</v>
      </c>
      <c r="B1054" s="16" t="s">
        <v>77</v>
      </c>
      <c r="C1054" s="16">
        <v>72</v>
      </c>
      <c r="D1054" s="16">
        <v>2.77</v>
      </c>
    </row>
    <row r="1055" spans="1:4" x14ac:dyDescent="0.2">
      <c r="A1055" s="17" t="s">
        <v>2</v>
      </c>
      <c r="B1055" s="18" t="s">
        <v>77</v>
      </c>
      <c r="C1055" s="18">
        <v>73</v>
      </c>
      <c r="D1055" s="18">
        <v>2.63</v>
      </c>
    </row>
    <row r="1056" spans="1:4" x14ac:dyDescent="0.2">
      <c r="A1056" s="15" t="s">
        <v>2</v>
      </c>
      <c r="B1056" s="16" t="s">
        <v>77</v>
      </c>
      <c r="C1056" s="16">
        <v>74</v>
      </c>
      <c r="D1056" s="16">
        <v>2.4900000000000002</v>
      </c>
    </row>
    <row r="1057" spans="1:4" x14ac:dyDescent="0.2">
      <c r="A1057" s="17" t="s">
        <v>2</v>
      </c>
      <c r="B1057" s="18" t="s">
        <v>77</v>
      </c>
      <c r="C1057" s="18">
        <v>75</v>
      </c>
      <c r="D1057" s="18">
        <v>2.37</v>
      </c>
    </row>
    <row r="1058" spans="1:4" x14ac:dyDescent="0.2">
      <c r="A1058" s="15" t="s">
        <v>2</v>
      </c>
      <c r="B1058" s="16" t="s">
        <v>77</v>
      </c>
      <c r="C1058" s="16">
        <v>76</v>
      </c>
      <c r="D1058" s="16">
        <v>2.2599999999999998</v>
      </c>
    </row>
    <row r="1059" spans="1:4" x14ac:dyDescent="0.2">
      <c r="A1059" s="17" t="s">
        <v>2</v>
      </c>
      <c r="B1059" s="18" t="s">
        <v>77</v>
      </c>
      <c r="C1059" s="18">
        <v>77</v>
      </c>
      <c r="D1059" s="18">
        <v>2.16</v>
      </c>
    </row>
    <row r="1060" spans="1:4" x14ac:dyDescent="0.2">
      <c r="A1060" s="15" t="s">
        <v>2</v>
      </c>
      <c r="B1060" s="16" t="s">
        <v>77</v>
      </c>
      <c r="C1060" s="16">
        <v>78</v>
      </c>
      <c r="D1060" s="16">
        <v>2.06</v>
      </c>
    </row>
    <row r="1061" spans="1:4" x14ac:dyDescent="0.2">
      <c r="A1061" s="17" t="s">
        <v>2</v>
      </c>
      <c r="B1061" s="18" t="s">
        <v>77</v>
      </c>
      <c r="C1061" s="18">
        <v>79</v>
      </c>
      <c r="D1061" s="18">
        <v>1.98</v>
      </c>
    </row>
    <row r="1062" spans="1:4" x14ac:dyDescent="0.2">
      <c r="A1062" s="15" t="s">
        <v>2</v>
      </c>
      <c r="B1062" s="16" t="s">
        <v>77</v>
      </c>
      <c r="C1062" s="16">
        <v>80</v>
      </c>
      <c r="D1062" s="16">
        <v>1.89</v>
      </c>
    </row>
    <row r="1063" spans="1:4" x14ac:dyDescent="0.2">
      <c r="A1063" s="17" t="s">
        <v>2</v>
      </c>
      <c r="B1063" s="18" t="s">
        <v>77</v>
      </c>
      <c r="C1063" s="18">
        <v>81</v>
      </c>
      <c r="D1063" s="18">
        <v>1.82</v>
      </c>
    </row>
    <row r="1064" spans="1:4" x14ac:dyDescent="0.2">
      <c r="A1064" s="15" t="s">
        <v>2</v>
      </c>
      <c r="B1064" s="16" t="s">
        <v>77</v>
      </c>
      <c r="C1064" s="16">
        <v>82</v>
      </c>
      <c r="D1064" s="16">
        <v>1.74</v>
      </c>
    </row>
    <row r="1065" spans="1:4" x14ac:dyDescent="0.2">
      <c r="A1065" s="17" t="s">
        <v>2</v>
      </c>
      <c r="B1065" s="18" t="s">
        <v>77</v>
      </c>
      <c r="C1065" s="18">
        <v>83</v>
      </c>
      <c r="D1065" s="18">
        <v>1.67</v>
      </c>
    </row>
    <row r="1066" spans="1:4" x14ac:dyDescent="0.2">
      <c r="A1066" s="15" t="s">
        <v>2</v>
      </c>
      <c r="B1066" s="16" t="s">
        <v>77</v>
      </c>
      <c r="C1066" s="16">
        <v>84</v>
      </c>
      <c r="D1066" s="16">
        <v>1.6</v>
      </c>
    </row>
    <row r="1067" spans="1:4" x14ac:dyDescent="0.2">
      <c r="A1067" s="17" t="s">
        <v>2</v>
      </c>
      <c r="B1067" s="18" t="s">
        <v>77</v>
      </c>
      <c r="C1067" s="18">
        <v>85</v>
      </c>
      <c r="D1067" s="18">
        <v>1.54</v>
      </c>
    </row>
    <row r="1068" spans="1:4" x14ac:dyDescent="0.2">
      <c r="A1068" s="15" t="s">
        <v>2</v>
      </c>
      <c r="B1068" s="16" t="s">
        <v>77</v>
      </c>
      <c r="C1068" s="16">
        <v>86</v>
      </c>
      <c r="D1068" s="16">
        <v>1.48</v>
      </c>
    </row>
    <row r="1069" spans="1:4" x14ac:dyDescent="0.2">
      <c r="A1069" s="17" t="s">
        <v>2</v>
      </c>
      <c r="B1069" s="18" t="s">
        <v>77</v>
      </c>
      <c r="C1069" s="18">
        <v>87</v>
      </c>
      <c r="D1069" s="18">
        <v>1.42</v>
      </c>
    </row>
    <row r="1070" spans="1:4" x14ac:dyDescent="0.2">
      <c r="A1070" s="15" t="s">
        <v>2</v>
      </c>
      <c r="B1070" s="16" t="s">
        <v>77</v>
      </c>
      <c r="C1070" s="16">
        <v>88</v>
      </c>
      <c r="D1070" s="16">
        <v>1.37</v>
      </c>
    </row>
    <row r="1071" spans="1:4" x14ac:dyDescent="0.2">
      <c r="A1071" s="17" t="s">
        <v>2</v>
      </c>
      <c r="B1071" s="18" t="s">
        <v>77</v>
      </c>
      <c r="C1071" s="18">
        <v>89</v>
      </c>
      <c r="D1071" s="18">
        <v>1.32</v>
      </c>
    </row>
    <row r="1072" spans="1:4" x14ac:dyDescent="0.2">
      <c r="A1072" s="15" t="s">
        <v>2</v>
      </c>
      <c r="B1072" s="16" t="s">
        <v>77</v>
      </c>
      <c r="C1072" s="16">
        <v>90</v>
      </c>
      <c r="D1072" s="16">
        <v>1.26</v>
      </c>
    </row>
    <row r="1073" spans="1:4" x14ac:dyDescent="0.2">
      <c r="A1073" s="17" t="s">
        <v>72</v>
      </c>
      <c r="B1073" s="18" t="s">
        <v>77</v>
      </c>
      <c r="C1073" s="18">
        <v>20</v>
      </c>
      <c r="D1073" s="18">
        <v>33.159999999999997</v>
      </c>
    </row>
    <row r="1074" spans="1:4" x14ac:dyDescent="0.2">
      <c r="A1074" s="15" t="s">
        <v>72</v>
      </c>
      <c r="B1074" s="16" t="s">
        <v>77</v>
      </c>
      <c r="C1074" s="16">
        <v>21</v>
      </c>
      <c r="D1074" s="16">
        <v>32.39</v>
      </c>
    </row>
    <row r="1075" spans="1:4" x14ac:dyDescent="0.2">
      <c r="A1075" s="17" t="s">
        <v>72</v>
      </c>
      <c r="B1075" s="18" t="s">
        <v>77</v>
      </c>
      <c r="C1075" s="18">
        <v>22</v>
      </c>
      <c r="D1075" s="18">
        <v>31.63</v>
      </c>
    </row>
    <row r="1076" spans="1:4" x14ac:dyDescent="0.2">
      <c r="A1076" s="15" t="s">
        <v>72</v>
      </c>
      <c r="B1076" s="16" t="s">
        <v>77</v>
      </c>
      <c r="C1076" s="16">
        <v>23</v>
      </c>
      <c r="D1076" s="16">
        <v>30.9</v>
      </c>
    </row>
    <row r="1077" spans="1:4" x14ac:dyDescent="0.2">
      <c r="A1077" s="17" t="s">
        <v>72</v>
      </c>
      <c r="B1077" s="18" t="s">
        <v>77</v>
      </c>
      <c r="C1077" s="18">
        <v>24</v>
      </c>
      <c r="D1077" s="18">
        <v>30.19</v>
      </c>
    </row>
    <row r="1078" spans="1:4" x14ac:dyDescent="0.2">
      <c r="A1078" s="15" t="s">
        <v>72</v>
      </c>
      <c r="B1078" s="16" t="s">
        <v>77</v>
      </c>
      <c r="C1078" s="16">
        <v>25</v>
      </c>
      <c r="D1078" s="16">
        <v>29.49</v>
      </c>
    </row>
    <row r="1079" spans="1:4" x14ac:dyDescent="0.2">
      <c r="A1079" s="17" t="s">
        <v>72</v>
      </c>
      <c r="B1079" s="18" t="s">
        <v>77</v>
      </c>
      <c r="C1079" s="18">
        <v>26</v>
      </c>
      <c r="D1079" s="18">
        <v>28.8</v>
      </c>
    </row>
    <row r="1080" spans="1:4" x14ac:dyDescent="0.2">
      <c r="A1080" s="15" t="s">
        <v>72</v>
      </c>
      <c r="B1080" s="16" t="s">
        <v>77</v>
      </c>
      <c r="C1080" s="16">
        <v>27</v>
      </c>
      <c r="D1080" s="16">
        <v>28.12</v>
      </c>
    </row>
    <row r="1081" spans="1:4" x14ac:dyDescent="0.2">
      <c r="A1081" s="17" t="s">
        <v>72</v>
      </c>
      <c r="B1081" s="18" t="s">
        <v>77</v>
      </c>
      <c r="C1081" s="18">
        <v>28</v>
      </c>
      <c r="D1081" s="18">
        <v>27.45</v>
      </c>
    </row>
    <row r="1082" spans="1:4" x14ac:dyDescent="0.2">
      <c r="A1082" s="15" t="s">
        <v>72</v>
      </c>
      <c r="B1082" s="16" t="s">
        <v>77</v>
      </c>
      <c r="C1082" s="16">
        <v>29</v>
      </c>
      <c r="D1082" s="16">
        <v>26.78</v>
      </c>
    </row>
    <row r="1083" spans="1:4" x14ac:dyDescent="0.2">
      <c r="A1083" s="17" t="s">
        <v>72</v>
      </c>
      <c r="B1083" s="18" t="s">
        <v>77</v>
      </c>
      <c r="C1083" s="18">
        <v>30</v>
      </c>
      <c r="D1083" s="18">
        <v>26.1</v>
      </c>
    </row>
    <row r="1084" spans="1:4" x14ac:dyDescent="0.2">
      <c r="A1084" s="15" t="s">
        <v>72</v>
      </c>
      <c r="B1084" s="16" t="s">
        <v>77</v>
      </c>
      <c r="C1084" s="16">
        <v>31</v>
      </c>
      <c r="D1084" s="16">
        <v>25.43</v>
      </c>
    </row>
    <row r="1085" spans="1:4" x14ac:dyDescent="0.2">
      <c r="A1085" s="17" t="s">
        <v>72</v>
      </c>
      <c r="B1085" s="18" t="s">
        <v>77</v>
      </c>
      <c r="C1085" s="18">
        <v>32</v>
      </c>
      <c r="D1085" s="18">
        <v>24.74</v>
      </c>
    </row>
    <row r="1086" spans="1:4" x14ac:dyDescent="0.2">
      <c r="A1086" s="15" t="s">
        <v>72</v>
      </c>
      <c r="B1086" s="16" t="s">
        <v>77</v>
      </c>
      <c r="C1086" s="16">
        <v>33</v>
      </c>
      <c r="D1086" s="16">
        <v>24.06</v>
      </c>
    </row>
    <row r="1087" spans="1:4" x14ac:dyDescent="0.2">
      <c r="A1087" s="17" t="s">
        <v>72</v>
      </c>
      <c r="B1087" s="18" t="s">
        <v>77</v>
      </c>
      <c r="C1087" s="18">
        <v>34</v>
      </c>
      <c r="D1087" s="18">
        <v>23.38</v>
      </c>
    </row>
    <row r="1088" spans="1:4" x14ac:dyDescent="0.2">
      <c r="A1088" s="15" t="s">
        <v>72</v>
      </c>
      <c r="B1088" s="16" t="s">
        <v>77</v>
      </c>
      <c r="C1088" s="16">
        <v>35</v>
      </c>
      <c r="D1088" s="16">
        <v>22.7</v>
      </c>
    </row>
    <row r="1089" spans="1:4" x14ac:dyDescent="0.2">
      <c r="A1089" s="17" t="s">
        <v>72</v>
      </c>
      <c r="B1089" s="18" t="s">
        <v>77</v>
      </c>
      <c r="C1089" s="18">
        <v>36</v>
      </c>
      <c r="D1089" s="18">
        <v>22.02</v>
      </c>
    </row>
    <row r="1090" spans="1:4" x14ac:dyDescent="0.2">
      <c r="A1090" s="15" t="s">
        <v>72</v>
      </c>
      <c r="B1090" s="16" t="s">
        <v>77</v>
      </c>
      <c r="C1090" s="16">
        <v>37</v>
      </c>
      <c r="D1090" s="16">
        <v>21.34</v>
      </c>
    </row>
    <row r="1091" spans="1:4" x14ac:dyDescent="0.2">
      <c r="A1091" s="17" t="s">
        <v>72</v>
      </c>
      <c r="B1091" s="18" t="s">
        <v>77</v>
      </c>
      <c r="C1091" s="18">
        <v>38</v>
      </c>
      <c r="D1091" s="18">
        <v>20.65</v>
      </c>
    </row>
    <row r="1092" spans="1:4" x14ac:dyDescent="0.2">
      <c r="A1092" s="15" t="s">
        <v>72</v>
      </c>
      <c r="B1092" s="16" t="s">
        <v>77</v>
      </c>
      <c r="C1092" s="16">
        <v>39</v>
      </c>
      <c r="D1092" s="16">
        <v>19.96</v>
      </c>
    </row>
    <row r="1093" spans="1:4" x14ac:dyDescent="0.2">
      <c r="A1093" s="17" t="s">
        <v>72</v>
      </c>
      <c r="B1093" s="18" t="s">
        <v>77</v>
      </c>
      <c r="C1093" s="18">
        <v>40</v>
      </c>
      <c r="D1093" s="18">
        <v>19.25</v>
      </c>
    </row>
    <row r="1094" spans="1:4" x14ac:dyDescent="0.2">
      <c r="A1094" s="15" t="s">
        <v>72</v>
      </c>
      <c r="B1094" s="16" t="s">
        <v>77</v>
      </c>
      <c r="C1094" s="16">
        <v>41</v>
      </c>
      <c r="D1094" s="16">
        <v>18.55</v>
      </c>
    </row>
    <row r="1095" spans="1:4" x14ac:dyDescent="0.2">
      <c r="A1095" s="17" t="s">
        <v>72</v>
      </c>
      <c r="B1095" s="18" t="s">
        <v>77</v>
      </c>
      <c r="C1095" s="18">
        <v>42</v>
      </c>
      <c r="D1095" s="18">
        <v>17.84</v>
      </c>
    </row>
    <row r="1096" spans="1:4" x14ac:dyDescent="0.2">
      <c r="A1096" s="15" t="s">
        <v>72</v>
      </c>
      <c r="B1096" s="16" t="s">
        <v>77</v>
      </c>
      <c r="C1096" s="16">
        <v>43</v>
      </c>
      <c r="D1096" s="16">
        <v>17.14</v>
      </c>
    </row>
    <row r="1097" spans="1:4" x14ac:dyDescent="0.2">
      <c r="A1097" s="17" t="s">
        <v>72</v>
      </c>
      <c r="B1097" s="18" t="s">
        <v>77</v>
      </c>
      <c r="C1097" s="18">
        <v>44</v>
      </c>
      <c r="D1097" s="18">
        <v>16.46</v>
      </c>
    </row>
    <row r="1098" spans="1:4" x14ac:dyDescent="0.2">
      <c r="A1098" s="15" t="s">
        <v>72</v>
      </c>
      <c r="B1098" s="16" t="s">
        <v>77</v>
      </c>
      <c r="C1098" s="16">
        <v>45</v>
      </c>
      <c r="D1098" s="16">
        <v>15.78</v>
      </c>
    </row>
    <row r="1099" spans="1:4" x14ac:dyDescent="0.2">
      <c r="A1099" s="17" t="s">
        <v>72</v>
      </c>
      <c r="B1099" s="18" t="s">
        <v>77</v>
      </c>
      <c r="C1099" s="18">
        <v>46</v>
      </c>
      <c r="D1099" s="18">
        <v>15.12</v>
      </c>
    </row>
    <row r="1100" spans="1:4" x14ac:dyDescent="0.2">
      <c r="A1100" s="15" t="s">
        <v>72</v>
      </c>
      <c r="B1100" s="16" t="s">
        <v>77</v>
      </c>
      <c r="C1100" s="16">
        <v>47</v>
      </c>
      <c r="D1100" s="16">
        <v>14.46</v>
      </c>
    </row>
    <row r="1101" spans="1:4" x14ac:dyDescent="0.2">
      <c r="A1101" s="17" t="s">
        <v>72</v>
      </c>
      <c r="B1101" s="18" t="s">
        <v>77</v>
      </c>
      <c r="C1101" s="18">
        <v>48</v>
      </c>
      <c r="D1101" s="18">
        <v>13.8</v>
      </c>
    </row>
    <row r="1102" spans="1:4" x14ac:dyDescent="0.2">
      <c r="A1102" s="15" t="s">
        <v>72</v>
      </c>
      <c r="B1102" s="16" t="s">
        <v>77</v>
      </c>
      <c r="C1102" s="16">
        <v>49</v>
      </c>
      <c r="D1102" s="16">
        <v>13.15</v>
      </c>
    </row>
    <row r="1103" spans="1:4" x14ac:dyDescent="0.2">
      <c r="A1103" s="17" t="s">
        <v>72</v>
      </c>
      <c r="B1103" s="18" t="s">
        <v>77</v>
      </c>
      <c r="C1103" s="18">
        <v>50</v>
      </c>
      <c r="D1103" s="18">
        <v>12.5</v>
      </c>
    </row>
    <row r="1104" spans="1:4" x14ac:dyDescent="0.2">
      <c r="A1104" s="15" t="s">
        <v>72</v>
      </c>
      <c r="B1104" s="16" t="s">
        <v>77</v>
      </c>
      <c r="C1104" s="16">
        <v>51</v>
      </c>
      <c r="D1104" s="16">
        <v>11.87</v>
      </c>
    </row>
    <row r="1105" spans="1:4" x14ac:dyDescent="0.2">
      <c r="A1105" s="17" t="s">
        <v>72</v>
      </c>
      <c r="B1105" s="18" t="s">
        <v>77</v>
      </c>
      <c r="C1105" s="18">
        <v>52</v>
      </c>
      <c r="D1105" s="18">
        <v>11.25</v>
      </c>
    </row>
    <row r="1106" spans="1:4" x14ac:dyDescent="0.2">
      <c r="A1106" s="15" t="s">
        <v>72</v>
      </c>
      <c r="B1106" s="16" t="s">
        <v>77</v>
      </c>
      <c r="C1106" s="16">
        <v>53</v>
      </c>
      <c r="D1106" s="16">
        <v>10.65</v>
      </c>
    </row>
    <row r="1107" spans="1:4" x14ac:dyDescent="0.2">
      <c r="A1107" s="17" t="s">
        <v>72</v>
      </c>
      <c r="B1107" s="18" t="s">
        <v>77</v>
      </c>
      <c r="C1107" s="18">
        <v>54</v>
      </c>
      <c r="D1107" s="18">
        <v>10.07</v>
      </c>
    </row>
    <row r="1108" spans="1:4" x14ac:dyDescent="0.2">
      <c r="A1108" s="15" t="s">
        <v>72</v>
      </c>
      <c r="B1108" s="16" t="s">
        <v>77</v>
      </c>
      <c r="C1108" s="16">
        <v>55</v>
      </c>
      <c r="D1108" s="16">
        <v>9.49</v>
      </c>
    </row>
    <row r="1109" spans="1:4" x14ac:dyDescent="0.2">
      <c r="A1109" s="17" t="s">
        <v>72</v>
      </c>
      <c r="B1109" s="18" t="s">
        <v>77</v>
      </c>
      <c r="C1109" s="18">
        <v>56</v>
      </c>
      <c r="D1109" s="18">
        <v>8.9</v>
      </c>
    </row>
    <row r="1110" spans="1:4" x14ac:dyDescent="0.2">
      <c r="A1110" s="15" t="s">
        <v>72</v>
      </c>
      <c r="B1110" s="16" t="s">
        <v>77</v>
      </c>
      <c r="C1110" s="16">
        <v>57</v>
      </c>
      <c r="D1110" s="16">
        <v>8.32</v>
      </c>
    </row>
    <row r="1111" spans="1:4" x14ac:dyDescent="0.2">
      <c r="A1111" s="17" t="s">
        <v>72</v>
      </c>
      <c r="B1111" s="18" t="s">
        <v>77</v>
      </c>
      <c r="C1111" s="18">
        <v>58</v>
      </c>
      <c r="D1111" s="18">
        <v>7.74</v>
      </c>
    </row>
    <row r="1112" spans="1:4" x14ac:dyDescent="0.2">
      <c r="A1112" s="15" t="s">
        <v>72</v>
      </c>
      <c r="B1112" s="16" t="s">
        <v>77</v>
      </c>
      <c r="C1112" s="16">
        <v>59</v>
      </c>
      <c r="D1112" s="16">
        <v>7.18</v>
      </c>
    </row>
    <row r="1113" spans="1:4" x14ac:dyDescent="0.2">
      <c r="A1113" s="17" t="s">
        <v>72</v>
      </c>
      <c r="B1113" s="18" t="s">
        <v>77</v>
      </c>
      <c r="C1113" s="18">
        <v>60</v>
      </c>
      <c r="D1113" s="18">
        <v>6.64</v>
      </c>
    </row>
    <row r="1114" spans="1:4" x14ac:dyDescent="0.2">
      <c r="A1114" s="15" t="s">
        <v>72</v>
      </c>
      <c r="B1114" s="16" t="s">
        <v>77</v>
      </c>
      <c r="C1114" s="16">
        <v>61</v>
      </c>
      <c r="D1114" s="16">
        <v>6.13</v>
      </c>
    </row>
    <row r="1115" spans="1:4" x14ac:dyDescent="0.2">
      <c r="A1115" s="17" t="s">
        <v>72</v>
      </c>
      <c r="B1115" s="18" t="s">
        <v>77</v>
      </c>
      <c r="C1115" s="18">
        <v>62</v>
      </c>
      <c r="D1115" s="18">
        <v>5.67</v>
      </c>
    </row>
    <row r="1116" spans="1:4" x14ac:dyDescent="0.2">
      <c r="A1116" s="15" t="s">
        <v>72</v>
      </c>
      <c r="B1116" s="16" t="s">
        <v>77</v>
      </c>
      <c r="C1116" s="16">
        <v>63</v>
      </c>
      <c r="D1116" s="16">
        <v>5.27</v>
      </c>
    </row>
    <row r="1117" spans="1:4" x14ac:dyDescent="0.2">
      <c r="A1117" s="17" t="s">
        <v>72</v>
      </c>
      <c r="B1117" s="18" t="s">
        <v>77</v>
      </c>
      <c r="C1117" s="18">
        <v>64</v>
      </c>
      <c r="D1117" s="18">
        <v>4.91</v>
      </c>
    </row>
    <row r="1118" spans="1:4" x14ac:dyDescent="0.2">
      <c r="A1118" s="15" t="s">
        <v>72</v>
      </c>
      <c r="B1118" s="16" t="s">
        <v>77</v>
      </c>
      <c r="C1118" s="16">
        <v>65</v>
      </c>
      <c r="D1118" s="16">
        <v>4.5999999999999996</v>
      </c>
    </row>
    <row r="1119" spans="1:4" x14ac:dyDescent="0.2">
      <c r="A1119" s="17" t="s">
        <v>72</v>
      </c>
      <c r="B1119" s="18" t="s">
        <v>77</v>
      </c>
      <c r="C1119" s="18">
        <v>66</v>
      </c>
      <c r="D1119" s="18">
        <v>4.33</v>
      </c>
    </row>
    <row r="1120" spans="1:4" x14ac:dyDescent="0.2">
      <c r="A1120" s="15" t="s">
        <v>72</v>
      </c>
      <c r="B1120" s="16" t="s">
        <v>77</v>
      </c>
      <c r="C1120" s="16">
        <v>67</v>
      </c>
      <c r="D1120" s="16">
        <v>4.09</v>
      </c>
    </row>
    <row r="1121" spans="1:4" x14ac:dyDescent="0.2">
      <c r="A1121" s="17" t="s">
        <v>72</v>
      </c>
      <c r="B1121" s="18" t="s">
        <v>77</v>
      </c>
      <c r="C1121" s="18">
        <v>68</v>
      </c>
      <c r="D1121" s="18">
        <v>3.88</v>
      </c>
    </row>
    <row r="1122" spans="1:4" x14ac:dyDescent="0.2">
      <c r="A1122" s="15" t="s">
        <v>72</v>
      </c>
      <c r="B1122" s="16" t="s">
        <v>77</v>
      </c>
      <c r="C1122" s="16">
        <v>69</v>
      </c>
      <c r="D1122" s="16">
        <v>3.7</v>
      </c>
    </row>
    <row r="1123" spans="1:4" x14ac:dyDescent="0.2">
      <c r="A1123" s="17" t="s">
        <v>72</v>
      </c>
      <c r="B1123" s="18" t="s">
        <v>77</v>
      </c>
      <c r="C1123" s="18">
        <v>70</v>
      </c>
      <c r="D1123" s="18">
        <v>3.52</v>
      </c>
    </row>
    <row r="1124" spans="1:4" x14ac:dyDescent="0.2">
      <c r="A1124" s="15" t="s">
        <v>72</v>
      </c>
      <c r="B1124" s="16" t="s">
        <v>77</v>
      </c>
      <c r="C1124" s="16">
        <v>71</v>
      </c>
      <c r="D1124" s="16">
        <v>3.35</v>
      </c>
    </row>
    <row r="1125" spans="1:4" x14ac:dyDescent="0.2">
      <c r="A1125" s="17" t="s">
        <v>72</v>
      </c>
      <c r="B1125" s="18" t="s">
        <v>77</v>
      </c>
      <c r="C1125" s="18">
        <v>72</v>
      </c>
      <c r="D1125" s="18">
        <v>3.2</v>
      </c>
    </row>
    <row r="1126" spans="1:4" x14ac:dyDescent="0.2">
      <c r="A1126" s="15" t="s">
        <v>72</v>
      </c>
      <c r="B1126" s="16" t="s">
        <v>77</v>
      </c>
      <c r="C1126" s="16">
        <v>73</v>
      </c>
      <c r="D1126" s="16">
        <v>3.05</v>
      </c>
    </row>
    <row r="1127" spans="1:4" x14ac:dyDescent="0.2">
      <c r="A1127" s="17" t="s">
        <v>72</v>
      </c>
      <c r="B1127" s="18" t="s">
        <v>77</v>
      </c>
      <c r="C1127" s="18">
        <v>74</v>
      </c>
      <c r="D1127" s="18">
        <v>2.91</v>
      </c>
    </row>
    <row r="1128" spans="1:4" x14ac:dyDescent="0.2">
      <c r="A1128" s="15" t="s">
        <v>72</v>
      </c>
      <c r="B1128" s="16" t="s">
        <v>77</v>
      </c>
      <c r="C1128" s="16">
        <v>75</v>
      </c>
      <c r="D1128" s="16">
        <v>2.79</v>
      </c>
    </row>
    <row r="1129" spans="1:4" x14ac:dyDescent="0.2">
      <c r="A1129" s="17" t="s">
        <v>72</v>
      </c>
      <c r="B1129" s="18" t="s">
        <v>77</v>
      </c>
      <c r="C1129" s="18">
        <v>76</v>
      </c>
      <c r="D1129" s="18">
        <v>2.67</v>
      </c>
    </row>
    <row r="1130" spans="1:4" x14ac:dyDescent="0.2">
      <c r="A1130" s="15" t="s">
        <v>72</v>
      </c>
      <c r="B1130" s="16" t="s">
        <v>77</v>
      </c>
      <c r="C1130" s="16">
        <v>77</v>
      </c>
      <c r="D1130" s="16">
        <v>2.56</v>
      </c>
    </row>
    <row r="1131" spans="1:4" x14ac:dyDescent="0.2">
      <c r="A1131" s="17" t="s">
        <v>72</v>
      </c>
      <c r="B1131" s="18" t="s">
        <v>77</v>
      </c>
      <c r="C1131" s="18">
        <v>78</v>
      </c>
      <c r="D1131" s="18">
        <v>2.46</v>
      </c>
    </row>
    <row r="1132" spans="1:4" x14ac:dyDescent="0.2">
      <c r="A1132" s="15" t="s">
        <v>72</v>
      </c>
      <c r="B1132" s="16" t="s">
        <v>77</v>
      </c>
      <c r="C1132" s="16">
        <v>79</v>
      </c>
      <c r="D1132" s="16">
        <v>2.36</v>
      </c>
    </row>
    <row r="1133" spans="1:4" x14ac:dyDescent="0.2">
      <c r="A1133" s="17" t="s">
        <v>72</v>
      </c>
      <c r="B1133" s="18" t="s">
        <v>77</v>
      </c>
      <c r="C1133" s="18">
        <v>80</v>
      </c>
      <c r="D1133" s="18">
        <v>2.2599999999999998</v>
      </c>
    </row>
    <row r="1134" spans="1:4" x14ac:dyDescent="0.2">
      <c r="A1134" s="15" t="s">
        <v>72</v>
      </c>
      <c r="B1134" s="16" t="s">
        <v>77</v>
      </c>
      <c r="C1134" s="16">
        <v>81</v>
      </c>
      <c r="D1134" s="16">
        <v>2.17</v>
      </c>
    </row>
    <row r="1135" spans="1:4" x14ac:dyDescent="0.2">
      <c r="A1135" s="17" t="s">
        <v>72</v>
      </c>
      <c r="B1135" s="18" t="s">
        <v>77</v>
      </c>
      <c r="C1135" s="18">
        <v>82</v>
      </c>
      <c r="D1135" s="18">
        <v>2.08</v>
      </c>
    </row>
    <row r="1136" spans="1:4" x14ac:dyDescent="0.2">
      <c r="A1136" s="15" t="s">
        <v>72</v>
      </c>
      <c r="B1136" s="16" t="s">
        <v>77</v>
      </c>
      <c r="C1136" s="16">
        <v>83</v>
      </c>
      <c r="D1136" s="16">
        <v>2</v>
      </c>
    </row>
    <row r="1137" spans="1:4" x14ac:dyDescent="0.2">
      <c r="A1137" s="17" t="s">
        <v>72</v>
      </c>
      <c r="B1137" s="18" t="s">
        <v>77</v>
      </c>
      <c r="C1137" s="18">
        <v>84</v>
      </c>
      <c r="D1137" s="18">
        <v>1.92</v>
      </c>
    </row>
    <row r="1138" spans="1:4" x14ac:dyDescent="0.2">
      <c r="A1138" s="15" t="s">
        <v>72</v>
      </c>
      <c r="B1138" s="16" t="s">
        <v>77</v>
      </c>
      <c r="C1138" s="16">
        <v>85</v>
      </c>
      <c r="D1138" s="16">
        <v>1.85</v>
      </c>
    </row>
    <row r="1139" spans="1:4" x14ac:dyDescent="0.2">
      <c r="A1139" s="17" t="s">
        <v>72</v>
      </c>
      <c r="B1139" s="18" t="s">
        <v>77</v>
      </c>
      <c r="C1139" s="18">
        <v>86</v>
      </c>
      <c r="D1139" s="18">
        <v>1.77</v>
      </c>
    </row>
    <row r="1140" spans="1:4" x14ac:dyDescent="0.2">
      <c r="A1140" s="15" t="s">
        <v>72</v>
      </c>
      <c r="B1140" s="16" t="s">
        <v>77</v>
      </c>
      <c r="C1140" s="16">
        <v>87</v>
      </c>
      <c r="D1140" s="16">
        <v>1.7</v>
      </c>
    </row>
    <row r="1141" spans="1:4" x14ac:dyDescent="0.2">
      <c r="A1141" s="17" t="s">
        <v>72</v>
      </c>
      <c r="B1141" s="18" t="s">
        <v>77</v>
      </c>
      <c r="C1141" s="18">
        <v>88</v>
      </c>
      <c r="D1141" s="18">
        <v>1.63</v>
      </c>
    </row>
    <row r="1142" spans="1:4" x14ac:dyDescent="0.2">
      <c r="A1142" s="15" t="s">
        <v>72</v>
      </c>
      <c r="B1142" s="16" t="s">
        <v>77</v>
      </c>
      <c r="C1142" s="16">
        <v>89</v>
      </c>
      <c r="D1142" s="16">
        <v>1.57</v>
      </c>
    </row>
    <row r="1143" spans="1:4" x14ac:dyDescent="0.2">
      <c r="A1143" s="17" t="s">
        <v>72</v>
      </c>
      <c r="B1143" s="18" t="s">
        <v>77</v>
      </c>
      <c r="C1143" s="18">
        <v>90</v>
      </c>
      <c r="D1143" s="18">
        <v>1.51</v>
      </c>
    </row>
    <row r="1144" spans="1:4" x14ac:dyDescent="0.2">
      <c r="A1144" s="15" t="s">
        <v>73</v>
      </c>
      <c r="B1144" s="16" t="s">
        <v>77</v>
      </c>
      <c r="C1144" s="16">
        <v>21</v>
      </c>
      <c r="D1144" s="16">
        <v>35.85</v>
      </c>
    </row>
    <row r="1145" spans="1:4" x14ac:dyDescent="0.2">
      <c r="A1145" s="17" t="s">
        <v>73</v>
      </c>
      <c r="B1145" s="18" t="s">
        <v>77</v>
      </c>
      <c r="C1145" s="18">
        <v>22</v>
      </c>
      <c r="D1145" s="18">
        <v>35.03</v>
      </c>
    </row>
    <row r="1146" spans="1:4" x14ac:dyDescent="0.2">
      <c r="A1146" s="15" t="s">
        <v>73</v>
      </c>
      <c r="B1146" s="16" t="s">
        <v>77</v>
      </c>
      <c r="C1146" s="16">
        <v>23</v>
      </c>
      <c r="D1146" s="16">
        <v>34.22</v>
      </c>
    </row>
    <row r="1147" spans="1:4" x14ac:dyDescent="0.2">
      <c r="A1147" s="17" t="s">
        <v>73</v>
      </c>
      <c r="B1147" s="18" t="s">
        <v>77</v>
      </c>
      <c r="C1147" s="18">
        <v>24</v>
      </c>
      <c r="D1147" s="18">
        <v>33.409999999999997</v>
      </c>
    </row>
    <row r="1148" spans="1:4" x14ac:dyDescent="0.2">
      <c r="A1148" s="15" t="s">
        <v>73</v>
      </c>
      <c r="B1148" s="16" t="s">
        <v>77</v>
      </c>
      <c r="C1148" s="16">
        <v>25</v>
      </c>
      <c r="D1148" s="16">
        <v>32.61</v>
      </c>
    </row>
    <row r="1149" spans="1:4" x14ac:dyDescent="0.2">
      <c r="A1149" s="17" t="s">
        <v>73</v>
      </c>
      <c r="B1149" s="18" t="s">
        <v>77</v>
      </c>
      <c r="C1149" s="18">
        <v>26</v>
      </c>
      <c r="D1149" s="18">
        <v>31.82</v>
      </c>
    </row>
    <row r="1150" spans="1:4" x14ac:dyDescent="0.2">
      <c r="A1150" s="15" t="s">
        <v>73</v>
      </c>
      <c r="B1150" s="16" t="s">
        <v>77</v>
      </c>
      <c r="C1150" s="16">
        <v>27</v>
      </c>
      <c r="D1150" s="16">
        <v>31.04</v>
      </c>
    </row>
    <row r="1151" spans="1:4" x14ac:dyDescent="0.2">
      <c r="A1151" s="17" t="s">
        <v>73</v>
      </c>
      <c r="B1151" s="18" t="s">
        <v>77</v>
      </c>
      <c r="C1151" s="18">
        <v>28</v>
      </c>
      <c r="D1151" s="18">
        <v>30.26</v>
      </c>
    </row>
    <row r="1152" spans="1:4" x14ac:dyDescent="0.2">
      <c r="A1152" s="15" t="s">
        <v>73</v>
      </c>
      <c r="B1152" s="16" t="s">
        <v>77</v>
      </c>
      <c r="C1152" s="16">
        <v>29</v>
      </c>
      <c r="D1152" s="16">
        <v>29.49</v>
      </c>
    </row>
    <row r="1153" spans="1:4" x14ac:dyDescent="0.2">
      <c r="A1153" s="17" t="s">
        <v>73</v>
      </c>
      <c r="B1153" s="18" t="s">
        <v>77</v>
      </c>
      <c r="C1153" s="18">
        <v>30</v>
      </c>
      <c r="D1153" s="18">
        <v>28.71</v>
      </c>
    </row>
    <row r="1154" spans="1:4" x14ac:dyDescent="0.2">
      <c r="A1154" s="15" t="s">
        <v>73</v>
      </c>
      <c r="B1154" s="16" t="s">
        <v>77</v>
      </c>
      <c r="C1154" s="16">
        <v>31</v>
      </c>
      <c r="D1154" s="16">
        <v>27.93</v>
      </c>
    </row>
    <row r="1155" spans="1:4" x14ac:dyDescent="0.2">
      <c r="A1155" s="17" t="s">
        <v>73</v>
      </c>
      <c r="B1155" s="18" t="s">
        <v>77</v>
      </c>
      <c r="C1155" s="18">
        <v>32</v>
      </c>
      <c r="D1155" s="18">
        <v>27.14</v>
      </c>
    </row>
    <row r="1156" spans="1:4" x14ac:dyDescent="0.2">
      <c r="A1156" s="15" t="s">
        <v>73</v>
      </c>
      <c r="B1156" s="16" t="s">
        <v>77</v>
      </c>
      <c r="C1156" s="16">
        <v>33</v>
      </c>
      <c r="D1156" s="16">
        <v>26.35</v>
      </c>
    </row>
    <row r="1157" spans="1:4" x14ac:dyDescent="0.2">
      <c r="A1157" s="17" t="s">
        <v>73</v>
      </c>
      <c r="B1157" s="18" t="s">
        <v>77</v>
      </c>
      <c r="C1157" s="18">
        <v>34</v>
      </c>
      <c r="D1157" s="18">
        <v>25.56</v>
      </c>
    </row>
    <row r="1158" spans="1:4" x14ac:dyDescent="0.2">
      <c r="A1158" s="15" t="s">
        <v>73</v>
      </c>
      <c r="B1158" s="16" t="s">
        <v>77</v>
      </c>
      <c r="C1158" s="16">
        <v>35</v>
      </c>
      <c r="D1158" s="16">
        <v>24.76</v>
      </c>
    </row>
    <row r="1159" spans="1:4" x14ac:dyDescent="0.2">
      <c r="A1159" s="17" t="s">
        <v>73</v>
      </c>
      <c r="B1159" s="18" t="s">
        <v>77</v>
      </c>
      <c r="C1159" s="18">
        <v>36</v>
      </c>
      <c r="D1159" s="18">
        <v>23.98</v>
      </c>
    </row>
    <row r="1160" spans="1:4" x14ac:dyDescent="0.2">
      <c r="A1160" s="15" t="s">
        <v>73</v>
      </c>
      <c r="B1160" s="16" t="s">
        <v>77</v>
      </c>
      <c r="C1160" s="16">
        <v>37</v>
      </c>
      <c r="D1160" s="16">
        <v>23.19</v>
      </c>
    </row>
    <row r="1161" spans="1:4" x14ac:dyDescent="0.2">
      <c r="A1161" s="17" t="s">
        <v>73</v>
      </c>
      <c r="B1161" s="18" t="s">
        <v>77</v>
      </c>
      <c r="C1161" s="18">
        <v>38</v>
      </c>
      <c r="D1161" s="18">
        <v>22.41</v>
      </c>
    </row>
    <row r="1162" spans="1:4" x14ac:dyDescent="0.2">
      <c r="A1162" s="15" t="s">
        <v>73</v>
      </c>
      <c r="B1162" s="16" t="s">
        <v>77</v>
      </c>
      <c r="C1162" s="16">
        <v>39</v>
      </c>
      <c r="D1162" s="16">
        <v>21.64</v>
      </c>
    </row>
    <row r="1163" spans="1:4" x14ac:dyDescent="0.2">
      <c r="A1163" s="17" t="s">
        <v>73</v>
      </c>
      <c r="B1163" s="18" t="s">
        <v>77</v>
      </c>
      <c r="C1163" s="18">
        <v>40</v>
      </c>
      <c r="D1163" s="18">
        <v>20.87</v>
      </c>
    </row>
    <row r="1164" spans="1:4" x14ac:dyDescent="0.2">
      <c r="A1164" s="15" t="s">
        <v>73</v>
      </c>
      <c r="B1164" s="16" t="s">
        <v>77</v>
      </c>
      <c r="C1164" s="16">
        <v>41</v>
      </c>
      <c r="D1164" s="16">
        <v>20.11</v>
      </c>
    </row>
    <row r="1165" spans="1:4" x14ac:dyDescent="0.2">
      <c r="A1165" s="17" t="s">
        <v>73</v>
      </c>
      <c r="B1165" s="18" t="s">
        <v>77</v>
      </c>
      <c r="C1165" s="18">
        <v>42</v>
      </c>
      <c r="D1165" s="18">
        <v>19.36</v>
      </c>
    </row>
    <row r="1166" spans="1:4" x14ac:dyDescent="0.2">
      <c r="A1166" s="15" t="s">
        <v>73</v>
      </c>
      <c r="B1166" s="16" t="s">
        <v>77</v>
      </c>
      <c r="C1166" s="16">
        <v>43</v>
      </c>
      <c r="D1166" s="16">
        <v>18.62</v>
      </c>
    </row>
    <row r="1167" spans="1:4" x14ac:dyDescent="0.2">
      <c r="A1167" s="17" t="s">
        <v>73</v>
      </c>
      <c r="B1167" s="18" t="s">
        <v>77</v>
      </c>
      <c r="C1167" s="18">
        <v>44</v>
      </c>
      <c r="D1167" s="18">
        <v>17.88</v>
      </c>
    </row>
    <row r="1168" spans="1:4" x14ac:dyDescent="0.2">
      <c r="A1168" s="15" t="s">
        <v>73</v>
      </c>
      <c r="B1168" s="16" t="s">
        <v>77</v>
      </c>
      <c r="C1168" s="16">
        <v>45</v>
      </c>
      <c r="D1168" s="16">
        <v>17.149999999999999</v>
      </c>
    </row>
    <row r="1169" spans="1:4" x14ac:dyDescent="0.2">
      <c r="A1169" s="17" t="s">
        <v>73</v>
      </c>
      <c r="B1169" s="18" t="s">
        <v>77</v>
      </c>
      <c r="C1169" s="18">
        <v>46</v>
      </c>
      <c r="D1169" s="18">
        <v>16.420000000000002</v>
      </c>
    </row>
    <row r="1170" spans="1:4" x14ac:dyDescent="0.2">
      <c r="A1170" s="15" t="s">
        <v>73</v>
      </c>
      <c r="B1170" s="16" t="s">
        <v>77</v>
      </c>
      <c r="C1170" s="16">
        <v>47</v>
      </c>
      <c r="D1170" s="16">
        <v>15.69</v>
      </c>
    </row>
    <row r="1171" spans="1:4" x14ac:dyDescent="0.2">
      <c r="A1171" s="17" t="s">
        <v>73</v>
      </c>
      <c r="B1171" s="18" t="s">
        <v>77</v>
      </c>
      <c r="C1171" s="18">
        <v>48</v>
      </c>
      <c r="D1171" s="18">
        <v>14.95</v>
      </c>
    </row>
    <row r="1172" spans="1:4" x14ac:dyDescent="0.2">
      <c r="A1172" s="15" t="s">
        <v>73</v>
      </c>
      <c r="B1172" s="16" t="s">
        <v>77</v>
      </c>
      <c r="C1172" s="16">
        <v>49</v>
      </c>
      <c r="D1172" s="16">
        <v>14.21</v>
      </c>
    </row>
    <row r="1173" spans="1:4" x14ac:dyDescent="0.2">
      <c r="A1173" s="17" t="s">
        <v>73</v>
      </c>
      <c r="B1173" s="18" t="s">
        <v>77</v>
      </c>
      <c r="C1173" s="18">
        <v>50</v>
      </c>
      <c r="D1173" s="18">
        <v>13.48</v>
      </c>
    </row>
    <row r="1174" spans="1:4" x14ac:dyDescent="0.2">
      <c r="A1174" s="15" t="s">
        <v>73</v>
      </c>
      <c r="B1174" s="16" t="s">
        <v>77</v>
      </c>
      <c r="C1174" s="16">
        <v>51</v>
      </c>
      <c r="D1174" s="16">
        <v>12.76</v>
      </c>
    </row>
    <row r="1175" spans="1:4" x14ac:dyDescent="0.2">
      <c r="A1175" s="17" t="s">
        <v>73</v>
      </c>
      <c r="B1175" s="18" t="s">
        <v>77</v>
      </c>
      <c r="C1175" s="18">
        <v>52</v>
      </c>
      <c r="D1175" s="18">
        <v>12.05</v>
      </c>
    </row>
    <row r="1176" spans="1:4" x14ac:dyDescent="0.2">
      <c r="A1176" s="15" t="s">
        <v>73</v>
      </c>
      <c r="B1176" s="16" t="s">
        <v>77</v>
      </c>
      <c r="C1176" s="16">
        <v>53</v>
      </c>
      <c r="D1176" s="16">
        <v>11.36</v>
      </c>
    </row>
    <row r="1177" spans="1:4" x14ac:dyDescent="0.2">
      <c r="A1177" s="17" t="s">
        <v>73</v>
      </c>
      <c r="B1177" s="18" t="s">
        <v>77</v>
      </c>
      <c r="C1177" s="18">
        <v>54</v>
      </c>
      <c r="D1177" s="18">
        <v>10.68</v>
      </c>
    </row>
    <row r="1178" spans="1:4" x14ac:dyDescent="0.2">
      <c r="A1178" s="15" t="s">
        <v>73</v>
      </c>
      <c r="B1178" s="16" t="s">
        <v>77</v>
      </c>
      <c r="C1178" s="16">
        <v>55</v>
      </c>
      <c r="D1178" s="16">
        <v>10.01</v>
      </c>
    </row>
    <row r="1179" spans="1:4" x14ac:dyDescent="0.2">
      <c r="A1179" s="17" t="s">
        <v>73</v>
      </c>
      <c r="B1179" s="18" t="s">
        <v>77</v>
      </c>
      <c r="C1179" s="18">
        <v>56</v>
      </c>
      <c r="D1179" s="18">
        <v>9.35</v>
      </c>
    </row>
    <row r="1180" spans="1:4" x14ac:dyDescent="0.2">
      <c r="A1180" s="15" t="s">
        <v>73</v>
      </c>
      <c r="B1180" s="16" t="s">
        <v>77</v>
      </c>
      <c r="C1180" s="16">
        <v>57</v>
      </c>
      <c r="D1180" s="16">
        <v>8.69</v>
      </c>
    </row>
    <row r="1181" spans="1:4" x14ac:dyDescent="0.2">
      <c r="A1181" s="17" t="s">
        <v>73</v>
      </c>
      <c r="B1181" s="18" t="s">
        <v>77</v>
      </c>
      <c r="C1181" s="18">
        <v>58</v>
      </c>
      <c r="D1181" s="18">
        <v>8.0500000000000007</v>
      </c>
    </row>
    <row r="1182" spans="1:4" x14ac:dyDescent="0.2">
      <c r="A1182" s="15" t="s">
        <v>73</v>
      </c>
      <c r="B1182" s="16" t="s">
        <v>77</v>
      </c>
      <c r="C1182" s="16">
        <v>59</v>
      </c>
      <c r="D1182" s="16">
        <v>7.45</v>
      </c>
    </row>
    <row r="1183" spans="1:4" x14ac:dyDescent="0.2">
      <c r="A1183" s="17" t="s">
        <v>73</v>
      </c>
      <c r="B1183" s="18" t="s">
        <v>77</v>
      </c>
      <c r="C1183" s="18">
        <v>60</v>
      </c>
      <c r="D1183" s="18">
        <v>6.92</v>
      </c>
    </row>
    <row r="1184" spans="1:4" x14ac:dyDescent="0.2">
      <c r="A1184" s="15" t="s">
        <v>73</v>
      </c>
      <c r="B1184" s="16" t="s">
        <v>77</v>
      </c>
      <c r="C1184" s="16">
        <v>61</v>
      </c>
      <c r="D1184" s="16">
        <v>6.45</v>
      </c>
    </row>
    <row r="1185" spans="1:4" x14ac:dyDescent="0.2">
      <c r="A1185" s="17" t="s">
        <v>73</v>
      </c>
      <c r="B1185" s="18" t="s">
        <v>77</v>
      </c>
      <c r="C1185" s="18">
        <v>62</v>
      </c>
      <c r="D1185" s="18">
        <v>6.02</v>
      </c>
    </row>
    <row r="1186" spans="1:4" x14ac:dyDescent="0.2">
      <c r="A1186" s="15" t="s">
        <v>73</v>
      </c>
      <c r="B1186" s="16" t="s">
        <v>77</v>
      </c>
      <c r="C1186" s="16">
        <v>63</v>
      </c>
      <c r="D1186" s="16">
        <v>5.64</v>
      </c>
    </row>
    <row r="1187" spans="1:4" x14ac:dyDescent="0.2">
      <c r="A1187" s="17" t="s">
        <v>73</v>
      </c>
      <c r="B1187" s="18" t="s">
        <v>77</v>
      </c>
      <c r="C1187" s="18">
        <v>64</v>
      </c>
      <c r="D1187" s="18">
        <v>5.31</v>
      </c>
    </row>
    <row r="1188" spans="1:4" x14ac:dyDescent="0.2">
      <c r="A1188" s="15" t="s">
        <v>73</v>
      </c>
      <c r="B1188" s="16" t="s">
        <v>77</v>
      </c>
      <c r="C1188" s="16">
        <v>65</v>
      </c>
      <c r="D1188" s="16">
        <v>5.0199999999999996</v>
      </c>
    </row>
    <row r="1189" spans="1:4" x14ac:dyDescent="0.2">
      <c r="A1189" s="17" t="s">
        <v>73</v>
      </c>
      <c r="B1189" s="18" t="s">
        <v>77</v>
      </c>
      <c r="C1189" s="18">
        <v>66</v>
      </c>
      <c r="D1189" s="18">
        <v>4.7699999999999996</v>
      </c>
    </row>
    <row r="1190" spans="1:4" x14ac:dyDescent="0.2">
      <c r="A1190" s="15" t="s">
        <v>73</v>
      </c>
      <c r="B1190" s="16" t="s">
        <v>77</v>
      </c>
      <c r="C1190" s="16">
        <v>67</v>
      </c>
      <c r="D1190" s="16">
        <v>4.54</v>
      </c>
    </row>
    <row r="1191" spans="1:4" x14ac:dyDescent="0.2">
      <c r="A1191" s="17" t="s">
        <v>73</v>
      </c>
      <c r="B1191" s="18" t="s">
        <v>77</v>
      </c>
      <c r="C1191" s="18">
        <v>68</v>
      </c>
      <c r="D1191" s="18">
        <v>4.32</v>
      </c>
    </row>
    <row r="1192" spans="1:4" x14ac:dyDescent="0.2">
      <c r="A1192" s="15" t="s">
        <v>73</v>
      </c>
      <c r="B1192" s="16" t="s">
        <v>77</v>
      </c>
      <c r="C1192" s="16">
        <v>69</v>
      </c>
      <c r="D1192" s="16">
        <v>4.1100000000000003</v>
      </c>
    </row>
    <row r="1193" spans="1:4" x14ac:dyDescent="0.2">
      <c r="A1193" s="17" t="s">
        <v>73</v>
      </c>
      <c r="B1193" s="18" t="s">
        <v>77</v>
      </c>
      <c r="C1193" s="18">
        <v>70</v>
      </c>
      <c r="D1193" s="18">
        <v>3.92</v>
      </c>
    </row>
    <row r="1194" spans="1:4" x14ac:dyDescent="0.2">
      <c r="A1194" s="15" t="s">
        <v>73</v>
      </c>
      <c r="B1194" s="16" t="s">
        <v>77</v>
      </c>
      <c r="C1194" s="16">
        <v>71</v>
      </c>
      <c r="D1194" s="16">
        <v>3.74</v>
      </c>
    </row>
    <row r="1195" spans="1:4" x14ac:dyDescent="0.2">
      <c r="A1195" s="17" t="s">
        <v>73</v>
      </c>
      <c r="B1195" s="18" t="s">
        <v>77</v>
      </c>
      <c r="C1195" s="18">
        <v>72</v>
      </c>
      <c r="D1195" s="18">
        <v>3.57</v>
      </c>
    </row>
    <row r="1196" spans="1:4" x14ac:dyDescent="0.2">
      <c r="A1196" s="15" t="s">
        <v>73</v>
      </c>
      <c r="B1196" s="16" t="s">
        <v>77</v>
      </c>
      <c r="C1196" s="16">
        <v>73</v>
      </c>
      <c r="D1196" s="16">
        <v>3.41</v>
      </c>
    </row>
    <row r="1197" spans="1:4" x14ac:dyDescent="0.2">
      <c r="A1197" s="17" t="s">
        <v>73</v>
      </c>
      <c r="B1197" s="18" t="s">
        <v>77</v>
      </c>
      <c r="C1197" s="18">
        <v>74</v>
      </c>
      <c r="D1197" s="18">
        <v>3.27</v>
      </c>
    </row>
    <row r="1198" spans="1:4" x14ac:dyDescent="0.2">
      <c r="A1198" s="15" t="s">
        <v>73</v>
      </c>
      <c r="B1198" s="16" t="s">
        <v>77</v>
      </c>
      <c r="C1198" s="16">
        <v>75</v>
      </c>
      <c r="D1198" s="16">
        <v>3.13</v>
      </c>
    </row>
    <row r="1199" spans="1:4" x14ac:dyDescent="0.2">
      <c r="A1199" s="17" t="s">
        <v>73</v>
      </c>
      <c r="B1199" s="18" t="s">
        <v>77</v>
      </c>
      <c r="C1199" s="18">
        <v>76</v>
      </c>
      <c r="D1199" s="18">
        <v>3</v>
      </c>
    </row>
    <row r="1200" spans="1:4" x14ac:dyDescent="0.2">
      <c r="A1200" s="15" t="s">
        <v>73</v>
      </c>
      <c r="B1200" s="16" t="s">
        <v>77</v>
      </c>
      <c r="C1200" s="16">
        <v>77</v>
      </c>
      <c r="D1200" s="16">
        <v>2.87</v>
      </c>
    </row>
    <row r="1201" spans="1:4" x14ac:dyDescent="0.2">
      <c r="A1201" s="17" t="s">
        <v>73</v>
      </c>
      <c r="B1201" s="18" t="s">
        <v>77</v>
      </c>
      <c r="C1201" s="18">
        <v>78</v>
      </c>
      <c r="D1201" s="18">
        <v>2.76</v>
      </c>
    </row>
    <row r="1202" spans="1:4" x14ac:dyDescent="0.2">
      <c r="A1202" s="15" t="s">
        <v>73</v>
      </c>
      <c r="B1202" s="16" t="s">
        <v>77</v>
      </c>
      <c r="C1202" s="16">
        <v>79</v>
      </c>
      <c r="D1202" s="16">
        <v>2.65</v>
      </c>
    </row>
    <row r="1203" spans="1:4" x14ac:dyDescent="0.2">
      <c r="A1203" s="17" t="s">
        <v>73</v>
      </c>
      <c r="B1203" s="18" t="s">
        <v>77</v>
      </c>
      <c r="C1203" s="18">
        <v>80</v>
      </c>
      <c r="D1203" s="18">
        <v>2.5499999999999998</v>
      </c>
    </row>
    <row r="1204" spans="1:4" x14ac:dyDescent="0.2">
      <c r="A1204" s="15" t="s">
        <v>73</v>
      </c>
      <c r="B1204" s="16" t="s">
        <v>77</v>
      </c>
      <c r="C1204" s="16">
        <v>81</v>
      </c>
      <c r="D1204" s="16">
        <v>2.4500000000000002</v>
      </c>
    </row>
    <row r="1205" spans="1:4" x14ac:dyDescent="0.2">
      <c r="A1205" s="17" t="s">
        <v>73</v>
      </c>
      <c r="B1205" s="18" t="s">
        <v>77</v>
      </c>
      <c r="C1205" s="18">
        <v>82</v>
      </c>
      <c r="D1205" s="18">
        <v>2.35</v>
      </c>
    </row>
    <row r="1206" spans="1:4" x14ac:dyDescent="0.2">
      <c r="A1206" s="15" t="s">
        <v>73</v>
      </c>
      <c r="B1206" s="16" t="s">
        <v>77</v>
      </c>
      <c r="C1206" s="16">
        <v>83</v>
      </c>
      <c r="D1206" s="16">
        <v>2.2599999999999998</v>
      </c>
    </row>
    <row r="1207" spans="1:4" x14ac:dyDescent="0.2">
      <c r="A1207" s="17" t="s">
        <v>73</v>
      </c>
      <c r="B1207" s="18" t="s">
        <v>77</v>
      </c>
      <c r="C1207" s="18">
        <v>84</v>
      </c>
      <c r="D1207" s="18">
        <v>2.1800000000000002</v>
      </c>
    </row>
    <row r="1208" spans="1:4" x14ac:dyDescent="0.2">
      <c r="A1208" s="15" t="s">
        <v>73</v>
      </c>
      <c r="B1208" s="16" t="s">
        <v>77</v>
      </c>
      <c r="C1208" s="16">
        <v>85</v>
      </c>
      <c r="D1208" s="16">
        <v>2.1</v>
      </c>
    </row>
    <row r="1209" spans="1:4" x14ac:dyDescent="0.2">
      <c r="A1209" s="17" t="s">
        <v>73</v>
      </c>
      <c r="B1209" s="18" t="s">
        <v>77</v>
      </c>
      <c r="C1209" s="18">
        <v>86</v>
      </c>
      <c r="D1209" s="18">
        <v>2.0099999999999998</v>
      </c>
    </row>
    <row r="1210" spans="1:4" x14ac:dyDescent="0.2">
      <c r="A1210" s="15" t="s">
        <v>73</v>
      </c>
      <c r="B1210" s="16" t="s">
        <v>77</v>
      </c>
      <c r="C1210" s="16">
        <v>87</v>
      </c>
      <c r="D1210" s="16">
        <v>1.93</v>
      </c>
    </row>
    <row r="1211" spans="1:4" x14ac:dyDescent="0.2">
      <c r="A1211" s="17" t="s">
        <v>73</v>
      </c>
      <c r="B1211" s="18" t="s">
        <v>77</v>
      </c>
      <c r="C1211" s="18">
        <v>88</v>
      </c>
      <c r="D1211" s="18">
        <v>1.85</v>
      </c>
    </row>
    <row r="1212" spans="1:4" x14ac:dyDescent="0.2">
      <c r="A1212" s="15" t="s">
        <v>73</v>
      </c>
      <c r="B1212" s="16" t="s">
        <v>77</v>
      </c>
      <c r="C1212" s="16">
        <v>89</v>
      </c>
      <c r="D1212" s="16">
        <v>1.78</v>
      </c>
    </row>
    <row r="1213" spans="1:4" x14ac:dyDescent="0.2">
      <c r="A1213" s="17" t="s">
        <v>73</v>
      </c>
      <c r="B1213" s="18" t="s">
        <v>77</v>
      </c>
      <c r="C1213" s="18">
        <v>90</v>
      </c>
      <c r="D1213" s="18">
        <v>1.71</v>
      </c>
    </row>
    <row r="1214" spans="1:4" x14ac:dyDescent="0.2">
      <c r="A1214" s="15" t="s">
        <v>74</v>
      </c>
      <c r="B1214" s="16" t="s">
        <v>77</v>
      </c>
      <c r="C1214" s="16">
        <v>22</v>
      </c>
      <c r="D1214" s="16">
        <v>36.67</v>
      </c>
    </row>
    <row r="1215" spans="1:4" x14ac:dyDescent="0.2">
      <c r="A1215" s="17" t="s">
        <v>74</v>
      </c>
      <c r="B1215" s="18" t="s">
        <v>77</v>
      </c>
      <c r="C1215" s="18">
        <v>23</v>
      </c>
      <c r="D1215" s="18">
        <v>35.75</v>
      </c>
    </row>
    <row r="1216" spans="1:4" x14ac:dyDescent="0.2">
      <c r="A1216" s="15" t="s">
        <v>74</v>
      </c>
      <c r="B1216" s="16" t="s">
        <v>77</v>
      </c>
      <c r="C1216" s="16">
        <v>24</v>
      </c>
      <c r="D1216" s="16">
        <v>34.85</v>
      </c>
    </row>
    <row r="1217" spans="1:4" x14ac:dyDescent="0.2">
      <c r="A1217" s="17" t="s">
        <v>74</v>
      </c>
      <c r="B1217" s="18" t="s">
        <v>77</v>
      </c>
      <c r="C1217" s="18">
        <v>25</v>
      </c>
      <c r="D1217" s="18">
        <v>33.950000000000003</v>
      </c>
    </row>
    <row r="1218" spans="1:4" x14ac:dyDescent="0.2">
      <c r="A1218" s="15" t="s">
        <v>74</v>
      </c>
      <c r="B1218" s="16" t="s">
        <v>77</v>
      </c>
      <c r="C1218" s="16">
        <v>26</v>
      </c>
      <c r="D1218" s="16">
        <v>33.07</v>
      </c>
    </row>
    <row r="1219" spans="1:4" x14ac:dyDescent="0.2">
      <c r="A1219" s="17" t="s">
        <v>74</v>
      </c>
      <c r="B1219" s="18" t="s">
        <v>77</v>
      </c>
      <c r="C1219" s="18">
        <v>27</v>
      </c>
      <c r="D1219" s="18">
        <v>32.21</v>
      </c>
    </row>
    <row r="1220" spans="1:4" x14ac:dyDescent="0.2">
      <c r="A1220" s="15" t="s">
        <v>74</v>
      </c>
      <c r="B1220" s="16" t="s">
        <v>77</v>
      </c>
      <c r="C1220" s="16">
        <v>28</v>
      </c>
      <c r="D1220" s="16">
        <v>31.37</v>
      </c>
    </row>
    <row r="1221" spans="1:4" x14ac:dyDescent="0.2">
      <c r="A1221" s="17" t="s">
        <v>74</v>
      </c>
      <c r="B1221" s="18" t="s">
        <v>77</v>
      </c>
      <c r="C1221" s="18">
        <v>29</v>
      </c>
      <c r="D1221" s="18">
        <v>30.54</v>
      </c>
    </row>
    <row r="1222" spans="1:4" x14ac:dyDescent="0.2">
      <c r="A1222" s="15" t="s">
        <v>74</v>
      </c>
      <c r="B1222" s="16" t="s">
        <v>77</v>
      </c>
      <c r="C1222" s="16">
        <v>30</v>
      </c>
      <c r="D1222" s="16">
        <v>29.73</v>
      </c>
    </row>
    <row r="1223" spans="1:4" x14ac:dyDescent="0.2">
      <c r="A1223" s="17" t="s">
        <v>74</v>
      </c>
      <c r="B1223" s="18" t="s">
        <v>77</v>
      </c>
      <c r="C1223" s="18">
        <v>31</v>
      </c>
      <c r="D1223" s="18">
        <v>28.93</v>
      </c>
    </row>
    <row r="1224" spans="1:4" x14ac:dyDescent="0.2">
      <c r="A1224" s="15" t="s">
        <v>74</v>
      </c>
      <c r="B1224" s="16" t="s">
        <v>77</v>
      </c>
      <c r="C1224" s="16">
        <v>32</v>
      </c>
      <c r="D1224" s="16">
        <v>28.15</v>
      </c>
    </row>
    <row r="1225" spans="1:4" x14ac:dyDescent="0.2">
      <c r="A1225" s="17" t="s">
        <v>74</v>
      </c>
      <c r="B1225" s="18" t="s">
        <v>77</v>
      </c>
      <c r="C1225" s="18">
        <v>33</v>
      </c>
      <c r="D1225" s="18">
        <v>27.38</v>
      </c>
    </row>
    <row r="1226" spans="1:4" x14ac:dyDescent="0.2">
      <c r="A1226" s="15" t="s">
        <v>74</v>
      </c>
      <c r="B1226" s="16" t="s">
        <v>77</v>
      </c>
      <c r="C1226" s="16">
        <v>34</v>
      </c>
      <c r="D1226" s="16">
        <v>26.61</v>
      </c>
    </row>
    <row r="1227" spans="1:4" x14ac:dyDescent="0.2">
      <c r="A1227" s="17" t="s">
        <v>74</v>
      </c>
      <c r="B1227" s="18" t="s">
        <v>77</v>
      </c>
      <c r="C1227" s="18">
        <v>35</v>
      </c>
      <c r="D1227" s="18">
        <v>25.85</v>
      </c>
    </row>
    <row r="1228" spans="1:4" x14ac:dyDescent="0.2">
      <c r="A1228" s="15" t="s">
        <v>74</v>
      </c>
      <c r="B1228" s="16" t="s">
        <v>77</v>
      </c>
      <c r="C1228" s="16">
        <v>36</v>
      </c>
      <c r="D1228" s="16">
        <v>25.08</v>
      </c>
    </row>
    <row r="1229" spans="1:4" x14ac:dyDescent="0.2">
      <c r="A1229" s="17" t="s">
        <v>74</v>
      </c>
      <c r="B1229" s="18" t="s">
        <v>77</v>
      </c>
      <c r="C1229" s="18">
        <v>37</v>
      </c>
      <c r="D1229" s="18">
        <v>24.31</v>
      </c>
    </row>
    <row r="1230" spans="1:4" x14ac:dyDescent="0.2">
      <c r="A1230" s="15" t="s">
        <v>74</v>
      </c>
      <c r="B1230" s="16" t="s">
        <v>77</v>
      </c>
      <c r="C1230" s="16">
        <v>38</v>
      </c>
      <c r="D1230" s="16">
        <v>23.52</v>
      </c>
    </row>
    <row r="1231" spans="1:4" x14ac:dyDescent="0.2">
      <c r="A1231" s="17" t="s">
        <v>74</v>
      </c>
      <c r="B1231" s="18" t="s">
        <v>77</v>
      </c>
      <c r="C1231" s="18">
        <v>39</v>
      </c>
      <c r="D1231" s="18">
        <v>22.74</v>
      </c>
    </row>
    <row r="1232" spans="1:4" x14ac:dyDescent="0.2">
      <c r="A1232" s="15" t="s">
        <v>74</v>
      </c>
      <c r="B1232" s="16" t="s">
        <v>77</v>
      </c>
      <c r="C1232" s="16">
        <v>40</v>
      </c>
      <c r="D1232" s="16">
        <v>21.94</v>
      </c>
    </row>
    <row r="1233" spans="1:4" x14ac:dyDescent="0.2">
      <c r="A1233" s="17" t="s">
        <v>74</v>
      </c>
      <c r="B1233" s="18" t="s">
        <v>77</v>
      </c>
      <c r="C1233" s="18">
        <v>41</v>
      </c>
      <c r="D1233" s="18">
        <v>21.15</v>
      </c>
    </row>
    <row r="1234" spans="1:4" x14ac:dyDescent="0.2">
      <c r="A1234" s="15" t="s">
        <v>74</v>
      </c>
      <c r="B1234" s="16" t="s">
        <v>77</v>
      </c>
      <c r="C1234" s="16">
        <v>42</v>
      </c>
      <c r="D1234" s="16">
        <v>20.350000000000001</v>
      </c>
    </row>
    <row r="1235" spans="1:4" x14ac:dyDescent="0.2">
      <c r="A1235" s="17" t="s">
        <v>74</v>
      </c>
      <c r="B1235" s="18" t="s">
        <v>77</v>
      </c>
      <c r="C1235" s="18">
        <v>43</v>
      </c>
      <c r="D1235" s="18">
        <v>19.559999999999999</v>
      </c>
    </row>
    <row r="1236" spans="1:4" x14ac:dyDescent="0.2">
      <c r="A1236" s="15" t="s">
        <v>74</v>
      </c>
      <c r="B1236" s="16" t="s">
        <v>77</v>
      </c>
      <c r="C1236" s="16">
        <v>44</v>
      </c>
      <c r="D1236" s="16">
        <v>18.760000000000002</v>
      </c>
    </row>
    <row r="1237" spans="1:4" x14ac:dyDescent="0.2">
      <c r="A1237" s="17" t="s">
        <v>74</v>
      </c>
      <c r="B1237" s="18" t="s">
        <v>77</v>
      </c>
      <c r="C1237" s="18">
        <v>45</v>
      </c>
      <c r="D1237" s="18">
        <v>17.96</v>
      </c>
    </row>
    <row r="1238" spans="1:4" x14ac:dyDescent="0.2">
      <c r="A1238" s="15" t="s">
        <v>74</v>
      </c>
      <c r="B1238" s="16" t="s">
        <v>77</v>
      </c>
      <c r="C1238" s="16">
        <v>46</v>
      </c>
      <c r="D1238" s="16">
        <v>17.170000000000002</v>
      </c>
    </row>
    <row r="1239" spans="1:4" x14ac:dyDescent="0.2">
      <c r="A1239" s="17" t="s">
        <v>74</v>
      </c>
      <c r="B1239" s="18" t="s">
        <v>77</v>
      </c>
      <c r="C1239" s="18">
        <v>47</v>
      </c>
      <c r="D1239" s="18">
        <v>16.37</v>
      </c>
    </row>
    <row r="1240" spans="1:4" x14ac:dyDescent="0.2">
      <c r="A1240" s="15" t="s">
        <v>74</v>
      </c>
      <c r="B1240" s="16" t="s">
        <v>77</v>
      </c>
      <c r="C1240" s="16">
        <v>48</v>
      </c>
      <c r="D1240" s="16">
        <v>15.58</v>
      </c>
    </row>
    <row r="1241" spans="1:4" x14ac:dyDescent="0.2">
      <c r="A1241" s="17" t="s">
        <v>74</v>
      </c>
      <c r="B1241" s="18" t="s">
        <v>77</v>
      </c>
      <c r="C1241" s="18">
        <v>49</v>
      </c>
      <c r="D1241" s="18">
        <v>14.79</v>
      </c>
    </row>
    <row r="1242" spans="1:4" x14ac:dyDescent="0.2">
      <c r="A1242" s="15" t="s">
        <v>74</v>
      </c>
      <c r="B1242" s="16" t="s">
        <v>77</v>
      </c>
      <c r="C1242" s="16">
        <v>50</v>
      </c>
      <c r="D1242" s="16">
        <v>14.01</v>
      </c>
    </row>
    <row r="1243" spans="1:4" x14ac:dyDescent="0.2">
      <c r="A1243" s="17" t="s">
        <v>74</v>
      </c>
      <c r="B1243" s="18" t="s">
        <v>77</v>
      </c>
      <c r="C1243" s="18">
        <v>51</v>
      </c>
      <c r="D1243" s="18">
        <v>13.24</v>
      </c>
    </row>
    <row r="1244" spans="1:4" x14ac:dyDescent="0.2">
      <c r="A1244" s="15" t="s">
        <v>74</v>
      </c>
      <c r="B1244" s="16" t="s">
        <v>77</v>
      </c>
      <c r="C1244" s="16">
        <v>52</v>
      </c>
      <c r="D1244" s="16">
        <v>12.48</v>
      </c>
    </row>
    <row r="1245" spans="1:4" x14ac:dyDescent="0.2">
      <c r="A1245" s="17" t="s">
        <v>74</v>
      </c>
      <c r="B1245" s="18" t="s">
        <v>77</v>
      </c>
      <c r="C1245" s="18">
        <v>53</v>
      </c>
      <c r="D1245" s="18">
        <v>11.73</v>
      </c>
    </row>
    <row r="1246" spans="1:4" x14ac:dyDescent="0.2">
      <c r="A1246" s="15" t="s">
        <v>74</v>
      </c>
      <c r="B1246" s="16" t="s">
        <v>77</v>
      </c>
      <c r="C1246" s="16">
        <v>54</v>
      </c>
      <c r="D1246" s="16">
        <v>11</v>
      </c>
    </row>
    <row r="1247" spans="1:4" x14ac:dyDescent="0.2">
      <c r="A1247" s="17" t="s">
        <v>74</v>
      </c>
      <c r="B1247" s="18" t="s">
        <v>77</v>
      </c>
      <c r="C1247" s="18">
        <v>55</v>
      </c>
      <c r="D1247" s="18">
        <v>10.29</v>
      </c>
    </row>
    <row r="1248" spans="1:4" x14ac:dyDescent="0.2">
      <c r="A1248" s="15" t="s">
        <v>74</v>
      </c>
      <c r="B1248" s="16" t="s">
        <v>77</v>
      </c>
      <c r="C1248" s="16">
        <v>56</v>
      </c>
      <c r="D1248" s="16">
        <v>9.6</v>
      </c>
    </row>
    <row r="1249" spans="1:4" x14ac:dyDescent="0.2">
      <c r="A1249" s="17" t="s">
        <v>74</v>
      </c>
      <c r="B1249" s="18" t="s">
        <v>77</v>
      </c>
      <c r="C1249" s="18">
        <v>57</v>
      </c>
      <c r="D1249" s="18">
        <v>8.93</v>
      </c>
    </row>
    <row r="1250" spans="1:4" x14ac:dyDescent="0.2">
      <c r="A1250" s="15" t="s">
        <v>74</v>
      </c>
      <c r="B1250" s="16" t="s">
        <v>77</v>
      </c>
      <c r="C1250" s="16">
        <v>58</v>
      </c>
      <c r="D1250" s="16">
        <v>8.2899999999999991</v>
      </c>
    </row>
    <row r="1251" spans="1:4" x14ac:dyDescent="0.2">
      <c r="A1251" s="17" t="s">
        <v>74</v>
      </c>
      <c r="B1251" s="18" t="s">
        <v>77</v>
      </c>
      <c r="C1251" s="18">
        <v>59</v>
      </c>
      <c r="D1251" s="18">
        <v>7.69</v>
      </c>
    </row>
    <row r="1252" spans="1:4" x14ac:dyDescent="0.2">
      <c r="A1252" s="15" t="s">
        <v>74</v>
      </c>
      <c r="B1252" s="16" t="s">
        <v>77</v>
      </c>
      <c r="C1252" s="16">
        <v>60</v>
      </c>
      <c r="D1252" s="16">
        <v>7.12</v>
      </c>
    </row>
    <row r="1253" spans="1:4" x14ac:dyDescent="0.2">
      <c r="A1253" s="17" t="s">
        <v>74</v>
      </c>
      <c r="B1253" s="18" t="s">
        <v>77</v>
      </c>
      <c r="C1253" s="18">
        <v>61</v>
      </c>
      <c r="D1253" s="18">
        <v>6.59</v>
      </c>
    </row>
    <row r="1254" spans="1:4" x14ac:dyDescent="0.2">
      <c r="A1254" s="15" t="s">
        <v>74</v>
      </c>
      <c r="B1254" s="16" t="s">
        <v>77</v>
      </c>
      <c r="C1254" s="16">
        <v>62</v>
      </c>
      <c r="D1254" s="16">
        <v>6.11</v>
      </c>
    </row>
    <row r="1255" spans="1:4" x14ac:dyDescent="0.2">
      <c r="A1255" s="17" t="s">
        <v>74</v>
      </c>
      <c r="B1255" s="18" t="s">
        <v>77</v>
      </c>
      <c r="C1255" s="18">
        <v>63</v>
      </c>
      <c r="D1255" s="18">
        <v>5.68</v>
      </c>
    </row>
    <row r="1256" spans="1:4" x14ac:dyDescent="0.2">
      <c r="A1256" s="15" t="s">
        <v>74</v>
      </c>
      <c r="B1256" s="16" t="s">
        <v>77</v>
      </c>
      <c r="C1256" s="16">
        <v>64</v>
      </c>
      <c r="D1256" s="16">
        <v>5.28</v>
      </c>
    </row>
    <row r="1257" spans="1:4" x14ac:dyDescent="0.2">
      <c r="A1257" s="17" t="s">
        <v>74</v>
      </c>
      <c r="B1257" s="18" t="s">
        <v>77</v>
      </c>
      <c r="C1257" s="18">
        <v>65</v>
      </c>
      <c r="D1257" s="18">
        <v>4.91</v>
      </c>
    </row>
    <row r="1258" spans="1:4" x14ac:dyDescent="0.2">
      <c r="A1258" s="15" t="s">
        <v>74</v>
      </c>
      <c r="B1258" s="16" t="s">
        <v>77</v>
      </c>
      <c r="C1258" s="16">
        <v>66</v>
      </c>
      <c r="D1258" s="16">
        <v>4.58</v>
      </c>
    </row>
    <row r="1259" spans="1:4" x14ac:dyDescent="0.2">
      <c r="A1259" s="17" t="s">
        <v>74</v>
      </c>
      <c r="B1259" s="18" t="s">
        <v>77</v>
      </c>
      <c r="C1259" s="18">
        <v>67</v>
      </c>
      <c r="D1259" s="18">
        <v>4.26</v>
      </c>
    </row>
    <row r="1260" spans="1:4" x14ac:dyDescent="0.2">
      <c r="A1260" s="15" t="s">
        <v>74</v>
      </c>
      <c r="B1260" s="16" t="s">
        <v>77</v>
      </c>
      <c r="C1260" s="16">
        <v>68</v>
      </c>
      <c r="D1260" s="16">
        <v>3.97</v>
      </c>
    </row>
    <row r="1261" spans="1:4" x14ac:dyDescent="0.2">
      <c r="A1261" s="17" t="s">
        <v>74</v>
      </c>
      <c r="B1261" s="18" t="s">
        <v>77</v>
      </c>
      <c r="C1261" s="18">
        <v>69</v>
      </c>
      <c r="D1261" s="18">
        <v>3.7</v>
      </c>
    </row>
    <row r="1262" spans="1:4" x14ac:dyDescent="0.2">
      <c r="A1262" s="15" t="s">
        <v>74</v>
      </c>
      <c r="B1262" s="16" t="s">
        <v>77</v>
      </c>
      <c r="C1262" s="16">
        <v>70</v>
      </c>
      <c r="D1262" s="16">
        <v>3.45</v>
      </c>
    </row>
    <row r="1263" spans="1:4" x14ac:dyDescent="0.2">
      <c r="A1263" s="17" t="s">
        <v>74</v>
      </c>
      <c r="B1263" s="18" t="s">
        <v>77</v>
      </c>
      <c r="C1263" s="18">
        <v>71</v>
      </c>
      <c r="D1263" s="18">
        <v>3.22</v>
      </c>
    </row>
    <row r="1264" spans="1:4" x14ac:dyDescent="0.2">
      <c r="A1264" s="15" t="s">
        <v>74</v>
      </c>
      <c r="B1264" s="16" t="s">
        <v>77</v>
      </c>
      <c r="C1264" s="16">
        <v>72</v>
      </c>
      <c r="D1264" s="16">
        <v>3.02</v>
      </c>
    </row>
    <row r="1265" spans="1:4" x14ac:dyDescent="0.2">
      <c r="A1265" s="17" t="s">
        <v>74</v>
      </c>
      <c r="B1265" s="18" t="s">
        <v>77</v>
      </c>
      <c r="C1265" s="18">
        <v>73</v>
      </c>
      <c r="D1265" s="18">
        <v>2.84</v>
      </c>
    </row>
    <row r="1266" spans="1:4" x14ac:dyDescent="0.2">
      <c r="A1266" s="15" t="s">
        <v>74</v>
      </c>
      <c r="B1266" s="16" t="s">
        <v>77</v>
      </c>
      <c r="C1266" s="16">
        <v>74</v>
      </c>
      <c r="D1266" s="16">
        <v>2.67</v>
      </c>
    </row>
    <row r="1267" spans="1:4" x14ac:dyDescent="0.2">
      <c r="A1267" s="17" t="s">
        <v>74</v>
      </c>
      <c r="B1267" s="18" t="s">
        <v>77</v>
      </c>
      <c r="C1267" s="18">
        <v>75</v>
      </c>
      <c r="D1267" s="18">
        <v>2.52</v>
      </c>
    </row>
    <row r="1268" spans="1:4" x14ac:dyDescent="0.2">
      <c r="A1268" s="15" t="s">
        <v>74</v>
      </c>
      <c r="B1268" s="16" t="s">
        <v>77</v>
      </c>
      <c r="C1268" s="16">
        <v>76</v>
      </c>
      <c r="D1268" s="16">
        <v>2.38</v>
      </c>
    </row>
    <row r="1269" spans="1:4" x14ac:dyDescent="0.2">
      <c r="A1269" s="17" t="s">
        <v>74</v>
      </c>
      <c r="B1269" s="18" t="s">
        <v>77</v>
      </c>
      <c r="C1269" s="18">
        <v>77</v>
      </c>
      <c r="D1269" s="18">
        <v>2.25</v>
      </c>
    </row>
    <row r="1270" spans="1:4" x14ac:dyDescent="0.2">
      <c r="A1270" s="15" t="s">
        <v>74</v>
      </c>
      <c r="B1270" s="16" t="s">
        <v>77</v>
      </c>
      <c r="C1270" s="16">
        <v>78</v>
      </c>
      <c r="D1270" s="16">
        <v>2.13</v>
      </c>
    </row>
    <row r="1271" spans="1:4" x14ac:dyDescent="0.2">
      <c r="A1271" s="17" t="s">
        <v>74</v>
      </c>
      <c r="B1271" s="18" t="s">
        <v>77</v>
      </c>
      <c r="C1271" s="18">
        <v>79</v>
      </c>
      <c r="D1271" s="18">
        <v>2.02</v>
      </c>
    </row>
    <row r="1272" spans="1:4" x14ac:dyDescent="0.2">
      <c r="A1272" s="15" t="s">
        <v>74</v>
      </c>
      <c r="B1272" s="16" t="s">
        <v>77</v>
      </c>
      <c r="C1272" s="16">
        <v>80</v>
      </c>
      <c r="D1272" s="16">
        <v>1.93</v>
      </c>
    </row>
    <row r="1273" spans="1:4" x14ac:dyDescent="0.2">
      <c r="A1273" s="17" t="s">
        <v>74</v>
      </c>
      <c r="B1273" s="18" t="s">
        <v>77</v>
      </c>
      <c r="C1273" s="18">
        <v>81</v>
      </c>
      <c r="D1273" s="18">
        <v>1.84</v>
      </c>
    </row>
    <row r="1274" spans="1:4" x14ac:dyDescent="0.2">
      <c r="A1274" s="15" t="s">
        <v>74</v>
      </c>
      <c r="B1274" s="16" t="s">
        <v>77</v>
      </c>
      <c r="C1274" s="16">
        <v>82</v>
      </c>
      <c r="D1274" s="16">
        <v>1.75</v>
      </c>
    </row>
    <row r="1275" spans="1:4" x14ac:dyDescent="0.2">
      <c r="A1275" s="17" t="s">
        <v>74</v>
      </c>
      <c r="B1275" s="18" t="s">
        <v>77</v>
      </c>
      <c r="C1275" s="18">
        <v>83</v>
      </c>
      <c r="D1275" s="18">
        <v>1.67</v>
      </c>
    </row>
    <row r="1276" spans="1:4" x14ac:dyDescent="0.2">
      <c r="A1276" s="15" t="s">
        <v>74</v>
      </c>
      <c r="B1276" s="16" t="s">
        <v>77</v>
      </c>
      <c r="C1276" s="16">
        <v>84</v>
      </c>
      <c r="D1276" s="16">
        <v>1.59</v>
      </c>
    </row>
    <row r="1277" spans="1:4" x14ac:dyDescent="0.2">
      <c r="A1277" s="17" t="s">
        <v>74</v>
      </c>
      <c r="B1277" s="18" t="s">
        <v>77</v>
      </c>
      <c r="C1277" s="18">
        <v>85</v>
      </c>
      <c r="D1277" s="18">
        <v>1.52</v>
      </c>
    </row>
    <row r="1278" spans="1:4" x14ac:dyDescent="0.2">
      <c r="A1278" s="15" t="s">
        <v>74</v>
      </c>
      <c r="B1278" s="16" t="s">
        <v>77</v>
      </c>
      <c r="C1278" s="16">
        <v>86</v>
      </c>
      <c r="D1278" s="16">
        <v>1.45</v>
      </c>
    </row>
    <row r="1279" spans="1:4" x14ac:dyDescent="0.2">
      <c r="A1279" s="17" t="s">
        <v>74</v>
      </c>
      <c r="B1279" s="18" t="s">
        <v>77</v>
      </c>
      <c r="C1279" s="18">
        <v>87</v>
      </c>
      <c r="D1279" s="18">
        <v>1.38</v>
      </c>
    </row>
    <row r="1280" spans="1:4" x14ac:dyDescent="0.2">
      <c r="A1280" s="15" t="s">
        <v>74</v>
      </c>
      <c r="B1280" s="16" t="s">
        <v>77</v>
      </c>
      <c r="C1280" s="16">
        <v>88</v>
      </c>
      <c r="D1280" s="16">
        <v>1.32</v>
      </c>
    </row>
    <row r="1281" spans="1:4" x14ac:dyDescent="0.2">
      <c r="A1281" s="17" t="s">
        <v>74</v>
      </c>
      <c r="B1281" s="18" t="s">
        <v>77</v>
      </c>
      <c r="C1281" s="18">
        <v>89</v>
      </c>
      <c r="D1281" s="18">
        <v>1.27</v>
      </c>
    </row>
    <row r="1282" spans="1:4" x14ac:dyDescent="0.2">
      <c r="A1282" s="15" t="s">
        <v>74</v>
      </c>
      <c r="B1282" s="16" t="s">
        <v>77</v>
      </c>
      <c r="C1282" s="16">
        <v>90</v>
      </c>
      <c r="D1282" s="16">
        <v>1.21</v>
      </c>
    </row>
    <row r="1283" spans="1:4" x14ac:dyDescent="0.2">
      <c r="A1283" s="17" t="s">
        <v>75</v>
      </c>
      <c r="B1283" s="18" t="s">
        <v>77</v>
      </c>
      <c r="C1283" s="18">
        <v>25</v>
      </c>
      <c r="D1283" s="18">
        <v>36.06</v>
      </c>
    </row>
    <row r="1284" spans="1:4" x14ac:dyDescent="0.2">
      <c r="A1284" s="15" t="s">
        <v>75</v>
      </c>
      <c r="B1284" s="16" t="s">
        <v>77</v>
      </c>
      <c r="C1284" s="16">
        <v>26</v>
      </c>
      <c r="D1284" s="16">
        <v>35.119999999999997</v>
      </c>
    </row>
    <row r="1285" spans="1:4" x14ac:dyDescent="0.2">
      <c r="A1285" s="17" t="s">
        <v>75</v>
      </c>
      <c r="B1285" s="18" t="s">
        <v>77</v>
      </c>
      <c r="C1285" s="18">
        <v>27</v>
      </c>
      <c r="D1285" s="18">
        <v>34.19</v>
      </c>
    </row>
    <row r="1286" spans="1:4" x14ac:dyDescent="0.2">
      <c r="A1286" s="15" t="s">
        <v>75</v>
      </c>
      <c r="B1286" s="16" t="s">
        <v>77</v>
      </c>
      <c r="C1286" s="16">
        <v>28</v>
      </c>
      <c r="D1286" s="16">
        <v>33.26</v>
      </c>
    </row>
    <row r="1287" spans="1:4" x14ac:dyDescent="0.2">
      <c r="A1287" s="17" t="s">
        <v>75</v>
      </c>
      <c r="B1287" s="18" t="s">
        <v>77</v>
      </c>
      <c r="C1287" s="18">
        <v>29</v>
      </c>
      <c r="D1287" s="18">
        <v>32.340000000000003</v>
      </c>
    </row>
    <row r="1288" spans="1:4" x14ac:dyDescent="0.2">
      <c r="A1288" s="15" t="s">
        <v>75</v>
      </c>
      <c r="B1288" s="16" t="s">
        <v>77</v>
      </c>
      <c r="C1288" s="16">
        <v>30</v>
      </c>
      <c r="D1288" s="16">
        <v>31.44</v>
      </c>
    </row>
    <row r="1289" spans="1:4" x14ac:dyDescent="0.2">
      <c r="A1289" s="17" t="s">
        <v>75</v>
      </c>
      <c r="B1289" s="18" t="s">
        <v>77</v>
      </c>
      <c r="C1289" s="18">
        <v>31</v>
      </c>
      <c r="D1289" s="18">
        <v>30.54</v>
      </c>
    </row>
    <row r="1290" spans="1:4" x14ac:dyDescent="0.2">
      <c r="A1290" s="15" t="s">
        <v>75</v>
      </c>
      <c r="B1290" s="16" t="s">
        <v>77</v>
      </c>
      <c r="C1290" s="16">
        <v>32</v>
      </c>
      <c r="D1290" s="16">
        <v>29.66</v>
      </c>
    </row>
    <row r="1291" spans="1:4" x14ac:dyDescent="0.2">
      <c r="A1291" s="17" t="s">
        <v>75</v>
      </c>
      <c r="B1291" s="18" t="s">
        <v>77</v>
      </c>
      <c r="C1291" s="18">
        <v>33</v>
      </c>
      <c r="D1291" s="18">
        <v>28.79</v>
      </c>
    </row>
    <row r="1292" spans="1:4" x14ac:dyDescent="0.2">
      <c r="A1292" s="15" t="s">
        <v>75</v>
      </c>
      <c r="B1292" s="16" t="s">
        <v>77</v>
      </c>
      <c r="C1292" s="16">
        <v>34</v>
      </c>
      <c r="D1292" s="16">
        <v>27.93</v>
      </c>
    </row>
    <row r="1293" spans="1:4" x14ac:dyDescent="0.2">
      <c r="A1293" s="17" t="s">
        <v>75</v>
      </c>
      <c r="B1293" s="18" t="s">
        <v>77</v>
      </c>
      <c r="C1293" s="18">
        <v>35</v>
      </c>
      <c r="D1293" s="18">
        <v>27.08</v>
      </c>
    </row>
    <row r="1294" spans="1:4" x14ac:dyDescent="0.2">
      <c r="A1294" s="15" t="s">
        <v>75</v>
      </c>
      <c r="B1294" s="16" t="s">
        <v>77</v>
      </c>
      <c r="C1294" s="16">
        <v>36</v>
      </c>
      <c r="D1294" s="16">
        <v>26.24</v>
      </c>
    </row>
    <row r="1295" spans="1:4" x14ac:dyDescent="0.2">
      <c r="A1295" s="17" t="s">
        <v>75</v>
      </c>
      <c r="B1295" s="18" t="s">
        <v>77</v>
      </c>
      <c r="C1295" s="18">
        <v>37</v>
      </c>
      <c r="D1295" s="18">
        <v>25.41</v>
      </c>
    </row>
    <row r="1296" spans="1:4" x14ac:dyDescent="0.2">
      <c r="A1296" s="15" t="s">
        <v>75</v>
      </c>
      <c r="B1296" s="16" t="s">
        <v>77</v>
      </c>
      <c r="C1296" s="16">
        <v>38</v>
      </c>
      <c r="D1296" s="16">
        <v>24.57</v>
      </c>
    </row>
    <row r="1297" spans="1:4" x14ac:dyDescent="0.2">
      <c r="A1297" s="17" t="s">
        <v>75</v>
      </c>
      <c r="B1297" s="18" t="s">
        <v>77</v>
      </c>
      <c r="C1297" s="18">
        <v>39</v>
      </c>
      <c r="D1297" s="18">
        <v>23.73</v>
      </c>
    </row>
    <row r="1298" spans="1:4" x14ac:dyDescent="0.2">
      <c r="A1298" s="15" t="s">
        <v>75</v>
      </c>
      <c r="B1298" s="16" t="s">
        <v>77</v>
      </c>
      <c r="C1298" s="16">
        <v>40</v>
      </c>
      <c r="D1298" s="16">
        <v>22.89</v>
      </c>
    </row>
    <row r="1299" spans="1:4" x14ac:dyDescent="0.2">
      <c r="A1299" s="17" t="s">
        <v>75</v>
      </c>
      <c r="B1299" s="18" t="s">
        <v>77</v>
      </c>
      <c r="C1299" s="18">
        <v>41</v>
      </c>
      <c r="D1299" s="18">
        <v>22.03</v>
      </c>
    </row>
    <row r="1300" spans="1:4" x14ac:dyDescent="0.2">
      <c r="A1300" s="15" t="s">
        <v>75</v>
      </c>
      <c r="B1300" s="16" t="s">
        <v>77</v>
      </c>
      <c r="C1300" s="16">
        <v>42</v>
      </c>
      <c r="D1300" s="16">
        <v>21.18</v>
      </c>
    </row>
    <row r="1301" spans="1:4" x14ac:dyDescent="0.2">
      <c r="A1301" s="17" t="s">
        <v>75</v>
      </c>
      <c r="B1301" s="18" t="s">
        <v>77</v>
      </c>
      <c r="C1301" s="18">
        <v>43</v>
      </c>
      <c r="D1301" s="18">
        <v>20.32</v>
      </c>
    </row>
    <row r="1302" spans="1:4" x14ac:dyDescent="0.2">
      <c r="A1302" s="15" t="s">
        <v>75</v>
      </c>
      <c r="B1302" s="16" t="s">
        <v>77</v>
      </c>
      <c r="C1302" s="16">
        <v>44</v>
      </c>
      <c r="D1302" s="16">
        <v>19.47</v>
      </c>
    </row>
    <row r="1303" spans="1:4" x14ac:dyDescent="0.2">
      <c r="A1303" s="17" t="s">
        <v>75</v>
      </c>
      <c r="B1303" s="18" t="s">
        <v>77</v>
      </c>
      <c r="C1303" s="18">
        <v>45</v>
      </c>
      <c r="D1303" s="18">
        <v>18.62</v>
      </c>
    </row>
    <row r="1304" spans="1:4" x14ac:dyDescent="0.2">
      <c r="A1304" s="15" t="s">
        <v>75</v>
      </c>
      <c r="B1304" s="16" t="s">
        <v>77</v>
      </c>
      <c r="C1304" s="16">
        <v>46</v>
      </c>
      <c r="D1304" s="16">
        <v>17.77</v>
      </c>
    </row>
    <row r="1305" spans="1:4" x14ac:dyDescent="0.2">
      <c r="A1305" s="17" t="s">
        <v>75</v>
      </c>
      <c r="B1305" s="18" t="s">
        <v>77</v>
      </c>
      <c r="C1305" s="18">
        <v>47</v>
      </c>
      <c r="D1305" s="18">
        <v>16.920000000000002</v>
      </c>
    </row>
    <row r="1306" spans="1:4" x14ac:dyDescent="0.2">
      <c r="A1306" s="15" t="s">
        <v>75</v>
      </c>
      <c r="B1306" s="16" t="s">
        <v>77</v>
      </c>
      <c r="C1306" s="16">
        <v>48</v>
      </c>
      <c r="D1306" s="16">
        <v>16.079999999999998</v>
      </c>
    </row>
    <row r="1307" spans="1:4" x14ac:dyDescent="0.2">
      <c r="A1307" s="17" t="s">
        <v>75</v>
      </c>
      <c r="B1307" s="18" t="s">
        <v>77</v>
      </c>
      <c r="C1307" s="18">
        <v>49</v>
      </c>
      <c r="D1307" s="18">
        <v>15.23</v>
      </c>
    </row>
    <row r="1308" spans="1:4" x14ac:dyDescent="0.2">
      <c r="A1308" s="15" t="s">
        <v>75</v>
      </c>
      <c r="B1308" s="16" t="s">
        <v>77</v>
      </c>
      <c r="C1308" s="16">
        <v>50</v>
      </c>
      <c r="D1308" s="16">
        <v>14.39</v>
      </c>
    </row>
    <row r="1309" spans="1:4" x14ac:dyDescent="0.2">
      <c r="A1309" s="17" t="s">
        <v>75</v>
      </c>
      <c r="B1309" s="18" t="s">
        <v>77</v>
      </c>
      <c r="C1309" s="18">
        <v>51</v>
      </c>
      <c r="D1309" s="18">
        <v>13.55</v>
      </c>
    </row>
    <row r="1310" spans="1:4" x14ac:dyDescent="0.2">
      <c r="A1310" s="15" t="s">
        <v>75</v>
      </c>
      <c r="B1310" s="16" t="s">
        <v>77</v>
      </c>
      <c r="C1310" s="16">
        <v>52</v>
      </c>
      <c r="D1310" s="16">
        <v>12.73</v>
      </c>
    </row>
    <row r="1311" spans="1:4" x14ac:dyDescent="0.2">
      <c r="A1311" s="17" t="s">
        <v>75</v>
      </c>
      <c r="B1311" s="18" t="s">
        <v>77</v>
      </c>
      <c r="C1311" s="18">
        <v>53</v>
      </c>
      <c r="D1311" s="18">
        <v>11.92</v>
      </c>
    </row>
    <row r="1312" spans="1:4" x14ac:dyDescent="0.2">
      <c r="A1312" s="15" t="s">
        <v>75</v>
      </c>
      <c r="B1312" s="16" t="s">
        <v>77</v>
      </c>
      <c r="C1312" s="16">
        <v>54</v>
      </c>
      <c r="D1312" s="16">
        <v>11.12</v>
      </c>
    </row>
    <row r="1313" spans="1:4" x14ac:dyDescent="0.2">
      <c r="A1313" s="17" t="s">
        <v>75</v>
      </c>
      <c r="B1313" s="18" t="s">
        <v>77</v>
      </c>
      <c r="C1313" s="18">
        <v>55</v>
      </c>
      <c r="D1313" s="18">
        <v>10.35</v>
      </c>
    </row>
    <row r="1314" spans="1:4" x14ac:dyDescent="0.2">
      <c r="A1314" s="15" t="s">
        <v>75</v>
      </c>
      <c r="B1314" s="16" t="s">
        <v>77</v>
      </c>
      <c r="C1314" s="16">
        <v>56</v>
      </c>
      <c r="D1314" s="16">
        <v>9.61</v>
      </c>
    </row>
    <row r="1315" spans="1:4" x14ac:dyDescent="0.2">
      <c r="A1315" s="17" t="s">
        <v>75</v>
      </c>
      <c r="B1315" s="18" t="s">
        <v>77</v>
      </c>
      <c r="C1315" s="18">
        <v>57</v>
      </c>
      <c r="D1315" s="18">
        <v>8.9</v>
      </c>
    </row>
    <row r="1316" spans="1:4" x14ac:dyDescent="0.2">
      <c r="A1316" s="15" t="s">
        <v>75</v>
      </c>
      <c r="B1316" s="16" t="s">
        <v>77</v>
      </c>
      <c r="C1316" s="16">
        <v>58</v>
      </c>
      <c r="D1316" s="16">
        <v>8.23</v>
      </c>
    </row>
    <row r="1317" spans="1:4" x14ac:dyDescent="0.2">
      <c r="A1317" s="17" t="s">
        <v>75</v>
      </c>
      <c r="B1317" s="18" t="s">
        <v>77</v>
      </c>
      <c r="C1317" s="18">
        <v>59</v>
      </c>
      <c r="D1317" s="18">
        <v>7.59</v>
      </c>
    </row>
    <row r="1318" spans="1:4" x14ac:dyDescent="0.2">
      <c r="A1318" s="15" t="s">
        <v>75</v>
      </c>
      <c r="B1318" s="16" t="s">
        <v>77</v>
      </c>
      <c r="C1318" s="16">
        <v>60</v>
      </c>
      <c r="D1318" s="16">
        <v>7.01</v>
      </c>
    </row>
    <row r="1319" spans="1:4" x14ac:dyDescent="0.2">
      <c r="A1319" s="17" t="s">
        <v>75</v>
      </c>
      <c r="B1319" s="18" t="s">
        <v>77</v>
      </c>
      <c r="C1319" s="18">
        <v>61</v>
      </c>
      <c r="D1319" s="18">
        <v>6.47</v>
      </c>
    </row>
    <row r="1320" spans="1:4" x14ac:dyDescent="0.2">
      <c r="A1320" s="15" t="s">
        <v>75</v>
      </c>
      <c r="B1320" s="16" t="s">
        <v>77</v>
      </c>
      <c r="C1320" s="16">
        <v>62</v>
      </c>
      <c r="D1320" s="16">
        <v>5.98</v>
      </c>
    </row>
    <row r="1321" spans="1:4" x14ac:dyDescent="0.2">
      <c r="A1321" s="17" t="s">
        <v>75</v>
      </c>
      <c r="B1321" s="18" t="s">
        <v>77</v>
      </c>
      <c r="C1321" s="18">
        <v>63</v>
      </c>
      <c r="D1321" s="18">
        <v>5.54</v>
      </c>
    </row>
    <row r="1322" spans="1:4" x14ac:dyDescent="0.2">
      <c r="A1322" s="15" t="s">
        <v>75</v>
      </c>
      <c r="B1322" s="16" t="s">
        <v>77</v>
      </c>
      <c r="C1322" s="16">
        <v>64</v>
      </c>
      <c r="D1322" s="16">
        <v>5.13</v>
      </c>
    </row>
    <row r="1323" spans="1:4" x14ac:dyDescent="0.2">
      <c r="A1323" s="17" t="s">
        <v>75</v>
      </c>
      <c r="B1323" s="18" t="s">
        <v>77</v>
      </c>
      <c r="C1323" s="18">
        <v>65</v>
      </c>
      <c r="D1323" s="18">
        <v>4.76</v>
      </c>
    </row>
    <row r="1324" spans="1:4" x14ac:dyDescent="0.2">
      <c r="A1324" s="15" t="s">
        <v>75</v>
      </c>
      <c r="B1324" s="16" t="s">
        <v>77</v>
      </c>
      <c r="C1324" s="16">
        <v>66</v>
      </c>
      <c r="D1324" s="16">
        <v>4.4400000000000004</v>
      </c>
    </row>
    <row r="1325" spans="1:4" x14ac:dyDescent="0.2">
      <c r="A1325" s="17" t="s">
        <v>75</v>
      </c>
      <c r="B1325" s="18" t="s">
        <v>77</v>
      </c>
      <c r="C1325" s="18">
        <v>67</v>
      </c>
      <c r="D1325" s="18">
        <v>4.1399999999999997</v>
      </c>
    </row>
    <row r="1326" spans="1:4" x14ac:dyDescent="0.2">
      <c r="A1326" s="15" t="s">
        <v>75</v>
      </c>
      <c r="B1326" s="16" t="s">
        <v>77</v>
      </c>
      <c r="C1326" s="16">
        <v>68</v>
      </c>
      <c r="D1326" s="16">
        <v>3.88</v>
      </c>
    </row>
    <row r="1327" spans="1:4" x14ac:dyDescent="0.2">
      <c r="A1327" s="17" t="s">
        <v>75</v>
      </c>
      <c r="B1327" s="18" t="s">
        <v>77</v>
      </c>
      <c r="C1327" s="18">
        <v>69</v>
      </c>
      <c r="D1327" s="18">
        <v>3.64</v>
      </c>
    </row>
    <row r="1328" spans="1:4" x14ac:dyDescent="0.2">
      <c r="A1328" s="15" t="s">
        <v>75</v>
      </c>
      <c r="B1328" s="16" t="s">
        <v>77</v>
      </c>
      <c r="C1328" s="16">
        <v>70</v>
      </c>
      <c r="D1328" s="16">
        <v>3.42</v>
      </c>
    </row>
    <row r="1329" spans="1:4" x14ac:dyDescent="0.2">
      <c r="A1329" s="17" t="s">
        <v>75</v>
      </c>
      <c r="B1329" s="18" t="s">
        <v>77</v>
      </c>
      <c r="C1329" s="18">
        <v>71</v>
      </c>
      <c r="D1329" s="18">
        <v>3.23</v>
      </c>
    </row>
    <row r="1330" spans="1:4" x14ac:dyDescent="0.2">
      <c r="A1330" s="15" t="s">
        <v>75</v>
      </c>
      <c r="B1330" s="16" t="s">
        <v>77</v>
      </c>
      <c r="C1330" s="16">
        <v>72</v>
      </c>
      <c r="D1330" s="16">
        <v>3.05</v>
      </c>
    </row>
    <row r="1331" spans="1:4" x14ac:dyDescent="0.2">
      <c r="A1331" s="17" t="s">
        <v>75</v>
      </c>
      <c r="B1331" s="18" t="s">
        <v>77</v>
      </c>
      <c r="C1331" s="18">
        <v>73</v>
      </c>
      <c r="D1331" s="18">
        <v>2.89</v>
      </c>
    </row>
    <row r="1332" spans="1:4" x14ac:dyDescent="0.2">
      <c r="A1332" s="15" t="s">
        <v>75</v>
      </c>
      <c r="B1332" s="16" t="s">
        <v>77</v>
      </c>
      <c r="C1332" s="16">
        <v>74</v>
      </c>
      <c r="D1332" s="16">
        <v>2.75</v>
      </c>
    </row>
    <row r="1333" spans="1:4" x14ac:dyDescent="0.2">
      <c r="A1333" s="17" t="s">
        <v>75</v>
      </c>
      <c r="B1333" s="18" t="s">
        <v>77</v>
      </c>
      <c r="C1333" s="18">
        <v>75</v>
      </c>
      <c r="D1333" s="18">
        <v>2.62</v>
      </c>
    </row>
    <row r="1334" spans="1:4" x14ac:dyDescent="0.2">
      <c r="A1334" s="15" t="s">
        <v>75</v>
      </c>
      <c r="B1334" s="16" t="s">
        <v>77</v>
      </c>
      <c r="C1334" s="16">
        <v>76</v>
      </c>
      <c r="D1334" s="16">
        <v>2.5</v>
      </c>
    </row>
    <row r="1335" spans="1:4" x14ac:dyDescent="0.2">
      <c r="A1335" s="17" t="s">
        <v>75</v>
      </c>
      <c r="B1335" s="18" t="s">
        <v>77</v>
      </c>
      <c r="C1335" s="18">
        <v>77</v>
      </c>
      <c r="D1335" s="18">
        <v>2.39</v>
      </c>
    </row>
    <row r="1336" spans="1:4" x14ac:dyDescent="0.2">
      <c r="A1336" s="15" t="s">
        <v>75</v>
      </c>
      <c r="B1336" s="16" t="s">
        <v>77</v>
      </c>
      <c r="C1336" s="16">
        <v>78</v>
      </c>
      <c r="D1336" s="16">
        <v>2.2799999999999998</v>
      </c>
    </row>
    <row r="1337" spans="1:4" x14ac:dyDescent="0.2">
      <c r="A1337" s="17" t="s">
        <v>75</v>
      </c>
      <c r="B1337" s="18" t="s">
        <v>77</v>
      </c>
      <c r="C1337" s="18">
        <v>79</v>
      </c>
      <c r="D1337" s="18">
        <v>2.1800000000000002</v>
      </c>
    </row>
    <row r="1338" spans="1:4" x14ac:dyDescent="0.2">
      <c r="A1338" s="15" t="s">
        <v>75</v>
      </c>
      <c r="B1338" s="16" t="s">
        <v>77</v>
      </c>
      <c r="C1338" s="16">
        <v>80</v>
      </c>
      <c r="D1338" s="16">
        <v>2.09</v>
      </c>
    </row>
    <row r="1339" spans="1:4" x14ac:dyDescent="0.2">
      <c r="A1339" s="17" t="s">
        <v>75</v>
      </c>
      <c r="B1339" s="18" t="s">
        <v>77</v>
      </c>
      <c r="C1339" s="18">
        <v>81</v>
      </c>
      <c r="D1339" s="18">
        <v>2</v>
      </c>
    </row>
    <row r="1340" spans="1:4" x14ac:dyDescent="0.2">
      <c r="A1340" s="15" t="s">
        <v>75</v>
      </c>
      <c r="B1340" s="16" t="s">
        <v>77</v>
      </c>
      <c r="C1340" s="16">
        <v>82</v>
      </c>
      <c r="D1340" s="16">
        <v>1.91</v>
      </c>
    </row>
    <row r="1341" spans="1:4" x14ac:dyDescent="0.2">
      <c r="A1341" s="17" t="s">
        <v>75</v>
      </c>
      <c r="B1341" s="18" t="s">
        <v>77</v>
      </c>
      <c r="C1341" s="18">
        <v>83</v>
      </c>
      <c r="D1341" s="18">
        <v>1.83</v>
      </c>
    </row>
    <row r="1342" spans="1:4" x14ac:dyDescent="0.2">
      <c r="A1342" s="15" t="s">
        <v>75</v>
      </c>
      <c r="B1342" s="16" t="s">
        <v>77</v>
      </c>
      <c r="C1342" s="16">
        <v>84</v>
      </c>
      <c r="D1342" s="16">
        <v>1.76</v>
      </c>
    </row>
    <row r="1343" spans="1:4" x14ac:dyDescent="0.2">
      <c r="A1343" s="17" t="s">
        <v>75</v>
      </c>
      <c r="B1343" s="18" t="s">
        <v>77</v>
      </c>
      <c r="C1343" s="18">
        <v>85</v>
      </c>
      <c r="D1343" s="18">
        <v>1.69</v>
      </c>
    </row>
    <row r="1344" spans="1:4" x14ac:dyDescent="0.2">
      <c r="A1344" s="15" t="s">
        <v>75</v>
      </c>
      <c r="B1344" s="16" t="s">
        <v>77</v>
      </c>
      <c r="C1344" s="16">
        <v>86</v>
      </c>
      <c r="D1344" s="16">
        <v>1.62</v>
      </c>
    </row>
    <row r="1345" spans="1:4" x14ac:dyDescent="0.2">
      <c r="A1345" s="17" t="s">
        <v>75</v>
      </c>
      <c r="B1345" s="18" t="s">
        <v>77</v>
      </c>
      <c r="C1345" s="18">
        <v>87</v>
      </c>
      <c r="D1345" s="18">
        <v>1.56</v>
      </c>
    </row>
    <row r="1346" spans="1:4" x14ac:dyDescent="0.2">
      <c r="A1346" s="15" t="s">
        <v>75</v>
      </c>
      <c r="B1346" s="16" t="s">
        <v>77</v>
      </c>
      <c r="C1346" s="16">
        <v>88</v>
      </c>
      <c r="D1346" s="16">
        <v>1.5</v>
      </c>
    </row>
    <row r="1347" spans="1:4" x14ac:dyDescent="0.2">
      <c r="A1347" s="17" t="s">
        <v>75</v>
      </c>
      <c r="B1347" s="18" t="s">
        <v>77</v>
      </c>
      <c r="C1347" s="18">
        <v>89</v>
      </c>
      <c r="D1347" s="18">
        <v>1.44</v>
      </c>
    </row>
    <row r="1348" spans="1:4" x14ac:dyDescent="0.2">
      <c r="A1348" s="15" t="s">
        <v>75</v>
      </c>
      <c r="B1348" s="16" t="s">
        <v>77</v>
      </c>
      <c r="C1348" s="16">
        <v>90</v>
      </c>
      <c r="D1348" s="16">
        <v>1.38</v>
      </c>
    </row>
    <row r="1349" spans="1:4" x14ac:dyDescent="0.2">
      <c r="A1349" s="17" t="s">
        <v>76</v>
      </c>
      <c r="B1349" s="18" t="s">
        <v>77</v>
      </c>
      <c r="C1349" s="18">
        <v>26</v>
      </c>
      <c r="D1349" s="18">
        <v>37.89</v>
      </c>
    </row>
    <row r="1350" spans="1:4" x14ac:dyDescent="0.2">
      <c r="A1350" s="15" t="s">
        <v>76</v>
      </c>
      <c r="B1350" s="16" t="s">
        <v>77</v>
      </c>
      <c r="C1350" s="16">
        <v>27</v>
      </c>
      <c r="D1350" s="16">
        <v>36.93</v>
      </c>
    </row>
    <row r="1351" spans="1:4" x14ac:dyDescent="0.2">
      <c r="A1351" s="17" t="s">
        <v>76</v>
      </c>
      <c r="B1351" s="18" t="s">
        <v>77</v>
      </c>
      <c r="C1351" s="18">
        <v>28</v>
      </c>
      <c r="D1351" s="18">
        <v>35.979999999999997</v>
      </c>
    </row>
    <row r="1352" spans="1:4" x14ac:dyDescent="0.2">
      <c r="A1352" s="15" t="s">
        <v>76</v>
      </c>
      <c r="B1352" s="16" t="s">
        <v>77</v>
      </c>
      <c r="C1352" s="16">
        <v>29</v>
      </c>
      <c r="D1352" s="16">
        <v>35.04</v>
      </c>
    </row>
    <row r="1353" spans="1:4" x14ac:dyDescent="0.2">
      <c r="A1353" s="17" t="s">
        <v>76</v>
      </c>
      <c r="B1353" s="18" t="s">
        <v>77</v>
      </c>
      <c r="C1353" s="18">
        <v>30</v>
      </c>
      <c r="D1353" s="18">
        <v>34.1</v>
      </c>
    </row>
    <row r="1354" spans="1:4" x14ac:dyDescent="0.2">
      <c r="A1354" s="15" t="s">
        <v>76</v>
      </c>
      <c r="B1354" s="16" t="s">
        <v>77</v>
      </c>
      <c r="C1354" s="16">
        <v>31</v>
      </c>
      <c r="D1354" s="16">
        <v>33.17</v>
      </c>
    </row>
    <row r="1355" spans="1:4" x14ac:dyDescent="0.2">
      <c r="A1355" s="17" t="s">
        <v>76</v>
      </c>
      <c r="B1355" s="18" t="s">
        <v>77</v>
      </c>
      <c r="C1355" s="18">
        <v>32</v>
      </c>
      <c r="D1355" s="18">
        <v>32.26</v>
      </c>
    </row>
    <row r="1356" spans="1:4" x14ac:dyDescent="0.2">
      <c r="A1356" s="15" t="s">
        <v>76</v>
      </c>
      <c r="B1356" s="16" t="s">
        <v>77</v>
      </c>
      <c r="C1356" s="16">
        <v>33</v>
      </c>
      <c r="D1356" s="16">
        <v>31.35</v>
      </c>
    </row>
    <row r="1357" spans="1:4" x14ac:dyDescent="0.2">
      <c r="A1357" s="17" t="s">
        <v>76</v>
      </c>
      <c r="B1357" s="18" t="s">
        <v>77</v>
      </c>
      <c r="C1357" s="18">
        <v>34</v>
      </c>
      <c r="D1357" s="18">
        <v>30.44</v>
      </c>
    </row>
    <row r="1358" spans="1:4" x14ac:dyDescent="0.2">
      <c r="A1358" s="15" t="s">
        <v>76</v>
      </c>
      <c r="B1358" s="16" t="s">
        <v>77</v>
      </c>
      <c r="C1358" s="16">
        <v>35</v>
      </c>
      <c r="D1358" s="16">
        <v>29.55</v>
      </c>
    </row>
    <row r="1359" spans="1:4" x14ac:dyDescent="0.2">
      <c r="A1359" s="17" t="s">
        <v>76</v>
      </c>
      <c r="B1359" s="18" t="s">
        <v>77</v>
      </c>
      <c r="C1359" s="18">
        <v>36</v>
      </c>
      <c r="D1359" s="18">
        <v>28.66</v>
      </c>
    </row>
    <row r="1360" spans="1:4" x14ac:dyDescent="0.2">
      <c r="A1360" s="15" t="s">
        <v>76</v>
      </c>
      <c r="B1360" s="16" t="s">
        <v>77</v>
      </c>
      <c r="C1360" s="16">
        <v>37</v>
      </c>
      <c r="D1360" s="16">
        <v>27.77</v>
      </c>
    </row>
    <row r="1361" spans="1:4" x14ac:dyDescent="0.2">
      <c r="A1361" s="17" t="s">
        <v>76</v>
      </c>
      <c r="B1361" s="18" t="s">
        <v>77</v>
      </c>
      <c r="C1361" s="18">
        <v>38</v>
      </c>
      <c r="D1361" s="18">
        <v>26.88</v>
      </c>
    </row>
    <row r="1362" spans="1:4" x14ac:dyDescent="0.2">
      <c r="A1362" s="15" t="s">
        <v>76</v>
      </c>
      <c r="B1362" s="16" t="s">
        <v>77</v>
      </c>
      <c r="C1362" s="16">
        <v>39</v>
      </c>
      <c r="D1362" s="16">
        <v>26</v>
      </c>
    </row>
    <row r="1363" spans="1:4" x14ac:dyDescent="0.2">
      <c r="A1363" s="17" t="s">
        <v>76</v>
      </c>
      <c r="B1363" s="18" t="s">
        <v>77</v>
      </c>
      <c r="C1363" s="18">
        <v>40</v>
      </c>
      <c r="D1363" s="18">
        <v>25.12</v>
      </c>
    </row>
    <row r="1364" spans="1:4" x14ac:dyDescent="0.2">
      <c r="A1364" s="15" t="s">
        <v>76</v>
      </c>
      <c r="B1364" s="16" t="s">
        <v>77</v>
      </c>
      <c r="C1364" s="16">
        <v>41</v>
      </c>
      <c r="D1364" s="16">
        <v>24.25</v>
      </c>
    </row>
    <row r="1365" spans="1:4" x14ac:dyDescent="0.2">
      <c r="A1365" s="17" t="s">
        <v>76</v>
      </c>
      <c r="B1365" s="18" t="s">
        <v>77</v>
      </c>
      <c r="C1365" s="18">
        <v>42</v>
      </c>
      <c r="D1365" s="18">
        <v>23.39</v>
      </c>
    </row>
    <row r="1366" spans="1:4" x14ac:dyDescent="0.2">
      <c r="A1366" s="15" t="s">
        <v>76</v>
      </c>
      <c r="B1366" s="16" t="s">
        <v>77</v>
      </c>
      <c r="C1366" s="16">
        <v>43</v>
      </c>
      <c r="D1366" s="16">
        <v>22.54</v>
      </c>
    </row>
    <row r="1367" spans="1:4" x14ac:dyDescent="0.2">
      <c r="A1367" s="17" t="s">
        <v>76</v>
      </c>
      <c r="B1367" s="18" t="s">
        <v>77</v>
      </c>
      <c r="C1367" s="18">
        <v>44</v>
      </c>
      <c r="D1367" s="18">
        <v>21.71</v>
      </c>
    </row>
    <row r="1368" spans="1:4" x14ac:dyDescent="0.2">
      <c r="A1368" s="15" t="s">
        <v>76</v>
      </c>
      <c r="B1368" s="16" t="s">
        <v>77</v>
      </c>
      <c r="C1368" s="16">
        <v>45</v>
      </c>
      <c r="D1368" s="16">
        <v>20.89</v>
      </c>
    </row>
    <row r="1369" spans="1:4" x14ac:dyDescent="0.2">
      <c r="A1369" s="17" t="s">
        <v>76</v>
      </c>
      <c r="B1369" s="18" t="s">
        <v>77</v>
      </c>
      <c r="C1369" s="18">
        <v>46</v>
      </c>
      <c r="D1369" s="18">
        <v>20.07</v>
      </c>
    </row>
    <row r="1370" spans="1:4" x14ac:dyDescent="0.2">
      <c r="A1370" s="15" t="s">
        <v>76</v>
      </c>
      <c r="B1370" s="16" t="s">
        <v>77</v>
      </c>
      <c r="C1370" s="16">
        <v>47</v>
      </c>
      <c r="D1370" s="16">
        <v>19.260000000000002</v>
      </c>
    </row>
    <row r="1371" spans="1:4" x14ac:dyDescent="0.2">
      <c r="A1371" s="17" t="s">
        <v>76</v>
      </c>
      <c r="B1371" s="18" t="s">
        <v>77</v>
      </c>
      <c r="C1371" s="18">
        <v>48</v>
      </c>
      <c r="D1371" s="18">
        <v>18.440000000000001</v>
      </c>
    </row>
    <row r="1372" spans="1:4" x14ac:dyDescent="0.2">
      <c r="A1372" s="15" t="s">
        <v>76</v>
      </c>
      <c r="B1372" s="16" t="s">
        <v>77</v>
      </c>
      <c r="C1372" s="16">
        <v>49</v>
      </c>
      <c r="D1372" s="16">
        <v>17.62</v>
      </c>
    </row>
    <row r="1373" spans="1:4" x14ac:dyDescent="0.2">
      <c r="A1373" s="17" t="s">
        <v>76</v>
      </c>
      <c r="B1373" s="18" t="s">
        <v>77</v>
      </c>
      <c r="C1373" s="18">
        <v>50</v>
      </c>
      <c r="D1373" s="18">
        <v>16.809999999999999</v>
      </c>
    </row>
    <row r="1374" spans="1:4" x14ac:dyDescent="0.2">
      <c r="A1374" s="15" t="s">
        <v>76</v>
      </c>
      <c r="B1374" s="16" t="s">
        <v>77</v>
      </c>
      <c r="C1374" s="16">
        <v>51</v>
      </c>
      <c r="D1374" s="16">
        <v>16</v>
      </c>
    </row>
    <row r="1375" spans="1:4" x14ac:dyDescent="0.2">
      <c r="A1375" s="17" t="s">
        <v>76</v>
      </c>
      <c r="B1375" s="18" t="s">
        <v>77</v>
      </c>
      <c r="C1375" s="18">
        <v>52</v>
      </c>
      <c r="D1375" s="18">
        <v>15.2</v>
      </c>
    </row>
    <row r="1376" spans="1:4" x14ac:dyDescent="0.2">
      <c r="A1376" s="15" t="s">
        <v>76</v>
      </c>
      <c r="B1376" s="16" t="s">
        <v>77</v>
      </c>
      <c r="C1376" s="16">
        <v>53</v>
      </c>
      <c r="D1376" s="16">
        <v>14.4</v>
      </c>
    </row>
    <row r="1377" spans="1:4" x14ac:dyDescent="0.2">
      <c r="A1377" s="17" t="s">
        <v>76</v>
      </c>
      <c r="B1377" s="18" t="s">
        <v>77</v>
      </c>
      <c r="C1377" s="18">
        <v>54</v>
      </c>
      <c r="D1377" s="18">
        <v>13.61</v>
      </c>
    </row>
    <row r="1378" spans="1:4" x14ac:dyDescent="0.2">
      <c r="A1378" s="15" t="s">
        <v>76</v>
      </c>
      <c r="B1378" s="16" t="s">
        <v>77</v>
      </c>
      <c r="C1378" s="16">
        <v>55</v>
      </c>
      <c r="D1378" s="16">
        <v>12.83</v>
      </c>
    </row>
    <row r="1379" spans="1:4" x14ac:dyDescent="0.2">
      <c r="A1379" s="17" t="s">
        <v>76</v>
      </c>
      <c r="B1379" s="18" t="s">
        <v>77</v>
      </c>
      <c r="C1379" s="18">
        <v>56</v>
      </c>
      <c r="D1379" s="18">
        <v>12.05</v>
      </c>
    </row>
    <row r="1380" spans="1:4" x14ac:dyDescent="0.2">
      <c r="A1380" s="15" t="s">
        <v>76</v>
      </c>
      <c r="B1380" s="16" t="s">
        <v>77</v>
      </c>
      <c r="C1380" s="16">
        <v>57</v>
      </c>
      <c r="D1380" s="16">
        <v>11.3</v>
      </c>
    </row>
    <row r="1381" spans="1:4" x14ac:dyDescent="0.2">
      <c r="A1381" s="17" t="s">
        <v>76</v>
      </c>
      <c r="B1381" s="18" t="s">
        <v>77</v>
      </c>
      <c r="C1381" s="18">
        <v>58</v>
      </c>
      <c r="D1381" s="18">
        <v>10.58</v>
      </c>
    </row>
    <row r="1382" spans="1:4" x14ac:dyDescent="0.2">
      <c r="A1382" s="15" t="s">
        <v>76</v>
      </c>
      <c r="B1382" s="16" t="s">
        <v>77</v>
      </c>
      <c r="C1382" s="16">
        <v>59</v>
      </c>
      <c r="D1382" s="16">
        <v>9.9</v>
      </c>
    </row>
    <row r="1383" spans="1:4" x14ac:dyDescent="0.2">
      <c r="A1383" s="17" t="s">
        <v>76</v>
      </c>
      <c r="B1383" s="18" t="s">
        <v>77</v>
      </c>
      <c r="C1383" s="18">
        <v>60</v>
      </c>
      <c r="D1383" s="18">
        <v>9.24</v>
      </c>
    </row>
    <row r="1384" spans="1:4" x14ac:dyDescent="0.2">
      <c r="A1384" s="15" t="s">
        <v>76</v>
      </c>
      <c r="B1384" s="16" t="s">
        <v>77</v>
      </c>
      <c r="C1384" s="16">
        <v>61</v>
      </c>
      <c r="D1384" s="16">
        <v>8.6199999999999992</v>
      </c>
    </row>
    <row r="1385" spans="1:4" x14ac:dyDescent="0.2">
      <c r="A1385" s="17" t="s">
        <v>76</v>
      </c>
      <c r="B1385" s="18" t="s">
        <v>77</v>
      </c>
      <c r="C1385" s="18">
        <v>62</v>
      </c>
      <c r="D1385" s="18">
        <v>8.0399999999999991</v>
      </c>
    </row>
    <row r="1386" spans="1:4" x14ac:dyDescent="0.2">
      <c r="A1386" s="15" t="s">
        <v>76</v>
      </c>
      <c r="B1386" s="16" t="s">
        <v>77</v>
      </c>
      <c r="C1386" s="16">
        <v>63</v>
      </c>
      <c r="D1386" s="16">
        <v>7.51</v>
      </c>
    </row>
    <row r="1387" spans="1:4" x14ac:dyDescent="0.2">
      <c r="A1387" s="17" t="s">
        <v>76</v>
      </c>
      <c r="B1387" s="18" t="s">
        <v>77</v>
      </c>
      <c r="C1387" s="18">
        <v>64</v>
      </c>
      <c r="D1387" s="18">
        <v>7.03</v>
      </c>
    </row>
    <row r="1388" spans="1:4" x14ac:dyDescent="0.2">
      <c r="A1388" s="15" t="s">
        <v>76</v>
      </c>
      <c r="B1388" s="16" t="s">
        <v>77</v>
      </c>
      <c r="C1388" s="16">
        <v>65</v>
      </c>
      <c r="D1388" s="16">
        <v>6.59</v>
      </c>
    </row>
    <row r="1389" spans="1:4" x14ac:dyDescent="0.2">
      <c r="A1389" s="17" t="s">
        <v>76</v>
      </c>
      <c r="B1389" s="18" t="s">
        <v>77</v>
      </c>
      <c r="C1389" s="18">
        <v>66</v>
      </c>
      <c r="D1389" s="18">
        <v>6.21</v>
      </c>
    </row>
    <row r="1390" spans="1:4" x14ac:dyDescent="0.2">
      <c r="A1390" s="15" t="s">
        <v>76</v>
      </c>
      <c r="B1390" s="16" t="s">
        <v>77</v>
      </c>
      <c r="C1390" s="16">
        <v>67</v>
      </c>
      <c r="D1390" s="16">
        <v>5.86</v>
      </c>
    </row>
    <row r="1391" spans="1:4" x14ac:dyDescent="0.2">
      <c r="A1391" s="17" t="s">
        <v>76</v>
      </c>
      <c r="B1391" s="18" t="s">
        <v>77</v>
      </c>
      <c r="C1391" s="18">
        <v>68</v>
      </c>
      <c r="D1391" s="18">
        <v>5.56</v>
      </c>
    </row>
    <row r="1392" spans="1:4" x14ac:dyDescent="0.2">
      <c r="A1392" s="15" t="s">
        <v>76</v>
      </c>
      <c r="B1392" s="16" t="s">
        <v>77</v>
      </c>
      <c r="C1392" s="16">
        <v>69</v>
      </c>
      <c r="D1392" s="16">
        <v>5.28</v>
      </c>
    </row>
    <row r="1393" spans="1:4" x14ac:dyDescent="0.2">
      <c r="A1393" s="17" t="s">
        <v>76</v>
      </c>
      <c r="B1393" s="18" t="s">
        <v>77</v>
      </c>
      <c r="C1393" s="18">
        <v>70</v>
      </c>
      <c r="D1393" s="18">
        <v>5.03</v>
      </c>
    </row>
    <row r="1394" spans="1:4" x14ac:dyDescent="0.2">
      <c r="A1394" s="15" t="s">
        <v>76</v>
      </c>
      <c r="B1394" s="16" t="s">
        <v>77</v>
      </c>
      <c r="C1394" s="16">
        <v>71</v>
      </c>
      <c r="D1394" s="16">
        <v>4.8099999999999996</v>
      </c>
    </row>
    <row r="1395" spans="1:4" x14ac:dyDescent="0.2">
      <c r="A1395" s="17" t="s">
        <v>76</v>
      </c>
      <c r="B1395" s="18" t="s">
        <v>77</v>
      </c>
      <c r="C1395" s="18">
        <v>72</v>
      </c>
      <c r="D1395" s="18">
        <v>4.6100000000000003</v>
      </c>
    </row>
    <row r="1396" spans="1:4" x14ac:dyDescent="0.2">
      <c r="A1396" s="15" t="s">
        <v>76</v>
      </c>
      <c r="B1396" s="16" t="s">
        <v>77</v>
      </c>
      <c r="C1396" s="16">
        <v>73</v>
      </c>
      <c r="D1396" s="16">
        <v>4.42</v>
      </c>
    </row>
    <row r="1397" spans="1:4" x14ac:dyDescent="0.2">
      <c r="A1397" s="17" t="s">
        <v>76</v>
      </c>
      <c r="B1397" s="18" t="s">
        <v>77</v>
      </c>
      <c r="C1397" s="18">
        <v>74</v>
      </c>
      <c r="D1397" s="18">
        <v>4.25</v>
      </c>
    </row>
    <row r="1398" spans="1:4" x14ac:dyDescent="0.2">
      <c r="A1398" s="15" t="s">
        <v>76</v>
      </c>
      <c r="B1398" s="16" t="s">
        <v>77</v>
      </c>
      <c r="C1398" s="16">
        <v>75</v>
      </c>
      <c r="D1398" s="16">
        <v>4.08</v>
      </c>
    </row>
    <row r="1399" spans="1:4" x14ac:dyDescent="0.2">
      <c r="A1399" s="17" t="s">
        <v>76</v>
      </c>
      <c r="B1399" s="18" t="s">
        <v>77</v>
      </c>
      <c r="C1399" s="18">
        <v>76</v>
      </c>
      <c r="D1399" s="18">
        <v>3.91</v>
      </c>
    </row>
    <row r="1400" spans="1:4" x14ac:dyDescent="0.2">
      <c r="A1400" s="15" t="s">
        <v>76</v>
      </c>
      <c r="B1400" s="16" t="s">
        <v>77</v>
      </c>
      <c r="C1400" s="16">
        <v>77</v>
      </c>
      <c r="D1400" s="16">
        <v>3.76</v>
      </c>
    </row>
    <row r="1401" spans="1:4" x14ac:dyDescent="0.2">
      <c r="A1401" s="17" t="s">
        <v>76</v>
      </c>
      <c r="B1401" s="18" t="s">
        <v>77</v>
      </c>
      <c r="C1401" s="18">
        <v>78</v>
      </c>
      <c r="D1401" s="18">
        <v>3.6</v>
      </c>
    </row>
    <row r="1402" spans="1:4" x14ac:dyDescent="0.2">
      <c r="A1402" s="15" t="s">
        <v>76</v>
      </c>
      <c r="B1402" s="16" t="s">
        <v>77</v>
      </c>
      <c r="C1402" s="16">
        <v>79</v>
      </c>
      <c r="D1402" s="16">
        <v>3.45</v>
      </c>
    </row>
    <row r="1403" spans="1:4" x14ac:dyDescent="0.2">
      <c r="A1403" s="17" t="s">
        <v>76</v>
      </c>
      <c r="B1403" s="18" t="s">
        <v>77</v>
      </c>
      <c r="C1403" s="18">
        <v>80</v>
      </c>
      <c r="D1403" s="18">
        <v>3.3</v>
      </c>
    </row>
    <row r="1404" spans="1:4" x14ac:dyDescent="0.2">
      <c r="A1404" s="15" t="s">
        <v>76</v>
      </c>
      <c r="B1404" s="16" t="s">
        <v>77</v>
      </c>
      <c r="C1404" s="16">
        <v>81</v>
      </c>
      <c r="D1404" s="16">
        <v>3.16</v>
      </c>
    </row>
    <row r="1405" spans="1:4" x14ac:dyDescent="0.2">
      <c r="A1405" s="17" t="s">
        <v>76</v>
      </c>
      <c r="B1405" s="18" t="s">
        <v>77</v>
      </c>
      <c r="C1405" s="18">
        <v>82</v>
      </c>
      <c r="D1405" s="18">
        <v>3.03</v>
      </c>
    </row>
    <row r="1406" spans="1:4" x14ac:dyDescent="0.2">
      <c r="A1406" s="15" t="s">
        <v>76</v>
      </c>
      <c r="B1406" s="16" t="s">
        <v>77</v>
      </c>
      <c r="C1406" s="16">
        <v>83</v>
      </c>
      <c r="D1406" s="16">
        <v>2.89</v>
      </c>
    </row>
    <row r="1407" spans="1:4" x14ac:dyDescent="0.2">
      <c r="A1407" s="17" t="s">
        <v>76</v>
      </c>
      <c r="B1407" s="18" t="s">
        <v>77</v>
      </c>
      <c r="C1407" s="18">
        <v>84</v>
      </c>
      <c r="D1407" s="18">
        <v>2.77</v>
      </c>
    </row>
    <row r="1408" spans="1:4" x14ac:dyDescent="0.2">
      <c r="A1408" s="15" t="s">
        <v>76</v>
      </c>
      <c r="B1408" s="16" t="s">
        <v>77</v>
      </c>
      <c r="C1408" s="16">
        <v>85</v>
      </c>
      <c r="D1408" s="16">
        <v>2.65</v>
      </c>
    </row>
    <row r="1409" spans="1:4" x14ac:dyDescent="0.2">
      <c r="A1409" s="17" t="s">
        <v>76</v>
      </c>
      <c r="B1409" s="18" t="s">
        <v>77</v>
      </c>
      <c r="C1409" s="18">
        <v>86</v>
      </c>
      <c r="D1409" s="18">
        <v>2.5299999999999998</v>
      </c>
    </row>
    <row r="1410" spans="1:4" x14ac:dyDescent="0.2">
      <c r="A1410" s="15" t="s">
        <v>76</v>
      </c>
      <c r="B1410" s="16" t="s">
        <v>77</v>
      </c>
      <c r="C1410" s="16">
        <v>87</v>
      </c>
      <c r="D1410" s="16">
        <v>2.4300000000000002</v>
      </c>
    </row>
    <row r="1411" spans="1:4" x14ac:dyDescent="0.2">
      <c r="A1411" s="17" t="s">
        <v>76</v>
      </c>
      <c r="B1411" s="18" t="s">
        <v>77</v>
      </c>
      <c r="C1411" s="18">
        <v>88</v>
      </c>
      <c r="D1411" s="18">
        <v>2.3199999999999998</v>
      </c>
    </row>
    <row r="1412" spans="1:4" x14ac:dyDescent="0.2">
      <c r="A1412" s="15" t="s">
        <v>76</v>
      </c>
      <c r="B1412" s="16" t="s">
        <v>77</v>
      </c>
      <c r="C1412" s="16">
        <v>89</v>
      </c>
      <c r="D1412" s="16">
        <v>2.2200000000000002</v>
      </c>
    </row>
    <row r="1413" spans="1:4" x14ac:dyDescent="0.2">
      <c r="A1413" s="17" t="s">
        <v>76</v>
      </c>
      <c r="B1413" s="18" t="s">
        <v>77</v>
      </c>
      <c r="C1413" s="18">
        <v>90</v>
      </c>
      <c r="D1413" s="18">
        <v>2.12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34F30-45A7-4262-868D-8F1BD177CD7F}">
  <dimension ref="A1:F43"/>
  <sheetViews>
    <sheetView workbookViewId="0">
      <selection activeCell="K7" sqref="K7"/>
    </sheetView>
  </sheetViews>
  <sheetFormatPr defaultColWidth="8.85546875" defaultRowHeight="12.75" x14ac:dyDescent="0.2"/>
  <sheetData>
    <row r="1" spans="1:6" x14ac:dyDescent="0.2">
      <c r="A1" s="31" t="s">
        <v>0</v>
      </c>
      <c r="B1" s="31" t="s">
        <v>121</v>
      </c>
      <c r="C1" s="31" t="s">
        <v>122</v>
      </c>
    </row>
    <row r="2" spans="1:6" x14ac:dyDescent="0.2">
      <c r="A2" s="27">
        <v>2023</v>
      </c>
      <c r="B2" s="27">
        <v>1</v>
      </c>
      <c r="C2" s="38">
        <v>299.17</v>
      </c>
      <c r="E2">
        <v>2023</v>
      </c>
      <c r="F2" s="38">
        <f>AVERAGEIF($A$2:$A$43,E2,$C$2:$C$43)</f>
        <v>304.69924999999995</v>
      </c>
    </row>
    <row r="3" spans="1:6" x14ac:dyDescent="0.2">
      <c r="A3" s="27">
        <v>2023</v>
      </c>
      <c r="B3" s="27">
        <v>2</v>
      </c>
      <c r="C3" s="38">
        <v>300.83999999999997</v>
      </c>
      <c r="E3">
        <v>2024</v>
      </c>
      <c r="F3" s="38">
        <f>AVERAGEIF($A$2:$A$43,E3,$C$2:$C$43)</f>
        <v>313.68883333333332</v>
      </c>
    </row>
    <row r="4" spans="1:6" x14ac:dyDescent="0.2">
      <c r="A4" s="27">
        <v>2023</v>
      </c>
      <c r="B4" s="27">
        <v>3</v>
      </c>
      <c r="C4" s="38">
        <v>301.80799999999999</v>
      </c>
      <c r="E4">
        <v>2025</v>
      </c>
      <c r="F4" s="38">
        <f>AVERAGEIF($A$2:$A$43,E4,$C$2:$C$43)</f>
        <v>322.32666666666665</v>
      </c>
    </row>
    <row r="5" spans="1:6" x14ac:dyDescent="0.2">
      <c r="A5" s="27">
        <v>2023</v>
      </c>
      <c r="B5" s="27">
        <v>4</v>
      </c>
      <c r="C5" s="38">
        <v>303.363</v>
      </c>
      <c r="E5">
        <v>2026</v>
      </c>
      <c r="F5" s="38">
        <f>AVERAGEIF($A$2:$A$43,E5,$C$2:$C$43)</f>
        <v>328.07416666666666</v>
      </c>
    </row>
    <row r="6" spans="1:6" x14ac:dyDescent="0.2">
      <c r="A6" s="27">
        <v>2023</v>
      </c>
      <c r="B6" s="27">
        <v>5</v>
      </c>
      <c r="C6" s="38">
        <v>304.12700000000001</v>
      </c>
      <c r="E6" t="s">
        <v>123</v>
      </c>
      <c r="F6" s="38" cm="1">
        <f t="array" ref="F6">IFERROR(INDEX($C$2:$C$43,MATCH(YEAR('Case Inputs'!$B$6)*100+MONTH('Case Inputs'!$B$6),$A$2:$A$43*100+$B$2:$B$43,0)),F5)</f>
        <v>329.2</v>
      </c>
    </row>
    <row r="7" spans="1:6" x14ac:dyDescent="0.2">
      <c r="A7" s="27">
        <v>2023</v>
      </c>
      <c r="B7" s="27">
        <v>6</v>
      </c>
      <c r="C7" s="38">
        <v>305.10899999999998</v>
      </c>
    </row>
    <row r="8" spans="1:6" x14ac:dyDescent="0.2">
      <c r="A8" s="27">
        <v>2023</v>
      </c>
      <c r="B8" s="27">
        <v>7</v>
      </c>
      <c r="C8" s="38">
        <v>305.69099999999997</v>
      </c>
    </row>
    <row r="9" spans="1:6" x14ac:dyDescent="0.2">
      <c r="A9" s="27">
        <v>2023</v>
      </c>
      <c r="B9" s="27">
        <v>8</v>
      </c>
      <c r="C9" s="38">
        <v>307.02600000000001</v>
      </c>
    </row>
    <row r="10" spans="1:6" x14ac:dyDescent="0.2">
      <c r="A10" s="27">
        <v>2023</v>
      </c>
      <c r="B10" s="27">
        <v>9</v>
      </c>
      <c r="C10" s="38">
        <v>307.78899999999999</v>
      </c>
    </row>
    <row r="11" spans="1:6" x14ac:dyDescent="0.2">
      <c r="A11" s="27">
        <v>2023</v>
      </c>
      <c r="B11" s="27">
        <v>10</v>
      </c>
      <c r="C11" s="38">
        <v>307.67099999999999</v>
      </c>
    </row>
    <row r="12" spans="1:6" x14ac:dyDescent="0.2">
      <c r="A12" s="27">
        <v>2023</v>
      </c>
      <c r="B12" s="27">
        <v>11</v>
      </c>
      <c r="C12" s="38">
        <v>307.05099999999999</v>
      </c>
    </row>
    <row r="13" spans="1:6" x14ac:dyDescent="0.2">
      <c r="A13" s="27">
        <v>2023</v>
      </c>
      <c r="B13" s="27">
        <v>12</v>
      </c>
      <c r="C13" s="38">
        <v>306.74599999999998</v>
      </c>
    </row>
    <row r="14" spans="1:6" x14ac:dyDescent="0.2">
      <c r="A14" s="27">
        <v>2024</v>
      </c>
      <c r="B14" s="27">
        <v>1</v>
      </c>
      <c r="C14" s="38">
        <v>308.41699999999997</v>
      </c>
    </row>
    <row r="15" spans="1:6" x14ac:dyDescent="0.2">
      <c r="A15" s="27">
        <v>2024</v>
      </c>
      <c r="B15" s="27">
        <v>2</v>
      </c>
      <c r="C15" s="38">
        <v>310.32600000000002</v>
      </c>
    </row>
    <row r="16" spans="1:6" x14ac:dyDescent="0.2">
      <c r="A16" s="27">
        <v>2024</v>
      </c>
      <c r="B16" s="27">
        <v>3</v>
      </c>
      <c r="C16" s="38">
        <v>312.33199999999999</v>
      </c>
    </row>
    <row r="17" spans="1:3" x14ac:dyDescent="0.2">
      <c r="A17" s="27">
        <v>2024</v>
      </c>
      <c r="B17" s="27">
        <v>4</v>
      </c>
      <c r="C17" s="38">
        <v>313.548</v>
      </c>
    </row>
    <row r="18" spans="1:3" x14ac:dyDescent="0.2">
      <c r="A18" s="27">
        <v>2024</v>
      </c>
      <c r="B18" s="27">
        <v>5</v>
      </c>
      <c r="C18" s="38">
        <v>314.06900000000002</v>
      </c>
    </row>
    <row r="19" spans="1:3" x14ac:dyDescent="0.2">
      <c r="A19" s="27">
        <v>2024</v>
      </c>
      <c r="B19" s="27">
        <v>6</v>
      </c>
      <c r="C19" s="38">
        <v>314.17500000000001</v>
      </c>
    </row>
    <row r="20" spans="1:3" x14ac:dyDescent="0.2">
      <c r="A20" s="27">
        <v>2024</v>
      </c>
      <c r="B20" s="27">
        <v>7</v>
      </c>
      <c r="C20" s="38">
        <v>314.54000000000002</v>
      </c>
    </row>
    <row r="21" spans="1:3" x14ac:dyDescent="0.2">
      <c r="A21" s="27">
        <v>2024</v>
      </c>
      <c r="B21" s="27">
        <v>8</v>
      </c>
      <c r="C21" s="38">
        <v>314.79599999999999</v>
      </c>
    </row>
    <row r="22" spans="1:3" x14ac:dyDescent="0.2">
      <c r="A22" s="27">
        <v>2024</v>
      </c>
      <c r="B22" s="27">
        <v>9</v>
      </c>
      <c r="C22" s="38">
        <v>315.30099999999999</v>
      </c>
    </row>
    <row r="23" spans="1:3" x14ac:dyDescent="0.2">
      <c r="A23" s="27">
        <v>2024</v>
      </c>
      <c r="B23" s="27">
        <v>10</v>
      </c>
      <c r="C23" s="38">
        <v>315.66399999999999</v>
      </c>
    </row>
    <row r="24" spans="1:3" x14ac:dyDescent="0.2">
      <c r="A24" s="27">
        <v>2024</v>
      </c>
      <c r="B24" s="27">
        <v>11</v>
      </c>
      <c r="C24" s="38">
        <v>315.49299999999999</v>
      </c>
    </row>
    <row r="25" spans="1:3" x14ac:dyDescent="0.2">
      <c r="A25" s="27">
        <v>2024</v>
      </c>
      <c r="B25" s="27">
        <v>12</v>
      </c>
      <c r="C25" s="38">
        <v>315.60500000000002</v>
      </c>
    </row>
    <row r="26" spans="1:3" x14ac:dyDescent="0.2">
      <c r="A26" s="27">
        <v>2025</v>
      </c>
      <c r="B26" s="27">
        <v>1</v>
      </c>
      <c r="C26" s="38">
        <v>317.81599999999997</v>
      </c>
    </row>
    <row r="27" spans="1:3" x14ac:dyDescent="0.2">
      <c r="A27" s="27">
        <v>2025</v>
      </c>
      <c r="B27" s="27">
        <v>2</v>
      </c>
      <c r="C27" s="38">
        <v>319.25400000000002</v>
      </c>
    </row>
    <row r="28" spans="1:3" x14ac:dyDescent="0.2">
      <c r="A28" s="27">
        <v>2025</v>
      </c>
      <c r="B28" s="27">
        <v>3</v>
      </c>
      <c r="C28" s="38">
        <v>320.428</v>
      </c>
    </row>
    <row r="29" spans="1:3" x14ac:dyDescent="0.2">
      <c r="A29" s="27">
        <v>2025</v>
      </c>
      <c r="B29" s="27">
        <v>4</v>
      </c>
      <c r="C29" s="38">
        <v>321.25</v>
      </c>
    </row>
    <row r="30" spans="1:3" x14ac:dyDescent="0.2">
      <c r="A30" s="27">
        <v>2025</v>
      </c>
      <c r="B30" s="27">
        <v>5</v>
      </c>
      <c r="C30" s="38">
        <v>321.78300000000002</v>
      </c>
    </row>
    <row r="31" spans="1:3" x14ac:dyDescent="0.2">
      <c r="A31" s="27">
        <v>2025</v>
      </c>
      <c r="B31" s="27">
        <v>6</v>
      </c>
      <c r="C31" s="38">
        <v>322.315</v>
      </c>
    </row>
    <row r="32" spans="1:3" x14ac:dyDescent="0.2">
      <c r="A32" s="27">
        <v>2025</v>
      </c>
      <c r="B32" s="27">
        <v>7</v>
      </c>
      <c r="C32" s="38">
        <v>322.84800000000001</v>
      </c>
    </row>
    <row r="33" spans="1:3" x14ac:dyDescent="0.2">
      <c r="A33" s="27">
        <v>2025</v>
      </c>
      <c r="B33" s="27">
        <v>8</v>
      </c>
      <c r="C33" s="38">
        <v>323.38</v>
      </c>
    </row>
    <row r="34" spans="1:3" x14ac:dyDescent="0.2">
      <c r="A34" s="27">
        <v>2025</v>
      </c>
      <c r="B34" s="27">
        <v>9</v>
      </c>
      <c r="C34" s="38">
        <v>323.91300000000001</v>
      </c>
    </row>
    <row r="35" spans="1:3" x14ac:dyDescent="0.2">
      <c r="A35" s="27">
        <v>2025</v>
      </c>
      <c r="B35" s="27">
        <v>10</v>
      </c>
      <c r="C35" s="38">
        <v>324.44499999999999</v>
      </c>
    </row>
    <row r="36" spans="1:3" x14ac:dyDescent="0.2">
      <c r="A36" s="27">
        <v>2025</v>
      </c>
      <c r="B36" s="27">
        <v>11</v>
      </c>
      <c r="C36" s="38">
        <v>324.97800000000001</v>
      </c>
    </row>
    <row r="37" spans="1:3" x14ac:dyDescent="0.2">
      <c r="A37" s="27">
        <v>2025</v>
      </c>
      <c r="B37" s="27">
        <v>12</v>
      </c>
      <c r="C37" s="38">
        <v>325.51</v>
      </c>
    </row>
    <row r="38" spans="1:3" x14ac:dyDescent="0.2">
      <c r="A38" s="27">
        <v>2026</v>
      </c>
      <c r="B38" s="27">
        <v>1</v>
      </c>
      <c r="C38" s="38">
        <v>326.58499999999998</v>
      </c>
    </row>
    <row r="39" spans="1:3" x14ac:dyDescent="0.2">
      <c r="A39" s="27">
        <v>2026</v>
      </c>
      <c r="B39" s="27">
        <v>2</v>
      </c>
      <c r="C39" s="38">
        <v>327.45999999999998</v>
      </c>
    </row>
    <row r="40" spans="1:3" x14ac:dyDescent="0.2">
      <c r="A40" s="27">
        <v>2026</v>
      </c>
      <c r="B40" s="27">
        <v>3</v>
      </c>
      <c r="C40" s="38">
        <v>328</v>
      </c>
    </row>
    <row r="41" spans="1:3" x14ac:dyDescent="0.2">
      <c r="A41" s="27">
        <v>2026</v>
      </c>
      <c r="B41" s="27">
        <v>4</v>
      </c>
      <c r="C41" s="38">
        <v>328.4</v>
      </c>
    </row>
    <row r="42" spans="1:3" x14ac:dyDescent="0.2">
      <c r="A42" s="27">
        <v>2026</v>
      </c>
      <c r="B42" s="27">
        <v>5</v>
      </c>
      <c r="C42" s="38">
        <v>328.8</v>
      </c>
    </row>
    <row r="43" spans="1:3" x14ac:dyDescent="0.2">
      <c r="A43" s="27">
        <v>2026</v>
      </c>
      <c r="B43" s="27">
        <v>6</v>
      </c>
      <c r="C43" s="38">
        <v>329.2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36D027-961D-4954-832D-B5236927FE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19</vt:i4>
      </vt:variant>
    </vt:vector>
  </HeadingPairs>
  <TitlesOfParts>
    <vt:vector size="19" baseType="lpstr">
      <vt:lpstr>REPORT_OUTPUTS</vt:lpstr>
      <vt:lpstr>Case Inputs</vt:lpstr>
      <vt:lpstr>Inputs</vt:lpstr>
      <vt:lpstr>ReportSections</vt:lpstr>
      <vt:lpstr>Base 1 PV Loss WLE</vt:lpstr>
      <vt:lpstr>Base 1 PV Loss To Age</vt:lpstr>
      <vt:lpstr>Base 2 PV Loss WLE</vt:lpstr>
      <vt:lpstr>Base 2 PV Loss To Age</vt:lpstr>
      <vt:lpstr>Credit 1 PV Loss WLE</vt:lpstr>
      <vt:lpstr>Credit 1 PV Loss To Age</vt:lpstr>
      <vt:lpstr>Credit 2 PV Loss WLE</vt:lpstr>
      <vt:lpstr>Credit 2 PV Loss To Age</vt:lpstr>
      <vt:lpstr>Base 5 PV Loss WLE</vt:lpstr>
      <vt:lpstr>Base 5 PV Loss To Age</vt:lpstr>
      <vt:lpstr>Discount Rates</vt:lpstr>
      <vt:lpstr>LE_F</vt:lpstr>
      <vt:lpstr>LE_M</vt:lpstr>
      <vt:lpstr>WLE</vt:lpstr>
      <vt:lpstr>CPI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Shael Wolfson</dc:creator>
  <cp:lastModifiedBy>Eric Bussey</cp:lastModifiedBy>
  <dcterms:created xsi:type="dcterms:W3CDTF">2004-06-21T16:25:42Z</dcterms:created>
  <dcterms:modified xsi:type="dcterms:W3CDTF">2026-05-08T21:46:14Z</dcterms:modified>
</cp:coreProperties>
</file>