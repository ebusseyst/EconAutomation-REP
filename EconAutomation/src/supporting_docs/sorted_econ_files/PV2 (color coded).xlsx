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1FA4E890-3D2A-46A8-B39D-0AC2C2146075}" xr6:coauthVersionLast="47" xr6:coauthVersionMax="47" xr10:uidLastSave="{00000000-0000-0000-0000-000000000000}"/>
  <bookViews>
    <workbookView xWindow="-120" yWindow="-120" windowWidth="29040" windowHeight="15720" tabRatio="795"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33" l="1"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H15" i="30"/>
  <c r="H13" i="30"/>
  <c r="H12" i="30"/>
  <c r="H11" i="30"/>
  <c r="H10" i="30"/>
  <c r="H9" i="30"/>
  <c r="H17" i="30" s="1"/>
  <c r="H15" i="29"/>
  <c r="H13" i="29"/>
  <c r="H12" i="29"/>
  <c r="H11" i="29"/>
  <c r="H10" i="29"/>
  <c r="H9" i="29"/>
  <c r="H17" i="29" s="1"/>
  <c r="H15" i="28"/>
  <c r="H13" i="28"/>
  <c r="H12" i="28"/>
  <c r="H11" i="28"/>
  <c r="H10" i="28"/>
  <c r="H9" i="28"/>
  <c r="H17" i="28" s="1"/>
  <c r="H17" i="27"/>
  <c r="H15" i="27"/>
  <c r="H13" i="27"/>
  <c r="H12" i="27"/>
  <c r="H11" i="27"/>
  <c r="H10" i="27"/>
  <c r="H9" i="27"/>
  <c r="H15" i="26"/>
  <c r="H13" i="26"/>
  <c r="H12" i="26"/>
  <c r="H11" i="26"/>
  <c r="H10" i="26"/>
  <c r="H9" i="26"/>
  <c r="H17" i="26" s="1"/>
  <c r="H15" i="25"/>
  <c r="H13" i="25"/>
  <c r="H12" i="25"/>
  <c r="H11" i="25"/>
  <c r="H10" i="25"/>
  <c r="H9" i="25"/>
  <c r="H17" i="25" s="1"/>
  <c r="H15" i="24"/>
  <c r="H13" i="24"/>
  <c r="H12" i="24"/>
  <c r="H11" i="24"/>
  <c r="H10" i="24"/>
  <c r="H9" i="24"/>
  <c r="H17" i="24" s="1"/>
  <c r="H15" i="23"/>
  <c r="H13" i="23"/>
  <c r="H12" i="23"/>
  <c r="H11" i="23"/>
  <c r="H10" i="23"/>
  <c r="H9" i="23"/>
  <c r="H17" i="23" s="1"/>
  <c r="H17" i="21"/>
  <c r="H15" i="21"/>
  <c r="H13" i="21"/>
  <c r="H12" i="21"/>
  <c r="H11" i="21"/>
  <c r="H10" i="21"/>
  <c r="H9" i="21"/>
  <c r="H17" i="1"/>
  <c r="H15" i="1"/>
  <c r="H13" i="1"/>
  <c r="H12" i="1"/>
  <c r="H11" i="1"/>
  <c r="H10" i="1"/>
  <c r="H9" i="1"/>
  <c r="D10" i="33" a="1"/>
  <c r="D10" i="33" s="1"/>
  <c r="D9" i="33" a="1"/>
  <c r="D9" i="33" s="1"/>
  <c r="F9" i="1"/>
  <c r="G12" i="1"/>
  <c r="G10" i="1"/>
  <c r="A36" i="1"/>
  <c r="B36" i="1"/>
  <c r="C36" i="1"/>
  <c r="D36" i="1"/>
  <c r="E36" i="1"/>
  <c r="F36" i="1"/>
  <c r="G36" i="1"/>
  <c r="D14" i="33" a="1"/>
  <c r="D14" i="33" s="1"/>
  <c r="D13" i="33" a="1"/>
  <c r="D13" i="33" s="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88" i="33" a="1"/>
  <c r="D88" i="33" s="1"/>
  <c r="D87" i="33" a="1"/>
  <c r="D87" i="33" s="1"/>
  <c r="D82" i="33" a="1"/>
  <c r="D82" i="33" s="1"/>
  <c r="D81" i="33" a="1"/>
  <c r="D81" i="33" s="1"/>
  <c r="D72" i="33" a="1"/>
  <c r="D72" i="33" s="1"/>
  <c r="D71" i="33" a="1"/>
  <c r="D71" i="33" s="1"/>
  <c r="D66" i="33" a="1"/>
  <c r="D66" i="33" s="1"/>
  <c r="D65" i="33" a="1"/>
  <c r="D65" i="33" s="1"/>
  <c r="D56" i="33" a="1"/>
  <c r="D56" i="33" s="1"/>
  <c r="D55" i="33" a="1"/>
  <c r="D55" i="33" s="1"/>
  <c r="D50" i="33" a="1"/>
  <c r="D50" i="33" s="1"/>
  <c r="D49" i="33" a="1"/>
  <c r="D49" i="33" s="1"/>
  <c r="D39" i="33" a="1"/>
  <c r="D39" i="33" s="1"/>
  <c r="D34" i="33" a="1"/>
  <c r="D34" i="33" s="1"/>
  <c r="D33" i="33" a="1"/>
  <c r="D33" i="33" s="1"/>
  <c r="D24" i="33" a="1"/>
  <c r="D24" i="33" s="1"/>
  <c r="D23" i="33" a="1"/>
  <c r="D23" i="33" s="1"/>
  <c r="D12" i="33" a="1"/>
  <c r="D12" i="33" s="1"/>
  <c r="D11" i="33" a="1"/>
  <c r="D11"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G9" i="1"/>
  <c r="F6" i="22" a="1"/>
  <c r="F6" i="22" s="1"/>
  <c r="F5" i="22"/>
  <c r="F4" i="22"/>
  <c r="F2" i="22"/>
  <c r="B13" i="32" l="1"/>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A33" i="21"/>
  <c r="A61" i="21"/>
  <c r="A38" i="21"/>
  <c r="A63" i="21"/>
  <c r="A35" i="21"/>
  <c r="A57" i="21"/>
  <c r="D57" i="21" s="1"/>
  <c r="A23" i="21"/>
  <c r="A29" i="21"/>
  <c r="A44" i="21"/>
  <c r="E44" i="21" s="1"/>
  <c r="A54" i="21"/>
  <c r="A45" i="21"/>
  <c r="A47" i="21"/>
  <c r="A58" i="21"/>
  <c r="A53" i="21"/>
  <c r="A49" i="21"/>
  <c r="E49" i="21" s="1"/>
  <c r="A52" i="21"/>
  <c r="A20" i="21"/>
  <c r="C20" i="21" s="1"/>
  <c r="A66" i="21"/>
  <c r="A62" i="21"/>
  <c r="C62" i="21" s="1"/>
  <c r="A56" i="21"/>
  <c r="A21" i="21"/>
  <c r="C21" i="21" s="1"/>
  <c r="A25" i="21"/>
  <c r="C25" i="21" s="1"/>
  <c r="A64" i="21"/>
  <c r="A43" i="21"/>
  <c r="A60" i="21"/>
  <c r="A68" i="21"/>
  <c r="D68" i="21" s="1"/>
  <c r="A69" i="21"/>
  <c r="D69" i="21" s="1"/>
  <c r="A27" i="21"/>
  <c r="A40" i="21"/>
  <c r="A26" i="21"/>
  <c r="C26" i="21" s="1"/>
  <c r="A46" i="21"/>
  <c r="A32" i="21"/>
  <c r="C32" i="21" s="1"/>
  <c r="A24" i="21"/>
  <c r="A41" i="21"/>
  <c r="G41" i="21" s="1"/>
  <c r="A55" i="21"/>
  <c r="A59" i="21"/>
  <c r="A51" i="21"/>
  <c r="G51" i="21" s="1"/>
  <c r="G13" i="21"/>
  <c r="C15" i="21"/>
  <c r="G15" i="21" s="1"/>
  <c r="C13" i="24"/>
  <c r="G12" i="24"/>
  <c r="C15" i="23"/>
  <c r="G15" i="23" s="1"/>
  <c r="G13" i="23"/>
  <c r="G17" i="23" s="1"/>
  <c r="B45" i="3" s="1"/>
  <c r="G12" i="26"/>
  <c r="C13" i="26"/>
  <c r="G12" i="25"/>
  <c r="C13" i="25"/>
  <c r="G12" i="28"/>
  <c r="C13" i="28"/>
  <c r="G12" i="30"/>
  <c r="C13" i="30"/>
  <c r="C13" i="1"/>
  <c r="C13" i="29"/>
  <c r="G12" i="29"/>
  <c r="C13" i="27"/>
  <c r="G12" i="27"/>
  <c r="C65" i="21"/>
  <c r="D65" i="21"/>
  <c r="G65" i="21"/>
  <c r="B5" i="21"/>
  <c r="B5" i="30"/>
  <c r="B5" i="24"/>
  <c r="B5" i="26"/>
  <c r="B5" i="28"/>
  <c r="D50" i="21"/>
  <c r="C38" i="21"/>
  <c r="C36" i="21"/>
  <c r="C33" i="21"/>
  <c r="D61" i="21"/>
  <c r="G61" i="21"/>
  <c r="A69" i="26"/>
  <c r="A52" i="26"/>
  <c r="A23" i="26"/>
  <c r="C23" i="26" s="1"/>
  <c r="A50" i="26"/>
  <c r="A26" i="26"/>
  <c r="C26" i="26" s="1"/>
  <c r="A47" i="26"/>
  <c r="A43" i="26"/>
  <c r="A40" i="26"/>
  <c r="A33" i="26"/>
  <c r="C33" i="26" s="1"/>
  <c r="A31" i="26"/>
  <c r="C31" i="26" s="1"/>
  <c r="A30" i="26"/>
  <c r="C30" i="26" s="1"/>
  <c r="A64" i="26"/>
  <c r="A57" i="26"/>
  <c r="A34" i="26"/>
  <c r="C34" i="26" s="1"/>
  <c r="A42" i="26"/>
  <c r="A55" i="26"/>
  <c r="A24" i="26"/>
  <c r="C24" i="26" s="1"/>
  <c r="A22" i="26"/>
  <c r="C22" i="26" s="1"/>
  <c r="A32" i="26"/>
  <c r="C32" i="26" s="1"/>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A30" i="2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B5" i="1"/>
  <c r="B5" i="27"/>
  <c r="B5" i="29"/>
  <c r="B5" i="23"/>
  <c r="B5" i="25"/>
  <c r="E4" i="1"/>
  <c r="A24" i="1" s="1"/>
  <c r="E4" i="27"/>
  <c r="E4" i="23"/>
  <c r="E4" i="25"/>
  <c r="E4" i="29"/>
  <c r="C28" i="26"/>
  <c r="C27" i="26"/>
  <c r="F42" i="21"/>
  <c r="B42" i="21"/>
  <c r="E54" i="21"/>
  <c r="B54" i="21"/>
  <c r="F54" i="21"/>
  <c r="B57" i="21"/>
  <c r="F57" i="21"/>
  <c r="F50" i="21"/>
  <c r="E50" i="21"/>
  <c r="B36" i="21"/>
  <c r="D36" i="21" s="1"/>
  <c r="E36" i="21" s="1"/>
  <c r="G36" i="21" s="1"/>
  <c r="F36" i="21"/>
  <c r="B25" i="21"/>
  <c r="D25" i="21" s="1"/>
  <c r="F25" i="21"/>
  <c r="E43" i="21"/>
  <c r="F64" i="21"/>
  <c r="B64" i="21"/>
  <c r="E64" i="21"/>
  <c r="E68" i="21"/>
  <c r="F68" i="21"/>
  <c r="F21" i="21"/>
  <c r="B21" i="21"/>
  <c r="D21" i="21" s="1"/>
  <c r="F65" i="21"/>
  <c r="E65" i="21"/>
  <c r="B65" i="21"/>
  <c r="C37" i="21" l="1"/>
  <c r="F37" i="21"/>
  <c r="B37" i="21"/>
  <c r="D37" i="21" s="1"/>
  <c r="E37" i="21" s="1"/>
  <c r="G37" i="21" s="1"/>
  <c r="E42" i="21"/>
  <c r="C42" i="21"/>
  <c r="D42" i="21"/>
  <c r="C58" i="21"/>
  <c r="G58" i="21"/>
  <c r="D58" i="21"/>
  <c r="C64" i="21"/>
  <c r="G64" i="21"/>
  <c r="D64" i="21"/>
  <c r="D59" i="21"/>
  <c r="G59" i="21"/>
  <c r="B22" i="21"/>
  <c r="D22" i="21" s="1"/>
  <c r="E22" i="21" s="1"/>
  <c r="G22" i="21" s="1"/>
  <c r="F22" i="21"/>
  <c r="C34" i="21"/>
  <c r="F34" i="21"/>
  <c r="B34" i="21"/>
  <c r="D34" i="21" s="1"/>
  <c r="B33" i="21"/>
  <c r="D33" i="21" s="1"/>
  <c r="E33" i="21" s="1"/>
  <c r="G33" i="21" s="1"/>
  <c r="F33" i="21"/>
  <c r="C61" i="21"/>
  <c r="E61" i="21"/>
  <c r="B61" i="21"/>
  <c r="F61" i="21"/>
  <c r="B38" i="21"/>
  <c r="D38" i="21" s="1"/>
  <c r="E38" i="21" s="1"/>
  <c r="F38" i="21"/>
  <c r="G63" i="21"/>
  <c r="C63" i="21"/>
  <c r="D63" i="21"/>
  <c r="F63" i="21"/>
  <c r="E63" i="21"/>
  <c r="B35" i="21"/>
  <c r="D35" i="21" s="1"/>
  <c r="C35" i="21"/>
  <c r="C23" i="21"/>
  <c r="B23" i="21"/>
  <c r="D23" i="21" s="1"/>
  <c r="F23" i="21"/>
  <c r="C29" i="21"/>
  <c r="F29" i="21"/>
  <c r="B29" i="21"/>
  <c r="D29" i="21" s="1"/>
  <c r="C54" i="21"/>
  <c r="G54" i="21"/>
  <c r="D54" i="21"/>
  <c r="D45" i="21"/>
  <c r="F45" i="21"/>
  <c r="B45" i="21"/>
  <c r="C45" i="21"/>
  <c r="G45" i="21"/>
  <c r="E45" i="21"/>
  <c r="C47" i="21"/>
  <c r="B47" i="21"/>
  <c r="F47" i="21"/>
  <c r="G47" i="21"/>
  <c r="B58" i="21"/>
  <c r="F58" i="21"/>
  <c r="E58" i="21"/>
  <c r="G53" i="21"/>
  <c r="F53" i="21"/>
  <c r="E53" i="21"/>
  <c r="G52" i="21"/>
  <c r="E52" i="21"/>
  <c r="B52" i="21"/>
  <c r="F52" i="21"/>
  <c r="B20" i="21"/>
  <c r="D20" i="21" s="1"/>
  <c r="E20" i="21" s="1"/>
  <c r="G20" i="21" s="1"/>
  <c r="F20" i="21"/>
  <c r="B66" i="21"/>
  <c r="F66" i="21"/>
  <c r="F56" i="21"/>
  <c r="E56" i="21"/>
  <c r="B56" i="21"/>
  <c r="D56" i="21"/>
  <c r="G56" i="21"/>
  <c r="F43" i="21"/>
  <c r="B43" i="21"/>
  <c r="D43" i="21"/>
  <c r="D60" i="21"/>
  <c r="B60" i="21"/>
  <c r="C27" i="21"/>
  <c r="F27" i="21"/>
  <c r="B27" i="21"/>
  <c r="D27" i="21" s="1"/>
  <c r="E40" i="21"/>
  <c r="F40" i="21"/>
  <c r="B26" i="21"/>
  <c r="D26" i="21" s="1"/>
  <c r="E26" i="21" s="1"/>
  <c r="G26" i="21" s="1"/>
  <c r="F26" i="21"/>
  <c r="C46" i="21"/>
  <c r="E46" i="21"/>
  <c r="B46" i="21"/>
  <c r="B32" i="21"/>
  <c r="D32" i="21" s="1"/>
  <c r="E32" i="21" s="1"/>
  <c r="G32" i="21" s="1"/>
  <c r="B24" i="21"/>
  <c r="D24" i="21" s="1"/>
  <c r="F24" i="21"/>
  <c r="C24" i="21"/>
  <c r="C41" i="21"/>
  <c r="E41" i="21"/>
  <c r="F41" i="21"/>
  <c r="C55" i="21"/>
  <c r="B55" i="21"/>
  <c r="C59" i="21"/>
  <c r="E59" i="21"/>
  <c r="F59" i="21"/>
  <c r="B30" i="21"/>
  <c r="F30" i="21"/>
  <c r="F55" i="21"/>
  <c r="B53" i="21"/>
  <c r="G42" i="21"/>
  <c r="G43" i="21"/>
  <c r="C43" i="21"/>
  <c r="G50" i="21"/>
  <c r="F32" i="21"/>
  <c r="E47" i="21"/>
  <c r="B41" i="21"/>
  <c r="F46" i="21"/>
  <c r="E60" i="21"/>
  <c r="F69" i="21"/>
  <c r="B50" i="21"/>
  <c r="C66" i="21"/>
  <c r="C56" i="21"/>
  <c r="D49" i="21"/>
  <c r="E55" i="21"/>
  <c r="F49" i="21"/>
  <c r="F51" i="21"/>
  <c r="F60" i="21"/>
  <c r="D55" i="21"/>
  <c r="D47" i="21"/>
  <c r="D41" i="21"/>
  <c r="B63" i="21"/>
  <c r="E66" i="21"/>
  <c r="A33" i="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B49" i="21"/>
  <c r="B51" i="21"/>
  <c r="F62" i="21"/>
  <c r="E69" i="21"/>
  <c r="G69" i="21"/>
  <c r="G62" i="21"/>
  <c r="D51" i="21"/>
  <c r="C51" i="21"/>
  <c r="D46" i="21"/>
  <c r="G13" i="26"/>
  <c r="C15" i="26"/>
  <c r="G15" i="26"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B27" i="30"/>
  <c r="D27" i="30" s="1"/>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B20" i="24"/>
  <c r="D20" i="24" s="1"/>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F34" i="26"/>
  <c r="B34" i="26"/>
  <c r="D34" i="26" s="1"/>
  <c r="E34" i="26" s="1"/>
  <c r="G34" i="26" s="1"/>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B26" i="26"/>
  <c r="D26" i="26" s="1"/>
  <c r="E26" i="26" s="1"/>
  <c r="G26" i="26" s="1"/>
  <c r="F33" i="28"/>
  <c r="B33" i="28"/>
  <c r="D33" i="28" s="1"/>
  <c r="C33" i="28"/>
  <c r="F21" i="30"/>
  <c r="B21" i="30"/>
  <c r="D21" i="30" s="1"/>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B22" i="28"/>
  <c r="D22" i="28" s="1"/>
  <c r="F22" i="28"/>
  <c r="C22" i="28"/>
  <c r="D63" i="24"/>
  <c r="G63" i="24"/>
  <c r="B63" i="24"/>
  <c r="C63" i="24"/>
  <c r="F63" i="24"/>
  <c r="E63" i="24"/>
  <c r="F25" i="28"/>
  <c r="B25" i="28"/>
  <c r="D25" i="28" s="1"/>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B37" i="30"/>
  <c r="D37" i="30" s="1"/>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F21" i="28"/>
  <c r="B21" i="28"/>
  <c r="D21" i="28" s="1"/>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B27" i="28"/>
  <c r="D27" i="28" s="1"/>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F35" i="30"/>
  <c r="C35" i="30"/>
  <c r="B35" i="30"/>
  <c r="D35" i="30" s="1"/>
  <c r="F23" i="30"/>
  <c r="B23" i="30"/>
  <c r="D23" i="30" s="1"/>
  <c r="C23" i="30"/>
  <c r="F25" i="30"/>
  <c r="B25" i="30"/>
  <c r="D25" i="30" s="1"/>
  <c r="C25" i="30"/>
  <c r="B38" i="24"/>
  <c r="D38" i="24" s="1"/>
  <c r="C38" i="24"/>
  <c r="F38" i="24"/>
  <c r="B37" i="24"/>
  <c r="D37" i="24" s="1"/>
  <c r="E37" i="24" s="1"/>
  <c r="G37" i="24" s="1"/>
  <c r="C37" i="24"/>
  <c r="F37" i="24"/>
  <c r="G69" i="24"/>
  <c r="D69" i="24"/>
  <c r="C69" i="24"/>
  <c r="B69" i="24"/>
  <c r="E69" i="24"/>
  <c r="F69" i="24"/>
  <c r="G60" i="24"/>
  <c r="D60" i="24"/>
  <c r="F60" i="24"/>
  <c r="E60" i="24"/>
  <c r="C60" i="24"/>
  <c r="B60" i="24"/>
  <c r="B27" i="24"/>
  <c r="D27" i="24" s="1"/>
  <c r="F27" i="24"/>
  <c r="C27" i="24"/>
  <c r="B21" i="24"/>
  <c r="D21" i="24" s="1"/>
  <c r="F21" i="24"/>
  <c r="C21" i="24"/>
  <c r="C30" i="21"/>
  <c r="D30" i="21"/>
  <c r="F37" i="26"/>
  <c r="B37" i="26"/>
  <c r="D37" i="26" s="1"/>
  <c r="E37" i="26" s="1"/>
  <c r="G37" i="26" s="1"/>
  <c r="C37" i="26"/>
  <c r="G49" i="26"/>
  <c r="D49" i="26"/>
  <c r="B49" i="26"/>
  <c r="F49" i="26"/>
  <c r="E49" i="26"/>
  <c r="C49" i="26"/>
  <c r="D53" i="26"/>
  <c r="G53" i="26"/>
  <c r="B53" i="26"/>
  <c r="C53" i="26"/>
  <c r="F53" i="26"/>
  <c r="E53" i="26"/>
  <c r="B32" i="26"/>
  <c r="D32" i="26" s="1"/>
  <c r="E32" i="26" s="1"/>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F21" i="26"/>
  <c r="B21" i="26"/>
  <c r="D21" i="26" s="1"/>
  <c r="E21" i="26" s="1"/>
  <c r="G21" i="26" s="1"/>
  <c r="B20" i="26"/>
  <c r="D20" i="26" s="1"/>
  <c r="F20" i="26"/>
  <c r="G42" i="26"/>
  <c r="D42" i="26"/>
  <c r="C42" i="26"/>
  <c r="B42" i="26"/>
  <c r="E42" i="26"/>
  <c r="F42" i="26"/>
  <c r="D43" i="26"/>
  <c r="G43" i="26"/>
  <c r="E43" i="26"/>
  <c r="F43" i="26"/>
  <c r="C43" i="26"/>
  <c r="B43" i="26"/>
  <c r="C43" i="24"/>
  <c r="D43" i="24"/>
  <c r="G43" i="24"/>
  <c r="F43" i="24"/>
  <c r="B43" i="24"/>
  <c r="E43" i="24"/>
  <c r="B39" i="21"/>
  <c r="D39" i="21" s="1"/>
  <c r="F39" i="2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C20" i="26"/>
  <c r="C31" i="28"/>
  <c r="F31" i="28"/>
  <c r="B31" i="28"/>
  <c r="D31" i="28" s="1"/>
  <c r="F35" i="28"/>
  <c r="B35" i="28"/>
  <c r="D35" i="28" s="1"/>
  <c r="C35" i="28"/>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F24" i="30"/>
  <c r="B24" i="30"/>
  <c r="D24" i="30" s="1"/>
  <c r="E24" i="30" s="1"/>
  <c r="C24" i="30"/>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21" i="21"/>
  <c r="G21" i="21" s="1"/>
  <c r="B41" i="1"/>
  <c r="E58" i="1"/>
  <c r="E33" i="24" l="1"/>
  <c r="E24" i="21"/>
  <c r="G24" i="21" s="1"/>
  <c r="E31" i="21"/>
  <c r="G31" i="21" s="1"/>
  <c r="E30" i="21"/>
  <c r="G30" i="21" s="1"/>
  <c r="E28" i="21"/>
  <c r="G28" i="21" s="1"/>
  <c r="E27" i="21"/>
  <c r="G27" i="21" s="1"/>
  <c r="E34" i="21"/>
  <c r="G34" i="21" s="1"/>
  <c r="E23" i="21"/>
  <c r="G23" i="21" s="1"/>
  <c r="E29" i="21"/>
  <c r="G29" i="21" s="1"/>
  <c r="G17" i="1"/>
  <c r="D17" i="33" a="1"/>
  <c r="D17" i="33" s="1"/>
  <c r="D18" i="33" a="1"/>
  <c r="D18" i="33" s="1"/>
  <c r="E35" i="28"/>
  <c r="G39" i="26"/>
  <c r="E36" i="24"/>
  <c r="G36" i="24" s="1"/>
  <c r="G38" i="21"/>
  <c r="E35" i="21"/>
  <c r="B33" i="1"/>
  <c r="D33" i="1" s="1"/>
  <c r="E33" i="1" s="1"/>
  <c r="G33" i="1" s="1"/>
  <c r="F33" i="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E69" i="1"/>
  <c r="G17" i="30"/>
  <c r="B79" i="3" s="1"/>
  <c r="C60" i="1"/>
  <c r="B53" i="1"/>
  <c r="E23" i="31" a="1"/>
  <c r="E23" i="31" s="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8" i="26"/>
  <c r="G38" i="26" s="1"/>
  <c r="E36" i="26"/>
  <c r="G36" i="26" s="1"/>
  <c r="E36" i="28"/>
  <c r="G36" i="28" s="1"/>
  <c r="E39" i="21"/>
  <c r="G39" i="21"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D29" i="1" s="1"/>
  <c r="E29" i="1" s="1"/>
  <c r="G29" i="1" s="1"/>
  <c r="E66" i="1"/>
  <c r="C68" i="1"/>
  <c r="B62" i="1"/>
  <c r="E45" i="1"/>
  <c r="C66" i="1"/>
  <c r="C45" i="1"/>
  <c r="F59" i="1"/>
  <c r="B21" i="1"/>
  <c r="D21" i="1" s="1"/>
  <c r="F45" i="1"/>
  <c r="C67" i="1"/>
  <c r="E50" i="1"/>
  <c r="E68" i="1"/>
  <c r="B68" i="1"/>
  <c r="F20" i="1"/>
  <c r="B54" i="1"/>
  <c r="E67" i="1"/>
  <c r="F39" i="1"/>
  <c r="F44" i="1"/>
  <c r="B60" i="1"/>
  <c r="C31" i="1"/>
  <c r="E44" i="1"/>
  <c r="B65" i="1"/>
  <c r="B20" i="1"/>
  <c r="D20" i="1" s="1"/>
  <c r="E20" i="1" s="1"/>
  <c r="G20" i="1" s="1"/>
  <c r="F28" i="1"/>
  <c r="F30" i="1"/>
  <c r="F43" i="1"/>
  <c r="F57" i="1"/>
  <c r="E65" i="1"/>
  <c r="E51" i="1"/>
  <c r="B61" i="1"/>
  <c r="B26" i="1"/>
  <c r="D26" i="1" s="1"/>
  <c r="E26" i="1" s="1"/>
  <c r="G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B49" i="3" l="1"/>
  <c r="D40" i="33" a="1"/>
  <c r="D40" i="33" s="1"/>
  <c r="B35" i="3"/>
  <c r="E30" i="1"/>
  <c r="G30" i="1" s="1"/>
  <c r="G35" i="21"/>
  <c r="G71" i="21" s="1"/>
  <c r="D26" i="33" s="1" a="1"/>
  <c r="D26" i="33" s="1"/>
  <c r="E71" i="21"/>
  <c r="E21" i="1"/>
  <c r="G21" i="1" s="1"/>
  <c r="E28" i="1"/>
  <c r="G28" i="1" s="1"/>
  <c r="E25" i="1"/>
  <c r="G25" i="1" s="1"/>
  <c r="B26" i="32"/>
  <c r="E31" i="1"/>
  <c r="G31" i="1" s="1"/>
  <c r="E33" i="23"/>
  <c r="G33" i="23" s="1"/>
  <c r="D22" i="1"/>
  <c r="G20" i="30"/>
  <c r="G71" i="30" s="1"/>
  <c r="D90" i="33" s="1" a="1"/>
  <c r="D90" i="33" s="1"/>
  <c r="E71" i="30"/>
  <c r="G20" i="26"/>
  <c r="G71" i="26" s="1"/>
  <c r="D58" i="33" s="1" a="1"/>
  <c r="D58" i="33" s="1"/>
  <c r="E71" i="26"/>
  <c r="G20" i="24"/>
  <c r="G71" i="24" s="1"/>
  <c r="D42" i="33" s="1" a="1"/>
  <c r="D42" i="33" s="1"/>
  <c r="E71" i="24"/>
  <c r="G20" i="28"/>
  <c r="G71" i="28" s="1"/>
  <c r="D74" i="33" s="1" a="1"/>
  <c r="D74" i="33"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E73" i="21" l="1"/>
  <c r="D29" i="33" s="1" a="1"/>
  <c r="D29" i="33" s="1"/>
  <c r="D25" i="33" a="1"/>
  <c r="D25" i="33" s="1"/>
  <c r="E73" i="30"/>
  <c r="D93" i="33" s="1" a="1"/>
  <c r="D93" i="33" s="1"/>
  <c r="D89" i="33" a="1"/>
  <c r="D89" i="33" s="1"/>
  <c r="E73" i="26"/>
  <c r="D61" i="33" s="1" a="1"/>
  <c r="D61" i="33" s="1"/>
  <c r="D57" i="33" a="1"/>
  <c r="D57" i="33" s="1"/>
  <c r="E73" i="28"/>
  <c r="D77" i="33" s="1" a="1"/>
  <c r="D77" i="33" s="1"/>
  <c r="D73" i="33" a="1"/>
  <c r="D73" i="33" s="1"/>
  <c r="E73" i="24"/>
  <c r="D45" i="33" s="1" a="1"/>
  <c r="D45" i="33" s="1"/>
  <c r="D41" i="33" a="1"/>
  <c r="D41" i="33" s="1"/>
  <c r="G73" i="21"/>
  <c r="B40" i="3"/>
  <c r="E22" i="1"/>
  <c r="G22" i="1" s="1"/>
  <c r="G71" i="1" s="1"/>
  <c r="D20" i="33" s="1" a="1"/>
  <c r="D20" i="33" s="1"/>
  <c r="F22" i="31" a="1"/>
  <c r="F22" i="31" s="1"/>
  <c r="E22" i="31" a="1"/>
  <c r="E22" i="31" s="1"/>
  <c r="B50" i="3"/>
  <c r="G73" i="24"/>
  <c r="B60" i="3"/>
  <c r="G73" i="26"/>
  <c r="G73" i="28"/>
  <c r="B70" i="3"/>
  <c r="B80" i="3"/>
  <c r="G73" i="30"/>
  <c r="G71" i="25"/>
  <c r="G71" i="29"/>
  <c r="D84" i="33" s="1" a="1"/>
  <c r="D84" i="33" s="1"/>
  <c r="G71" i="27"/>
  <c r="D68" i="33" s="1" a="1"/>
  <c r="D68" i="33" s="1"/>
  <c r="G71" i="23"/>
  <c r="E71" i="23"/>
  <c r="E71" i="27"/>
  <c r="E71" i="29"/>
  <c r="E71" i="25"/>
  <c r="B41" i="3" l="1"/>
  <c r="D30" i="33" a="1"/>
  <c r="D30" i="33" s="1"/>
  <c r="B61" i="3"/>
  <c r="D62" i="33" a="1"/>
  <c r="D62" i="33" s="1"/>
  <c r="B71" i="3"/>
  <c r="D78" i="33" a="1"/>
  <c r="D78" i="33" s="1"/>
  <c r="B81" i="3"/>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1" i="3"/>
  <c r="D46" i="33" a="1"/>
  <c r="D46" i="33" s="1"/>
  <c r="B24" i="32"/>
  <c r="B25" i="32"/>
  <c r="G73" i="29"/>
  <c r="B76" i="3"/>
  <c r="B46" i="3"/>
  <c r="B56" i="3"/>
  <c r="B66" i="3"/>
  <c r="G73" i="27"/>
  <c r="D60" i="33" l="1" a="1"/>
  <c r="D60" i="33" s="1"/>
  <c r="B57" i="3"/>
  <c r="D44" i="33" a="1"/>
  <c r="D44" i="33" s="1"/>
  <c r="B47" i="3"/>
  <c r="B77" i="3"/>
  <c r="D92" i="33" a="1"/>
  <c r="D92" i="33" s="1"/>
  <c r="B67" i="3"/>
  <c r="D76" i="33" a="1"/>
  <c r="D76" i="33" s="1"/>
  <c r="B36" i="3"/>
  <c r="E71" i="1"/>
  <c r="E73" i="1" l="1"/>
  <c r="D27" i="33" s="1" a="1"/>
  <c r="D27" i="33" s="1"/>
  <c r="D19" i="33" a="1"/>
  <c r="D19" i="33" s="1"/>
  <c r="G73" i="1"/>
  <c r="B37"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<sst xmlns="http://schemas.openxmlformats.org/spreadsheetml/2006/main" count="3643" uniqueCount="449">
  <si>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</si>
  <si>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</si>
  <si>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</si>
  <si>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</si>
  <si>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</si>
  <si>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</si>
  <si>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</si>
  <si>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</si>
  <si>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</si>
  <si>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</si>
  <si>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</si>
  <si>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</si>
  <si>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</si>
  <si>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</si>
  <si>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</si>
  <si>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</si>
  <si>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</si>
  <si>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</si>
  <si>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</si>
  <si>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</si>
  <si>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</si>
  <si>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</si>
  <si>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</si>
  <si>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</si>
  <si>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</si>
  <si>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</si>
  <si>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</si>
  <si>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</si>
  <si>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</si>
  <si>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</si>
  <si>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</si>
  <si>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</si>
  <si>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</si>
  <si>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</si>
  <si>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</si>
  <si>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</si>
  <si>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</si>
  <si>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</si>
  <si>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</si>
  <si>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</si>
  <si>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</si>
  <si>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</si>
  <si>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</si>
  <si>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</si>
  <si>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</si>
  <si>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</si>
  <si>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</si>
  <si>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</si>
  <si>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</si>
  <si>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</si>
  <si>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</si>
  <si>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</si>
  <si>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</si>
  <si>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</si>
  <si>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</si>
  <si>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</si>
  <si>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</si>
  <si>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</si>
  <si>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</si>
  <si>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</si>
  <si>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</si>
  <si>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</si>
  <si>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</si>
  <si>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</si>
  <si>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</si>
  <si>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</si>
  <si>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</si>
  <si>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</si>
  <si>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</si>
  <si>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</si>
  <si>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</si>
  <si>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</si>
  <si>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</si>
  <si>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</si>
  <si>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</si>
  <si>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</si>
  <si>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</si>
  <si>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</si>
  <si>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</si>
  <si>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</si>
  <si>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</si>
  <si>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</si>
  <si>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</si>
  <si>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</si>
  <si>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</si>
  <si>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</si>
  <si>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</si>
  <si>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</si>
  <si>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</si>
  <si>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</si>
  <si>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</si>
  <si>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</si>
  <si>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</si>
  <si>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</si>
  <si>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</si>
  <si>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</si>
  <si>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</si>
  <si>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</si>
  <si>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</si>
  <si>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</si>
  <si>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</si>
  <si>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</si>
  <si>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</si>
  <si>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</si>
  <si>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</si>
  <si>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</si>
  <si>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</si>
  <si>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</si>
  <si>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</si>
  <si>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</si>
  <si>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</si>
  <si>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</si>
  <si>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</si>
  <si>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</si>
  <si>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</si>
  <si>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</si>
  <si>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</si>
  <si>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</si>
  <si>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</si>
  <si>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</si>
  <si>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</si>
  <si>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</si>
  <si>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</si>
  <si>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</si>
  <si>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</si>
  <si>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</si>
  <si>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</si>
  <si>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</si>
  <si>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</si>
  <si>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</si>
  <si>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</si>
  <si>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</si>
  <si>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</si>
  <si>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</si>
  <si>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</si>
  <si>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</si>
  <si>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</si>
  <si>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</si>
  <si>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</si>
  <si>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</si>
  <si>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</si>
  <si>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</si>
  <si>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</si>
  <si>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</si>
  <si>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</si>
  <si>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</si>
  <si>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</si>
  <si>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</si>
  <si>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</si>
  <si>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</si>
  <si>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</si>
  <si>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</si>
  <si>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</si>
  <si>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</si>
  <si>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</si>
  <si>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</si>
  <si>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</si>
  <si>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</si>
  <si>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</si>
  <si>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</si>
  <si>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</si>
  <si>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</si>
  <si>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</si>
  <si>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</si>
  <si>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</si>
  <si>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</si>
  <si>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</si>
  <si>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</si>
  <si>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</si>
  <si>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</si>
  <si>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</si>
  <si>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</si>
  <si>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</si>
  <si>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</si>
  <si>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</si>
  <si>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</si>
  <si>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</si>
  <si>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</si>
  <si>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</si>
  <si>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</si>
  <si>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</si>
  <si>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</si>
  <si>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</si>
  <si>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</si>
  <si>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</si>
  <si>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</si>
  <si>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</si>
  <si>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</si>
  <si>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</si>
  <si>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</si>
  <si>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</si>
  <si>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</si>
  <si>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</si>
  <si>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</si>
  <si>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</si>
  <si>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</si>
  <si>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</si>
  <si>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</si>
  <si>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</si>
  <si>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</si>
  <si>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</si>
  <si>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</si>
  <si>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</si>
  <si>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</si>
  <si>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</si>
  <si>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</si>
  <si>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</si>
  <si>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</si>
  <si>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</si>
  <si>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</si>
  <si>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</si>
  <si>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</si>
  <si>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</si>
  <si>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</si>
  <si>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</si>
  <si>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</si>
  <si>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</si>
  <si>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</si>
  <si>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</si>
  <si>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</si>
  <si>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</si>
  <si>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</si>
  <si>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</si>
  <si>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</si>
  <si>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</si>
  <si>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</si>
  <si>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</si>
  <si>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</si>
  <si>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</si>
  <si>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</si>
  <si>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</si>
  <si>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</si>
  <si>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</si>
  <si>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</si>
  <si>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</si>
  <si>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</si>
  <si>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</si>
  <si>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</si>
  <si>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</si>
  <si>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</si>
  <si>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</si>
  <si>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</si>
  <si>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</si>
  <si>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</si>
  <si>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</si>
  <si>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</si>
  <si>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</si>
  <si>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</si>
  <si>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</si>
  <si>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</si>
  <si>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</si>
  <si>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</si>
  <si>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</si>
  <si>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</si>
  <si>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</si>
  <si>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</si>
  <si>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</si>
  <si>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</si>
  <si>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</si>
  <si>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</si>
  <si>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</si>
  <si>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</si>
  <si>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</si>
  <si>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</si>
  <si>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</si>
  <si>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</si>
  <si>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</si>
  <si>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</si>
  <si>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</si>
  <si>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</si>
  <si>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</si>
  <si>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</si>
  <si>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</si>
  <si>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</si>
  <si>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</si>
  <si>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</si>
  <si>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</si>
  <si>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loss to trial</t>
  </si>
  <si>
    <t>either pre-tax or post-tax/post-credit(actual earnings)</t>
  </si>
  <si>
    <t>loss post trial</t>
  </si>
  <si>
    <t>either pre-tax or post-tax/post-credit(pulled from alternate jobs earnings)</t>
  </si>
  <si>
    <t>pre_injury_earning_capacity</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</si>
  <si>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</si>
  <si>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</si>
  <si>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</si>
  <si>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</si>
  <si>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</si>
  <si>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</si>
  <si>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</si>
  <si>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</si>
  <si>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</si>
  <si>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</si>
  <si>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</si>
  <si>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</si>
  <si>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</si>
  <si>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</si>
  <si>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</si>
  <si>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</si>
  <si>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</si>
  <si>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</si>
  <si>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</si>
  <si>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</si>
  <si>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</si>
  <si>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</si>
  <si>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</si>
  <si>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</si>
  <si>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</si>
  <si>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</si>
  <si>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</si>
  <si>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</si>
  <si>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</si>
  <si>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</si>
  <si>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</si>
  <si>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</si>
  <si>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</si>
  <si>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</si>
  <si>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</si>
  <si>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</si>
  <si>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</si>
  <si>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</si>
  <si>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</si>
  <si>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</si>
  <si>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</si>
  <si>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</si>
  <si>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</si>
  <si>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</si>
  <si>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</si>
  <si>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</si>
  <si>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</si>
  <si>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</si>
  <si>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</si>
  <si>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</si>
  <si>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</si>
  <si>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</si>
  <si>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</si>
  <si>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</si>
  <si>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</si>
  <si>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</si>
  <si>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</si>
  <si>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</si>
  <si>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</si>
  <si>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2 PV Loss WLE</t>
  </si>
  <si>
    <t>Base 3 PV Loss WLE</t>
  </si>
  <si>
    <t>Base 4 PV Loss WLE</t>
  </si>
  <si>
    <t>Base 5 PV Loss WLE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</si>
  <si>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</si>
  <si>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</si>
  <si>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</si>
  <si>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</si>
  <si>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</si>
  <si>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</si>
  <si>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</si>
  <si>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</si>
  <si>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</si>
  <si>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</si>
  <si>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</si>
  <si>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</si>
  <si>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</si>
  <si>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</si>
  <si>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</si>
  <si>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</si>
  <si>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</si>
  <si>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</si>
  <si>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</si>
  <si>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</si>
  <si>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</si>
  <si>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</si>
  <si>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</si>
  <si>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</si>
  <si>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</si>
  <si>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</si>
  <si>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</si>
  <si>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</si>
  <si>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</si>
  <si>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</si>
  <si>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</si>
  <si>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</si>
  <si>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</si>
  <si>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</si>
  <si>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</si>
  <si>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</si>
  <si>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</si>
  <si>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</si>
  <si>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</si>
  <si>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</si>
  <si>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</si>
  <si>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</si>
  <si>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</si>
  <si>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</si>
  <si>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</si>
  <si>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</si>
  <si>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</si>
  <si>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</si>
  <si>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</si>
  <si>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</si>
  <si>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</si>
  <si>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</si>
  <si>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</si>
  <si>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</si>
  <si>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</si>
  <si>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</si>
  <si>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</si>
  <si>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</si>
  <si>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</si>
  <si>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</si>
  <si>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</si>
  <si>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</si>
  <si>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</si>
  <si>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</si>
  <si>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</si>
  <si>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</si>
  <si>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</si>
  <si>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</si>
  <si>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</si>
  <si>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</si>
  <si>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</si>
  <si>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</si>
  <si>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</si>
  <si>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</si>
  <si>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</si>
  <si>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</si>
  <si>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</si>
  <si>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</si>
  <si>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</si>
  <si>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</si>
  <si>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</si>
  <si>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</si>
  <si>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</si>
  <si>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</si>
  <si>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</si>
  <si>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</si>
  <si>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</si>
  <si>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</si>
  <si>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&lt;-- pulling from Voc report</t>
  </si>
  <si>
    <t>Base 1 PV Loss To Age</t>
  </si>
  <si>
    <t>Base 2 PV Loss To Age</t>
  </si>
  <si>
    <t>Base 3 PV Loss To Age</t>
  </si>
  <si>
    <t>Base 4 PV Loss To Age</t>
  </si>
  <si>
    <t>Base 5 PV Loss To Age</t>
  </si>
  <si>
    <t>PV2_disc_rate_default</t>
  </si>
  <si>
    <t>PV2_disc_rate_real</t>
  </si>
  <si>
    <t>eff_tax_rate</t>
  </si>
  <si>
    <t>E5</t>
  </si>
  <si>
    <t>PV2_disc_rate_low</t>
  </si>
  <si>
    <t>PV2_disc_rate_high</t>
  </si>
  <si>
    <r>
      <t xml:space="preserve">Functionally: </t>
    </r>
    <r>
      <rPr>
        <u/>
        <sz val="9"/>
        <rFont val="Segoe UI"/>
        <family val="2"/>
      </rPr>
      <t>life expectancy from trial + age at trial</t>
    </r>
  </si>
  <si>
    <t xml:space="preserve">Age at accident is calculated = LE from accident </t>
  </si>
  <si>
    <r>
      <t xml:space="preserve">If LCP with annual costs is present, number is pulled from </t>
    </r>
    <r>
      <rPr>
        <b/>
        <i/>
        <u/>
        <sz val="9"/>
        <rFont val="Segoe UI"/>
        <family val="2"/>
      </rPr>
      <t>LCP report instead</t>
    </r>
  </si>
  <si>
    <r>
      <t xml:space="preserve">If only earnings, </t>
    </r>
    <r>
      <rPr>
        <u/>
        <sz val="9"/>
        <rFont val="Segoe UI"/>
        <family val="2"/>
      </rPr>
      <t xml:space="preserve">LE at trial (calculated using LE from accident) </t>
    </r>
    <r>
      <rPr>
        <sz val="9"/>
        <rFont val="Segoe UI"/>
        <family val="2"/>
      </rPr>
      <t xml:space="preserve">+ </t>
    </r>
    <r>
      <rPr>
        <u/>
        <sz val="9"/>
        <rFont val="Segoe UI"/>
        <family val="2"/>
      </rPr>
      <t>age at trial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</si>
</sst>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7"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8"/>
      <name val="Arial"/>
    </font>
    <font>
      <b/>
      <i/>
      <sz val="10"/>
      <name val="Arial"/>
      <family val="2"/>
    </font>
    <font>
      <b/>
      <u/>
      <sz val="10"/>
      <name val="Arial"/>
      <family val="2"/>
    </font>
    <font>
      <sz val="9"/>
      <name val="Segoe UI"/>
      <family val="2"/>
    </font>
    <font>
      <u/>
      <sz val="9"/>
      <name val="Segoe UI"/>
      <family val="2"/>
    </font>
    <font>
      <b/>
      <i/>
      <u/>
      <sz val="9"/>
      <name val="Segoe UI"/>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29">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2"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3"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xf numFmtId="0" fontId="29" fillId="13" borderId="13" xfId="0" applyFont="1" applyFill="1" applyBorder="1" applyAlignment="1">
      <alignment horizontal="left" vertical="center"/>
    </xf>
    <xf numFmtId="9" fontId="29" fillId="6" borderId="12" xfId="4" applyFont="1" applyFill="1" applyBorder="1" applyAlignment="1">
      <alignment horizontal="center" vertical="center"/>
    </xf>
    <xf numFmtId="0" fontId="28" fillId="13" borderId="13" xfId="0" applyFont="1" applyFill="1" applyBorder="1" applyAlignment="1">
      <alignment horizontal="left" vertical="center"/>
    </xf>
    <xf numFmtId="0" fontId="34" fillId="0" borderId="0" xfId="0" applyFont="1" applyAlignment="1">
      <alignment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H124"/>
  <sheetViews>
    <sheetView tabSelected="1" topLeftCell="A77" workbookViewId="0">
      <selection activeCell="G97" sqref="G97"/>
    </sheetView>
  </sheetViews>
  <sheetFormatPr defaultColWidth="8.85546875" defaultRowHeight="12.75" x14ac:dyDescent="0.2"/>
  <cols>
    <col min="1" max="1" width="29" bestFit="1" customWidth="1"/>
    <col min="2" max="2" width="19.85546875" bestFit="1" customWidth="1"/>
    <col min="3" max="3" width="15.42578125" bestFit="1" customWidth="1"/>
    <col min="4" max="4" width="15.5703125" bestFit="1" customWidth="1"/>
    <col min="7" max="7" width="23.28515625" bestFit="1" customWidth="1"/>
  </cols>
  <sheetData>
    <row r="1" spans="1:8" ht="21" x14ac:dyDescent="0.2">
      <c r="A1" s="111" t="s">
        <v>260</v>
      </c>
      <c r="B1" s="112"/>
      <c r="C1" s="112"/>
      <c r="D1" s="113"/>
    </row>
    <row r="2" spans="1:8" ht="15.75" x14ac:dyDescent="0.2">
      <c r="A2" s="77" t="s">
        <v>256</v>
      </c>
      <c r="B2" s="78" t="s">
        <v>257</v>
      </c>
      <c r="C2" s="78" t="s">
        <v>258</v>
      </c>
      <c r="D2" s="79" t="s">
        <v>259</v>
      </c>
    </row>
    <row r="3" spans="1:8" ht="15" x14ac:dyDescent="0.2">
      <c r="A3" s="80" t="s">
        <v>282</v>
      </c>
      <c r="B3" s="81" t="s">
        <v>318</v>
      </c>
      <c r="C3" s="81" t="s">
        <v>319</v>
      </c>
      <c r="D3" s="82" cm="1">
        <f t="array" aca="1" ref="D3" ca="1">IF(OR(IF(OR(A3="", B3="", C3=""), "", INDIRECT("'" &amp; B3 &amp; "'!" &amp; C3))=0, IF(OR(A3="", B3="", C3=""), "", INDIRECT("'" &amp; B3 &amp; "'!" &amp; C3))=""),"",INDIRECT("'" &amp; B3 &amp; "'!" &amp; C3))</f>
        <v>46.214921286789867</v>
      </c>
    </row>
    <row r="4" spans="1:8" ht="15" x14ac:dyDescent="0.2">
      <c r="A4" s="83" t="s">
        <v>283</v>
      </c>
      <c r="B4" s="84" t="s">
        <v>318</v>
      </c>
      <c r="C4" s="96" t="s">
        <v>320</v>
      </c>
      <c r="D4" s="85" cm="1">
        <f t="array" aca="1" ref="D4" ca="1">IF(OR(IF(OR(A4="", B4="", C4=""), "", INDIRECT("'" &amp; B4 &amp; "'!" &amp; C4))=0, IF(OR(A4="", B4="", C4=""), "", INDIRECT("'" &amp; B4 &amp; "'!" &amp; C4))=""),"",INDIRECT("'" &amp; B4 &amp; "'!" &amp; C4))</f>
        <v>50.962354551676931</v>
      </c>
      <c r="G4" t="s">
        <v>277</v>
      </c>
      <c r="H4" t="s">
        <v>278</v>
      </c>
    </row>
    <row r="5" spans="1:8" ht="15" x14ac:dyDescent="0.2">
      <c r="A5" s="86" t="s">
        <v>284</v>
      </c>
      <c r="B5" s="87" t="s">
        <v>318</v>
      </c>
      <c r="C5" s="81" t="s">
        <v>321</v>
      </c>
      <c r="D5" s="82" cm="1">
        <f t="array" aca="1" ref="D5" ca="1">IF(OR(IF(OR(A5="", B5="", C5=""), "", INDIRECT("'" &amp; B5 &amp; "'!" &amp; C5))=0, IF(OR(A5="", B5="", C5=""), "", INDIRECT("'" &amp; B5 &amp; "'!" &amp; C5))=""),"",INDIRECT("'" &amp; B5 &amp; "'!" &amp; C5))</f>
        <v>33.4</v>
      </c>
      <c r="G5" t="s">
        <v>279</v>
      </c>
      <c r="H5" t="s">
        <v>280</v>
      </c>
    </row>
    <row r="6" spans="1:8" ht="15" x14ac:dyDescent="0.2">
      <c r="A6" s="83" t="s">
        <v>285</v>
      </c>
      <c r="B6" s="84" t="s">
        <v>318</v>
      </c>
      <c r="C6" s="96" t="s">
        <v>322</v>
      </c>
      <c r="D6" s="85" cm="1">
        <f t="array" aca="1" ref="D6" ca="1">IF(OR(IF(OR(A6="", B6="", C6=""), "", INDIRECT("'" &amp; B6 &amp; "'!" &amp; C6))=0, IF(OR(A6="", B6="", C6=""), "", INDIRECT("'" &amp; B6 &amp; "'!" &amp; C6))=""),"",INDIRECT("'" &amp; B6 &amp; "'!" &amp; C6))</f>
        <v>28.652566735112934</v>
      </c>
      <c r="G6" s="40" t="s">
        <v>281</v>
      </c>
      <c r="H6" t="s">
        <v>433</v>
      </c>
    </row>
    <row r="7" spans="1:8" ht="15" x14ac:dyDescent="0.2">
      <c r="A7" s="86" t="s">
        <v>286</v>
      </c>
      <c r="B7" s="87" t="s">
        <v>318</v>
      </c>
      <c r="C7" s="81" t="s">
        <v>323</v>
      </c>
      <c r="D7" s="82" cm="1">
        <f t="array" aca="1" ref="D7" ca="1">IF(OR(IF(OR(A7="", B7="", C7=""), "", INDIRECT("'" &amp; B7 &amp; "'!" &amp; C7))=0, IF(OR(A7="", B7="", C7=""), "", INDIRECT("'" &amp; B7 &amp; "'!" &amp; C7))=""),"",INDIRECT("'" &amp; B7 &amp; "'!" &amp; C7))</f>
        <v>19.04</v>
      </c>
    </row>
    <row r="8" spans="1:8" ht="15" x14ac:dyDescent="0.2">
      <c r="A8" s="83" t="s">
        <v>348</v>
      </c>
      <c r="B8" s="84" t="s">
        <v>318</v>
      </c>
      <c r="C8" s="96" t="s">
        <v>324</v>
      </c>
      <c r="D8" s="85" cm="1">
        <f t="array" aca="1" ref="D8" ca="1">IF(OR(IF(OR(A8="", B8="", C8=""), "", INDIRECT("'" &amp; B8 &amp; "'!" &amp; C8))=0, IF(OR(A8="", B8="", C8=""), "", INDIRECT("'" &amp; B8 &amp; "'!" &amp; C8))=""),"",INDIRECT("'" &amp; B8 &amp; "'!" &amp; C8))</f>
        <v>14.292566735112935</v>
      </c>
    </row>
    <row r="9" spans="1:8" ht="15" x14ac:dyDescent="0.2">
      <c r="A9" s="97" t="s">
        <v>349</v>
      </c>
      <c r="B9" s="98" t="s">
        <v>318</v>
      </c>
      <c r="C9" s="104" t="s">
        <v>335</v>
      </c>
      <c r="D9" s="82" cm="1">
        <f t="array" aca="1" ref="D9" ca="1">IF(OR(IF(OR(A9="", B9="", C9=""), "", INDIRECT("'" &amp; B9 &amp; "'!" &amp; C9))=0, IF(OR(A9="", B9="", C9=""), "", INDIRECT("'" &amp; B9 &amp; "'!" &amp; C9))=""),"",INDIRECT("'" &amp; B9 &amp; "'!" &amp; C9))</f>
        <v>14</v>
      </c>
    </row>
    <row r="10" spans="1:8" ht="15" x14ac:dyDescent="0.2">
      <c r="A10" s="83" t="s">
        <v>350</v>
      </c>
      <c r="B10" s="84" t="s">
        <v>318</v>
      </c>
      <c r="C10" s="96" t="s">
        <v>336</v>
      </c>
      <c r="D10" s="85" cm="1">
        <f t="array" aca="1" ref="D10" ca="1">IF(OR(IF(OR(A10="", B10="", C10=""), "", INDIRECT("'" &amp; B10 &amp; "'!" &amp; C10))=0, IF(OR(A10="", B10="", C10=""), "", INDIRECT("'" &amp; B10 &amp; "'!" &amp; C10))=""),"",INDIRECT("'" &amp; B10 &amp; "'!" &amp; C10))</f>
        <v>0.29256673511293485</v>
      </c>
    </row>
    <row r="11" spans="1:8" ht="15" x14ac:dyDescent="0.2">
      <c r="A11" s="86" t="s">
        <v>287</v>
      </c>
      <c r="B11" s="87" t="s">
        <v>318</v>
      </c>
      <c r="C11" s="87" t="s">
        <v>325</v>
      </c>
      <c r="D11" s="82" cm="1">
        <f t="array" aca="1" ref="D11" ca="1">IF(OR(IF(OR(A11="", B11="", C11=""), "", INDIRECT("'" &amp; B11 &amp; "'!" &amp; C11))=0, IF(OR(A11="", B11="", C11=""), "", INDIRECT("'" &amp; B11 &amp; "'!" &amp; C11))=""),"",INDIRECT("'" &amp; B11 &amp; "'!" &amp; C11))</f>
        <v>70</v>
      </c>
    </row>
    <row r="12" spans="1:8" ht="15" x14ac:dyDescent="0.2">
      <c r="A12" s="83" t="s">
        <v>328</v>
      </c>
      <c r="B12" s="84" t="s">
        <v>318</v>
      </c>
      <c r="C12" s="84" t="s">
        <v>329</v>
      </c>
      <c r="D12" s="85" cm="1">
        <f t="array" aca="1" ref="D12" ca="1">IF(OR(IF(OR(A12="", B12="", C12=""), "", INDIRECT("'" &amp; B12 &amp; "'!" &amp; C12))=0, IF(OR(A12="", B12="", C12=""), "", INDIRECT("'" &amp; B12 &amp; "'!" &amp; C12))=""),"",INDIRECT("'" &amp; B12 &amp; "'!" &amp; C12))</f>
        <v>19.037645448323069</v>
      </c>
    </row>
    <row r="13" spans="1:8" ht="15" x14ac:dyDescent="0.2">
      <c r="A13" s="97" t="s">
        <v>326</v>
      </c>
      <c r="B13" s="98" t="s">
        <v>318</v>
      </c>
      <c r="C13" s="98" t="s">
        <v>330</v>
      </c>
      <c r="D13" s="82" cm="1">
        <f t="array" aca="1" ref="D13" ca="1">IF(OR(IF(OR(A13="", B13="", C13=""), "", INDIRECT("'" &amp; B13 &amp; "'!" &amp; C13))=0, IF(OR(A13="", B13="", C13=""), "", INDIRECT("'" &amp; B13 &amp; "'!" &amp; C13))=""),"",INDIRECT("'" &amp; B13 &amp; "'!" &amp; C13))</f>
        <v>19</v>
      </c>
    </row>
    <row r="14" spans="1:8" ht="15" x14ac:dyDescent="0.2">
      <c r="A14" s="83" t="s">
        <v>327</v>
      </c>
      <c r="B14" s="84" t="s">
        <v>318</v>
      </c>
      <c r="C14" s="84" t="s">
        <v>331</v>
      </c>
      <c r="D14" s="85" cm="1">
        <f t="array" aca="1" ref="D14" ca="1">IF(OR(IF(OR(A14="", B14="", C14=""), "", INDIRECT("'" &amp; B14 &amp; "'!" &amp; C14))=0, IF(OR(A14="", B14="", C14=""), "", INDIRECT("'" &amp; B14 &amp; "'!" &amp; C14))=""),"",INDIRECT("'" &amp; B14 &amp; "'!" &amp; C14))</f>
        <v>3.764544832306882E-2</v>
      </c>
      <c r="E14" s="8"/>
    </row>
    <row r="15" spans="1:8" ht="15" x14ac:dyDescent="0.2">
      <c r="A15" s="97" t="s">
        <v>351</v>
      </c>
      <c r="B15" s="98" t="s">
        <v>332</v>
      </c>
      <c r="C15" s="98" t="s">
        <v>353</v>
      </c>
      <c r="D15" s="101" cm="1">
        <f t="array" aca="1" ref="D15" ca="1">IF(OR(IF(OR(A15="", B15="", C15=""), "", INDIRECT("'" &amp; B15 &amp; "'!" &amp; C15))=0, IF(OR(A15="", B15="", C15=""), "", INDIRECT("'" &amp; B15 &amp; "'!" &amp; C15))=""),"",INDIRECT("'" &amp; B15 &amp; "'!" &amp; C15))</f>
        <v>75000</v>
      </c>
      <c r="E15" s="8"/>
    </row>
    <row r="16" spans="1:8" ht="15" x14ac:dyDescent="0.2">
      <c r="A16" s="83" t="s">
        <v>352</v>
      </c>
      <c r="B16" s="84" t="s">
        <v>332</v>
      </c>
      <c r="C16" s="84" t="s">
        <v>354</v>
      </c>
      <c r="D16" s="105" cm="1">
        <f t="array" aca="1" ref="D16" ca="1">IF(OR(IF(OR(A16="", B16="", C16=""), "", INDIRECT("'" &amp; B16 &amp; "'!" &amp; C16))=0, IF(OR(A16="", B16="", C16=""), "", INDIRECT("'" &amp; B16 &amp; "'!" &amp; C16))=""),"",INDIRECT("'" &amp; B16 &amp; "'!" &amp; C16))</f>
        <v>3.1E-2</v>
      </c>
      <c r="E16" s="8"/>
    </row>
    <row r="17" spans="1:5" ht="15" x14ac:dyDescent="0.2">
      <c r="A17" s="86" t="s">
        <v>288</v>
      </c>
      <c r="B17" s="87" t="s">
        <v>332</v>
      </c>
      <c r="C17" s="87" t="s">
        <v>338</v>
      </c>
      <c r="D17" s="101" cm="1">
        <f t="array" aca="1" ref="D17" ca="1">IF(OR(IF(OR(A17="", B17="", C17=""), "", INDIRECT("'" &amp; B17 &amp; "'!" &amp; C17))=0, IF(OR(A17="", B17="", C17=""), "", INDIRECT("'" &amp; B17 &amp; "'!" &amp; C17))=""),"",INDIRECT("'" &amp; B17 &amp; "'!" &amp; C17))</f>
        <v>355890.41095890413</v>
      </c>
      <c r="E17" s="8"/>
    </row>
    <row r="18" spans="1:5" ht="15" x14ac:dyDescent="0.2">
      <c r="A18" s="83" t="s">
        <v>373</v>
      </c>
      <c r="B18" s="84" t="s">
        <v>332</v>
      </c>
      <c r="C18" s="84" t="s">
        <v>333</v>
      </c>
      <c r="D18" s="102" cm="1">
        <f t="array" aca="1" ref="D18" ca="1">IF(OR(IF(OR(A18="", B18="", C18=""), "", INDIRECT("'" &amp; B18 &amp; "'!" &amp; C18))=0, IF(OR(A18="", B18="", C18=""), "", INDIRECT("'" &amp; B18 &amp; "'!" &amp; C18))=""),"",INDIRECT("'" &amp; B18 &amp; "'!" &amp; C18))</f>
        <v>355890.41095890413</v>
      </c>
      <c r="E18" s="8"/>
    </row>
    <row r="19" spans="1:5" ht="15" x14ac:dyDescent="0.2">
      <c r="A19" s="86" t="s">
        <v>289</v>
      </c>
      <c r="B19" s="87" t="s">
        <v>332</v>
      </c>
      <c r="C19" s="87" t="s">
        <v>339</v>
      </c>
      <c r="D19" s="101" cm="1">
        <f t="array" aca="1" ref="D19" ca="1">IF(OR(IF(OR(A19="", B19="", C19=""), "", INDIRECT("'" &amp; B19 &amp; "'!" &amp; C19))=0, IF(OR(A19="", B19="", C19=""), "", INDIRECT("'" &amp; B19 &amp; "'!" &amp; C19))=""),"",INDIRECT("'" &amp; B19 &amp; "'!" &amp; C19))</f>
        <v>1143472.7451096461</v>
      </c>
    </row>
    <row r="20" spans="1:5" ht="15" x14ac:dyDescent="0.2">
      <c r="A20" s="83" t="s">
        <v>374</v>
      </c>
      <c r="B20" s="84" t="s">
        <v>332</v>
      </c>
      <c r="C20" s="84" t="s">
        <v>340</v>
      </c>
      <c r="D20" s="102" cm="1">
        <f t="array" aca="1" ref="D20" ca="1">IF(OR(IF(OR(A20="", B20="", C20=""), "", INDIRECT("'" &amp; B20 &amp; "'!" &amp; C20))=0, IF(OR(A20="", B20="", C20=""), "", INDIRECT("'" &amp; B20 &amp; "'!" &amp; C20))=""),"",INDIRECT("'" &amp; B20 &amp; "'!" &amp; C20))</f>
        <v>1091912.9611206262</v>
      </c>
    </row>
    <row r="21" spans="1:5" ht="15" x14ac:dyDescent="0.2">
      <c r="A21" s="97" t="s">
        <v>355</v>
      </c>
      <c r="B21" s="98" t="s">
        <v>434</v>
      </c>
      <c r="C21" s="98" t="s">
        <v>353</v>
      </c>
      <c r="D21" s="101" cm="1">
        <f t="array" aca="1" ref="D21" ca="1">IF(OR(IF(OR(A21="", B21="", C21=""), "", INDIRECT("'" &amp; B21 &amp; "'!" &amp; C21))=0, IF(OR(A21="", B21="", C21=""), "", INDIRECT("'" &amp; B21 &amp; "'!" &amp; C21))=""),"",INDIRECT("'" &amp; B21 &amp; "'!" &amp; C21))</f>
        <v>141416</v>
      </c>
    </row>
    <row r="22" spans="1:5" ht="15" x14ac:dyDescent="0.2">
      <c r="A22" s="83" t="s">
        <v>356</v>
      </c>
      <c r="B22" s="84" t="s">
        <v>434</v>
      </c>
      <c r="C22" s="84" t="s">
        <v>354</v>
      </c>
      <c r="D22" s="105" cm="1">
        <f t="array" aca="1" ref="D22" ca="1">IF(OR(IF(OR(A22="", B22="", C22=""), "", INDIRECT("'" &amp; B22 &amp; "'!" &amp; C22))=0, IF(OR(A22="", B22="", C22=""), "", INDIRECT("'" &amp; B22 &amp; "'!" &amp; C22))=""),"",INDIRECT("'" &amp; B22 &amp; "'!" &amp; C22))</f>
        <v>3.56E-2</v>
      </c>
    </row>
    <row r="23" spans="1:5" ht="15" x14ac:dyDescent="0.2">
      <c r="A23" s="86" t="s">
        <v>290</v>
      </c>
      <c r="B23" s="87" t="s">
        <v>434</v>
      </c>
      <c r="C23" s="87" t="s">
        <v>338</v>
      </c>
      <c r="D23" s="101" cm="1">
        <f t="array" aca="1" ref="D23" ca="1">IF(OR(IF(OR(A23="", B23="", C23=""), "", INDIRECT("'" &amp; B23 &amp; "'!" &amp; C23))=0, IF(OR(A23="", B23="", C23=""), "", INDIRECT("'" &amp; B23 &amp; "'!" &amp; C23))=""),"",INDIRECT("'" &amp; B23 &amp; "'!" &amp; C23))</f>
        <v>671047.97808219178</v>
      </c>
    </row>
    <row r="24" spans="1:5" ht="15" x14ac:dyDescent="0.2">
      <c r="A24" s="83" t="s">
        <v>375</v>
      </c>
      <c r="B24" s="84" t="s">
        <v>434</v>
      </c>
      <c r="C24" s="84" t="s">
        <v>333</v>
      </c>
      <c r="D24" s="102" cm="1">
        <f t="array" aca="1" ref="D24" ca="1">IF(OR(IF(OR(A24="", B24="", C24=""), "", INDIRECT("'" &amp; B24 &amp; "'!" &amp; C24))=0, IF(OR(A24="", B24="", C24=""), "", INDIRECT("'" &amp; B24 &amp; "'!" &amp; C24))=""),"",INDIRECT("'" &amp; B24 &amp; "'!" &amp; C24))</f>
        <v>671047.97808219178</v>
      </c>
    </row>
    <row r="25" spans="1:5" ht="15" x14ac:dyDescent="0.2">
      <c r="A25" s="86" t="s">
        <v>291</v>
      </c>
      <c r="B25" s="87" t="s">
        <v>434</v>
      </c>
      <c r="C25" s="87" t="s">
        <v>339</v>
      </c>
      <c r="D25" s="101" cm="1">
        <f t="array" aca="1" ref="D25" ca="1">IF(OR(IF(OR(A25="", B25="", C25=""), "", INDIRECT("'" &amp; B25 &amp; "'!" &amp; C25))=0, IF(OR(A25="", B25="", C25=""), "", INDIRECT("'" &amp; B25 &amp; "'!" &amp; C25))=""),"",INDIRECT("'" &amp; B25 &amp; "'!" &amp; C25))</f>
        <v>2926750.9218469802</v>
      </c>
    </row>
    <row r="26" spans="1:5" ht="15" x14ac:dyDescent="0.2">
      <c r="A26" s="83" t="s">
        <v>376</v>
      </c>
      <c r="B26" s="84" t="s">
        <v>434</v>
      </c>
      <c r="C26" s="84" t="s">
        <v>340</v>
      </c>
      <c r="D26" s="102" cm="1">
        <f t="array" aca="1" ref="D26" ca="1">IF(OR(IF(OR(A26="", B26="", C26=""), "", INDIRECT("'" &amp; B26 &amp; "'!" &amp; C26))=0, IF(OR(A26="", B26="", C26=""), "", INDIRECT("'" &amp; B26 &amp; "'!" &amp; C26))=""),"",INDIRECT("'" &amp; B26 &amp; "'!" &amp; C26))</f>
        <v>2799954.5957609955</v>
      </c>
    </row>
    <row r="27" spans="1:5" ht="15" x14ac:dyDescent="0.2">
      <c r="A27" s="86" t="s">
        <v>292</v>
      </c>
      <c r="B27" s="87" t="s">
        <v>332</v>
      </c>
      <c r="C27" s="87" t="s">
        <v>345</v>
      </c>
      <c r="D27" s="101" cm="1">
        <f t="array" aca="1" ref="D27" ca="1">IF(OR(IF(OR(A27="", B27="", C27=""), "", INDIRECT("'" &amp; B27 &amp; "'!" &amp; C27))=0, IF(OR(A27="", B27="", C27=""), "", INDIRECT("'" &amp; B27 &amp; "'!" &amp; C27))=""),"",INDIRECT("'" &amp; B27 &amp; "'!" &amp; C27))</f>
        <v>1499363.1560685502</v>
      </c>
    </row>
    <row r="28" spans="1:5" ht="15" x14ac:dyDescent="0.2">
      <c r="A28" s="83" t="s">
        <v>377</v>
      </c>
      <c r="B28" s="84" t="s">
        <v>332</v>
      </c>
      <c r="C28" s="84" t="s">
        <v>346</v>
      </c>
      <c r="D28" s="102" cm="1">
        <f t="array" aca="1" ref="D28" ca="1">IF(OR(IF(OR(A28="", B28="", C28=""), "", INDIRECT("'" &amp; B28 &amp; "'!" &amp; C28))=0, IF(OR(A28="", B28="", C28=""), "", INDIRECT("'" &amp; B28 &amp; "'!" &amp; C28))=""),"",INDIRECT("'" &amp; B28 &amp; "'!" &amp; C28))</f>
        <v>1447803.3720795303</v>
      </c>
    </row>
    <row r="29" spans="1:5" ht="15" x14ac:dyDescent="0.2">
      <c r="A29" s="86" t="s">
        <v>293</v>
      </c>
      <c r="B29" s="87" t="s">
        <v>434</v>
      </c>
      <c r="C29" s="87" t="s">
        <v>345</v>
      </c>
      <c r="D29" s="101" cm="1">
        <f t="array" aca="1" ref="D29" ca="1">IF(OR(IF(OR(A29="", B29="", C29=""), "", INDIRECT("'" &amp; B29 &amp; "'!" &amp; C29))=0, IF(OR(A29="", B29="", C29=""), "", INDIRECT("'" &amp; B29 &amp; "'!" &amp; C29))=""),"",INDIRECT("'" &amp; B29 &amp; "'!" &amp; C29))</f>
        <v>3597798.8999291719</v>
      </c>
    </row>
    <row r="30" spans="1:5" ht="15" x14ac:dyDescent="0.2">
      <c r="A30" s="83" t="s">
        <v>378</v>
      </c>
      <c r="B30" s="84" t="s">
        <v>434</v>
      </c>
      <c r="C30" s="84" t="s">
        <v>346</v>
      </c>
      <c r="D30" s="102" cm="1">
        <f t="array" aca="1" ref="D30" ca="1">IF(OR(IF(OR(A30="", B30="", C30=""), "", INDIRECT("'" &amp; B30 &amp; "'!" &amp; C30))=0, IF(OR(A30="", B30="", C30=""), "", INDIRECT("'" &amp; B30 &amp; "'!" &amp; C30))=""),"",INDIRECT("'" &amp; B30 &amp; "'!" &amp; C30))</f>
        <v>3471002.5738431872</v>
      </c>
    </row>
    <row r="31" spans="1:5" ht="15" x14ac:dyDescent="0.2">
      <c r="A31" s="97" t="s">
        <v>357</v>
      </c>
      <c r="B31" s="98" t="s">
        <v>341</v>
      </c>
      <c r="C31" s="98" t="s">
        <v>353</v>
      </c>
      <c r="D31" s="101" cm="1">
        <f t="array" aca="1" ref="D31" ca="1">IF(OR(IF(OR(A31="", B31="", C31=""), "", INDIRECT("'" &amp; B31 &amp; "'!" &amp; C31))=0, IF(OR(A31="", B31="", C31=""), "", INDIRECT("'" &amp; B31 &amp; "'!" &amp; C31))=""),"",INDIRECT("'" &amp; B31 &amp; "'!" &amp; C31))</f>
        <v>141416</v>
      </c>
    </row>
    <row r="32" spans="1:5" ht="15" x14ac:dyDescent="0.2">
      <c r="A32" s="83" t="s">
        <v>358</v>
      </c>
      <c r="B32" s="84" t="s">
        <v>341</v>
      </c>
      <c r="C32" s="84" t="s">
        <v>354</v>
      </c>
      <c r="D32" s="105" cm="1">
        <f t="array" aca="1" ref="D32" ca="1">IF(OR(IF(OR(A32="", B32="", C32=""), "", INDIRECT("'" &amp; B32 &amp; "'!" &amp; C32))=0, IF(OR(A32="", B32="", C32=""), "", INDIRECT("'" &amp; B32 &amp; "'!" &amp; C32))=""),"",INDIRECT("'" &amp; B32 &amp; "'!" &amp; C32))</f>
        <v>3.1E-2</v>
      </c>
    </row>
    <row r="33" spans="1:4" ht="15" x14ac:dyDescent="0.2">
      <c r="A33" s="86" t="s">
        <v>299</v>
      </c>
      <c r="B33" s="87" t="s">
        <v>341</v>
      </c>
      <c r="C33" s="87" t="s">
        <v>338</v>
      </c>
      <c r="D33" s="101" cm="1">
        <f t="array" aca="1" ref="D33" ca="1">IF(OR(IF(OR(A33="", B33="", C33=""), "", INDIRECT("'" &amp; B33 &amp; "'!" &amp; C33))=0, IF(OR(A33="", B33="", C33=""), "", INDIRECT("'" &amp; B33 &amp; "'!" &amp; C33))=""),"",INDIRECT("'" &amp; B33 &amp; "'!" &amp; C33))</f>
        <v>671047.97808219178</v>
      </c>
    </row>
    <row r="34" spans="1:4" ht="15" x14ac:dyDescent="0.2">
      <c r="A34" s="83" t="s">
        <v>379</v>
      </c>
      <c r="B34" s="84" t="s">
        <v>341</v>
      </c>
      <c r="C34" s="84" t="s">
        <v>333</v>
      </c>
      <c r="D34" s="102" cm="1">
        <f t="array" aca="1" ref="D34" ca="1">IF(OR(IF(OR(A34="", B34="", C34=""), "", INDIRECT("'" &amp; B34 &amp; "'!" &amp; C34))=0, IF(OR(A34="", B34="", C34=""), "", INDIRECT("'" &amp; B34 &amp; "'!" &amp; C34))=""),"",INDIRECT("'" &amp; B34 &amp; "'!" &amp; C34))</f>
        <v>671047.97808219178</v>
      </c>
    </row>
    <row r="35" spans="1:4" ht="15" x14ac:dyDescent="0.2">
      <c r="A35" s="86" t="s">
        <v>294</v>
      </c>
      <c r="B35" s="87" t="s">
        <v>341</v>
      </c>
      <c r="C35" s="87" t="s">
        <v>339</v>
      </c>
      <c r="D35" s="101" cm="1">
        <f t="array" aca="1" ref="D35" ca="1">IF(OR(IF(OR(A35="", B35="", C35=""), "", INDIRECT("'" &amp; B35 &amp; "'!" &amp; C35))=0, IF(OR(A35="", B35="", C35=""), "", INDIRECT("'" &amp; B35 &amp; "'!" &amp; C35))=""),"",INDIRECT("'" &amp; B35 &amp; "'!" &amp; C35))</f>
        <v>2156071.2229656759</v>
      </c>
    </row>
    <row r="36" spans="1:4" ht="15" x14ac:dyDescent="0.2">
      <c r="A36" s="83" t="s">
        <v>380</v>
      </c>
      <c r="B36" s="84" t="s">
        <v>341</v>
      </c>
      <c r="C36" s="84" t="s">
        <v>340</v>
      </c>
      <c r="D36" s="102" cm="1">
        <f t="array" aca="1" ref="D36" ca="1">IF(OR(IF(OR(A36="", B36="", C36=""), "", INDIRECT("'" &amp; B36 &amp; "'!" &amp; C36))=0, IF(OR(A36="", B36="", C36=""), "", INDIRECT("'" &amp; B36 &amp; "'!" &amp; C36))=""),"",INDIRECT("'" &amp; B36 &amp; "'!" &amp; C36))</f>
        <v>2058852.8441311263</v>
      </c>
    </row>
    <row r="37" spans="1:4" ht="15" x14ac:dyDescent="0.2">
      <c r="A37" s="97" t="s">
        <v>359</v>
      </c>
      <c r="B37" s="98" t="s">
        <v>435</v>
      </c>
      <c r="C37" s="98" t="s">
        <v>353</v>
      </c>
      <c r="D37" s="101" cm="1">
        <f t="array" aca="1" ref="D37" ca="1">IF(OR(IF(OR(A37="", B37="", C37=""), "", INDIRECT("'" &amp; B37 &amp; "'!" &amp; C37))=0, IF(OR(A37="", B37="", C37=""), "", INDIRECT("'" &amp; B37 &amp; "'!" &amp; C37))=""),"",INDIRECT("'" &amp; B37 &amp; "'!" &amp; C37))</f>
        <v>250000</v>
      </c>
    </row>
    <row r="38" spans="1:4" ht="15" x14ac:dyDescent="0.2">
      <c r="A38" s="83" t="s">
        <v>360</v>
      </c>
      <c r="B38" s="84" t="s">
        <v>435</v>
      </c>
      <c r="C38" s="84" t="s">
        <v>354</v>
      </c>
      <c r="D38" s="105" cm="1">
        <f t="array" aca="1" ref="D38" ca="1">IF(OR(IF(OR(A38="", B38="", C38=""), "", INDIRECT("'" &amp; B38 &amp; "'!" &amp; C38))=0, IF(OR(A38="", B38="", C38=""), "", INDIRECT("'" &amp; B38 &amp; "'!" &amp; C38))=""),"",INDIRECT("'" &amp; B38 &amp; "'!" &amp; C38))</f>
        <v>3.1E-2</v>
      </c>
    </row>
    <row r="39" spans="1:4" ht="15" x14ac:dyDescent="0.2">
      <c r="A39" s="86" t="s">
        <v>295</v>
      </c>
      <c r="B39" s="87" t="s">
        <v>435</v>
      </c>
      <c r="C39" s="87" t="s">
        <v>338</v>
      </c>
      <c r="D39" s="101" cm="1">
        <f t="array" aca="1" ref="D39" ca="1">IF(OR(IF(OR(A39="", B39="", C39=""), "", INDIRECT("'" &amp; B39 &amp; "'!" &amp; C39))=0, IF(OR(A39="", B39="", C39=""), "", INDIRECT("'" &amp; B39 &amp; "'!" &amp; C39))=""),"",INDIRECT("'" &amp; B39 &amp; "'!" &amp; C39))</f>
        <v>1186301.3698630137</v>
      </c>
    </row>
    <row r="40" spans="1:4" ht="15" x14ac:dyDescent="0.2">
      <c r="A40" s="83" t="s">
        <v>381</v>
      </c>
      <c r="B40" s="84" t="s">
        <v>435</v>
      </c>
      <c r="C40" s="84" t="s">
        <v>333</v>
      </c>
      <c r="D40" s="102" cm="1">
        <f t="array" aca="1" ref="D40" ca="1">IF(OR(IF(OR(A40="", B40="", C40=""), "", INDIRECT("'" &amp; B40 &amp; "'!" &amp; C40))=0, IF(OR(A40="", B40="", C40=""), "", INDIRECT("'" &amp; B40 &amp; "'!" &amp; C40))=""),"",INDIRECT("'" &amp; B40 &amp; "'!" &amp; C40))</f>
        <v>1186301.3698630137</v>
      </c>
    </row>
    <row r="41" spans="1:4" ht="15" x14ac:dyDescent="0.2">
      <c r="A41" s="86" t="s">
        <v>296</v>
      </c>
      <c r="B41" s="87" t="s">
        <v>435</v>
      </c>
      <c r="C41" s="87" t="s">
        <v>339</v>
      </c>
      <c r="D41" s="101" cm="1">
        <f t="array" aca="1" ref="D41" ca="1">IF(OR(IF(OR(A41="", B41="", C41=""), "", INDIRECT("'" &amp; B41 &amp; "'!" &amp; C41))=0, IF(OR(A41="", B41="", C41=""), "", INDIRECT("'" &amp; B41 &amp; "'!" &amp; C41))=""),"",INDIRECT("'" &amp; B41 &amp; "'!" &amp; C41))</f>
        <v>4941984.4801672073</v>
      </c>
    </row>
    <row r="42" spans="1:4" ht="15" x14ac:dyDescent="0.2">
      <c r="A42" s="83" t="s">
        <v>382</v>
      </c>
      <c r="B42" s="84" t="s">
        <v>435</v>
      </c>
      <c r="C42" s="84" t="s">
        <v>340</v>
      </c>
      <c r="D42" s="102" cm="1">
        <f t="array" aca="1" ref="D42" ca="1">IF(OR(IF(OR(A42="", B42="", C42=""), "", INDIRECT("'" &amp; B42 &amp; "'!" &amp; C42))=0, IF(OR(A42="", B42="", C42=""), "", INDIRECT("'" &amp; B42 &amp; "'!" &amp; C42))=""),"",INDIRECT("'" &amp; B42 &amp; "'!" &amp; C42))</f>
        <v>4736924.6467422284</v>
      </c>
    </row>
    <row r="43" spans="1:4" ht="15" x14ac:dyDescent="0.2">
      <c r="A43" s="86" t="s">
        <v>297</v>
      </c>
      <c r="B43" s="87" t="s">
        <v>341</v>
      </c>
      <c r="C43" s="87" t="s">
        <v>345</v>
      </c>
      <c r="D43" s="101" cm="1">
        <f t="array" aca="1" ref="D43" ca="1">IF(OR(IF(OR(A43="", B43="", C43=""), "", INDIRECT("'" &amp; B43 &amp; "'!" &amp; C43))=0, IF(OR(A43="", B43="", C43=""), "", INDIRECT("'" &amp; B43 &amp; "'!" &amp; C43))=""),"",INDIRECT("'" &amp; B43 &amp; "'!" &amp; C43))</f>
        <v>2827119.2010478675</v>
      </c>
    </row>
    <row r="44" spans="1:4" ht="15" x14ac:dyDescent="0.2">
      <c r="A44" s="83" t="s">
        <v>383</v>
      </c>
      <c r="B44" s="84" t="s">
        <v>341</v>
      </c>
      <c r="C44" s="84" t="s">
        <v>346</v>
      </c>
      <c r="D44" s="102" cm="1">
        <f t="array" aca="1" ref="D44" ca="1">IF(OR(IF(OR(A44="", B44="", C44=""), "", INDIRECT("'" &amp; B44 &amp; "'!" &amp; C44))=0, IF(OR(A44="", B44="", C44=""), "", INDIRECT("'" &amp; B44 &amp; "'!" &amp; C44))=""),"",INDIRECT("'" &amp; B44 &amp; "'!" &amp; C44))</f>
        <v>2729900.8222133182</v>
      </c>
    </row>
    <row r="45" spans="1:4" ht="15" x14ac:dyDescent="0.2">
      <c r="A45" s="86" t="s">
        <v>298</v>
      </c>
      <c r="B45" s="87" t="s">
        <v>435</v>
      </c>
      <c r="C45" s="87" t="s">
        <v>345</v>
      </c>
      <c r="D45" s="101" cm="1">
        <f t="array" aca="1" ref="D45" ca="1">IF(OR(IF(OR(A45="", B45="", C45=""), "", INDIRECT("'" &amp; B45 &amp; "'!" &amp; C45))=0, IF(OR(A45="", B45="", C45=""), "", INDIRECT("'" &amp; B45 &amp; "'!" &amp; C45))=""),"",INDIRECT("'" &amp; B45 &amp; "'!" &amp; C45))</f>
        <v>6128285.850030221</v>
      </c>
    </row>
    <row r="46" spans="1:4" ht="15" x14ac:dyDescent="0.2">
      <c r="A46" s="83" t="s">
        <v>384</v>
      </c>
      <c r="B46" s="84" t="s">
        <v>435</v>
      </c>
      <c r="C46" s="84" t="s">
        <v>346</v>
      </c>
      <c r="D46" s="102" cm="1">
        <f t="array" aca="1" ref="D46" ca="1">IF(OR(IF(OR(A46="", B46="", C46=""), "", INDIRECT("'" &amp; B46 &amp; "'!" &amp; C46))=0, IF(OR(A46="", B46="", C46=""), "", INDIRECT("'" &amp; B46 &amp; "'!" &amp; C46))=""),"",INDIRECT("'" &amp; B46 &amp; "'!" &amp; C46))</f>
        <v>5923226.0166052422</v>
      </c>
    </row>
    <row r="47" spans="1:4" ht="15" x14ac:dyDescent="0.2">
      <c r="A47" s="97" t="s">
        <v>369</v>
      </c>
      <c r="B47" s="98" t="s">
        <v>342</v>
      </c>
      <c r="C47" s="98" t="s">
        <v>353</v>
      </c>
      <c r="D47" s="101" cm="1">
        <f t="array" aca="1" ref="D47" ca="1">IF(OR(IF(OR(A47="", B47="", C47=""), "", INDIRECT("'" &amp; B47 &amp; "'!" &amp; C47))=0, IF(OR(A47="", B47="", C47=""), "", INDIRECT("'" &amp; B47 &amp; "'!" &amp; C47))=""),"",INDIRECT("'" &amp; B47 &amp; "'!" &amp; C47))</f>
        <v>67888</v>
      </c>
    </row>
    <row r="48" spans="1:4" ht="15" x14ac:dyDescent="0.2">
      <c r="A48" s="83" t="s">
        <v>370</v>
      </c>
      <c r="B48" s="84" t="s">
        <v>342</v>
      </c>
      <c r="C48" s="84" t="s">
        <v>354</v>
      </c>
      <c r="D48" s="105" cm="1">
        <f t="array" aca="1" ref="D48" ca="1">IF(OR(IF(OR(A48="", B48="", C48=""), "", INDIRECT("'" &amp; B48 &amp; "'!" &amp; C48))=0, IF(OR(A48="", B48="", C48=""), "", INDIRECT("'" &amp; B48 &amp; "'!" &amp; C48))=""),"",INDIRECT("'" &amp; B48 &amp; "'!" &amp; C48))</f>
        <v>3.1E-2</v>
      </c>
    </row>
    <row r="49" spans="1:4" ht="15" x14ac:dyDescent="0.2">
      <c r="A49" s="86" t="s">
        <v>300</v>
      </c>
      <c r="B49" s="87" t="s">
        <v>342</v>
      </c>
      <c r="C49" s="87" t="s">
        <v>338</v>
      </c>
      <c r="D49" s="101" cm="1">
        <f t="array" aca="1" ref="D49" ca="1">IF(OR(IF(OR(A49="", B49="", C49=""), "", INDIRECT("'" &amp; B49 &amp; "'!" &amp; C49))=0, IF(OR(A49="", B49="", C49=""), "", INDIRECT("'" &amp; B49 &amp; "'!" &amp; C49))=""),"",INDIRECT("'" &amp; B49 &amp; "'!" &amp; C49))</f>
        <v>322142.50958904106</v>
      </c>
    </row>
    <row r="50" spans="1:4" ht="15" x14ac:dyDescent="0.2">
      <c r="A50" s="83" t="s">
        <v>385</v>
      </c>
      <c r="B50" s="84" t="s">
        <v>342</v>
      </c>
      <c r="C50" s="84" t="s">
        <v>333</v>
      </c>
      <c r="D50" s="102" cm="1">
        <f t="array" aca="1" ref="D50" ca="1">IF(OR(IF(OR(A50="", B50="", C50=""), "", INDIRECT("'" &amp; B50 &amp; "'!" &amp; C50))=0, IF(OR(A50="", B50="", C50=""), "", INDIRECT("'" &amp; B50 &amp; "'!" &amp; C50))=""),"",INDIRECT("'" &amp; B50 &amp; "'!" &amp; C50))</f>
        <v>322142.50958904106</v>
      </c>
    </row>
    <row r="51" spans="1:4" ht="15" x14ac:dyDescent="0.2">
      <c r="A51" s="86" t="s">
        <v>301</v>
      </c>
      <c r="B51" s="87" t="s">
        <v>342</v>
      </c>
      <c r="C51" s="87" t="s">
        <v>339</v>
      </c>
      <c r="D51" s="101" cm="1">
        <f t="array" aca="1" ref="D51" ca="1">IF(OR(IF(OR(A51="", B51="", C51=""), "", INDIRECT("'" &amp; B51 &amp; "'!" &amp; C51))=0, IF(OR(A51="", B51="", C51=""), "", INDIRECT("'" &amp; B51 &amp; "'!" &amp; C51))=""),"",INDIRECT("'" &amp; B51 &amp; "'!" &amp; C51))</f>
        <v>1331249.6951719781</v>
      </c>
    </row>
    <row r="52" spans="1:4" ht="15" x14ac:dyDescent="0.2">
      <c r="A52" s="83" t="s">
        <v>386</v>
      </c>
      <c r="B52" s="84" t="s">
        <v>342</v>
      </c>
      <c r="C52" s="84" t="s">
        <v>340</v>
      </c>
      <c r="D52" s="102" cm="1">
        <f t="array" aca="1" ref="D52" ca="1">IF(OR(IF(OR(A52="", B52="", C52=""), "", INDIRECT("'" &amp; B52 &amp; "'!" &amp; C52))=0, IF(OR(A52="", B52="", C52=""), "", INDIRECT("'" &amp; B52 &amp; "'!" &amp; C52))=""),"",INDIRECT("'" &amp; B52 &amp; "'!" &amp; C52))</f>
        <v>1257537.7802940556</v>
      </c>
    </row>
    <row r="53" spans="1:4" ht="15" x14ac:dyDescent="0.2">
      <c r="A53" s="97" t="s">
        <v>361</v>
      </c>
      <c r="B53" s="98" t="s">
        <v>436</v>
      </c>
      <c r="C53" s="98" t="s">
        <v>353</v>
      </c>
      <c r="D53" s="101" cm="1">
        <f t="array" aca="1" ref="D53" ca="1">IF(OR(IF(OR(A53="", B53="", C53=""), "", INDIRECT("'" &amp; B53 &amp; "'!" &amp; C53))=0, IF(OR(A53="", B53="", C53=""), "", INDIRECT("'" &amp; B53 &amp; "'!" &amp; C53))=""),"",INDIRECT("'" &amp; B53 &amp; "'!" &amp; C53))</f>
        <v>67453</v>
      </c>
    </row>
    <row r="54" spans="1:4" ht="15" x14ac:dyDescent="0.2">
      <c r="A54" s="83" t="s">
        <v>362</v>
      </c>
      <c r="B54" s="84" t="s">
        <v>436</v>
      </c>
      <c r="C54" s="84" t="s">
        <v>354</v>
      </c>
      <c r="D54" s="105" cm="1">
        <f t="array" aca="1" ref="D54" ca="1">IF(OR(IF(OR(A54="", B54="", C54=""), "", INDIRECT("'" &amp; B54 &amp; "'!" &amp; C54))=0, IF(OR(A54="", B54="", C54=""), "", INDIRECT("'" &amp; B54 &amp; "'!" &amp; C54))=""),"",INDIRECT("'" &amp; B54 &amp; "'!" &amp; C54))</f>
        <v>3.1E-2</v>
      </c>
    </row>
    <row r="55" spans="1:4" ht="15" x14ac:dyDescent="0.2">
      <c r="A55" s="86" t="s">
        <v>302</v>
      </c>
      <c r="B55" s="87" t="s">
        <v>436</v>
      </c>
      <c r="C55" s="87" t="s">
        <v>338</v>
      </c>
      <c r="D55" s="101" cm="1">
        <f t="array" aca="1" ref="D55" ca="1">IF(OR(IF(OR(A55="", B55="", C55=""), "", INDIRECT("'" &amp; B55 &amp; "'!" &amp; C55))=0, IF(OR(A55="", B55="", C55=""), "", INDIRECT("'" &amp; B55 &amp; "'!" &amp; C55))=""),"",INDIRECT("'" &amp; B55 &amp; "'!" &amp; C55))</f>
        <v>320078.34520547948</v>
      </c>
    </row>
    <row r="56" spans="1:4" ht="15" x14ac:dyDescent="0.2">
      <c r="A56" s="83" t="s">
        <v>387</v>
      </c>
      <c r="B56" s="84" t="s">
        <v>436</v>
      </c>
      <c r="C56" s="84" t="s">
        <v>333</v>
      </c>
      <c r="D56" s="102" cm="1">
        <f t="array" aca="1" ref="D56" ca="1">IF(OR(IF(OR(A56="", B56="", C56=""), "", INDIRECT("'" &amp; B56 &amp; "'!" &amp; C56))=0, IF(OR(A56="", B56="", C56=""), "", INDIRECT("'" &amp; B56 &amp; "'!" &amp; C56))=""),"",INDIRECT("'" &amp; B56 &amp; "'!" &amp; C56))</f>
        <v>320078.34520547948</v>
      </c>
    </row>
    <row r="57" spans="1:4" ht="15" x14ac:dyDescent="0.2">
      <c r="A57" s="86" t="s">
        <v>303</v>
      </c>
      <c r="B57" s="87" t="s">
        <v>436</v>
      </c>
      <c r="C57" s="87" t="s">
        <v>339</v>
      </c>
      <c r="D57" s="101" cm="1">
        <f t="array" aca="1" ref="D57" ca="1">IF(OR(IF(OR(A57="", B57="", C57=""), "", INDIRECT("'" &amp; B57 &amp; "'!" &amp; C57))=0, IF(OR(A57="", B57="", C57=""), "", INDIRECT("'" &amp; B57 &amp; "'!" &amp; C57))=""),"",INDIRECT("'" &amp; B57 &amp; "'!" &amp; C57))</f>
        <v>1849035.0947061116</v>
      </c>
    </row>
    <row r="58" spans="1:4" ht="15" x14ac:dyDescent="0.2">
      <c r="A58" s="83" t="s">
        <v>388</v>
      </c>
      <c r="B58" s="84" t="s">
        <v>436</v>
      </c>
      <c r="C58" s="84" t="s">
        <v>340</v>
      </c>
      <c r="D58" s="102" cm="1">
        <f t="array" aca="1" ref="D58" ca="1">IF(OR(IF(OR(A58="", B58="", C58=""), "", INDIRECT("'" &amp; B58 &amp; "'!" &amp; C58))=0, IF(OR(A58="", B58="", C58=""), "", INDIRECT("'" &amp; B58 &amp; "'!" &amp; C58))=""),"",INDIRECT("'" &amp; B58 &amp; "'!" &amp; C58))</f>
        <v>1747650.3126170188</v>
      </c>
    </row>
    <row r="59" spans="1:4" ht="15" x14ac:dyDescent="0.2">
      <c r="A59" s="86" t="s">
        <v>304</v>
      </c>
      <c r="B59" s="87" t="s">
        <v>342</v>
      </c>
      <c r="C59" s="87" t="s">
        <v>345</v>
      </c>
      <c r="D59" s="101" cm="1">
        <f t="array" aca="1" ref="D59" ca="1">IF(OR(IF(OR(A59="", B59="", C59=""), "", INDIRECT("'" &amp; B59 &amp; "'!" &amp; C59))=0, IF(OR(A59="", B59="", C59=""), "", INDIRECT("'" &amp; B59 &amp; "'!" &amp; C59))=""),"",INDIRECT("'" &amp; B59 &amp; "'!" &amp; C59))</f>
        <v>1653392.2047610192</v>
      </c>
    </row>
    <row r="60" spans="1:4" ht="15" x14ac:dyDescent="0.2">
      <c r="A60" s="83" t="s">
        <v>389</v>
      </c>
      <c r="B60" s="84" t="s">
        <v>342</v>
      </c>
      <c r="C60" s="84" t="s">
        <v>346</v>
      </c>
      <c r="D60" s="102" cm="1">
        <f t="array" aca="1" ref="D60" ca="1">IF(OR(IF(OR(A60="", B60="", C60=""), "", INDIRECT("'" &amp; B60 &amp; "'!" &amp; C60))=0, IF(OR(A60="", B60="", C60=""), "", INDIRECT("'" &amp; B60 &amp; "'!" &amp; C60))=""),"",INDIRECT("'" &amp; B60 &amp; "'!" &amp; C60))</f>
        <v>1579680.2898830967</v>
      </c>
    </row>
    <row r="61" spans="1:4" ht="15" x14ac:dyDescent="0.2">
      <c r="A61" s="86" t="s">
        <v>305</v>
      </c>
      <c r="B61" s="87" t="s">
        <v>436</v>
      </c>
      <c r="C61" s="87" t="s">
        <v>345</v>
      </c>
      <c r="D61" s="101" cm="1">
        <f t="array" aca="1" ref="D61" ca="1">IF(OR(IF(OR(A61="", B61="", C61=""), "", INDIRECT("'" &amp; B61 &amp; "'!" &amp; C61))=0, IF(OR(A61="", B61="", C61=""), "", INDIRECT("'" &amp; B61 &amp; "'!" &amp; C61))=""),"",INDIRECT("'" &amp; B61 &amp; "'!" &amp; C61))</f>
        <v>2169113.4399115909</v>
      </c>
    </row>
    <row r="62" spans="1:4" ht="15" x14ac:dyDescent="0.2">
      <c r="A62" s="83" t="s">
        <v>390</v>
      </c>
      <c r="B62" s="84" t="s">
        <v>436</v>
      </c>
      <c r="C62" s="84" t="s">
        <v>346</v>
      </c>
      <c r="D62" s="102" cm="1">
        <f t="array" aca="1" ref="D62" ca="1">IF(OR(IF(OR(A62="", B62="", C62=""), "", INDIRECT("'" &amp; B62 &amp; "'!" &amp; C62))=0, IF(OR(A62="", B62="", C62=""), "", INDIRECT("'" &amp; B62 &amp; "'!" &amp; C62))=""),"",INDIRECT("'" &amp; B62 &amp; "'!" &amp; C62))</f>
        <v>2067728.6578224984</v>
      </c>
    </row>
    <row r="63" spans="1:4" ht="15" x14ac:dyDescent="0.2">
      <c r="A63" s="97" t="s">
        <v>371</v>
      </c>
      <c r="B63" s="98" t="s">
        <v>343</v>
      </c>
      <c r="C63" s="98" t="s">
        <v>353</v>
      </c>
      <c r="D63" s="101" cm="1">
        <f t="array" aca="1" ref="D63" ca="1">IF(OR(IF(OR(A63="", B63="", C63=""), "", INDIRECT("'" &amp; B63 &amp; "'!" &amp; C63))=0, IF(OR(A63="", B63="", C63=""), "", INDIRECT("'" &amp; B63 &amp; "'!" &amp; C63))=""),"",INDIRECT("'" &amp; B63 &amp; "'!" &amp; C63))</f>
        <v>78999</v>
      </c>
    </row>
    <row r="64" spans="1:4" ht="15" x14ac:dyDescent="0.2">
      <c r="A64" s="83" t="s">
        <v>372</v>
      </c>
      <c r="B64" s="84" t="s">
        <v>343</v>
      </c>
      <c r="C64" s="84" t="s">
        <v>354</v>
      </c>
      <c r="D64" s="105" cm="1">
        <f t="array" aca="1" ref="D64" ca="1">IF(OR(IF(OR(A64="", B64="", C64=""), "", INDIRECT("'" &amp; B64 &amp; "'!" &amp; C64))=0, IF(OR(A64="", B64="", C64=""), "", INDIRECT("'" &amp; B64 &amp; "'!" &amp; C64))=""),"",INDIRECT("'" &amp; B64 &amp; "'!" &amp; C64))</f>
        <v>3.1E-2</v>
      </c>
    </row>
    <row r="65" spans="1:4" ht="15" x14ac:dyDescent="0.2">
      <c r="A65" s="86" t="s">
        <v>306</v>
      </c>
      <c r="B65" s="87" t="s">
        <v>343</v>
      </c>
      <c r="C65" s="87" t="s">
        <v>338</v>
      </c>
      <c r="D65" s="101" cm="1">
        <f t="array" aca="1" ref="D65" ca="1">IF(OR(IF(OR(A65="", B65="", C65=""), "", INDIRECT("'" &amp; B65 &amp; "'!" &amp; C65))=0, IF(OR(A65="", B65="", C65=""), "", INDIRECT("'" &amp; B65 &amp; "'!" &amp; C65))=""),"",INDIRECT("'" &amp; B65 &amp; "'!" &amp; C65))</f>
        <v>374866.48767123284</v>
      </c>
    </row>
    <row r="66" spans="1:4" ht="15" x14ac:dyDescent="0.2">
      <c r="A66" s="83" t="s">
        <v>391</v>
      </c>
      <c r="B66" s="84" t="s">
        <v>343</v>
      </c>
      <c r="C66" s="84" t="s">
        <v>333</v>
      </c>
      <c r="D66" s="102" cm="1">
        <f t="array" aca="1" ref="D66" ca="1">IF(OR(IF(OR(A66="", B66="", C66=""), "", INDIRECT("'" &amp; B66 &amp; "'!" &amp; C66))=0, IF(OR(A66="", B66="", C66=""), "", INDIRECT("'" &amp; B66 &amp; "'!" &amp; C66))=""),"",INDIRECT("'" &amp; B66 &amp; "'!" &amp; C66))</f>
        <v>374866.48767123284</v>
      </c>
    </row>
    <row r="67" spans="1:4" ht="15" x14ac:dyDescent="0.2">
      <c r="A67" s="86" t="s">
        <v>307</v>
      </c>
      <c r="B67" s="87" t="s">
        <v>343</v>
      </c>
      <c r="C67" s="87" t="s">
        <v>339</v>
      </c>
      <c r="D67" s="101" cm="1">
        <f t="array" aca="1" ref="D67" ca="1">IF(OR(IF(OR(A67="", B67="", C67=""), "", INDIRECT("'" &amp; B67 &amp; "'!" &amp; C67))=0, IF(OR(A67="", B67="", C67=""), "", INDIRECT("'" &amp; B67 &amp; "'!" &amp; C67))=""),"",INDIRECT("'" &amp; B67 &amp; "'!" &amp; C67))</f>
        <v>1549130.8429897935</v>
      </c>
    </row>
    <row r="68" spans="1:4" ht="15" x14ac:dyDescent="0.2">
      <c r="A68" s="83" t="s">
        <v>392</v>
      </c>
      <c r="B68" s="84" t="s">
        <v>343</v>
      </c>
      <c r="C68" s="84" t="s">
        <v>340</v>
      </c>
      <c r="D68" s="102" cm="1">
        <f t="array" aca="1" ref="D68" ca="1">IF(OR(IF(OR(A68="", B68="", C68=""), "", INDIRECT("'" &amp; B68 &amp; "'!" &amp; C68))=0, IF(OR(A68="", B68="", C68=""), "", INDIRECT("'" &amp; B68 &amp; "'!" &amp; C68))=""),"",INDIRECT("'" &amp; B68 &amp; "'!" &amp; C68))</f>
        <v>1463354.7476056165</v>
      </c>
    </row>
    <row r="69" spans="1:4" ht="15" x14ac:dyDescent="0.2">
      <c r="A69" s="97" t="s">
        <v>363</v>
      </c>
      <c r="B69" s="98" t="s">
        <v>437</v>
      </c>
      <c r="C69" s="98" t="s">
        <v>353</v>
      </c>
      <c r="D69" s="101" cm="1">
        <f t="array" aca="1" ref="D69" ca="1">IF(OR(IF(OR(A69="", B69="", C69=""), "", INDIRECT("'" &amp; B69 &amp; "'!" &amp; C69))=0, IF(OR(A69="", B69="", C69=""), "", INDIRECT("'" &amp; B69 &amp; "'!" &amp; C69))=""),"",INDIRECT("'" &amp; B69 &amp; "'!" &amp; C69))</f>
        <v>65777</v>
      </c>
    </row>
    <row r="70" spans="1:4" ht="15" x14ac:dyDescent="0.2">
      <c r="A70" s="83" t="s">
        <v>364</v>
      </c>
      <c r="B70" s="84" t="s">
        <v>437</v>
      </c>
      <c r="C70" s="84" t="s">
        <v>354</v>
      </c>
      <c r="D70" s="105" cm="1">
        <f t="array" aca="1" ref="D70" ca="1">IF(OR(IF(OR(A70="", B70="", C70=""), "", INDIRECT("'" &amp; B70 &amp; "'!" &amp; C70))=0, IF(OR(A70="", B70="", C70=""), "", INDIRECT("'" &amp; B70 &amp; "'!" &amp; C70))=""),"",INDIRECT("'" &amp; B70 &amp; "'!" &amp; C70))</f>
        <v>3.1E-2</v>
      </c>
    </row>
    <row r="71" spans="1:4" ht="15" x14ac:dyDescent="0.2">
      <c r="A71" s="86" t="s">
        <v>308</v>
      </c>
      <c r="B71" s="87" t="s">
        <v>437</v>
      </c>
      <c r="C71" s="87" t="s">
        <v>338</v>
      </c>
      <c r="D71" s="101" cm="1">
        <f t="array" aca="1" ref="D71" ca="1">IF(OR(IF(OR(A71="", B71="", C71=""), "", INDIRECT("'" &amp; B71 &amp; "'!" &amp; C71))=0, IF(OR(A71="", B71="", C71=""), "", INDIRECT("'" &amp; B71 &amp; "'!" &amp; C71))=""),"",INDIRECT("'" &amp; B71 &amp; "'!" &amp; C71))</f>
        <v>312125.38082191779</v>
      </c>
    </row>
    <row r="72" spans="1:4" ht="15" x14ac:dyDescent="0.2">
      <c r="A72" s="83" t="s">
        <v>393</v>
      </c>
      <c r="B72" s="84" t="s">
        <v>437</v>
      </c>
      <c r="C72" s="84" t="s">
        <v>333</v>
      </c>
      <c r="D72" s="102" cm="1">
        <f t="array" aca="1" ref="D72" ca="1">IF(OR(IF(OR(A72="", B72="", C72=""), "", INDIRECT("'" &amp; B72 &amp; "'!" &amp; C72))=0, IF(OR(A72="", B72="", C72=""), "", INDIRECT("'" &amp; B72 &amp; "'!" &amp; C72))=""),"",INDIRECT("'" &amp; B72 &amp; "'!" &amp; C72))</f>
        <v>312125.38082191779</v>
      </c>
    </row>
    <row r="73" spans="1:4" ht="15" x14ac:dyDescent="0.2">
      <c r="A73" s="86" t="s">
        <v>309</v>
      </c>
      <c r="B73" s="87" t="s">
        <v>437</v>
      </c>
      <c r="C73" s="87" t="s">
        <v>339</v>
      </c>
      <c r="D73" s="101" cm="1">
        <f t="array" aca="1" ref="D73" ca="1">IF(OR(IF(OR(A73="", B73="", C73=""), "", INDIRECT("'" &amp; B73 &amp; "'!" &amp; C73))=0, IF(OR(A73="", B73="", C73=""), "", INDIRECT("'" &amp; B73 &amp; "'!" &amp; C73))=""),"",INDIRECT("'" &amp; B73 &amp; "'!" &amp; C73))</f>
        <v>1803092.2482985768</v>
      </c>
    </row>
    <row r="74" spans="1:4" ht="15" x14ac:dyDescent="0.2">
      <c r="A74" s="83" t="s">
        <v>394</v>
      </c>
      <c r="B74" s="84" t="s">
        <v>437</v>
      </c>
      <c r="C74" s="84" t="s">
        <v>340</v>
      </c>
      <c r="D74" s="102" cm="1">
        <f t="array" aca="1" ref="D74" ca="1">IF(OR(IF(OR(A74="", B74="", C74=""), "", INDIRECT("'" &amp; B74 &amp; "'!" &amp; C74))=0, IF(OR(A74="", B74="", C74=""), "", INDIRECT("'" &amp; B74 &amp; "'!" &amp; C74))=""),"",INDIRECT("'" &amp; B74 &amp; "'!" &amp; C74))</f>
        <v>1704226.5668392754</v>
      </c>
    </row>
    <row r="75" spans="1:4" ht="15" x14ac:dyDescent="0.2">
      <c r="A75" s="86" t="s">
        <v>310</v>
      </c>
      <c r="B75" s="87" t="s">
        <v>343</v>
      </c>
      <c r="C75" s="87" t="s">
        <v>345</v>
      </c>
      <c r="D75" s="101" cm="1">
        <f t="array" aca="1" ref="D75" ca="1">IF(OR(IF(OR(A75="", B75="", C75=""), "", INDIRECT("'" &amp; B75 &amp; "'!" &amp; C75))=0, IF(OR(A75="", B75="", C75=""), "", INDIRECT("'" &amp; B75 &amp; "'!" &amp; C75))=""),"",INDIRECT("'" &amp; B75 &amp; "'!" &amp; C75))</f>
        <v>1923997.3306610263</v>
      </c>
    </row>
    <row r="76" spans="1:4" ht="15" x14ac:dyDescent="0.2">
      <c r="A76" s="94" t="s">
        <v>395</v>
      </c>
      <c r="B76" s="84" t="s">
        <v>343</v>
      </c>
      <c r="C76" s="88" t="s">
        <v>346</v>
      </c>
      <c r="D76" s="102" cm="1">
        <f t="array" aca="1" ref="D76" ca="1">IF(OR(IF(OR(A76="", B76="", C76=""), "", INDIRECT("'" &amp; B76 &amp; "'!" &amp; C76))=0, IF(OR(A76="", B76="", C76=""), "", INDIRECT("'" &amp; B76 &amp; "'!" &amp; C76))=""),"",INDIRECT("'" &amp; B76 &amp; "'!" &amp; C76))</f>
        <v>1838221.2352768492</v>
      </c>
    </row>
    <row r="77" spans="1:4" ht="15" x14ac:dyDescent="0.2">
      <c r="A77" s="95" t="s">
        <v>311</v>
      </c>
      <c r="B77" s="87" t="s">
        <v>437</v>
      </c>
      <c r="C77" s="89" t="s">
        <v>345</v>
      </c>
      <c r="D77" s="101" cm="1">
        <f t="array" aca="1" ref="D77" ca="1">IF(OR(IF(OR(A77="", B77="", C77=""), "", INDIRECT("'" &amp; B77 &amp; "'!" &amp; C77))=0, IF(OR(A77="", B77="", C77=""), "", INDIRECT("'" &amp; B77 &amp; "'!" &amp; C77))=""),"",INDIRECT("'" &amp; B77 &amp; "'!" &amp; C77))</f>
        <v>2115217.6291204947</v>
      </c>
    </row>
    <row r="78" spans="1:4" ht="15" x14ac:dyDescent="0.2">
      <c r="A78" s="94" t="s">
        <v>396</v>
      </c>
      <c r="B78" s="84" t="s">
        <v>437</v>
      </c>
      <c r="C78" s="88" t="s">
        <v>346</v>
      </c>
      <c r="D78" s="102" cm="1">
        <f t="array" aca="1" ref="D78" ca="1">IF(OR(IF(OR(A78="", B78="", C78=""), "", INDIRECT("'" &amp; B78 &amp; "'!" &amp; C78))=0, IF(OR(A78="", B78="", C78=""), "", INDIRECT("'" &amp; B78 &amp; "'!" &amp; C78))=""),"",INDIRECT("'" &amp; B78 &amp; "'!" &amp; C78))</f>
        <v>2016351.9476611931</v>
      </c>
    </row>
    <row r="79" spans="1:4" ht="15" x14ac:dyDescent="0.2">
      <c r="A79" s="97" t="s">
        <v>365</v>
      </c>
      <c r="B79" s="98" t="s">
        <v>344</v>
      </c>
      <c r="C79" s="98" t="s">
        <v>353</v>
      </c>
      <c r="D79" s="101" cm="1">
        <f t="array" aca="1" ref="D79" ca="1">IF(OR(IF(OR(A79="", B79="", C79=""), "", INDIRECT("'" &amp; B79 &amp; "'!" &amp; C79))=0, IF(OR(A79="", B79="", C79=""), "", INDIRECT("'" &amp; B79 &amp; "'!" &amp; C79))=""),"",INDIRECT("'" &amp; B79 &amp; "'!" &amp; C79))</f>
        <v>87666</v>
      </c>
    </row>
    <row r="80" spans="1:4" ht="15" x14ac:dyDescent="0.2">
      <c r="A80" s="83" t="s">
        <v>366</v>
      </c>
      <c r="B80" s="84" t="s">
        <v>344</v>
      </c>
      <c r="C80" s="84" t="s">
        <v>354</v>
      </c>
      <c r="D80" s="105" cm="1">
        <f t="array" aca="1" ref="D80" ca="1">IF(OR(IF(OR(A80="", B80="", C80=""), "", INDIRECT("'" &amp; B80 &amp; "'!" &amp; C80))=0, IF(OR(A80="", B80="", C80=""), "", INDIRECT("'" &amp; B80 &amp; "'!" &amp; C80))=""),"",INDIRECT("'" &amp; B80 &amp; "'!" &amp; C80))</f>
        <v>3.1E-2</v>
      </c>
    </row>
    <row r="81" spans="1:4" ht="15" x14ac:dyDescent="0.2">
      <c r="A81" s="86" t="s">
        <v>312</v>
      </c>
      <c r="B81" s="89" t="s">
        <v>344</v>
      </c>
      <c r="C81" s="89" t="s">
        <v>338</v>
      </c>
      <c r="D81" s="101" cm="1">
        <f t="array" aca="1" ref="D81" ca="1">IF(OR(IF(OR(A81="", B81="", C81=""), "", INDIRECT("'" &amp; B81 &amp; "'!" &amp; C81))=0, IF(OR(A81="", B81="", C81=""), "", INDIRECT("'" &amp; B81 &amp; "'!" &amp; C81))=""),"",INDIRECT("'" &amp; B81 &amp; "'!" &amp; C81))</f>
        <v>415993.18356164382</v>
      </c>
    </row>
    <row r="82" spans="1:4" ht="15" x14ac:dyDescent="0.2">
      <c r="A82" s="83" t="s">
        <v>397</v>
      </c>
      <c r="B82" s="88" t="s">
        <v>344</v>
      </c>
      <c r="C82" s="88" t="s">
        <v>333</v>
      </c>
      <c r="D82" s="102" cm="1">
        <f t="array" aca="1" ref="D82" ca="1">IF(OR(IF(OR(A82="", B82="", C82=""), "", INDIRECT("'" &amp; B82 &amp; "'!" &amp; C82))=0, IF(OR(A82="", B82="", C82=""), "", INDIRECT("'" &amp; B82 &amp; "'!" &amp; C82))=""),"",INDIRECT("'" &amp; B82 &amp; "'!" &amp; C82))</f>
        <v>415993.18356164382</v>
      </c>
    </row>
    <row r="83" spans="1:4" ht="15" x14ac:dyDescent="0.2">
      <c r="A83" s="86" t="s">
        <v>313</v>
      </c>
      <c r="B83" s="89" t="s">
        <v>344</v>
      </c>
      <c r="C83" s="89" t="s">
        <v>339</v>
      </c>
      <c r="D83" s="101" cm="1">
        <f t="array" aca="1" ref="D83" ca="1">IF(OR(IF(OR(A83="", B83="", C83=""), "", INDIRECT("'" &amp; B83 &amp; "'!" &amp; C83))=0, IF(OR(A83="", B83="", C83=""), "", INDIRECT("'" &amp; B83 &amp; "'!" &amp; C83))=""),"",INDIRECT("'" &amp; B83 &amp; "'!" &amp; C83))</f>
        <v>1719086.3742774371</v>
      </c>
    </row>
    <row r="84" spans="1:4" ht="15" x14ac:dyDescent="0.2">
      <c r="A84" s="83" t="s">
        <v>398</v>
      </c>
      <c r="B84" s="88" t="s">
        <v>344</v>
      </c>
      <c r="C84" s="88" t="s">
        <v>340</v>
      </c>
      <c r="D84" s="102" cm="1">
        <f t="array" aca="1" ref="D84" ca="1">IF(OR(IF(OR(A84="", B84="", C84=""), "", INDIRECT("'" &amp; B84 &amp; "'!" &amp; C84))=0, IF(OR(A84="", B84="", C84=""), "", INDIRECT("'" &amp; B84 &amp; "'!" &amp; C84))=""),"",INDIRECT("'" &amp; B84 &amp; "'!" &amp; C84))</f>
        <v>1623899.7620677983</v>
      </c>
    </row>
    <row r="85" spans="1:4" ht="15" x14ac:dyDescent="0.2">
      <c r="A85" s="97" t="s">
        <v>367</v>
      </c>
      <c r="B85" s="98" t="s">
        <v>438</v>
      </c>
      <c r="C85" s="98" t="s">
        <v>353</v>
      </c>
      <c r="D85" s="101" cm="1">
        <f t="array" aca="1" ref="D85" ca="1">IF(OR(IF(OR(A85="", B85="", C85=""), "", INDIRECT("'" &amp; B85 &amp; "'!" &amp; C85))=0, IF(OR(A85="", B85="", C85=""), "", INDIRECT("'" &amp; B85 &amp; "'!" &amp; C85))=""),"",INDIRECT("'" &amp; B85 &amp; "'!" &amp; C85))</f>
        <v>32000</v>
      </c>
    </row>
    <row r="86" spans="1:4" ht="15" x14ac:dyDescent="0.2">
      <c r="A86" s="83" t="s">
        <v>368</v>
      </c>
      <c r="B86" s="84" t="s">
        <v>438</v>
      </c>
      <c r="C86" s="84" t="s">
        <v>354</v>
      </c>
      <c r="D86" s="105" cm="1">
        <f t="array" aca="1" ref="D86" ca="1">IF(OR(IF(OR(A86="", B86="", C86=""), "", INDIRECT("'" &amp; B86 &amp; "'!" &amp; C86))=0, IF(OR(A86="", B86="", C86=""), "", INDIRECT("'" &amp; B86 &amp; "'!" &amp; C86))=""),"",INDIRECT("'" &amp; B86 &amp; "'!" &amp; C86))</f>
        <v>3.1E-2</v>
      </c>
    </row>
    <row r="87" spans="1:4" ht="15" x14ac:dyDescent="0.2">
      <c r="A87" s="86" t="s">
        <v>314</v>
      </c>
      <c r="B87" s="89" t="s">
        <v>438</v>
      </c>
      <c r="C87" s="89" t="s">
        <v>338</v>
      </c>
      <c r="D87" s="101" cm="1">
        <f t="array" aca="1" ref="D87" ca="1">IF(OR(IF(OR(A87="", B87="", C87=""), "", INDIRECT("'" &amp; B87 &amp; "'!" &amp; C87))=0, IF(OR(A87="", B87="", C87=""), "", INDIRECT("'" &amp; B87 &amp; "'!" &amp; C87))=""),"",INDIRECT("'" &amp; B87 &amp; "'!" &amp; C87))</f>
        <v>151846.57534246575</v>
      </c>
    </row>
    <row r="88" spans="1:4" ht="15" x14ac:dyDescent="0.2">
      <c r="A88" s="83" t="s">
        <v>399</v>
      </c>
      <c r="B88" s="88" t="s">
        <v>438</v>
      </c>
      <c r="C88" s="88" t="s">
        <v>333</v>
      </c>
      <c r="D88" s="102" cm="1">
        <f t="array" aca="1" ref="D88" ca="1">IF(OR(IF(OR(A88="", B88="", C88=""), "", INDIRECT("'" &amp; B88 &amp; "'!" &amp; C88))=0, IF(OR(A88="", B88="", C88=""), "", INDIRECT("'" &amp; B88 &amp; "'!" &amp; C88))=""),"",INDIRECT("'" &amp; B88 &amp; "'!" &amp; C88))</f>
        <v>98700.27397260275</v>
      </c>
    </row>
    <row r="89" spans="1:4" ht="15" x14ac:dyDescent="0.2">
      <c r="A89" s="86" t="s">
        <v>315</v>
      </c>
      <c r="B89" s="89" t="s">
        <v>438</v>
      </c>
      <c r="C89" s="89" t="s">
        <v>339</v>
      </c>
      <c r="D89" s="101" cm="1">
        <f t="array" aca="1" ref="D89" ca="1">IF(OR(IF(OR(A89="", B89="", C89=""), "", INDIRECT("'" &amp; B89 &amp; "'!" &amp; C89))=0, IF(OR(A89="", B89="", C89=""), "", INDIRECT("'" &amp; B89 &amp; "'!" &amp; C89))=""),"",INDIRECT("'" &amp; B89 &amp; "'!" &amp; C89))</f>
        <v>877190.3848693989</v>
      </c>
    </row>
    <row r="90" spans="1:4" ht="15" x14ac:dyDescent="0.2">
      <c r="A90" s="83" t="s">
        <v>400</v>
      </c>
      <c r="B90" s="88" t="s">
        <v>438</v>
      </c>
      <c r="C90" s="88" t="s">
        <v>340</v>
      </c>
      <c r="D90" s="102" cm="1">
        <f t="array" aca="1" ref="D90" ca="1">IF(OR(IF(OR(A90="", B90="", C90=""), "", INDIRECT("'" &amp; B90 &amp; "'!" &amp; C90))=0, IF(OR(A90="", B90="", C90=""), "", INDIRECT("'" &amp; B90 &amp; "'!" &amp; C90))=""),"",INDIRECT("'" &amp; B90 &amp; "'!" &amp; C90))</f>
        <v>538910.44879299647</v>
      </c>
    </row>
    <row r="91" spans="1:4" ht="15" x14ac:dyDescent="0.2">
      <c r="A91" s="86" t="s">
        <v>316</v>
      </c>
      <c r="B91" s="89" t="s">
        <v>344</v>
      </c>
      <c r="C91" s="89" t="s">
        <v>345</v>
      </c>
      <c r="D91" s="101" cm="1">
        <f t="array" aca="1" ref="D91" ca="1">IF(OR(IF(OR(A91="", B91="", C91=""), "", INDIRECT("'" &amp; B91 &amp; "'!" &amp; C91))=0, IF(OR(A91="", B91="", C91=""), "", INDIRECT("'" &amp; B91 &amp; "'!" &amp; C91))=""),"",INDIRECT("'" &amp; B91 &amp; "'!" &amp; C91))</f>
        <v>2135079.5578390807</v>
      </c>
    </row>
    <row r="92" spans="1:4" ht="15" x14ac:dyDescent="0.2">
      <c r="A92" s="94" t="s">
        <v>401</v>
      </c>
      <c r="B92" s="88" t="s">
        <v>344</v>
      </c>
      <c r="C92" s="88" t="s">
        <v>346</v>
      </c>
      <c r="D92" s="102" cm="1">
        <f t="array" aca="1" ref="D92" ca="1">IF(OR(IF(OR(A92="", B92="", C92=""), "", INDIRECT("'" &amp; B92 &amp; "'!" &amp; C92))=0, IF(OR(A92="", B92="", C92=""), "", INDIRECT("'" &amp; B92 &amp; "'!" &amp; C92))=""),"",INDIRECT("'" &amp; B92 &amp; "'!" &amp; C92))</f>
        <v>2039892.9456294421</v>
      </c>
    </row>
    <row r="93" spans="1:4" ht="15" x14ac:dyDescent="0.2">
      <c r="A93" s="95" t="s">
        <v>317</v>
      </c>
      <c r="B93" s="89" t="s">
        <v>438</v>
      </c>
      <c r="C93" s="89" t="s">
        <v>345</v>
      </c>
      <c r="D93" s="101" cm="1">
        <f t="array" aca="1" ref="D93" ca="1">IF(OR(IF(OR(A93="", B93="", C93=""), "", INDIRECT("'" &amp; B93 &amp; "'!" &amp; C93))=0, IF(OR(A93="", B93="", C93=""), "", INDIRECT("'" &amp; B93 &amp; "'!" &amp; C93))=""),"",INDIRECT("'" &amp; B93 &amp; "'!" &amp; C93))</f>
        <v>1029036.9602118647</v>
      </c>
    </row>
    <row r="94" spans="1:4" ht="15" x14ac:dyDescent="0.2">
      <c r="A94" s="94" t="s">
        <v>402</v>
      </c>
      <c r="B94" s="88" t="s">
        <v>438</v>
      </c>
      <c r="C94" s="88" t="s">
        <v>346</v>
      </c>
      <c r="D94" s="102" cm="1">
        <f t="array" aca="1" ref="D94" ca="1">IF(OR(IF(OR(A94="", B94="", C94=""), "", INDIRECT("'" &amp; B94 &amp; "'!" &amp; C94))=0, IF(OR(A94="", B94="", C94=""), "", INDIRECT("'" &amp; B94 &amp; "'!" &amp; C94))=""),"",INDIRECT("'" &amp; B94 &amp; "'!" &amp; C94))</f>
        <v>637610.72276559926</v>
      </c>
    </row>
    <row r="95" spans="1:4" ht="15" x14ac:dyDescent="0.2">
      <c r="A95" s="107" t="s">
        <v>432</v>
      </c>
      <c r="B95" s="89"/>
      <c r="C95" s="89"/>
      <c r="D95" s="82" t="str" cm="1">
        <f t="array" aca="1" ref="D95" ca="1">IF(OR(IF(OR(A95="", B95="", C95=""), "", INDIRECT("'" &amp; B95 &amp; "'!" &amp; C95))=0, IF(OR(A95="", B95="", C95=""), "", INDIRECT("'" &amp; B95 &amp; "'!" &amp; C95))=""),"",INDIRECT("'" &amp; B95 &amp; "'!" &amp; C95))</f>
        <v/>
      </c>
    </row>
    <row r="96" spans="1:4" ht="15" x14ac:dyDescent="0.2">
      <c r="A96" s="107" t="s">
        <v>440</v>
      </c>
      <c r="B96" s="88"/>
      <c r="C96" s="88"/>
      <c r="D96" s="85" t="str" cm="1">
        <f t="array" aca="1" ref="D96" ca="1">IF(OR(IF(OR(A96="", B96="", C96=""), "", INDIRECT("'" &amp; B96 &amp; "'!" &amp; C96))=0, IF(OR(A96="", B96="", C96=""), "", INDIRECT("'" &amp; B96 &amp; "'!" &amp; C96))=""),"",INDIRECT("'" &amp; B96 &amp; "'!" &amp; C96))</f>
        <v/>
      </c>
    </row>
    <row r="97" spans="1:4" ht="15" x14ac:dyDescent="0.2">
      <c r="A97" s="107" t="s">
        <v>439</v>
      </c>
      <c r="B97" s="89"/>
      <c r="C97" s="89"/>
      <c r="D97" s="82" t="str" cm="1">
        <f t="array" aca="1" ref="D97" ca="1">IF(OR(IF(OR(A97="", B97="", C97=""), "", INDIRECT("'" &amp; B97 &amp; "'!" &amp; C97))=0, IF(OR(A97="", B97="", C97=""), "", INDIRECT("'" &amp; B97 &amp; "'!" &amp; C97))=""),"",INDIRECT("'" &amp; B97 &amp; "'!" &amp; C97))</f>
        <v/>
      </c>
    </row>
    <row r="98" spans="1:4" ht="15" x14ac:dyDescent="0.2">
      <c r="A98" s="94" t="s">
        <v>441</v>
      </c>
      <c r="B98" s="88" t="s">
        <v>332</v>
      </c>
      <c r="C98" s="88" t="s">
        <v>442</v>
      </c>
      <c r="D98" s="108" cm="1">
        <f t="array" aca="1" ref="D98" ca="1">IF(OR(IF(OR(A98="", B98="", C98=""), "", INDIRECT("'" &amp; B98 &amp; "'!" &amp; C98))=0, IF(OR(A98="", B98="", C98=""), "", INDIRECT("'" &amp; B98 &amp; "'!" &amp; C98))=""),"",INDIRECT("'" &amp; B98 &amp; "'!" &amp; C98))</f>
        <v>0.1</v>
      </c>
    </row>
    <row r="99" spans="1:4" ht="15" x14ac:dyDescent="0.2">
      <c r="A99" s="109" t="s">
        <v>443</v>
      </c>
      <c r="B99" s="89"/>
      <c r="C99" s="89"/>
      <c r="D99" s="82" t="str" cm="1">
        <f t="array" aca="1" ref="D99" ca="1">IF(OR(IF(OR(A99="", B99="", C99=""), "", INDIRECT("'" &amp; B99 &amp; "'!" &amp; C99))=0, IF(OR(A99="", B99="", C99=""), "", INDIRECT("'" &amp; B99 &amp; "'!" &amp; C99))=""),"",INDIRECT("'" &amp; B99 &amp; "'!" &amp; C99))</f>
        <v/>
      </c>
    </row>
    <row r="100" spans="1:4" ht="15" x14ac:dyDescent="0.2">
      <c r="A100" s="109" t="s">
        <v>444</v>
      </c>
      <c r="B100" s="88"/>
      <c r="C100" s="88"/>
      <c r="D100" s="85" t="str" cm="1">
        <f t="array" aca="1" ref="D100" ca="1">IF(OR(IF(OR(A100="", B100="", C100=""), "", INDIRECT("'" &amp; B100 &amp; "'!" &amp; C100))=0, IF(OR(A100="", B100="", C100=""), "", INDIRECT("'" &amp; B100 &amp; "'!" &amp; C100))=""),"",INDIRECT("'" &amp; B100 &amp; "'!" &amp; C100))</f>
        <v/>
      </c>
    </row>
    <row r="101" spans="1:4" ht="15" x14ac:dyDescent="0.2">
      <c r="A101" s="95"/>
      <c r="B101" s="89"/>
      <c r="C101" s="89"/>
      <c r="D101" s="82" t="str" cm="1">
        <f t="array" aca="1" ref="D101" ca="1">IF(OR(IF(OR(A101="", B101="", C101=""), "", INDIRECT("'" &amp; B101 &amp; "'!" &amp; C101))=0, IF(OR(A101="", B101="", C101=""), "", INDIRECT("'" &amp; B101 &amp; "'!" &amp; C101))=""),"",INDIRECT("'" &amp; B101 &amp; "'!" &amp; C101))</f>
        <v/>
      </c>
    </row>
    <row r="102" spans="1:4" ht="15" x14ac:dyDescent="0.2">
      <c r="A102" s="94"/>
      <c r="B102" s="88"/>
      <c r="C102" s="88"/>
      <c r="D102" s="85" t="str" cm="1">
        <f t="array" aca="1" ref="D102" ca="1">IF(OR(IF(OR(A102="", B102="", C102=""), "", INDIRECT("'" &amp; B102 &amp; "'!" &amp; C102))=0, IF(OR(A102="", B102="", C102=""), "", INDIRECT("'" &amp; B102 &amp; "'!" &amp; C102))=""),"",INDIRECT("'" &amp; B102 &amp; "'!" &amp; C102))</f>
        <v/>
      </c>
    </row>
    <row r="103" spans="1:4" ht="15" x14ac:dyDescent="0.2">
      <c r="A103" s="95"/>
      <c r="B103" s="89"/>
      <c r="C103" s="89"/>
      <c r="D103" s="82" t="str" cm="1">
        <f t="array" aca="1" ref="D103" ca="1">IF(OR(IF(OR(A103="", B103="", C103=""), "", INDIRECT("'" &amp; B103 &amp; "'!" &amp; C103))=0, IF(OR(A103="", B103="", C103=""), "", INDIRECT("'" &amp; B103 &amp; "'!" &amp; C103))=""),"",INDIRECT("'" &amp; B103 &amp; "'!" &amp; C103))</f>
        <v/>
      </c>
    </row>
    <row r="104" spans="1:4" ht="15" x14ac:dyDescent="0.2">
      <c r="A104" s="94"/>
      <c r="B104" s="88"/>
      <c r="C104" s="88"/>
      <c r="D104" s="85" t="str" cm="1">
        <f t="array" aca="1" ref="D104" ca="1">IF(OR(IF(OR(A104="", B104="", C104=""), "", INDIRECT("'" &amp; B104 &amp; "'!" &amp; C104))=0, IF(OR(A104="", B104="", C104=""), "", INDIRECT("'" &amp; B104 &amp; "'!" &amp; C104))=""),"",INDIRECT("'" &amp; B104 &amp; "'!" &amp; C104))</f>
        <v/>
      </c>
    </row>
    <row r="105" spans="1:4" ht="15" x14ac:dyDescent="0.2">
      <c r="A105" s="95"/>
      <c r="B105" s="89"/>
      <c r="C105" s="89"/>
      <c r="D105" s="82" t="str" cm="1">
        <f t="array" aca="1" ref="D105" ca="1">IF(OR(IF(OR(A105="", B105="", C105=""), "", INDIRECT("'" &amp; B105 &amp; "'!" &amp; C105))=0, IF(OR(A105="", B105="", C105=""), "", INDIRECT("'" &amp; B105 &amp; "'!" &amp; C105))=""),"",INDIRECT("'" &amp; B105 &amp; "'!" &amp; C105))</f>
        <v/>
      </c>
    </row>
    <row r="106" spans="1:4" ht="15" x14ac:dyDescent="0.2">
      <c r="A106" s="94"/>
      <c r="B106" s="88"/>
      <c r="C106" s="88"/>
      <c r="D106" s="85" t="str" cm="1">
        <f t="array" aca="1" ref="D106" ca="1">IF(OR(IF(OR(A106="", B106="", C106=""), "", INDIRECT("'" &amp; B106 &amp; "'!" &amp; C106))=0, IF(OR(A106="", B106="", C106=""), "", INDIRECT("'" &amp; B106 &amp; "'!" &amp; C106))=""),"",INDIRECT("'" &amp; B106 &amp; "'!" &amp; C106))</f>
        <v/>
      </c>
    </row>
    <row r="107" spans="1:4" ht="15" x14ac:dyDescent="0.2">
      <c r="A107" s="95"/>
      <c r="B107" s="89"/>
      <c r="C107" s="89"/>
      <c r="D107" s="82" t="str" cm="1">
        <f t="array" aca="1" ref="D107" ca="1">IF(OR(IF(OR(A107="", B107="", C107=""), "", INDIRECT("'" &amp; B107 &amp; "'!" &amp; C107))=0, IF(OR(A107="", B107="", C107=""), "", INDIRECT("'" &amp; B107 &amp; "'!" &amp; C107))=""),"",INDIRECT("'" &amp; B107 &amp; "'!" &amp; C107))</f>
        <v/>
      </c>
    </row>
    <row r="108" spans="1:4" ht="15" x14ac:dyDescent="0.2">
      <c r="A108" s="94"/>
      <c r="B108" s="88"/>
      <c r="C108" s="88"/>
      <c r="D108" s="85" t="str" cm="1">
        <f t="array" aca="1" ref="D108" ca="1">IF(OR(IF(OR(A108="", B108="", C108=""), "", INDIRECT("'" &amp; B108 &amp; "'!" &amp; C108))=0, IF(OR(A108="", B108="", C108=""), "", INDIRECT("'" &amp; B108 &amp; "'!" &amp; C108))=""),"",INDIRECT("'" &amp; B108 &amp; "'!" &amp; C108))</f>
        <v/>
      </c>
    </row>
    <row r="109" spans="1:4" ht="15" x14ac:dyDescent="0.2">
      <c r="A109" s="95"/>
      <c r="B109" s="89"/>
      <c r="C109" s="89"/>
      <c r="D109" s="82" t="str" cm="1">
        <f t="array" aca="1" ref="D109" ca="1">IF(OR(IF(OR(A109="", B109="", C109=""), "", INDIRECT("'" &amp; B109 &amp; "'!" &amp; C109))=0, IF(OR(A109="", B109="", C109=""), "", INDIRECT("'" &amp; B109 &amp; "'!" &amp; C109))=""),"",INDIRECT("'" &amp; B109 &amp; "'!" &amp; C109))</f>
        <v/>
      </c>
    </row>
    <row r="110" spans="1:4" ht="15" x14ac:dyDescent="0.2">
      <c r="A110" s="94"/>
      <c r="B110" s="88"/>
      <c r="C110" s="88"/>
      <c r="D110" s="85" t="str" cm="1">
        <f t="array" aca="1" ref="D110" ca="1">IF(OR(IF(OR(A110="", B110="", C110=""), "", INDIRECT("'" &amp; B110 &amp; "'!" &amp; C110))=0, IF(OR(A110="", B110="", C110=""), "", INDIRECT("'" &amp; B110 &amp; "'!" &amp; C110))=""),"",INDIRECT("'" &amp; B110 &amp; "'!" &amp; C110))</f>
        <v/>
      </c>
    </row>
    <row r="111" spans="1:4" ht="15" x14ac:dyDescent="0.2">
      <c r="A111" s="95"/>
      <c r="B111" s="89"/>
      <c r="C111" s="89"/>
      <c r="D111" s="82" t="str" cm="1">
        <f t="array" aca="1" ref="D111" ca="1">IF(OR(IF(OR(A111="", B111="", C111=""), "", INDIRECT("'" &amp; B111 &amp; "'!" &amp; C111))=0, IF(OR(A111="", B111="", C111=""), "", INDIRECT("'" &amp; B111 &amp; "'!" &amp; C111))=""),"",INDIRECT("'" &amp; B111 &amp; "'!" &amp; C111))</f>
        <v/>
      </c>
    </row>
    <row r="112" spans="1:4" ht="15" x14ac:dyDescent="0.2">
      <c r="A112" s="94"/>
      <c r="B112" s="88"/>
      <c r="C112" s="88"/>
      <c r="D112" s="85" t="str" cm="1">
        <f t="array" aca="1" ref="D112" ca="1">IF(OR(IF(OR(A112="", B112="", C112=""), "", INDIRECT("'" &amp; B112 &amp; "'!" &amp; C112))=0, IF(OR(A112="", B112="", C112=""), "", INDIRECT("'" &amp; B112 &amp; "'!" &amp; C112))=""),"",INDIRECT("'" &amp; B112 &amp; "'!" &amp; C112))</f>
        <v/>
      </c>
    </row>
    <row r="113" spans="1:4" ht="15" x14ac:dyDescent="0.2">
      <c r="A113" s="95"/>
      <c r="B113" s="89"/>
      <c r="C113" s="89"/>
      <c r="D113" s="82" t="str" cm="1">
        <f t="array" aca="1" ref="D113" ca="1">IF(OR(IF(OR(A113="", B113="", C113=""), "", INDIRECT("'" &amp; B113 &amp; "'!" &amp; C113))=0, IF(OR(A113="", B113="", C113=""), "", INDIRECT("'" &amp; B113 &amp; "'!" &amp; C113))=""),"",INDIRECT("'" &amp; B113 &amp; "'!" &amp; C113))</f>
        <v/>
      </c>
    </row>
    <row r="114" spans="1:4" ht="15" x14ac:dyDescent="0.2">
      <c r="A114" s="94"/>
      <c r="B114" s="88"/>
      <c r="C114" s="88"/>
      <c r="D114" s="85" t="str" cm="1">
        <f t="array" aca="1" ref="D114" ca="1">IF(OR(IF(OR(A114="", B114="", C114=""), "", INDIRECT("'" &amp; B114 &amp; "'!" &amp; C114))=0, IF(OR(A114="", B114="", C114=""), "", INDIRECT("'" &amp; B114 &amp; "'!" &amp; C114))=""),"",INDIRECT("'" &amp; B114 &amp; "'!" &amp; C114))</f>
        <v/>
      </c>
    </row>
    <row r="115" spans="1:4" ht="15" x14ac:dyDescent="0.2">
      <c r="A115" s="95"/>
      <c r="B115" s="89"/>
      <c r="C115" s="89"/>
      <c r="D115" s="82" t="str" cm="1">
        <f t="array" aca="1" ref="D115" ca="1">IF(OR(IF(OR(A115="", B115="", C115=""), "", INDIRECT("'" &amp; B115 &amp; "'!" &amp; C115))=0, IF(OR(A115="", B115="", C115=""), "", INDIRECT("'" &amp; B115 &amp; "'!" &amp; C115))=""),"",INDIRECT("'" &amp; B115 &amp; "'!" &amp; C115))</f>
        <v/>
      </c>
    </row>
    <row r="116" spans="1:4" ht="15" x14ac:dyDescent="0.2">
      <c r="A116" s="94"/>
      <c r="B116" s="88"/>
      <c r="C116" s="88"/>
      <c r="D116" s="85" t="str" cm="1">
        <f t="array" aca="1" ref="D116" ca="1">IF(OR(IF(OR(A116="", B116="", C116=""), "", INDIRECT("'" &amp; B116 &amp; "'!" &amp; C116))=0, IF(OR(A116="", B116="", C116=""), "", INDIRECT("'" &amp; B116 &amp; "'!" &amp; C116))=""),"",INDIRECT("'" &amp; B116 &amp; "'!" &amp; C116))</f>
        <v/>
      </c>
    </row>
    <row r="117" spans="1:4" ht="15" x14ac:dyDescent="0.2">
      <c r="A117" s="95"/>
      <c r="B117" s="89"/>
      <c r="C117" s="89"/>
      <c r="D117" s="82" t="str" cm="1">
        <f t="array" aca="1" ref="D117" ca="1">IF(OR(IF(OR(A117="", B117="", C117=""), "", INDIRECT("'" &amp; B117 &amp; "'!" &amp; C117))=0, IF(OR(A117="", B117="", C117=""), "", INDIRECT("'" &amp; B117 &amp; "'!" &amp; C117))=""),"",INDIRECT("'" &amp; B117 &amp; "'!" &amp; C117))</f>
        <v/>
      </c>
    </row>
    <row r="118" spans="1:4" ht="15" x14ac:dyDescent="0.2">
      <c r="A118" s="94"/>
      <c r="B118" s="88"/>
      <c r="C118" s="88"/>
      <c r="D118" s="85" t="str" cm="1">
        <f t="array" aca="1" ref="D118" ca="1">IF(OR(IF(OR(A118="", B118="", C118=""), "", INDIRECT("'" &amp; B118 &amp; "'!" &amp; C118))=0, IF(OR(A118="", B118="", C118=""), "", INDIRECT("'" &amp; B118 &amp; "'!" &amp; C118))=""),"",INDIRECT("'" &amp; B118 &amp; "'!" &amp; C118))</f>
        <v/>
      </c>
    </row>
    <row r="119" spans="1:4" ht="15" x14ac:dyDescent="0.2">
      <c r="A119" s="95"/>
      <c r="B119" s="89"/>
      <c r="C119" s="89"/>
      <c r="D119" s="82" t="str" cm="1">
        <f t="array" aca="1" ref="D119" ca="1">IF(OR(IF(OR(A119="", B119="", C119=""), "", INDIRECT("'" &amp; B119 &amp; "'!" &amp; C119))=0, IF(OR(A119="", B119="", C119=""), "", INDIRECT("'" &amp; B119 &amp; "'!" &amp; C119))=""),"",INDIRECT("'" &amp; B119 &amp; "'!" &amp; C119))</f>
        <v/>
      </c>
    </row>
    <row r="120" spans="1:4" ht="15" x14ac:dyDescent="0.2">
      <c r="A120" s="94"/>
      <c r="B120" s="88"/>
      <c r="C120" s="88"/>
      <c r="D120" s="85" t="str" cm="1">
        <f t="array" aca="1" ref="D120" ca="1">IF(OR(IF(OR(A120="", B120="", C120=""), "", INDIRECT("'" &amp; B120 &amp; "'!" &amp; C120))=0, IF(OR(A120="", B120="", C120=""), "", INDIRECT("'" &amp; B120 &amp; "'!" &amp; C120))=""),"",INDIRECT("'" &amp; B120 &amp; "'!" &amp; C120))</f>
        <v/>
      </c>
    </row>
    <row r="121" spans="1:4" ht="15" x14ac:dyDescent="0.2">
      <c r="A121" s="95"/>
      <c r="B121" s="89"/>
      <c r="C121" s="89"/>
      <c r="D121" s="82" t="str" cm="1">
        <f t="array" aca="1" ref="D121" ca="1">IF(OR(IF(OR(A121="", B121="", C121=""), "", INDIRECT("'" &amp; B121 &amp; "'!" &amp; C121))=0, IF(OR(A121="", B121="", C121=""), "", INDIRECT("'" &amp; B121 &amp; "'!" &amp; C121))=""),"",INDIRECT("'" &amp; B121 &amp; "'!" &amp; C121))</f>
        <v/>
      </c>
    </row>
    <row r="122" spans="1:4" ht="15" x14ac:dyDescent="0.2">
      <c r="A122" s="94"/>
      <c r="B122" s="88"/>
      <c r="C122" s="88"/>
      <c r="D122" s="85" t="str" cm="1">
        <f t="array" aca="1" ref="D122" ca="1">IF(OR(IF(OR(A122="", B122="", C122=""), "", INDIRECT("'" &amp; B122 &amp; "'!" &amp; C122))=0, IF(OR(A122="", B122="", C122=""), "", INDIRECT("'" &amp; B122 &amp; "'!" &amp; C122))=""),"",INDIRECT("'" &amp; B122 &amp; "'!" &amp; C122))</f>
        <v/>
      </c>
    </row>
    <row r="123" spans="1:4" ht="15" x14ac:dyDescent="0.2">
      <c r="A123" s="95"/>
      <c r="B123" s="89"/>
      <c r="C123" s="89"/>
      <c r="D123" s="82" t="str" cm="1">
        <f t="array" aca="1" ref="D123" ca="1">IF(OR(IF(OR(A123="", B123="", C123=""), "", INDIRECT("'" &amp; B123 &amp; "'!" &amp; C123))=0, IF(OR(A123="", B123="", C123=""), "", INDIRECT("'" &amp; B123 &amp; "'!" &amp; C123))=""),"",INDIRECT("'" &amp; B123 &amp; "'!" &amp; C123))</f>
        <v/>
      </c>
    </row>
    <row r="124" spans="1:4" ht="15.75" thickBot="1" x14ac:dyDescent="0.25">
      <c r="A124" s="106"/>
      <c r="B124" s="90"/>
      <c r="C124" s="90"/>
      <c r="D124" s="91" t="str" cm="1">
        <f t="array" aca="1" ref="D124" ca="1">IF(OR(IF(OR(A124="", B124="", C124=""), "", INDIRECT("'" &amp; B124 &amp; "'!" &amp; C124))=0, IF(OR(A124="", B124="", C124=""), "", INDIRECT("'" &amp; B124 &amp; "'!" &amp; C124))=""),"",INDIRECT("'" &amp; B124 &amp; "'!" &amp; C124))</f>
        <v/>
      </c>
    </row>
  </sheetData>
  <mergeCells count="1">
    <mergeCell ref="A1:D1"/>
  </mergeCells>
  <phoneticPr fontId="3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12" zoomScale="125" zoomScaleNormal="125" workbookViewId="0">
      <selection activeCell="B66" sqref="B66"/>
    </sheetView>
  </sheetViews>
  <sheetFormatPr defaultColWidth="8.85546875" defaultRowHeight="12.75" x14ac:dyDescent="0.2"/>
  <cols>
    <col min="1" max="1" width="35.42578125" customWidth="1"/>
    <col min="2" max="2" width="21.425781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117" t="s">
        <v>79</v>
      </c>
      <c r="B1" s="117"/>
      <c r="C1" s="117"/>
      <c r="D1" s="117"/>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108</v>
      </c>
      <c r="B7" s="35">
        <v>70</v>
      </c>
      <c r="O7" s="11"/>
      <c r="Q7" s="9"/>
    </row>
    <row r="8" spans="1:19" ht="15.75" x14ac:dyDescent="0.25">
      <c r="A8" t="s">
        <v>84</v>
      </c>
      <c r="B8" s="20" t="s">
        <v>130</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118" t="s">
        <v>87</v>
      </c>
      <c r="B12" s="118"/>
      <c r="C12" s="118"/>
      <c r="D12" s="118"/>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109</v>
      </c>
      <c r="B21" s="23">
        <f>MAX(0, B7 - B14)</f>
        <v>19.037645448323069</v>
      </c>
      <c r="O21" s="9"/>
    </row>
    <row r="22" spans="1:15" x14ac:dyDescent="0.2">
      <c r="A22" t="s">
        <v>110</v>
      </c>
      <c r="B22" s="24">
        <f>INT(B21)</f>
        <v>19</v>
      </c>
    </row>
    <row r="23" spans="1:15" ht="15.75" x14ac:dyDescent="0.25">
      <c r="A23" t="s">
        <v>111</v>
      </c>
      <c r="B23" s="25">
        <f>B21-B22</f>
        <v>3.764544832306882E-2</v>
      </c>
      <c r="O23" s="9"/>
    </row>
    <row r="24" spans="1:15" ht="15.75" x14ac:dyDescent="0.25">
      <c r="A24" t="s">
        <v>113</v>
      </c>
      <c r="B24" s="25">
        <f>(B6-B5)/365.25</f>
        <v>4.7474332648870634</v>
      </c>
      <c r="O24" s="9"/>
    </row>
    <row r="25" spans="1:15" x14ac:dyDescent="0.2">
      <c r="A25" t="s">
        <v>114</v>
      </c>
      <c r="B25">
        <f>INT(B24)</f>
        <v>4</v>
      </c>
    </row>
    <row r="26" spans="1:15" x14ac:dyDescent="0.2">
      <c r="A26" s="119" t="s">
        <v>96</v>
      </c>
      <c r="B26" s="116"/>
      <c r="C26" s="116"/>
      <c r="D26" s="116"/>
    </row>
    <row r="27" spans="1:15" x14ac:dyDescent="0.2">
      <c r="A27" t="s">
        <v>97</v>
      </c>
      <c r="B27" s="39">
        <v>3.1E-2</v>
      </c>
    </row>
    <row r="28" spans="1:15" x14ac:dyDescent="0.2">
      <c r="A28" t="s">
        <v>124</v>
      </c>
      <c r="B28" s="40" t="s">
        <v>153</v>
      </c>
      <c r="C28" s="41" t="s">
        <v>128</v>
      </c>
    </row>
    <row r="29" spans="1:15" x14ac:dyDescent="0.2">
      <c r="A29" t="s">
        <v>127</v>
      </c>
      <c r="B29" s="39">
        <v>0</v>
      </c>
    </row>
    <row r="30" spans="1:15" x14ac:dyDescent="0.2">
      <c r="B30" s="7"/>
      <c r="F30" s="7"/>
    </row>
    <row r="31" spans="1:15" x14ac:dyDescent="0.2">
      <c r="A31" s="114"/>
      <c r="B31" s="115"/>
      <c r="C31" s="116"/>
      <c r="D31" s="116"/>
      <c r="F31" s="7"/>
    </row>
    <row r="32" spans="1:15" ht="13.35" customHeight="1" x14ac:dyDescent="0.2">
      <c r="B32" s="7"/>
      <c r="F32" s="7"/>
    </row>
    <row r="33" spans="1:10" x14ac:dyDescent="0.2">
      <c r="A33" s="74" t="s">
        <v>254</v>
      </c>
      <c r="B33" s="50"/>
    </row>
    <row r="34" spans="1:10" x14ac:dyDescent="0.2">
      <c r="A34" t="s">
        <v>135</v>
      </c>
      <c r="B34" s="7"/>
    </row>
    <row r="35" spans="1:10" x14ac:dyDescent="0.2">
      <c r="A35" t="s">
        <v>136</v>
      </c>
      <c r="B35" s="7">
        <f>'Base 1 PV Loss WLE'!G17</f>
        <v>355890.41095890413</v>
      </c>
    </row>
    <row r="36" spans="1:10" x14ac:dyDescent="0.2">
      <c r="A36" t="s">
        <v>137</v>
      </c>
      <c r="B36" s="7">
        <f>'Base 1 PV Loss WLE'!G71</f>
        <v>1091912.9611206262</v>
      </c>
    </row>
    <row r="37" spans="1:10" x14ac:dyDescent="0.2">
      <c r="A37" s="19" t="s">
        <v>138</v>
      </c>
      <c r="B37" s="7">
        <f>'Base 1 PV Loss WLE'!G73</f>
        <v>1447803.3720795303</v>
      </c>
    </row>
    <row r="38" spans="1:10" x14ac:dyDescent="0.2">
      <c r="A38" t="s">
        <v>139</v>
      </c>
      <c r="B38" s="7"/>
    </row>
    <row r="39" spans="1:10" x14ac:dyDescent="0.2">
      <c r="A39" t="s">
        <v>136</v>
      </c>
      <c r="B39" s="7">
        <f>'Base 1 PV Loss To Age'!G17</f>
        <v>671047.97808219178</v>
      </c>
    </row>
    <row r="40" spans="1:10" x14ac:dyDescent="0.2">
      <c r="A40" t="s">
        <v>137</v>
      </c>
      <c r="B40" s="7">
        <f>'Base 1 PV Loss To Age'!G71</f>
        <v>2799954.5957609955</v>
      </c>
      <c r="G40" s="8"/>
    </row>
    <row r="41" spans="1:10" x14ac:dyDescent="0.2">
      <c r="A41" s="19" t="s">
        <v>140</v>
      </c>
      <c r="B41" s="7">
        <f>'Base 1 PV Loss To Age'!G73</f>
        <v>3471002.5738431872</v>
      </c>
    </row>
    <row r="43" spans="1:10" x14ac:dyDescent="0.2">
      <c r="A43" s="31" t="s">
        <v>141</v>
      </c>
      <c r="B43" s="47"/>
    </row>
    <row r="44" spans="1:10" x14ac:dyDescent="0.2">
      <c r="A44" t="s">
        <v>135</v>
      </c>
    </row>
    <row r="45" spans="1:10" x14ac:dyDescent="0.2">
      <c r="A45" t="s">
        <v>136</v>
      </c>
      <c r="B45" s="7">
        <f>'Base 2 PV Loss WLE'!G17</f>
        <v>671047.97808219178</v>
      </c>
    </row>
    <row r="46" spans="1:10" x14ac:dyDescent="0.2">
      <c r="A46" t="s">
        <v>137</v>
      </c>
      <c r="B46" s="7">
        <f>'Base 2 PV Loss WLE'!G71</f>
        <v>2058852.8441311263</v>
      </c>
      <c r="J46" s="8"/>
    </row>
    <row r="47" spans="1:10" x14ac:dyDescent="0.2">
      <c r="A47" s="19" t="s">
        <v>138</v>
      </c>
      <c r="B47" s="7">
        <f>'Base 2 PV Loss WLE'!G73</f>
        <v>2729900.8222133182</v>
      </c>
      <c r="J47" s="8"/>
    </row>
    <row r="48" spans="1:10" x14ac:dyDescent="0.2">
      <c r="A48" t="s">
        <v>139</v>
      </c>
      <c r="B48" s="7"/>
      <c r="J48" s="8"/>
    </row>
    <row r="49" spans="1:10" x14ac:dyDescent="0.2">
      <c r="A49" t="s">
        <v>136</v>
      </c>
      <c r="B49" s="7">
        <f>'Base 2 PV Loss To Age'!G17</f>
        <v>1186301.3698630137</v>
      </c>
    </row>
    <row r="50" spans="1:10" x14ac:dyDescent="0.2">
      <c r="A50" t="s">
        <v>137</v>
      </c>
      <c r="B50" s="7">
        <f>'Base 2 PV Loss To Age'!G71</f>
        <v>4736924.6467422284</v>
      </c>
    </row>
    <row r="51" spans="1:10" x14ac:dyDescent="0.2">
      <c r="A51" s="19" t="s">
        <v>140</v>
      </c>
      <c r="B51" s="7">
        <f>'Base 2 PV Loss To Age'!G73</f>
        <v>5923226.0166052422</v>
      </c>
    </row>
    <row r="53" spans="1:10" x14ac:dyDescent="0.2">
      <c r="A53" s="43" t="s">
        <v>142</v>
      </c>
      <c r="B53" s="47"/>
      <c r="C53" s="8"/>
      <c r="J53" s="8"/>
    </row>
    <row r="54" spans="1:10" x14ac:dyDescent="0.2">
      <c r="A54" t="s">
        <v>135</v>
      </c>
      <c r="C54" s="8"/>
    </row>
    <row r="55" spans="1:10" x14ac:dyDescent="0.2">
      <c r="A55" t="s">
        <v>136</v>
      </c>
      <c r="B55" s="7">
        <f>'Base 3 PV Loss WLE'!G17</f>
        <v>322142.50958904106</v>
      </c>
      <c r="C55" s="8"/>
    </row>
    <row r="56" spans="1:10" x14ac:dyDescent="0.2">
      <c r="A56" t="s">
        <v>137</v>
      </c>
      <c r="B56" s="7">
        <f>'Base 3 PV Loss WLE'!G71</f>
        <v>1257537.7802940556</v>
      </c>
    </row>
    <row r="57" spans="1:10" x14ac:dyDescent="0.2">
      <c r="A57" s="19" t="s">
        <v>138</v>
      </c>
      <c r="B57" s="7">
        <f>'Base 3 PV Loss WLE'!G73</f>
        <v>1579680.2898830967</v>
      </c>
    </row>
    <row r="58" spans="1:10" x14ac:dyDescent="0.2">
      <c r="A58" t="s">
        <v>139</v>
      </c>
      <c r="B58" s="7"/>
      <c r="C58" s="8"/>
    </row>
    <row r="59" spans="1:10" x14ac:dyDescent="0.2">
      <c r="A59" t="s">
        <v>136</v>
      </c>
      <c r="B59" s="7">
        <f>'Base 3 PV Loss To Age'!G17</f>
        <v>320078.34520547948</v>
      </c>
      <c r="C59" s="8"/>
    </row>
    <row r="60" spans="1:10" x14ac:dyDescent="0.2">
      <c r="A60" t="s">
        <v>137</v>
      </c>
      <c r="B60" s="7">
        <f>'Base 3 PV Loss To Age'!G71</f>
        <v>1747650.3126170188</v>
      </c>
    </row>
    <row r="61" spans="1:10" x14ac:dyDescent="0.2">
      <c r="A61" s="19" t="s">
        <v>140</v>
      </c>
      <c r="B61" s="7">
        <f>'Base 3 PV Loss To Age'!G73</f>
        <v>2067728.6578224984</v>
      </c>
      <c r="C61" s="8"/>
    </row>
    <row r="62" spans="1:10" x14ac:dyDescent="0.2">
      <c r="C62" s="8"/>
    </row>
    <row r="63" spans="1:10" x14ac:dyDescent="0.2">
      <c r="A63" s="44" t="s">
        <v>149</v>
      </c>
      <c r="B63" s="47"/>
    </row>
    <row r="64" spans="1:10" x14ac:dyDescent="0.2">
      <c r="A64" t="s">
        <v>135</v>
      </c>
      <c r="C64" s="8"/>
    </row>
    <row r="65" spans="1:2" x14ac:dyDescent="0.2">
      <c r="A65" s="19" t="s">
        <v>136</v>
      </c>
      <c r="B65" s="7">
        <f>'Base 4 PV Loss WLE'!G17</f>
        <v>374866.48767123284</v>
      </c>
    </row>
    <row r="66" spans="1:2" x14ac:dyDescent="0.2">
      <c r="A66" t="s">
        <v>137</v>
      </c>
      <c r="B66" s="7">
        <f>'Base 4 PV Loss WLE'!G71</f>
        <v>1463354.7476056165</v>
      </c>
    </row>
    <row r="67" spans="1:2" x14ac:dyDescent="0.2">
      <c r="A67" s="19" t="s">
        <v>138</v>
      </c>
      <c r="B67" s="30">
        <f>'Base 4 PV Loss WLE'!G73</f>
        <v>1838221.2352768492</v>
      </c>
    </row>
    <row r="68" spans="1:2" x14ac:dyDescent="0.2">
      <c r="A68" t="s">
        <v>139</v>
      </c>
    </row>
    <row r="69" spans="1:2" x14ac:dyDescent="0.2">
      <c r="A69" s="19" t="s">
        <v>136</v>
      </c>
      <c r="B69" s="7">
        <f>'Base 4 PV Loss To Age'!G17</f>
        <v>312125.38082191779</v>
      </c>
    </row>
    <row r="70" spans="1:2" x14ac:dyDescent="0.2">
      <c r="A70" t="s">
        <v>137</v>
      </c>
      <c r="B70" s="7">
        <f>'Base 4 PV Loss To Age'!G71</f>
        <v>1704226.5668392754</v>
      </c>
    </row>
    <row r="71" spans="1:2" x14ac:dyDescent="0.2">
      <c r="A71" s="19" t="s">
        <v>140</v>
      </c>
      <c r="B71" s="30">
        <f>'Base 4 PV Loss To Age'!G73</f>
        <v>2016351.9476611931</v>
      </c>
    </row>
    <row r="73" spans="1:2" x14ac:dyDescent="0.2">
      <c r="A73" s="45" t="s">
        <v>150</v>
      </c>
      <c r="B73" s="47"/>
    </row>
    <row r="74" spans="1:2" x14ac:dyDescent="0.2">
      <c r="A74" t="s">
        <v>135</v>
      </c>
    </row>
    <row r="75" spans="1:2" x14ac:dyDescent="0.2">
      <c r="A75" s="19" t="s">
        <v>136</v>
      </c>
      <c r="B75" s="7">
        <f>'Base 5 PV Loss WLE'!G17</f>
        <v>415993.18356164382</v>
      </c>
    </row>
    <row r="76" spans="1:2" x14ac:dyDescent="0.2">
      <c r="A76" t="s">
        <v>137</v>
      </c>
      <c r="B76" s="7">
        <f>'Base 5 PV Loss WLE'!G71</f>
        <v>1623899.7620677983</v>
      </c>
    </row>
    <row r="77" spans="1:2" x14ac:dyDescent="0.2">
      <c r="A77" s="19" t="s">
        <v>138</v>
      </c>
      <c r="B77" s="30">
        <f>'Base 5 PV Loss WLE'!G73</f>
        <v>2039892.9456294421</v>
      </c>
    </row>
    <row r="78" spans="1:2" x14ac:dyDescent="0.2">
      <c r="A78" t="s">
        <v>139</v>
      </c>
    </row>
    <row r="79" spans="1:2" x14ac:dyDescent="0.2">
      <c r="A79" s="19" t="s">
        <v>136</v>
      </c>
      <c r="B79" s="7">
        <f>'Base 5 PV Loss To Age'!G17</f>
        <v>98700.27397260275</v>
      </c>
    </row>
    <row r="80" spans="1:2" x14ac:dyDescent="0.2">
      <c r="A80" t="s">
        <v>137</v>
      </c>
      <c r="B80" s="7">
        <f>'Base 5 PV Loss To Age'!G71</f>
        <v>538910.44879299647</v>
      </c>
    </row>
    <row r="81" spans="1:2" x14ac:dyDescent="0.2">
      <c r="A81" s="19" t="s">
        <v>140</v>
      </c>
      <c r="B81"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L106"/>
  <sheetViews>
    <sheetView topLeftCell="A6" workbookViewId="0">
      <selection activeCell="J21" sqref="J21"/>
    </sheetView>
  </sheetViews>
  <sheetFormatPr defaultColWidth="8.85546875" defaultRowHeight="12.75" x14ac:dyDescent="0.2"/>
  <cols>
    <col min="1" max="1" width="32.42578125" customWidth="1"/>
    <col min="2" max="2" width="64.85546875" customWidth="1"/>
    <col min="3" max="3" width="26.42578125" customWidth="1"/>
    <col min="4" max="4" width="17.85546875" customWidth="1"/>
  </cols>
  <sheetData>
    <row r="1" spans="1:5" x14ac:dyDescent="0.2">
      <c r="E1" s="8" t="s">
        <v>240</v>
      </c>
    </row>
    <row r="2" spans="1:5" x14ac:dyDescent="0.2">
      <c r="A2" s="75" t="s">
        <v>154</v>
      </c>
      <c r="B2" s="52">
        <v>46106</v>
      </c>
    </row>
    <row r="3" spans="1:5" x14ac:dyDescent="0.2">
      <c r="A3" s="75" t="s">
        <v>155</v>
      </c>
      <c r="B3" t="s">
        <v>268</v>
      </c>
      <c r="C3" s="8" t="s">
        <v>0</v>
      </c>
      <c r="D3" s="8" t="s">
        <v>235</v>
      </c>
    </row>
    <row r="4" spans="1:5" x14ac:dyDescent="0.2">
      <c r="A4" s="75" t="s">
        <v>156</v>
      </c>
      <c r="B4" t="s">
        <v>269</v>
      </c>
    </row>
    <row r="5" spans="1:5" x14ac:dyDescent="0.2">
      <c r="A5" s="75" t="s">
        <v>157</v>
      </c>
      <c r="B5" t="s">
        <v>212</v>
      </c>
    </row>
    <row r="6" spans="1:5" x14ac:dyDescent="0.2">
      <c r="A6" s="75" t="s">
        <v>158</v>
      </c>
      <c r="B6" t="s">
        <v>213</v>
      </c>
    </row>
    <row r="7" spans="1:5" x14ac:dyDescent="0.2">
      <c r="A7" s="75" t="s">
        <v>159</v>
      </c>
      <c r="B7" t="s">
        <v>214</v>
      </c>
    </row>
    <row r="8" spans="1:5" x14ac:dyDescent="0.2">
      <c r="A8" s="75" t="s">
        <v>160</v>
      </c>
      <c r="B8" t="s">
        <v>215</v>
      </c>
    </row>
    <row r="9" spans="1:5" x14ac:dyDescent="0.2">
      <c r="A9" s="75" t="s">
        <v>161</v>
      </c>
      <c r="B9" t="s">
        <v>216</v>
      </c>
    </row>
    <row r="10" spans="1:5" x14ac:dyDescent="0.2">
      <c r="A10" s="75" t="s">
        <v>162</v>
      </c>
      <c r="B10" s="99">
        <v>33101</v>
      </c>
    </row>
    <row r="11" spans="1:5" x14ac:dyDescent="0.2">
      <c r="A11" s="75" t="s">
        <v>163</v>
      </c>
      <c r="B11" t="s">
        <v>217</v>
      </c>
    </row>
    <row r="12" spans="1:5" x14ac:dyDescent="0.2">
      <c r="A12" s="75" t="s">
        <v>196</v>
      </c>
      <c r="B12" s="8" t="s">
        <v>264</v>
      </c>
    </row>
    <row r="13" spans="1:5" x14ac:dyDescent="0.2">
      <c r="A13" s="75" t="s">
        <v>164</v>
      </c>
      <c r="B13" s="8" t="s">
        <v>265</v>
      </c>
    </row>
    <row r="14" spans="1:5" x14ac:dyDescent="0.2">
      <c r="A14" s="75" t="s">
        <v>165</v>
      </c>
      <c r="B14" s="8" t="s">
        <v>266</v>
      </c>
      <c r="C14" s="8" t="s">
        <v>231</v>
      </c>
      <c r="D14" s="8" t="s">
        <v>237</v>
      </c>
      <c r="E14" s="53" t="b">
        <v>0</v>
      </c>
    </row>
    <row r="15" spans="1:5" x14ac:dyDescent="0.2">
      <c r="A15" s="75" t="s">
        <v>166</v>
      </c>
      <c r="B15" s="92" t="s">
        <v>261</v>
      </c>
      <c r="C15" s="8" t="s">
        <v>232</v>
      </c>
      <c r="D15" s="51">
        <v>27983</v>
      </c>
      <c r="E15" s="53" t="b">
        <v>0</v>
      </c>
    </row>
    <row r="16" spans="1:5" x14ac:dyDescent="0.2">
      <c r="A16" s="75" t="s">
        <v>167</v>
      </c>
      <c r="B16" s="92" t="s">
        <v>262</v>
      </c>
      <c r="C16" s="8" t="s">
        <v>236</v>
      </c>
      <c r="D16" s="8" t="s">
        <v>238</v>
      </c>
      <c r="E16" s="53" t="b">
        <v>0</v>
      </c>
    </row>
    <row r="17" spans="1:12" x14ac:dyDescent="0.2">
      <c r="A17" s="75" t="str">
        <f>"Date of "&amp;B19</f>
        <v>Date of Trial</v>
      </c>
      <c r="B17" s="92" t="s">
        <v>263</v>
      </c>
      <c r="C17" s="8" t="s">
        <v>233</v>
      </c>
      <c r="D17" s="8" t="s">
        <v>239</v>
      </c>
      <c r="E17" s="53" t="b">
        <v>0</v>
      </c>
    </row>
    <row r="18" spans="1:12" x14ac:dyDescent="0.2">
      <c r="A18" s="75" t="s">
        <v>168</v>
      </c>
      <c r="B18" s="8" t="s">
        <v>267</v>
      </c>
      <c r="C18" s="8" t="s">
        <v>234</v>
      </c>
      <c r="D18" s="51">
        <v>45145</v>
      </c>
      <c r="E18" s="53" t="b">
        <v>0</v>
      </c>
    </row>
    <row r="19" spans="1:12" x14ac:dyDescent="0.2">
      <c r="A19" s="75" t="s">
        <v>169</v>
      </c>
      <c r="B19" t="s">
        <v>170</v>
      </c>
      <c r="L19" s="110" t="s">
        <v>445</v>
      </c>
    </row>
    <row r="20" spans="1:12" ht="99.95" customHeight="1" x14ac:dyDescent="0.2">
      <c r="A20" s="76" t="s">
        <v>171</v>
      </c>
      <c r="B20" s="54" t="s">
        <v>255</v>
      </c>
      <c r="C20" s="59" t="s">
        <v>242</v>
      </c>
      <c r="D20" s="58" t="s">
        <v>244</v>
      </c>
    </row>
    <row r="21" spans="1:12" ht="19.7" customHeight="1" x14ac:dyDescent="0.25">
      <c r="A21" s="120" t="s">
        <v>172</v>
      </c>
      <c r="B21" s="116"/>
      <c r="C21" s="116"/>
      <c r="D21" s="120" t="s">
        <v>247</v>
      </c>
      <c r="E21" s="116"/>
      <c r="F21" s="116"/>
      <c r="L21" s="110" t="s">
        <v>446</v>
      </c>
    </row>
    <row r="22" spans="1:12" ht="15" x14ac:dyDescent="0.25">
      <c r="A22" s="49" t="s">
        <v>173</v>
      </c>
      <c r="B22" s="49"/>
      <c r="C22" t="s">
        <v>174</v>
      </c>
      <c r="D22" s="8" t="s">
        <v>248</v>
      </c>
      <c r="E22" s="73" cm="1">
        <f t="array" ref="E22">MIN(IF(ISNUMBER('Base 1 PV Loss WLE'!D20:D49),'Base 1 PV Loss WLE'!D20:D49))</f>
        <v>2.2890000000000001E-2</v>
      </c>
      <c r="F22" s="73" cm="1">
        <f t="array" ref="F22">MAX(IF(ISNUMBER('Base 1 PV Loss WLE'!D20:D49),'Base 1 PV Loss WLE'!D20:D49))</f>
        <v>3.2969999999999999E-2</v>
      </c>
    </row>
    <row r="23" spans="1:12" ht="15" x14ac:dyDescent="0.25">
      <c r="A23" s="49" t="str">
        <f>"Base 1: "&amp;TEXT(B87,"$#,##0")</f>
        <v>Base 1: $67,453</v>
      </c>
      <c r="B23" s="49"/>
      <c r="C23" s="53" t="b">
        <v>1</v>
      </c>
      <c r="D23" s="8" t="s">
        <v>249</v>
      </c>
      <c r="E23" s="73" cm="1">
        <f t="array" ref="E23">MIN(IF(ISNUMBER('Base 1 PV Loss To Age'!D20:D49),'Base 1 PV Loss To Age'!D20:D49))</f>
        <v>2.2890000000000001E-2</v>
      </c>
      <c r="F23" s="10" cm="1">
        <f t="array" ref="F23">MAX(IF(ISNUMBER('Base 1 PV Loss To Age'!D20:D49),'Base 1 PV Loss To Age'!D20:D49))</f>
        <v>3.9269999999999999E-2</v>
      </c>
      <c r="L23" s="110" t="s">
        <v>447</v>
      </c>
    </row>
    <row r="24" spans="1:12" x14ac:dyDescent="0.2">
      <c r="A24" t="str">
        <f>"Loss To "&amp;$B$19</f>
        <v>Loss To Trial</v>
      </c>
      <c r="B24" s="2">
        <v>225000</v>
      </c>
      <c r="C24" s="53" t="b">
        <v>1</v>
      </c>
    </row>
    <row r="25" spans="1:12" x14ac:dyDescent="0.2">
      <c r="A25" t="str">
        <f>"Fringe Benefits Loss To "&amp;$B$19</f>
        <v>Fringe Benefits Loss To Trial</v>
      </c>
      <c r="B25" s="2">
        <v>25000</v>
      </c>
      <c r="C25" s="53" t="b">
        <v>1</v>
      </c>
      <c r="L25" s="110" t="s">
        <v>448</v>
      </c>
    </row>
    <row r="26" spans="1:12" x14ac:dyDescent="0.2">
      <c r="A26" t="str">
        <f>"Meal Cost to "&amp;$B$19</f>
        <v>Meal Cost to Trial</v>
      </c>
      <c r="B26" s="2">
        <v>5000</v>
      </c>
      <c r="C26" s="53" t="b">
        <v>1</v>
      </c>
    </row>
    <row r="27" spans="1:12" x14ac:dyDescent="0.2">
      <c r="A27" t="str">
        <f>"Household Service Loss To "&amp;$B$19</f>
        <v>Household Service Loss To Trial</v>
      </c>
      <c r="B27" s="2">
        <v>35000</v>
      </c>
      <c r="C27" s="53" t="b">
        <v>1</v>
      </c>
    </row>
    <row r="28" spans="1:12" x14ac:dyDescent="0.2">
      <c r="A28" t="s">
        <v>175</v>
      </c>
      <c r="C28" s="53" t="b">
        <v>0</v>
      </c>
    </row>
    <row r="29" spans="1:12" x14ac:dyDescent="0.2">
      <c r="A29" t="str">
        <f>"After Credit 1: "&amp;TEXT(B88,"$#,##0")</f>
        <v>After Credit 1: $141,416</v>
      </c>
      <c r="C29" s="53" t="b">
        <v>0</v>
      </c>
    </row>
    <row r="30" spans="1:12" x14ac:dyDescent="0.2">
      <c r="A30" t="str">
        <f>"After Credit 2: "&amp;TEXT(B89,"$#,##0")</f>
        <v>After Credit 2: $250,000</v>
      </c>
      <c r="C30" s="53" t="b">
        <v>0</v>
      </c>
    </row>
    <row r="31" spans="1:12" x14ac:dyDescent="0.2">
      <c r="A31" t="str">
        <f>"After Credit 3: "&amp;TEXT(B90,"$#,##0")</f>
        <v>After Credit 3: $75,000</v>
      </c>
      <c r="C31" s="53" t="b">
        <v>0</v>
      </c>
    </row>
    <row r="32" spans="1:12"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120" t="s">
        <v>176</v>
      </c>
      <c r="B34" s="120"/>
      <c r="C34" s="120"/>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175</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120" t="s">
        <v>177</v>
      </c>
      <c r="B46" s="120"/>
      <c r="C46" s="120"/>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175</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121" t="s">
        <v>205</v>
      </c>
      <c r="B58" s="121"/>
      <c r="C58" s="121"/>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175</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121" t="s">
        <v>206</v>
      </c>
      <c r="B70" s="121"/>
      <c r="C70" s="121"/>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175</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178</v>
      </c>
      <c r="B82" s="7">
        <v>1500000</v>
      </c>
      <c r="C82" s="53" t="b">
        <v>0</v>
      </c>
    </row>
    <row r="83" spans="1:8" x14ac:dyDescent="0.2">
      <c r="A83" t="s">
        <v>179</v>
      </c>
      <c r="B83" s="7">
        <v>2500000</v>
      </c>
      <c r="C83" s="53" t="b">
        <v>0</v>
      </c>
    </row>
    <row r="84" spans="1:8" x14ac:dyDescent="0.2">
      <c r="A84" t="s">
        <v>180</v>
      </c>
      <c r="B84" s="7">
        <v>2000000</v>
      </c>
      <c r="C84" s="53" t="b">
        <v>0</v>
      </c>
    </row>
    <row r="85" spans="1:8" x14ac:dyDescent="0.2">
      <c r="A85" t="s">
        <v>181</v>
      </c>
      <c r="C85" s="53" t="b">
        <v>0</v>
      </c>
    </row>
    <row r="86" spans="1:8" ht="15" x14ac:dyDescent="0.25">
      <c r="A86" s="120" t="s">
        <v>182</v>
      </c>
      <c r="B86" s="120"/>
      <c r="F86" t="s">
        <v>195</v>
      </c>
      <c r="H86" s="8" t="s">
        <v>225</v>
      </c>
    </row>
    <row r="87" spans="1:8" x14ac:dyDescent="0.2">
      <c r="A87" t="s">
        <v>183</v>
      </c>
      <c r="B87" s="2">
        <v>67453</v>
      </c>
      <c r="F87">
        <f>'Base 1 PV Loss WLE'!$B$3</f>
        <v>75000</v>
      </c>
      <c r="H87" s="64">
        <f>'Base 1 PV Loss WLE'!$E$5</f>
        <v>0.1</v>
      </c>
    </row>
    <row r="88" spans="1:8" x14ac:dyDescent="0.2">
      <c r="A88" t="s">
        <v>184</v>
      </c>
      <c r="B88" s="2">
        <v>141416</v>
      </c>
      <c r="F88">
        <f>'Base 1 PV Loss To Age'!$B$3</f>
        <v>141416</v>
      </c>
      <c r="H88">
        <f>'Base 1 PV Loss To Age'!$E$5</f>
        <v>0.22</v>
      </c>
    </row>
    <row r="89" spans="1:8" x14ac:dyDescent="0.2">
      <c r="A89" t="s">
        <v>185</v>
      </c>
      <c r="B89" s="2">
        <v>250000</v>
      </c>
      <c r="F89">
        <f>'Base 2 PV Loss WLE'!$B$3</f>
        <v>141416</v>
      </c>
      <c r="H89">
        <f>'Base 2 PV Loss WLE'!$E$5</f>
        <v>0</v>
      </c>
    </row>
    <row r="90" spans="1:8" x14ac:dyDescent="0.2">
      <c r="A90" t="s">
        <v>186</v>
      </c>
      <c r="B90" s="2">
        <v>75000</v>
      </c>
      <c r="F90">
        <f>'Base 2 PV Loss To Age'!$B$3</f>
        <v>250000</v>
      </c>
      <c r="H90">
        <f>'Base 2 PV Loss To Age'!$E$5</f>
        <v>0.15</v>
      </c>
    </row>
    <row r="91" spans="1:8" x14ac:dyDescent="0.2">
      <c r="A91" t="s">
        <v>187</v>
      </c>
      <c r="B91" s="2">
        <v>75000</v>
      </c>
      <c r="F91">
        <f>'Base 3 PV Loss WLE'!$B$3</f>
        <v>67888</v>
      </c>
      <c r="H91">
        <f>'Base 3 PV Loss WLE'!$E$5</f>
        <v>0</v>
      </c>
    </row>
    <row r="92" spans="1:8" x14ac:dyDescent="0.2">
      <c r="A92" t="s">
        <v>188</v>
      </c>
      <c r="B92" s="2">
        <f>$B$88</f>
        <v>141416</v>
      </c>
      <c r="F92">
        <f>'Base 3 PV Loss To Age'!$B$3</f>
        <v>67453</v>
      </c>
      <c r="H92">
        <f>'Base 3 PV Loss To Age'!$E$5</f>
        <v>0</v>
      </c>
    </row>
    <row r="93" spans="1:8" x14ac:dyDescent="0.2">
      <c r="A93" t="s">
        <v>189</v>
      </c>
      <c r="B93" s="2">
        <f>$B$89</f>
        <v>250000</v>
      </c>
      <c r="F93">
        <f>'Base 4 PV Loss WLE'!$B$3</f>
        <v>78999</v>
      </c>
      <c r="H93">
        <f>'Base 4 PV Loss WLE'!$E$5</f>
        <v>0</v>
      </c>
    </row>
    <row r="94" spans="1:8" x14ac:dyDescent="0.2">
      <c r="A94" t="s">
        <v>190</v>
      </c>
      <c r="B94" s="2">
        <f>$B$90</f>
        <v>75000</v>
      </c>
      <c r="F94">
        <f>'Base 4 PV Loss To Age'!$B$3</f>
        <v>65777</v>
      </c>
      <c r="H94">
        <f>'Base 4 PV Loss To Age'!$E$5</f>
        <v>0</v>
      </c>
    </row>
    <row r="95" spans="1:8" x14ac:dyDescent="0.2">
      <c r="A95" t="s">
        <v>191</v>
      </c>
      <c r="B95" s="2">
        <v>65777</v>
      </c>
      <c r="F95">
        <f>'Base 5 PV Loss WLE'!$B$3</f>
        <v>87666</v>
      </c>
      <c r="H95">
        <f>'Base 5 PV Loss WLE'!$E$5</f>
        <v>0</v>
      </c>
    </row>
    <row r="96" spans="1:8" x14ac:dyDescent="0.2">
      <c r="A96" t="s">
        <v>192</v>
      </c>
      <c r="B96" s="2">
        <f>$B$88</f>
        <v>141416</v>
      </c>
      <c r="F96">
        <f>'Base 5 PV Loss To Age'!$B$3</f>
        <v>32000</v>
      </c>
      <c r="H96">
        <f>'Base 5 PV Loss To Age'!$E$5</f>
        <v>0.35</v>
      </c>
    </row>
    <row r="97" spans="1:2" x14ac:dyDescent="0.2">
      <c r="A97" t="s">
        <v>193</v>
      </c>
      <c r="B97" s="2">
        <f>$B$89</f>
        <v>250000</v>
      </c>
    </row>
    <row r="98" spans="1:2" x14ac:dyDescent="0.2">
      <c r="A98" t="s">
        <v>194</v>
      </c>
      <c r="B98" s="2">
        <f>$B$90</f>
        <v>75000</v>
      </c>
    </row>
    <row r="99" spans="1:2" x14ac:dyDescent="0.2">
      <c r="A99" t="s">
        <v>197</v>
      </c>
      <c r="B99">
        <v>65777</v>
      </c>
    </row>
    <row r="100" spans="1:2" x14ac:dyDescent="0.2">
      <c r="A100" t="s">
        <v>198</v>
      </c>
      <c r="B100">
        <f>$B$88</f>
        <v>141416</v>
      </c>
    </row>
    <row r="101" spans="1:2" x14ac:dyDescent="0.2">
      <c r="A101" t="s">
        <v>199</v>
      </c>
      <c r="B101">
        <f>$B$89</f>
        <v>250000</v>
      </c>
    </row>
    <row r="102" spans="1:2" x14ac:dyDescent="0.2">
      <c r="A102" t="s">
        <v>200</v>
      </c>
      <c r="B102">
        <f>$B$90</f>
        <v>75000</v>
      </c>
    </row>
    <row r="103" spans="1:2" x14ac:dyDescent="0.2">
      <c r="A103" t="s">
        <v>201</v>
      </c>
      <c r="B103">
        <v>67453</v>
      </c>
    </row>
    <row r="104" spans="1:2" x14ac:dyDescent="0.2">
      <c r="A104" t="s">
        <v>202</v>
      </c>
      <c r="B104">
        <f>$B$88</f>
        <v>141416</v>
      </c>
    </row>
    <row r="105" spans="1:2" x14ac:dyDescent="0.2">
      <c r="A105" t="s">
        <v>203</v>
      </c>
      <c r="B105">
        <f>$B$89</f>
        <v>250000</v>
      </c>
    </row>
    <row r="106" spans="1:2" x14ac:dyDescent="0.2">
      <c r="A106" t="s">
        <v>204</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42578125" customWidth="1"/>
    <col min="5" max="5" width="19.140625" customWidth="1"/>
  </cols>
  <sheetData>
    <row r="1" spans="1:9" x14ac:dyDescent="0.2">
      <c r="A1" t="s">
        <v>207</v>
      </c>
    </row>
    <row r="2" spans="1:9" x14ac:dyDescent="0.2">
      <c r="A2" s="61" t="s">
        <v>208</v>
      </c>
      <c r="B2" s="61" t="s">
        <v>209</v>
      </c>
    </row>
    <row r="3" spans="1:9" ht="99.95" customHeight="1" x14ac:dyDescent="0.2">
      <c r="B3" s="123"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23"/>
      <c r="D3" s="123"/>
    </row>
    <row r="4" spans="1:9" x14ac:dyDescent="0.2">
      <c r="A4" s="61" t="s">
        <v>210</v>
      </c>
      <c r="B4" s="61" t="s">
        <v>211</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218</v>
      </c>
      <c r="B6" s="61" t="s">
        <v>219</v>
      </c>
      <c r="C6" s="60"/>
      <c r="D6" s="60"/>
      <c r="E6" s="60"/>
      <c r="F6" s="60"/>
      <c r="G6" s="60"/>
    </row>
    <row r="7" spans="1:9" ht="18" customHeight="1" x14ac:dyDescent="0.2">
      <c r="A7" s="55"/>
      <c r="B7" s="56" t="s">
        <v>220</v>
      </c>
      <c r="C7" s="57" t="str">
        <f>TEXT(Inputs!B15,"mmmm d, yyyy")</f>
        <v>[[claimant_DOB_short]]</v>
      </c>
      <c r="D7" s="8" t="s">
        <v>226</v>
      </c>
      <c r="E7" t="str">
        <f>Inputs!D14</f>
        <v>Rodney</v>
      </c>
      <c r="F7" s="53" t="b">
        <v>0</v>
      </c>
      <c r="G7" s="8" t="s">
        <v>228</v>
      </c>
      <c r="H7" t="str">
        <f>Inputs!D17</f>
        <v>Derrick</v>
      </c>
      <c r="I7" s="53" t="b">
        <v>0</v>
      </c>
    </row>
    <row r="8" spans="1:9" ht="18" customHeight="1" x14ac:dyDescent="0.2">
      <c r="A8" s="55"/>
      <c r="B8" s="58" t="s">
        <v>221</v>
      </c>
      <c r="C8" s="57" t="str">
        <f>TEXT(Inputs!B16,"mmmm d, yyyy")</f>
        <v>[[claimant_DOI_short]]</v>
      </c>
      <c r="D8" s="8" t="s">
        <v>220</v>
      </c>
      <c r="E8" t="str">
        <f>TEXT(Inputs!D15,"MMMM D, YYYY")</f>
        <v>August 11, 1976</v>
      </c>
      <c r="F8" s="53" t="b">
        <v>0</v>
      </c>
      <c r="G8" s="8" t="s">
        <v>229</v>
      </c>
      <c r="H8" s="51">
        <f>Inputs!D18</f>
        <v>45145</v>
      </c>
      <c r="I8" s="53" t="b">
        <v>0</v>
      </c>
    </row>
    <row r="9" spans="1:9" ht="18" customHeight="1" x14ac:dyDescent="0.2">
      <c r="A9" s="55"/>
      <c r="B9" s="56" t="str">
        <f>Inputs!A17&amp;":"</f>
        <v>Date of Trial:</v>
      </c>
      <c r="C9" s="57" t="str">
        <f>TEXT(Inputs!B17,"mmmm d, yyyy")</f>
        <v>[[trial_date]]</v>
      </c>
      <c r="D9" s="8" t="s">
        <v>227</v>
      </c>
      <c r="E9" t="str">
        <f>Inputs!D16</f>
        <v>Full-Time</v>
      </c>
      <c r="F9" s="53" t="b">
        <v>0</v>
      </c>
      <c r="G9" s="8" t="s">
        <v>230</v>
      </c>
      <c r="I9" s="53" t="b">
        <v>0</v>
      </c>
    </row>
    <row r="10" spans="1:9" x14ac:dyDescent="0.2">
      <c r="B10" s="59" t="s">
        <v>222</v>
      </c>
      <c r="C10" s="57" t="str">
        <f>Inputs!B18</f>
        <v>[[court_jurisdiction]]</v>
      </c>
    </row>
    <row r="11" spans="1:9" x14ac:dyDescent="0.2">
      <c r="A11" s="62">
        <v>1</v>
      </c>
      <c r="B11" s="61" t="s">
        <v>223</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241</v>
      </c>
      <c r="C16" s="61"/>
      <c r="D16" s="61"/>
      <c r="E16" s="61"/>
      <c r="F16" s="61"/>
    </row>
    <row r="17" spans="1:7" ht="94.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10.2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26"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75" x14ac:dyDescent="0.2">
      <c r="A21" s="61">
        <v>3</v>
      </c>
      <c r="B21" s="72" t="s">
        <v>243</v>
      </c>
      <c r="C21" s="71"/>
      <c r="D21" s="71"/>
      <c r="E21" s="71"/>
      <c r="F21" s="60"/>
      <c r="G21" s="60"/>
    </row>
    <row r="22" spans="1:7" ht="65.45" customHeight="1" x14ac:dyDescent="0.2">
      <c r="B22" s="122" t="str">
        <f>"1.     Earnings and Employment Background indicates that your client was working as a "&amp;Inputs!$D$20&amp;" at the time of the accident."</f>
        <v>1.     Earnings and Employment Background indicates that your client was working as a Plumber for ABC, Inc at the time of the accident.</v>
      </c>
      <c r="C22" s="122"/>
      <c r="D22" s="122"/>
      <c r="E22" s="70" t="b">
        <v>0</v>
      </c>
    </row>
    <row r="23" spans="1:7" ht="15.75" x14ac:dyDescent="0.2">
      <c r="A23" s="61" t="s">
        <v>245</v>
      </c>
      <c r="B23" s="72" t="s">
        <v>246</v>
      </c>
      <c r="C23" s="71"/>
      <c r="D23" s="71"/>
      <c r="E23" s="71"/>
      <c r="F23" s="60"/>
      <c r="G23" s="60"/>
    </row>
    <row r="24" spans="1:7" ht="69" customHeight="1" x14ac:dyDescent="0.2">
      <c r="A24" s="8" t="s">
        <v>250</v>
      </c>
      <c r="B24" s="122"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22"/>
      <c r="D24" s="122"/>
      <c r="E24" s="70" t="b">
        <v>0</v>
      </c>
    </row>
    <row r="25" spans="1:7" ht="103.7" customHeight="1" x14ac:dyDescent="0.2">
      <c r="A25" s="8" t="s">
        <v>251</v>
      </c>
      <c r="B25" s="122"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22"/>
      <c r="D25" s="122"/>
      <c r="E25" s="70" t="b">
        <v>0</v>
      </c>
    </row>
    <row r="26" spans="1:7" ht="103.7" customHeight="1" x14ac:dyDescent="0.2">
      <c r="A26" s="8" t="s">
        <v>253</v>
      </c>
      <c r="B26" s="122"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22"/>
      <c r="D26" s="122"/>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topLeftCell="A3" zoomScale="130" zoomScaleNormal="130" workbookViewId="0">
      <selection activeCell="G10" sqref="G10"/>
    </sheetView>
  </sheetViews>
  <sheetFormatPr defaultColWidth="8.85546875" defaultRowHeight="12.75" x14ac:dyDescent="0.2"/>
  <cols>
    <col min="1" max="1" width="14.140625" customWidth="1"/>
    <col min="2" max="2" width="16" customWidth="1"/>
    <col min="3" max="3" width="21.42578125" customWidth="1"/>
    <col min="4" max="4" width="17.85546875" customWidth="1"/>
    <col min="5" max="5" width="21.42578125" customWidth="1"/>
    <col min="6" max="6" width="19.42578125" customWidth="1"/>
    <col min="7" max="7" width="23.140625" customWidth="1"/>
    <col min="8" max="8" width="15.85546875" bestFit="1" customWidth="1"/>
    <col min="9" max="9" width="12.42578125" bestFit="1" customWidth="1"/>
    <col min="11" max="11" width="11.140625" customWidth="1"/>
  </cols>
  <sheetData>
    <row r="1" spans="1:36" ht="30" customHeight="1" x14ac:dyDescent="0.25">
      <c r="A1" s="117" t="s">
        <v>143</v>
      </c>
      <c r="B1" s="117"/>
      <c r="C1" s="117"/>
      <c r="D1" s="117"/>
      <c r="E1" s="117"/>
      <c r="F1" s="117"/>
      <c r="G1" s="117"/>
      <c r="AE1" s="3"/>
      <c r="AF1" s="5"/>
      <c r="AG1" s="5"/>
      <c r="AH1" s="1"/>
    </row>
    <row r="2" spans="1:36" x14ac:dyDescent="0.2">
      <c r="AE2" s="1"/>
      <c r="AF2" s="1"/>
      <c r="AG2" s="1"/>
      <c r="AI2" s="8"/>
      <c r="AJ2" s="10"/>
    </row>
    <row r="3" spans="1:36" ht="38.25" x14ac:dyDescent="0.2">
      <c r="A3" t="s">
        <v>98</v>
      </c>
      <c r="B3" s="42">
        <v>75000</v>
      </c>
      <c r="C3" s="93" t="s">
        <v>270</v>
      </c>
      <c r="D3" t="s">
        <v>97</v>
      </c>
      <c r="E3" s="39">
        <v>3.1E-2</v>
      </c>
      <c r="F3" t="s">
        <v>126</v>
      </c>
      <c r="G3" t="s">
        <v>272</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224</v>
      </c>
      <c r="E5" s="64">
        <v>0.1</v>
      </c>
      <c r="F5" s="53" t="b">
        <v>0</v>
      </c>
      <c r="AE5" s="7"/>
      <c r="AF5" s="7"/>
    </row>
    <row r="6" spans="1:36" x14ac:dyDescent="0.2">
      <c r="D6" s="8" t="s">
        <v>252</v>
      </c>
      <c r="E6" s="64">
        <f>E3</f>
        <v>3.1E-2</v>
      </c>
      <c r="F6" s="53" t="b">
        <v>0</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24863.01369863014</v>
      </c>
      <c r="H9" s="7">
        <f>C9*F9</f>
        <v>24863.01369863014</v>
      </c>
      <c r="O9" t="s">
        <v>273</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75000</v>
      </c>
      <c r="H10" s="7">
        <f t="shared" ref="H10:H15" si="0">C10*F10</f>
        <v>75000</v>
      </c>
      <c r="O10" t="s">
        <v>274</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75000</v>
      </c>
      <c r="H11" s="7">
        <f t="shared" si="0"/>
        <v>75000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75000</v>
      </c>
      <c r="H12" s="7">
        <f t="shared" si="0"/>
        <v>75000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75000</v>
      </c>
      <c r="H13" s="7">
        <f t="shared" si="0"/>
        <v>75000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31027.397260273974</v>
      </c>
      <c r="H15" s="7">
        <f t="shared" si="0"/>
        <v>31027.397260273974</v>
      </c>
      <c r="AE15" s="7"/>
      <c r="AF15" s="7"/>
    </row>
    <row r="16" spans="1:36" x14ac:dyDescent="0.2">
      <c r="D16" s="38"/>
      <c r="AE16" s="7"/>
      <c r="AF16" s="7"/>
    </row>
    <row r="17" spans="1:32" x14ac:dyDescent="0.2">
      <c r="A17" s="19" t="s">
        <v>117</v>
      </c>
      <c r="C17" s="30"/>
      <c r="D17" s="38"/>
      <c r="G17" s="30">
        <f>SUM(G9:G15)</f>
        <v>355890.41095890413</v>
      </c>
      <c r="H17" s="30">
        <f>SUM(H9:H15)</f>
        <v>355890.41095890413</v>
      </c>
      <c r="AE17" s="7"/>
      <c r="AF17" s="7"/>
    </row>
    <row r="18" spans="1:32" x14ac:dyDescent="0.2">
      <c r="AE18" s="7"/>
      <c r="AF18" s="7"/>
    </row>
    <row r="19" spans="1:32" x14ac:dyDescent="0.2">
      <c r="A19" s="125" t="s">
        <v>118</v>
      </c>
      <c r="B19" s="125"/>
      <c r="C19" s="125"/>
      <c r="D19" s="125"/>
      <c r="E19" s="125"/>
      <c r="F19" s="125"/>
      <c r="G19" s="125"/>
      <c r="AE19" s="7"/>
      <c r="AF19" s="7"/>
    </row>
    <row r="20" spans="1:32" x14ac:dyDescent="0.2">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75585.771400084064</v>
      </c>
      <c r="AE20" s="7"/>
      <c r="AF20" s="7"/>
    </row>
    <row r="21" spans="1:32" x14ac:dyDescent="0.2">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76191.01257194762</v>
      </c>
      <c r="AE21" s="7"/>
      <c r="AF21" s="7"/>
    </row>
    <row r="22" spans="1:32" x14ac:dyDescent="0.2">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76798.097347201343</v>
      </c>
      <c r="AE22" s="7"/>
      <c r="AF22" s="7"/>
    </row>
    <row r="23" spans="1:32" x14ac:dyDescent="0.2">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77234.693873396856</v>
      </c>
      <c r="AE23" s="7"/>
      <c r="AF23" s="7"/>
    </row>
    <row r="24" spans="1:32" x14ac:dyDescent="0.2">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77610.132502005697</v>
      </c>
      <c r="AE24" s="7"/>
      <c r="AF24" s="7"/>
    </row>
    <row r="25" spans="1:32" x14ac:dyDescent="0.2">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77759.440617335917</v>
      </c>
      <c r="AE25" s="7"/>
      <c r="AF25" s="7"/>
    </row>
    <row r="26" spans="1:32" x14ac:dyDescent="0.2">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77696.851699020815</v>
      </c>
      <c r="AE26" s="7"/>
      <c r="AF26" s="7"/>
    </row>
    <row r="27" spans="1:32" x14ac:dyDescent="0.2">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77695.227938353099</v>
      </c>
      <c r="AE27" s="7"/>
      <c r="AF27" s="7"/>
    </row>
    <row r="28" spans="1:32" x14ac:dyDescent="0.2">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77412.178147699873</v>
      </c>
      <c r="AE28" s="7"/>
      <c r="AF28" s="7"/>
    </row>
    <row r="29" spans="1:32" x14ac:dyDescent="0.2">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76902.910590176718</v>
      </c>
      <c r="I29" s="7"/>
      <c r="AE29" s="7"/>
      <c r="AF29" s="7"/>
    </row>
    <row r="30" spans="1:32" x14ac:dyDescent="0.2">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76170.132173532926</v>
      </c>
      <c r="AE30" s="7"/>
      <c r="AF30" s="7"/>
    </row>
    <row r="31" spans="1:32" x14ac:dyDescent="0.2">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75323.742082781348</v>
      </c>
      <c r="AE31" s="7"/>
      <c r="AF31" s="7"/>
    </row>
    <row r="32" spans="1:32" x14ac:dyDescent="0.2">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74650.974418011145</v>
      </c>
      <c r="AE32" s="7"/>
      <c r="AF32" s="7"/>
    </row>
    <row r="33" spans="1:32" x14ac:dyDescent="0.2">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73558.685278539226</v>
      </c>
      <c r="AE33" s="7"/>
      <c r="AF33" s="7"/>
    </row>
    <row r="34" spans="1:32" x14ac:dyDescent="0.2">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21323.11048053957</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334</v>
      </c>
      <c r="E71" s="29">
        <f>SUM(E20:E69)</f>
        <v>1143472.7451096461</v>
      </c>
      <c r="F71" s="29"/>
      <c r="G71" s="29">
        <f>SUM(G20:G70)</f>
        <v>1091912.9611206262</v>
      </c>
      <c r="AE71" s="2"/>
      <c r="AF71" s="2"/>
    </row>
    <row r="72" spans="1:32" x14ac:dyDescent="0.2">
      <c r="AE72" s="2"/>
      <c r="AF72" s="2"/>
    </row>
    <row r="73" spans="1:32" x14ac:dyDescent="0.2">
      <c r="A73" s="28" t="s">
        <v>119</v>
      </c>
      <c r="B73" s="37"/>
      <c r="C73" s="37"/>
      <c r="D73" s="37"/>
      <c r="E73" s="29">
        <f>H17+E71</f>
        <v>1499363.1560685502</v>
      </c>
      <c r="F73" s="37"/>
      <c r="G73" s="29">
        <f>G17+G71</f>
        <v>1447803.3720795303</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5546875" defaultRowHeight="12.75" x14ac:dyDescent="0.2"/>
  <cols>
    <col min="1" max="1" width="34.140625" bestFit="1" customWidth="1"/>
    <col min="2" max="2" width="16" customWidth="1"/>
    <col min="3" max="3" width="12.42578125" bestFit="1" customWidth="1"/>
    <col min="4" max="4" width="15.5703125" bestFit="1" customWidth="1"/>
    <col min="5" max="5" width="13" customWidth="1"/>
    <col min="6" max="6" width="15" bestFit="1" customWidth="1"/>
    <col min="7" max="7" width="13.42578125" customWidth="1"/>
    <col min="8" max="8" width="15.42578125" bestFit="1" customWidth="1"/>
    <col min="11" max="11" width="11.140625" customWidth="1"/>
  </cols>
  <sheetData>
    <row r="1" spans="1:36" ht="30" customHeight="1" x14ac:dyDescent="0.25">
      <c r="A1" s="117" t="s">
        <v>144</v>
      </c>
      <c r="B1" s="117"/>
      <c r="C1" s="117"/>
      <c r="D1" s="117"/>
      <c r="E1" s="117"/>
      <c r="F1" s="117"/>
      <c r="G1" s="117"/>
      <c r="AE1" s="3"/>
      <c r="AF1" s="5"/>
      <c r="AG1" s="5"/>
      <c r="AH1" s="1"/>
    </row>
    <row r="2" spans="1:36" x14ac:dyDescent="0.2">
      <c r="AE2" s="1"/>
      <c r="AF2" s="1"/>
      <c r="AG2" s="1"/>
      <c r="AI2" s="8"/>
      <c r="AJ2" s="10"/>
    </row>
    <row r="3" spans="1:36" x14ac:dyDescent="0.2">
      <c r="A3" t="s">
        <v>98</v>
      </c>
      <c r="B3" s="42">
        <v>141416</v>
      </c>
      <c r="C3" s="32" t="s">
        <v>126</v>
      </c>
      <c r="D3" t="s">
        <v>97</v>
      </c>
      <c r="E3" s="39">
        <v>3.56E-2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0.22</v>
      </c>
      <c r="F5" s="53" t="b">
        <v>0</v>
      </c>
      <c r="AE5" s="7"/>
      <c r="AF5" s="7"/>
    </row>
    <row r="6" spans="1:36" x14ac:dyDescent="0.2">
      <c r="D6" t="s">
        <v>252</v>
      </c>
      <c r="E6" s="64">
        <f>E3</f>
        <v>3.56E-2</v>
      </c>
      <c r="F6" s="53" t="b">
        <v>0</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5" t="s">
        <v>120</v>
      </c>
      <c r="B19" s="125"/>
      <c r="C19" s="125"/>
      <c r="D19" s="125"/>
      <c r="E19" s="125"/>
      <c r="F19" s="125"/>
      <c r="G19" s="125"/>
      <c r="AE19" s="7"/>
      <c r="AF19" s="7"/>
    </row>
    <row r="20" spans="1:32" x14ac:dyDescent="0.2">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2926750.9218469802</v>
      </c>
      <c r="F71" s="29"/>
      <c r="G71" s="29">
        <f>SUM(G20:G70)</f>
        <v>2799954.5957609955</v>
      </c>
      <c r="AE71" s="2"/>
      <c r="AF71" s="2"/>
    </row>
    <row r="72" spans="1:32" x14ac:dyDescent="0.2">
      <c r="AE72" s="2"/>
      <c r="AF72" s="2"/>
    </row>
    <row r="73" spans="1:32" x14ac:dyDescent="0.2">
      <c r="A73" s="28" t="s">
        <v>119</v>
      </c>
      <c r="B73" s="37"/>
      <c r="C73" s="37"/>
      <c r="D73" s="37"/>
      <c r="E73" s="29">
        <f>E71+H17</f>
        <v>3597798.8999291719</v>
      </c>
      <c r="F73" s="37"/>
      <c r="G73" s="29">
        <f>G17+G71</f>
        <v>3471002.5738431872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7" t="s">
        <v>131</v>
      </c>
      <c r="B1" s="117"/>
      <c r="C1" s="117"/>
      <c r="D1" s="117"/>
      <c r="E1" s="117"/>
      <c r="F1" s="117"/>
      <c r="G1" s="117"/>
      <c r="AE1" s="3"/>
      <c r="AF1" s="5"/>
      <c r="AG1" s="5"/>
      <c r="AH1" s="1"/>
    </row>
    <row r="2" spans="1:36" x14ac:dyDescent="0.2">
      <c r="AE2" s="1"/>
      <c r="AF2" s="1"/>
      <c r="AG2" s="1"/>
      <c r="AI2" s="8"/>
      <c r="AJ2" s="10"/>
    </row>
    <row r="3" spans="1:36" ht="51" x14ac:dyDescent="0.2">
      <c r="A3" t="s">
        <v>98</v>
      </c>
      <c r="B3" s="42">
        <v>141416</v>
      </c>
      <c r="C3" s="93" t="s">
        <v>271</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s="53" t="b">
        <v>0</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5" t="s">
        <v>118</v>
      </c>
      <c r="B19" s="125"/>
      <c r="C19" s="125"/>
      <c r="D19" s="125"/>
      <c r="E19" s="125"/>
      <c r="F19" s="125"/>
      <c r="G19" s="125"/>
      <c r="AE19" s="7"/>
      <c r="AF19" s="7"/>
    </row>
    <row r="20" spans="1:32" x14ac:dyDescent="0.2">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2156071.2229656759</v>
      </c>
      <c r="F71" s="29"/>
      <c r="G71" s="29">
        <f>SUM(G20:G70)</f>
        <v>2058852.8441311263</v>
      </c>
      <c r="AE71" s="2"/>
      <c r="AF71" s="2"/>
    </row>
    <row r="72" spans="1:32" x14ac:dyDescent="0.2">
      <c r="AE72" s="2"/>
      <c r="AF72" s="2"/>
    </row>
    <row r="73" spans="1:32" x14ac:dyDescent="0.2">
      <c r="A73" s="28" t="s">
        <v>119</v>
      </c>
      <c r="B73" s="37"/>
      <c r="C73" s="37"/>
      <c r="D73" s="37"/>
      <c r="E73" s="29">
        <f>E71+H17</f>
        <v>2827119.2010478675</v>
      </c>
      <c r="F73" s="37"/>
      <c r="G73" s="29">
        <f>G17+G71</f>
        <v>2729900.8222133182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7" t="s">
        <v>132</v>
      </c>
      <c r="B1" s="117"/>
      <c r="C1" s="117"/>
      <c r="D1" s="117"/>
      <c r="E1" s="117"/>
      <c r="F1" s="117"/>
      <c r="G1" s="117"/>
      <c r="AE1" s="3"/>
      <c r="AF1" s="5"/>
      <c r="AG1" s="5"/>
      <c r="AH1" s="1"/>
    </row>
    <row r="2" spans="1:36" x14ac:dyDescent="0.2">
      <c r="AE2" s="1"/>
      <c r="AF2" s="1"/>
      <c r="AG2" s="1"/>
      <c r="AI2" s="8"/>
      <c r="AJ2" s="10"/>
    </row>
    <row r="3" spans="1:36" x14ac:dyDescent="0.2">
      <c r="A3" t="s">
        <v>98</v>
      </c>
      <c r="B3" s="42">
        <v>250000</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0.15</v>
      </c>
      <c r="F5" s="53" t="b">
        <v>0</v>
      </c>
      <c r="AE5" s="7"/>
      <c r="AF5" s="7"/>
    </row>
    <row r="6" spans="1:36" x14ac:dyDescent="0.2">
      <c r="D6" t="s">
        <v>252</v>
      </c>
      <c r="E6" s="73">
        <f>E3</f>
        <v>3.1E-2</v>
      </c>
      <c r="F6" s="53" t="b">
        <v>0</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
      <c r="D16" s="38"/>
      <c r="AE16" s="7"/>
      <c r="AF16" s="7"/>
    </row>
    <row r="17" spans="1:32" x14ac:dyDescent="0.2">
      <c r="A17" s="19" t="s">
        <v>117</v>
      </c>
      <c r="D17" s="38"/>
      <c r="G17" s="30">
        <f>SUM(G9:G15)</f>
        <v>1186301.3698630137</v>
      </c>
      <c r="H17" s="100">
        <f>SUM(H9:H15)</f>
        <v>1186301.3698630137</v>
      </c>
      <c r="AE17" s="7"/>
      <c r="AF17" s="7"/>
    </row>
    <row r="18" spans="1:32" x14ac:dyDescent="0.2">
      <c r="AE18" s="7"/>
      <c r="AF18" s="7"/>
    </row>
    <row r="19" spans="1:32" x14ac:dyDescent="0.2">
      <c r="A19" s="126" t="s">
        <v>152</v>
      </c>
      <c r="B19" s="125"/>
      <c r="C19" s="125"/>
      <c r="D19" s="125"/>
      <c r="E19" s="125"/>
      <c r="F19" s="125"/>
      <c r="G19" s="125"/>
      <c r="AE19" s="7"/>
      <c r="AF19" s="7"/>
    </row>
    <row r="20" spans="1:32" x14ac:dyDescent="0.2">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4941984.4801672073</v>
      </c>
      <c r="F71" s="29"/>
      <c r="G71" s="29">
        <f>SUM(G20:G70)</f>
        <v>4736924.6467422284</v>
      </c>
      <c r="AE71" s="2"/>
      <c r="AF71" s="2"/>
    </row>
    <row r="72" spans="1:32" x14ac:dyDescent="0.2">
      <c r="AE72" s="2"/>
      <c r="AF72" s="2"/>
    </row>
    <row r="73" spans="1:32" x14ac:dyDescent="0.2">
      <c r="A73" s="28" t="s">
        <v>119</v>
      </c>
      <c r="B73" s="37"/>
      <c r="C73" s="37"/>
      <c r="D73" s="37"/>
      <c r="E73" s="29">
        <f>E71+H17</f>
        <v>6128285.850030221</v>
      </c>
      <c r="F73" s="37"/>
      <c r="G73" s="29">
        <f>G17+G71</f>
        <v>5923226.0166052422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7" t="s">
        <v>133</v>
      </c>
      <c r="B1" s="117"/>
      <c r="C1" s="117"/>
      <c r="D1" s="117"/>
      <c r="E1" s="117"/>
      <c r="F1" s="117"/>
      <c r="G1" s="117"/>
      <c r="AE1" s="3"/>
      <c r="AF1" s="5"/>
      <c r="AG1" s="5"/>
      <c r="AH1" s="1"/>
    </row>
    <row r="2" spans="1:36" x14ac:dyDescent="0.2">
      <c r="AE2" s="1"/>
      <c r="AF2" s="1"/>
      <c r="AG2" s="1"/>
      <c r="AI2" s="8"/>
      <c r="AJ2" s="10"/>
    </row>
    <row r="3" spans="1:36" x14ac:dyDescent="0.2">
      <c r="A3" t="s">
        <v>98</v>
      </c>
      <c r="B3" s="42">
        <v>67888</v>
      </c>
      <c r="C3" s="32" t="s">
        <v>126</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t="b">
        <v>1</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
      <c r="D16" s="38"/>
      <c r="AE16" s="7"/>
      <c r="AF16" s="7"/>
    </row>
    <row r="17" spans="1:32" x14ac:dyDescent="0.2">
      <c r="A17" s="19" t="s">
        <v>117</v>
      </c>
      <c r="D17" s="38"/>
      <c r="G17" s="30">
        <f>SUM(G9:G15)</f>
        <v>322142.50958904106</v>
      </c>
      <c r="H17" s="100">
        <f>SUM(H9:H15)</f>
        <v>322142.50958904106</v>
      </c>
      <c r="AE17" s="7"/>
      <c r="AF17" s="7"/>
    </row>
    <row r="18" spans="1:32" x14ac:dyDescent="0.2">
      <c r="AE18" s="7"/>
      <c r="AF18" s="7"/>
    </row>
    <row r="19" spans="1:32" x14ac:dyDescent="0.2">
      <c r="A19" s="125" t="s">
        <v>118</v>
      </c>
      <c r="B19" s="125"/>
      <c r="C19" s="125"/>
      <c r="D19" s="125"/>
      <c r="E19" s="125"/>
      <c r="F19" s="125"/>
      <c r="G19" s="125"/>
      <c r="AE19" s="7"/>
      <c r="AF19" s="7"/>
    </row>
    <row r="20" spans="1:32" x14ac:dyDescent="0.2">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1331249.6951719781</v>
      </c>
      <c r="F71" s="29"/>
      <c r="G71" s="29">
        <f>SUM(G20:G70)</f>
        <v>1257537.7802940556</v>
      </c>
      <c r="AE71" s="2"/>
      <c r="AF71" s="2"/>
    </row>
    <row r="72" spans="1:32" x14ac:dyDescent="0.2">
      <c r="AE72" s="2"/>
      <c r="AF72" s="2"/>
    </row>
    <row r="73" spans="1:32" x14ac:dyDescent="0.2">
      <c r="A73" s="28" t="s">
        <v>119</v>
      </c>
      <c r="B73" s="37"/>
      <c r="C73" s="37"/>
      <c r="D73" s="37"/>
      <c r="E73" s="29">
        <f>E71+H17</f>
        <v>1653392.2047610192</v>
      </c>
      <c r="F73" s="37"/>
      <c r="G73" s="29">
        <f>G17+G71</f>
        <v>1579680.2898830967</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7" t="s">
        <v>134</v>
      </c>
      <c r="B1" s="117"/>
      <c r="C1" s="117"/>
      <c r="D1" s="117"/>
      <c r="E1" s="117"/>
      <c r="F1" s="117"/>
      <c r="G1" s="117"/>
      <c r="AE1" s="3"/>
      <c r="AF1" s="5"/>
      <c r="AG1" s="5"/>
      <c r="AH1" s="1"/>
    </row>
    <row r="2" spans="1:36" x14ac:dyDescent="0.2">
      <c r="AE2" s="1"/>
      <c r="AF2" s="1"/>
      <c r="AG2" s="1"/>
      <c r="AI2" s="8"/>
      <c r="AJ2" s="10"/>
    </row>
    <row r="3" spans="1:36" x14ac:dyDescent="0.2">
      <c r="A3" t="s">
        <v>98</v>
      </c>
      <c r="B3" s="42">
        <v>67453</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F5" s="53" t="b">
        <v>0</v>
      </c>
      <c r="AE5" s="7"/>
      <c r="AF5" s="7"/>
    </row>
    <row r="6" spans="1:36" x14ac:dyDescent="0.2">
      <c r="D6" t="s">
        <v>252</v>
      </c>
      <c r="E6">
        <f>E3</f>
        <v>3.1E-2</v>
      </c>
      <c r="F6" t="b">
        <v>1</v>
      </c>
      <c r="AE6" s="7"/>
      <c r="AF6" s="7"/>
    </row>
    <row r="7" spans="1:36" x14ac:dyDescent="0.2">
      <c r="A7" s="124" t="s">
        <v>115</v>
      </c>
      <c r="B7" s="116"/>
      <c r="C7" s="116"/>
      <c r="D7" s="116"/>
      <c r="E7" s="116"/>
      <c r="F7" s="116"/>
      <c r="G7" s="116"/>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
      <c r="D16" s="38"/>
      <c r="AE16" s="7"/>
      <c r="AF16" s="7"/>
    </row>
    <row r="17" spans="1:32" x14ac:dyDescent="0.2">
      <c r="A17" s="19" t="s">
        <v>117</v>
      </c>
      <c r="D17" s="38"/>
      <c r="G17" s="30">
        <f>SUM(G9:G15)</f>
        <v>320078.34520547948</v>
      </c>
      <c r="H17" s="100">
        <f>SUM(H9:H15)</f>
        <v>320078.34520547948</v>
      </c>
      <c r="AE17" s="7"/>
      <c r="AF17" s="7"/>
    </row>
    <row r="18" spans="1:32" x14ac:dyDescent="0.2">
      <c r="AE18" s="7"/>
      <c r="AF18" s="7"/>
    </row>
    <row r="19" spans="1:32" x14ac:dyDescent="0.2">
      <c r="A19" s="125" t="s">
        <v>120</v>
      </c>
      <c r="B19" s="125"/>
      <c r="C19" s="125"/>
      <c r="D19" s="125"/>
      <c r="E19" s="125"/>
      <c r="F19" s="125"/>
      <c r="G19" s="125"/>
      <c r="AE19" s="7"/>
      <c r="AF19" s="7"/>
    </row>
    <row r="20" spans="1:32" x14ac:dyDescent="0.2">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1849035.0947061116</v>
      </c>
      <c r="F71" s="29"/>
      <c r="G71" s="29">
        <f>SUM(G20:G70)</f>
        <v>1747650.3126170188</v>
      </c>
      <c r="AE71" s="2"/>
      <c r="AF71" s="2"/>
    </row>
    <row r="72" spans="1:32" x14ac:dyDescent="0.2">
      <c r="AE72" s="2"/>
      <c r="AF72" s="2"/>
    </row>
    <row r="73" spans="1:32" x14ac:dyDescent="0.2">
      <c r="A73" s="28" t="s">
        <v>119</v>
      </c>
      <c r="B73" s="37"/>
      <c r="C73" s="37"/>
      <c r="D73" s="37"/>
      <c r="E73" s="29">
        <f>E71+H17</f>
        <v>2169113.4399115909</v>
      </c>
      <c r="F73" s="37"/>
      <c r="G73" s="29">
        <f>G17+G71</f>
        <v>2067728.6578224984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7" t="s">
        <v>145</v>
      </c>
      <c r="B1" s="116"/>
      <c r="C1" s="116"/>
      <c r="D1" s="116"/>
      <c r="E1" s="116"/>
      <c r="F1" s="116"/>
      <c r="G1" s="116"/>
    </row>
    <row r="3" spans="1:32" x14ac:dyDescent="0.2">
      <c r="A3" t="s">
        <v>98</v>
      </c>
      <c r="B3" s="42">
        <v>78999</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4" t="s">
        <v>115</v>
      </c>
      <c r="B7" s="116"/>
      <c r="C7" s="116"/>
      <c r="D7" s="116"/>
      <c r="E7" s="116"/>
      <c r="F7" s="116"/>
      <c r="G7" s="116"/>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x14ac:dyDescent="0.2">
      <c r="A17" s="19" t="s">
        <v>117</v>
      </c>
      <c r="G17" s="30">
        <f>SUM(G9:G15)</f>
        <v>374866.48767123284</v>
      </c>
      <c r="H17" s="100">
        <f>SUM(H9:H15)</f>
        <v>374866.48767123284</v>
      </c>
    </row>
    <row r="19" spans="1:8" s="46" customFormat="1" x14ac:dyDescent="0.2">
      <c r="A19" s="128" t="s">
        <v>118</v>
      </c>
      <c r="B19" s="128"/>
      <c r="C19" s="128"/>
      <c r="D19" s="128"/>
      <c r="E19" s="128"/>
      <c r="F19" s="128"/>
      <c r="G19" s="128"/>
    </row>
    <row r="20" spans="1:8" x14ac:dyDescent="0.2">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1549130.8429897935</v>
      </c>
      <c r="G71" s="30">
        <f>SUM(G20:G70)</f>
        <v>1463354.7476056165</v>
      </c>
    </row>
    <row r="73" spans="1:7" x14ac:dyDescent="0.2">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7" t="s">
        <v>146</v>
      </c>
      <c r="B1" s="116"/>
      <c r="C1" s="116"/>
      <c r="D1" s="116"/>
      <c r="E1" s="116"/>
      <c r="F1" s="116"/>
      <c r="G1" s="116"/>
    </row>
    <row r="3" spans="1:32" x14ac:dyDescent="0.2">
      <c r="A3" t="s">
        <v>98</v>
      </c>
      <c r="B3" s="42">
        <v>65777</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F5" s="53" t="b">
        <v>0</v>
      </c>
    </row>
    <row r="6" spans="1:32" x14ac:dyDescent="0.2">
      <c r="D6" t="s">
        <v>252</v>
      </c>
      <c r="E6">
        <f>E3</f>
        <v>3.1E-2</v>
      </c>
      <c r="F6" t="b">
        <v>1</v>
      </c>
    </row>
    <row r="7" spans="1:32" x14ac:dyDescent="0.2">
      <c r="A7" s="124" t="s">
        <v>115</v>
      </c>
      <c r="B7" s="116"/>
      <c r="C7" s="116"/>
      <c r="D7" s="116"/>
      <c r="E7" s="116"/>
      <c r="F7" s="116"/>
      <c r="G7" s="116"/>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x14ac:dyDescent="0.2">
      <c r="A17" s="19" t="s">
        <v>117</v>
      </c>
      <c r="G17" s="30">
        <f>SUM(G9:G15)</f>
        <v>312125.38082191779</v>
      </c>
      <c r="H17" s="100">
        <f>SUM(H9:H15)</f>
        <v>312125.38082191779</v>
      </c>
    </row>
    <row r="19" spans="1:8" s="46" customFormat="1" x14ac:dyDescent="0.2">
      <c r="A19" s="128" t="s">
        <v>151</v>
      </c>
      <c r="B19" s="128"/>
      <c r="C19" s="128"/>
      <c r="D19" s="128"/>
      <c r="E19" s="128"/>
      <c r="F19" s="128"/>
      <c r="G19" s="128"/>
    </row>
    <row r="20" spans="1:8" x14ac:dyDescent="0.2">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1803092.2482985768</v>
      </c>
      <c r="G71" s="30">
        <f>SUM(G20:G70)</f>
        <v>1704226.5668392754</v>
      </c>
    </row>
    <row r="73" spans="1:7" x14ac:dyDescent="0.2">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7" t="s">
        <v>147</v>
      </c>
      <c r="B1" s="116"/>
      <c r="C1" s="116"/>
      <c r="D1" s="116"/>
      <c r="E1" s="116"/>
      <c r="F1" s="116"/>
      <c r="G1" s="116"/>
    </row>
    <row r="3" spans="1:32" x14ac:dyDescent="0.2">
      <c r="A3" t="s">
        <v>98</v>
      </c>
      <c r="B3" s="42">
        <v>87666</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4" t="s">
        <v>115</v>
      </c>
      <c r="B7" s="116"/>
      <c r="C7" s="116"/>
      <c r="D7" s="116"/>
      <c r="E7" s="116"/>
      <c r="F7" s="116"/>
      <c r="G7" s="116"/>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x14ac:dyDescent="0.2">
      <c r="A17" s="19" t="s">
        <v>117</v>
      </c>
      <c r="G17" s="30">
        <f>SUM(G9:G15)</f>
        <v>415993.18356164382</v>
      </c>
      <c r="H17" s="100">
        <f>SUM(H9:H15)</f>
        <v>415993.18356164382</v>
      </c>
    </row>
    <row r="19" spans="1:8" s="46" customFormat="1" x14ac:dyDescent="0.2">
      <c r="A19" s="128" t="s">
        <v>118</v>
      </c>
      <c r="B19" s="128"/>
      <c r="C19" s="128"/>
      <c r="D19" s="128"/>
      <c r="E19" s="128"/>
      <c r="F19" s="128"/>
      <c r="G19" s="128"/>
    </row>
    <row r="20" spans="1:8" x14ac:dyDescent="0.2">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1719086.3742774371</v>
      </c>
      <c r="F71" s="30"/>
      <c r="G71" s="30">
        <f>SUM(G20:G70)</f>
        <v>1623899.7620677983</v>
      </c>
    </row>
    <row r="73" spans="1:7" x14ac:dyDescent="0.2">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7" t="s">
        <v>148</v>
      </c>
      <c r="B1" s="116"/>
      <c r="C1" s="116"/>
      <c r="D1" s="116"/>
      <c r="E1" s="116"/>
      <c r="F1" s="116"/>
      <c r="G1" s="116"/>
    </row>
    <row r="3" spans="1:32" x14ac:dyDescent="0.2">
      <c r="A3" t="s">
        <v>98</v>
      </c>
      <c r="B3" s="42">
        <v>32000</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E5" s="64">
        <v>0.35</v>
      </c>
      <c r="F5" s="53" t="b">
        <v>1</v>
      </c>
    </row>
    <row r="6" spans="1:32" x14ac:dyDescent="0.2">
      <c r="D6" t="s">
        <v>252</v>
      </c>
      <c r="E6">
        <f>E3</f>
        <v>3.1E-2</v>
      </c>
      <c r="F6" t="b">
        <v>1</v>
      </c>
    </row>
    <row r="7" spans="1:32" x14ac:dyDescent="0.2">
      <c r="A7" s="124" t="s">
        <v>115</v>
      </c>
      <c r="B7" s="116"/>
      <c r="C7" s="116"/>
      <c r="D7" s="116"/>
      <c r="E7" s="116"/>
      <c r="F7" s="116"/>
      <c r="G7" s="116"/>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x14ac:dyDescent="0.2">
      <c r="A17" s="19" t="s">
        <v>117</v>
      </c>
      <c r="G17" s="30">
        <f>SUM(G9:G15)</f>
        <v>98700.27397260275</v>
      </c>
      <c r="H17" s="100">
        <f>SUM(H9:H15)</f>
        <v>151846.57534246575</v>
      </c>
    </row>
    <row r="19" spans="1:8" s="46" customFormat="1" x14ac:dyDescent="0.2">
      <c r="A19" s="128" t="s">
        <v>151</v>
      </c>
      <c r="B19" s="128"/>
      <c r="C19" s="128"/>
      <c r="D19" s="128"/>
      <c r="E19" s="128"/>
      <c r="F19" s="128"/>
      <c r="G19" s="128"/>
    </row>
    <row r="20" spans="1:8" x14ac:dyDescent="0.2">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877190.3848693989</v>
      </c>
      <c r="F71" s="30"/>
      <c r="G71" s="30">
        <f>SUM(G20:G70)</f>
        <v>538910.44879299647</v>
      </c>
    </row>
    <row r="73" spans="1:7" x14ac:dyDescent="0.2">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5" sqref="I35"/>
    </sheetView>
  </sheetViews>
  <sheetFormatPr defaultColWidth="8.85546875" defaultRowHeight="12.75" x14ac:dyDescent="0.2"/>
  <cols>
    <col min="1" max="1" width="7.140625" bestFit="1" customWidth="1"/>
    <col min="2" max="2" width="16.425781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403</v>
      </c>
      <c r="E2" s="34" t="s">
        <v>106</v>
      </c>
      <c r="G2" s="6"/>
    </row>
    <row r="3" spans="1:7" x14ac:dyDescent="0.2">
      <c r="A3" t="s">
        <v>9</v>
      </c>
      <c r="B3" t="s">
        <v>8</v>
      </c>
      <c r="C3" s="33" t="s">
        <v>404</v>
      </c>
      <c r="G3" s="6"/>
    </row>
    <row r="4" spans="1:7" x14ac:dyDescent="0.2">
      <c r="A4" t="s">
        <v>11</v>
      </c>
      <c r="B4" t="s">
        <v>10</v>
      </c>
      <c r="C4" s="33" t="s">
        <v>405</v>
      </c>
      <c r="G4" s="6"/>
    </row>
    <row r="5" spans="1:7" x14ac:dyDescent="0.2">
      <c r="A5" t="s">
        <v>13</v>
      </c>
      <c r="B5" t="s">
        <v>12</v>
      </c>
      <c r="C5" s="33" t="s">
        <v>406</v>
      </c>
      <c r="G5" s="6"/>
    </row>
    <row r="6" spans="1:7" x14ac:dyDescent="0.2">
      <c r="A6" t="s">
        <v>15</v>
      </c>
      <c r="B6" t="s">
        <v>14</v>
      </c>
      <c r="C6" s="33" t="s">
        <v>407</v>
      </c>
      <c r="G6" s="6"/>
    </row>
    <row r="7" spans="1:7" x14ac:dyDescent="0.2">
      <c r="A7" t="s">
        <v>17</v>
      </c>
      <c r="B7" t="s">
        <v>16</v>
      </c>
      <c r="C7" s="33" t="s">
        <v>408</v>
      </c>
      <c r="G7" s="6"/>
    </row>
    <row r="8" spans="1:7" x14ac:dyDescent="0.2">
      <c r="A8" t="s">
        <v>19</v>
      </c>
      <c r="B8" t="s">
        <v>18</v>
      </c>
      <c r="C8" s="33" t="s">
        <v>409</v>
      </c>
      <c r="G8" s="6"/>
    </row>
    <row r="9" spans="1:7" x14ac:dyDescent="0.2">
      <c r="A9" t="s">
        <v>21</v>
      </c>
      <c r="B9" t="s">
        <v>20</v>
      </c>
      <c r="C9" s="33" t="s">
        <v>410</v>
      </c>
      <c r="G9" s="6"/>
    </row>
    <row r="10" spans="1:7" x14ac:dyDescent="0.2">
      <c r="A10" t="s">
        <v>23</v>
      </c>
      <c r="B10" t="s">
        <v>22</v>
      </c>
      <c r="C10" s="33" t="s">
        <v>411</v>
      </c>
      <c r="G10" s="6"/>
    </row>
    <row r="11" spans="1:7" x14ac:dyDescent="0.2">
      <c r="A11" t="s">
        <v>25</v>
      </c>
      <c r="B11" t="s">
        <v>24</v>
      </c>
      <c r="C11" s="33" t="s">
        <v>412</v>
      </c>
      <c r="G11" s="6"/>
    </row>
    <row r="12" spans="1:7" x14ac:dyDescent="0.2">
      <c r="A12" t="s">
        <v>27</v>
      </c>
      <c r="B12" t="s">
        <v>26</v>
      </c>
      <c r="C12" s="33" t="s">
        <v>107</v>
      </c>
      <c r="G12" s="6"/>
    </row>
    <row r="13" spans="1:7" x14ac:dyDescent="0.2">
      <c r="A13" t="s">
        <v>29</v>
      </c>
      <c r="B13" t="s">
        <v>28</v>
      </c>
      <c r="C13" s="33" t="s">
        <v>413</v>
      </c>
      <c r="G13" s="6"/>
    </row>
    <row r="14" spans="1:7" x14ac:dyDescent="0.2">
      <c r="A14" t="s">
        <v>31</v>
      </c>
      <c r="B14" t="s">
        <v>30</v>
      </c>
      <c r="C14" s="33" t="s">
        <v>414</v>
      </c>
      <c r="G14" s="6"/>
    </row>
    <row r="15" spans="1:7" x14ac:dyDescent="0.2">
      <c r="A15" t="s">
        <v>33</v>
      </c>
      <c r="B15" t="s">
        <v>32</v>
      </c>
      <c r="C15" s="33" t="s">
        <v>415</v>
      </c>
      <c r="G15" s="6"/>
    </row>
    <row r="16" spans="1:7" x14ac:dyDescent="0.2">
      <c r="A16" t="s">
        <v>35</v>
      </c>
      <c r="B16" t="s">
        <v>34</v>
      </c>
      <c r="C16" s="33" t="s">
        <v>416</v>
      </c>
      <c r="G16" s="6"/>
    </row>
    <row r="17" spans="1:7" x14ac:dyDescent="0.2">
      <c r="A17" t="s">
        <v>37</v>
      </c>
      <c r="B17" t="s">
        <v>36</v>
      </c>
      <c r="C17" s="33" t="s">
        <v>417</v>
      </c>
      <c r="G17" s="6"/>
    </row>
    <row r="18" spans="1:7" x14ac:dyDescent="0.2">
      <c r="A18" t="s">
        <v>39</v>
      </c>
      <c r="B18" t="s">
        <v>38</v>
      </c>
      <c r="C18" s="33" t="s">
        <v>418</v>
      </c>
      <c r="G18" s="6"/>
    </row>
    <row r="19" spans="1:7" x14ac:dyDescent="0.2">
      <c r="A19" t="s">
        <v>41</v>
      </c>
      <c r="B19" t="s">
        <v>40</v>
      </c>
      <c r="C19" s="33" t="s">
        <v>419</v>
      </c>
      <c r="G19" s="6"/>
    </row>
    <row r="20" spans="1:7" x14ac:dyDescent="0.2">
      <c r="A20" t="s">
        <v>43</v>
      </c>
      <c r="B20" t="s">
        <v>42</v>
      </c>
      <c r="C20" s="33" t="s">
        <v>420</v>
      </c>
      <c r="G20" s="6"/>
    </row>
    <row r="21" spans="1:7" x14ac:dyDescent="0.2">
      <c r="A21" t="s">
        <v>45</v>
      </c>
      <c r="B21" t="s">
        <v>44</v>
      </c>
      <c r="C21" s="33" t="s">
        <v>421</v>
      </c>
      <c r="G21" s="6"/>
    </row>
    <row r="22" spans="1:7" x14ac:dyDescent="0.2">
      <c r="A22" t="s">
        <v>47</v>
      </c>
      <c r="B22" t="s">
        <v>46</v>
      </c>
      <c r="C22" s="33" t="s">
        <v>422</v>
      </c>
      <c r="G22" s="6"/>
    </row>
    <row r="23" spans="1:7" x14ac:dyDescent="0.2">
      <c r="A23" t="s">
        <v>49</v>
      </c>
      <c r="B23" t="s">
        <v>48</v>
      </c>
      <c r="C23" s="33" t="s">
        <v>423</v>
      </c>
      <c r="G23" s="6"/>
    </row>
    <row r="24" spans="1:7" x14ac:dyDescent="0.2">
      <c r="A24" t="s">
        <v>51</v>
      </c>
      <c r="B24" t="s">
        <v>50</v>
      </c>
      <c r="C24" s="33" t="s">
        <v>424</v>
      </c>
      <c r="G24" s="6"/>
    </row>
    <row r="25" spans="1:7" x14ac:dyDescent="0.2">
      <c r="A25" t="s">
        <v>53</v>
      </c>
      <c r="B25" t="s">
        <v>52</v>
      </c>
      <c r="C25" s="33" t="s">
        <v>425</v>
      </c>
      <c r="G25" s="6"/>
    </row>
    <row r="26" spans="1:7" x14ac:dyDescent="0.2">
      <c r="A26" t="s">
        <v>55</v>
      </c>
      <c r="B26" t="s">
        <v>54</v>
      </c>
      <c r="C26" s="33" t="s">
        <v>426</v>
      </c>
      <c r="G26" s="6"/>
    </row>
    <row r="27" spans="1:7" x14ac:dyDescent="0.2">
      <c r="A27" t="s">
        <v>57</v>
      </c>
      <c r="B27" t="s">
        <v>56</v>
      </c>
      <c r="C27" s="33" t="s">
        <v>427</v>
      </c>
      <c r="G27" s="6"/>
    </row>
    <row r="28" spans="1:7" x14ac:dyDescent="0.2">
      <c r="A28" t="s">
        <v>59</v>
      </c>
      <c r="B28" t="s">
        <v>58</v>
      </c>
      <c r="C28" s="33" t="s">
        <v>428</v>
      </c>
      <c r="G28" s="6"/>
    </row>
    <row r="29" spans="1:7" x14ac:dyDescent="0.2">
      <c r="A29" t="s">
        <v>61</v>
      </c>
      <c r="B29" t="s">
        <v>60</v>
      </c>
      <c r="C29" s="33" t="s">
        <v>429</v>
      </c>
      <c r="G29" s="6"/>
    </row>
    <row r="30" spans="1:7" x14ac:dyDescent="0.2">
      <c r="A30" t="s">
        <v>63</v>
      </c>
      <c r="B30" t="s">
        <v>62</v>
      </c>
      <c r="C30" s="33" t="s">
        <v>430</v>
      </c>
      <c r="G30" s="6"/>
    </row>
    <row r="31" spans="1:7" x14ac:dyDescent="0.2">
      <c r="A31" t="s">
        <v>78</v>
      </c>
      <c r="B31" t="s">
        <v>64</v>
      </c>
      <c r="C31" s="33" t="s">
        <v>431</v>
      </c>
      <c r="G31" s="6"/>
    </row>
    <row r="32" spans="1:7" x14ac:dyDescent="0.2">
      <c r="E32" t="s">
        <v>275</v>
      </c>
      <c r="F32" t="s">
        <v>276</v>
      </c>
    </row>
    <row r="37" spans="1:3" x14ac:dyDescent="0.2">
      <c r="C37" s="103" t="s">
        <v>347</v>
      </c>
    </row>
    <row r="39" spans="1:3" x14ac:dyDescent="0.2">
      <c r="A39" s="19"/>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121</v>
      </c>
      <c r="C1" s="31" t="s">
        <v>122</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123</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2026-05-04T17:19:49Z</dcterms:modified>
</cp:coreProperties>
</file>